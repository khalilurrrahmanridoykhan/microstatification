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Group_mappers\Village_Mapping\2025\BRAC_Format\Microstatification Format\"/>
    </mc:Choice>
  </mc:AlternateContent>
  <bookViews>
    <workbookView xWindow="0" yWindow="0" windowWidth="23040" windowHeight="8904" activeTab="7"/>
  </bookViews>
  <sheets>
    <sheet name="Cox's Bazar Sadar" sheetId="1" r:id="rId1"/>
    <sheet name="Ukhia" sheetId="10" r:id="rId2"/>
    <sheet name="Ramu" sheetId="2" r:id="rId3"/>
    <sheet name="Chakaria" sheetId="11" r:id="rId4"/>
    <sheet name="Pekua" sheetId="12" r:id="rId5"/>
    <sheet name="Teknaf" sheetId="13" r:id="rId6"/>
    <sheet name="Eidghaon" sheetId="14" r:id="rId7"/>
    <sheet name="Maheshkhali" sheetId="15" r:id="rId8"/>
  </sheets>
  <definedNames>
    <definedName name="_xlnm._FilterDatabase" localSheetId="3" hidden="1">Chakaria!$A$6:$AJ$372</definedName>
    <definedName name="_xlnm._FilterDatabase" localSheetId="0" hidden="1">'Cox''s Bazar Sadar'!$A$6:$AJ$383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5" l="1"/>
  <c r="I2" i="15"/>
  <c r="K1" i="15"/>
  <c r="I1" i="15"/>
  <c r="K2" i="14" l="1"/>
  <c r="I2" i="14"/>
  <c r="K1" i="14"/>
  <c r="I1" i="14"/>
  <c r="K2" i="13" l="1"/>
  <c r="I2" i="13"/>
  <c r="K1" i="13"/>
  <c r="I1" i="13"/>
  <c r="Q225" i="12" l="1"/>
  <c r="P225" i="12"/>
  <c r="Q222" i="12"/>
  <c r="P222" i="12"/>
  <c r="Q220" i="12"/>
  <c r="P220" i="12"/>
  <c r="Q219" i="12"/>
  <c r="P219" i="12"/>
  <c r="Q218" i="12"/>
  <c r="P218" i="12"/>
  <c r="Q216" i="12"/>
  <c r="P216" i="12"/>
  <c r="Q215" i="12"/>
  <c r="P215" i="12"/>
  <c r="Q212" i="12"/>
  <c r="P212" i="12"/>
  <c r="Q210" i="12"/>
  <c r="P210" i="12"/>
  <c r="Q209" i="12"/>
  <c r="P209" i="12"/>
  <c r="Q202" i="12"/>
  <c r="P201" i="12"/>
  <c r="Q194" i="12"/>
  <c r="P191" i="12"/>
  <c r="Q188" i="12"/>
  <c r="P188" i="12"/>
  <c r="Q183" i="12"/>
  <c r="Q181" i="12"/>
  <c r="P181" i="12"/>
  <c r="Q180" i="12"/>
  <c r="P180" i="12"/>
  <c r="Q178" i="12"/>
  <c r="P178" i="12"/>
  <c r="Q177" i="12"/>
  <c r="P177" i="12"/>
  <c r="Q169" i="12"/>
  <c r="Q168" i="12"/>
  <c r="P168" i="12"/>
  <c r="Q166" i="12"/>
  <c r="P166" i="12"/>
  <c r="Q165" i="12"/>
  <c r="P165" i="12"/>
  <c r="Q164" i="12"/>
  <c r="P164" i="12"/>
  <c r="Q163" i="12"/>
  <c r="P163" i="12"/>
  <c r="Q161" i="12"/>
  <c r="P161" i="12"/>
  <c r="Q157" i="12"/>
  <c r="P157" i="12"/>
  <c r="Q154" i="12"/>
  <c r="P154" i="12"/>
  <c r="Q153" i="12"/>
  <c r="P153" i="12"/>
  <c r="Q150" i="12"/>
  <c r="P150" i="12"/>
  <c r="Q147" i="12"/>
  <c r="P147" i="12"/>
  <c r="Q144" i="12"/>
  <c r="P144" i="12"/>
  <c r="Q142" i="12"/>
  <c r="P142" i="12"/>
  <c r="Q139" i="12"/>
  <c r="Q137" i="12"/>
  <c r="Q130" i="12"/>
  <c r="Q125" i="12"/>
  <c r="P125" i="12"/>
  <c r="Q124" i="12"/>
  <c r="P124" i="12"/>
  <c r="Q123" i="12"/>
  <c r="P123" i="12"/>
  <c r="Q119" i="12"/>
  <c r="P119" i="12"/>
  <c r="Q116" i="12"/>
  <c r="P116" i="12"/>
  <c r="Q111" i="12"/>
  <c r="Q110" i="12"/>
  <c r="P110" i="12"/>
  <c r="Q104" i="12"/>
  <c r="Q101" i="12"/>
  <c r="P101" i="12"/>
  <c r="Q100" i="12"/>
  <c r="P100" i="12"/>
  <c r="Q98" i="12"/>
  <c r="P98" i="12"/>
  <c r="Q97" i="12"/>
  <c r="P97" i="12"/>
  <c r="Q95" i="12"/>
  <c r="P95" i="12"/>
  <c r="Q94" i="12"/>
  <c r="P94" i="12"/>
  <c r="Q93" i="12"/>
  <c r="Q91" i="12"/>
  <c r="P91" i="12"/>
  <c r="Q85" i="12"/>
  <c r="P85" i="12"/>
  <c r="Q84" i="12"/>
  <c r="Q76" i="12"/>
  <c r="P76" i="12"/>
  <c r="P52" i="12"/>
  <c r="Q44" i="12"/>
  <c r="P44" i="12"/>
  <c r="Q41" i="12"/>
  <c r="Q39" i="12"/>
  <c r="P39" i="12"/>
  <c r="Q37" i="12"/>
  <c r="P37" i="12"/>
  <c r="Q36" i="12"/>
  <c r="P36" i="12"/>
  <c r="Q34" i="12"/>
  <c r="P34" i="12"/>
  <c r="Q33" i="12"/>
  <c r="P33" i="12"/>
  <c r="Q31" i="12"/>
  <c r="P31" i="12"/>
  <c r="Q30" i="12"/>
  <c r="P30" i="12"/>
  <c r="Q29" i="12"/>
  <c r="P29" i="12"/>
  <c r="Q28" i="12"/>
  <c r="P28" i="12"/>
  <c r="Q27" i="12"/>
  <c r="P27" i="12"/>
  <c r="Q26" i="12"/>
  <c r="P26" i="12"/>
  <c r="Q24" i="12"/>
  <c r="Q23" i="12"/>
  <c r="Q22" i="12"/>
  <c r="Q21" i="12"/>
  <c r="P21" i="12"/>
  <c r="Q20" i="12"/>
  <c r="P20" i="12"/>
  <c r="Q19" i="12"/>
  <c r="Q18" i="12"/>
  <c r="P18" i="12"/>
  <c r="Q17" i="12"/>
  <c r="P17" i="12"/>
  <c r="Q16" i="12"/>
  <c r="Q15" i="12"/>
  <c r="P15" i="12"/>
  <c r="Q14" i="12"/>
  <c r="Q13" i="12"/>
  <c r="P13" i="12"/>
  <c r="Q12" i="12"/>
  <c r="Q11" i="12"/>
  <c r="P11" i="12"/>
  <c r="Q10" i="12"/>
  <c r="Q9" i="12"/>
  <c r="P9" i="12"/>
  <c r="Q7" i="12"/>
  <c r="P7" i="12"/>
  <c r="K2" i="12" l="1"/>
  <c r="I2" i="12"/>
  <c r="K1" i="12"/>
  <c r="I1" i="12"/>
  <c r="S369" i="11"/>
  <c r="S237" i="11"/>
  <c r="S205" i="11"/>
  <c r="S163" i="11"/>
  <c r="S158" i="11"/>
  <c r="S143" i="11"/>
  <c r="S142" i="11"/>
  <c r="S140" i="11"/>
  <c r="S139" i="11"/>
  <c r="S87" i="11"/>
  <c r="S83" i="11"/>
  <c r="S81" i="11"/>
  <c r="S75" i="11"/>
  <c r="S72" i="11"/>
  <c r="S63" i="11"/>
  <c r="S62" i="11"/>
  <c r="S44" i="11"/>
  <c r="S43" i="11"/>
  <c r="S29" i="11"/>
  <c r="S7" i="11"/>
  <c r="K2" i="11"/>
  <c r="I2" i="11"/>
  <c r="K1" i="11"/>
  <c r="I1" i="11"/>
  <c r="K2" i="10" l="1"/>
  <c r="I2" i="10"/>
  <c r="K1" i="10"/>
  <c r="I1" i="10"/>
  <c r="K2" i="2" l="1"/>
  <c r="I2" i="2"/>
  <c r="K1" i="2"/>
  <c r="I1" i="2"/>
  <c r="K2" i="1" l="1"/>
  <c r="K1" i="1" l="1"/>
  <c r="I1" i="1"/>
  <c r="I2" i="1"/>
</calcChain>
</file>

<file path=xl/sharedStrings.xml><?xml version="1.0" encoding="utf-8"?>
<sst xmlns="http://schemas.openxmlformats.org/spreadsheetml/2006/main" count="19241" uniqueCount="4661">
  <si>
    <t>SK(H)</t>
  </si>
  <si>
    <t>SS</t>
  </si>
  <si>
    <t>BRAC</t>
  </si>
  <si>
    <t>SHW(H)</t>
  </si>
  <si>
    <t>Malaria Elimination Program</t>
  </si>
  <si>
    <t>Village</t>
  </si>
  <si>
    <t>Microstrafication</t>
  </si>
  <si>
    <t>Upazila Name:</t>
  </si>
  <si>
    <t>SL</t>
  </si>
  <si>
    <t>District</t>
  </si>
  <si>
    <t>Upazila</t>
  </si>
  <si>
    <t>Union</t>
  </si>
  <si>
    <t>Name of SK/SHW</t>
  </si>
  <si>
    <t>Desig.</t>
  </si>
  <si>
    <t>Name of SS</t>
  </si>
  <si>
    <t>Population</t>
  </si>
  <si>
    <t>March</t>
  </si>
  <si>
    <t>April</t>
  </si>
  <si>
    <t>May</t>
  </si>
  <si>
    <t>June</t>
  </si>
  <si>
    <t>July</t>
  </si>
  <si>
    <t>Name of Border
 with others
 country</t>
  </si>
  <si>
    <t>Others
 Activities
(TDA/Dev care)</t>
  </si>
  <si>
    <t>Total Count</t>
  </si>
  <si>
    <t>Village 
Distance
 from 
upazila office (KM)</t>
  </si>
  <si>
    <t>Name of
 MMW, 
Health 
post &amp;
CHW(C)</t>
  </si>
  <si>
    <t>January</t>
  </si>
  <si>
    <t>February</t>
  </si>
  <si>
    <t>August</t>
  </si>
  <si>
    <t>September</t>
  </si>
  <si>
    <t>October</t>
  </si>
  <si>
    <t>November</t>
  </si>
  <si>
    <t>December</t>
  </si>
  <si>
    <t>2026 
(Active LLINs)</t>
  </si>
  <si>
    <t>Village Name (English)</t>
  </si>
  <si>
    <t>Village Name 
(Bangla)</t>
  </si>
  <si>
    <t>Latitude</t>
  </si>
  <si>
    <t>Longitute</t>
  </si>
  <si>
    <t>2025
(Active LLINs)</t>
  </si>
  <si>
    <t>2024
(Active LLINs)</t>
  </si>
  <si>
    <t>Village 
Code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</si>
  <si>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</si>
  <si>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</si>
  <si>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</si>
  <si>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</si>
  <si>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</si>
  <si>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</si>
  <si>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</si>
  <si>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</si>
  <si>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</si>
  <si>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Haji Para</t>
  </si>
  <si>
    <t>Hindu Para</t>
  </si>
  <si>
    <t>হিন্দু পাড়া</t>
  </si>
  <si>
    <t>Barua Para</t>
  </si>
  <si>
    <t>বড়ুয়া পাড়া</t>
  </si>
  <si>
    <t>Chairman Para</t>
  </si>
  <si>
    <t>চেয়ারম্যান পাড়া</t>
  </si>
  <si>
    <t>Natun Para</t>
  </si>
  <si>
    <t>নতুন পাড়া</t>
  </si>
  <si>
    <t>Noa Para</t>
  </si>
  <si>
    <t>Amtali Para</t>
  </si>
  <si>
    <t>আমতলী পাড়া</t>
  </si>
  <si>
    <t>Sikder Para</t>
  </si>
  <si>
    <t>সিকদার পাড়া</t>
  </si>
  <si>
    <t>Tulatali Para</t>
  </si>
  <si>
    <t>Lamar Para</t>
  </si>
  <si>
    <t>লামার পাড়া</t>
  </si>
  <si>
    <t>Majher Para</t>
  </si>
  <si>
    <t>মাঝের পাড়া</t>
  </si>
  <si>
    <t>Master Para</t>
  </si>
  <si>
    <t>Maulavi Para</t>
  </si>
  <si>
    <t>মৌলভী পাড়া</t>
  </si>
  <si>
    <t>Bazar Para</t>
  </si>
  <si>
    <t>বাজার পাড়া</t>
  </si>
  <si>
    <t>মাস্টার পাড়া</t>
  </si>
  <si>
    <t>Banik Para</t>
  </si>
  <si>
    <t>BGB Camp</t>
  </si>
  <si>
    <t>Saikat Para</t>
  </si>
  <si>
    <t>সৈকত পাড়া</t>
  </si>
  <si>
    <t>Kamola Para</t>
  </si>
  <si>
    <t>কমলা পাড়া</t>
  </si>
  <si>
    <t>Baraichar Para</t>
  </si>
  <si>
    <t>বড়ইচর পাড়া</t>
  </si>
  <si>
    <t>Ghilatali Para</t>
  </si>
  <si>
    <t>Baidya Para</t>
  </si>
  <si>
    <t>বৈদ্য পাড়া</t>
  </si>
  <si>
    <t>Chaillahtali Para</t>
  </si>
  <si>
    <t>চাইল্যাতলি পাড়া</t>
  </si>
  <si>
    <t>Thimchhari Para</t>
  </si>
  <si>
    <t>থিমছড়ি পাড়া</t>
  </si>
  <si>
    <t>Ghonar Para</t>
  </si>
  <si>
    <t>ঘোনার পাড়া</t>
  </si>
  <si>
    <t>Kolal Para</t>
  </si>
  <si>
    <t>কোলাল পাড়া</t>
  </si>
  <si>
    <t>Konar Para</t>
  </si>
  <si>
    <t>কোনার পাড়া</t>
  </si>
  <si>
    <t>Police Fari</t>
  </si>
  <si>
    <t>পুলিশ ফাঁড়ি</t>
  </si>
  <si>
    <t>Fakir Para</t>
  </si>
  <si>
    <t>ফকির পাড়া</t>
  </si>
  <si>
    <t>Barachhara Para</t>
  </si>
  <si>
    <t>বড়ছড়া পাড়া</t>
  </si>
  <si>
    <t>Sandwip Para</t>
  </si>
  <si>
    <t>সন্দ্বীপ পাড়া</t>
  </si>
  <si>
    <t>Madhyam Naya Para</t>
  </si>
  <si>
    <t>মধ্যম নয়া পাড়া</t>
  </si>
  <si>
    <t>Naya Para</t>
  </si>
  <si>
    <t>নয়া পাড়া</t>
  </si>
  <si>
    <t>Uttar Naya Para</t>
  </si>
  <si>
    <t>উত্তর নয়া পাড়া</t>
  </si>
  <si>
    <t>Nalbania Para</t>
  </si>
  <si>
    <t>নলবনিয়া পাড়া</t>
  </si>
  <si>
    <t>Poultry Farm</t>
  </si>
  <si>
    <t>পোল্ট্রি ফার্ম</t>
  </si>
  <si>
    <t>Bara Para</t>
  </si>
  <si>
    <t>বড় পাড়া</t>
  </si>
  <si>
    <t>Char Para</t>
  </si>
  <si>
    <t xml:space="preserve">চর পাড়া </t>
  </si>
  <si>
    <t>Loharjhiri Para</t>
  </si>
  <si>
    <t>Cox's Bazar</t>
  </si>
  <si>
    <t>Cox's Bazar Sadar</t>
  </si>
  <si>
    <t>Bharuakhali</t>
  </si>
  <si>
    <t>Chowfaldandi</t>
  </si>
  <si>
    <t>Cox's Bazar Pourashava</t>
  </si>
  <si>
    <t>10</t>
  </si>
  <si>
    <t>11</t>
  </si>
  <si>
    <t>12</t>
  </si>
  <si>
    <t>Jhilwanja</t>
  </si>
  <si>
    <t>Khurushkul</t>
  </si>
  <si>
    <t>Patali Machhuakhali (PM Khali)</t>
  </si>
  <si>
    <t>Sabek Para</t>
  </si>
  <si>
    <t>সাবেক পাড়া</t>
  </si>
  <si>
    <t>BHR101</t>
  </si>
  <si>
    <t>Sawdagar Para</t>
  </si>
  <si>
    <t>সওদাগর পাড়া</t>
  </si>
  <si>
    <t>BHR201</t>
  </si>
  <si>
    <t>Dakkhin Para</t>
  </si>
  <si>
    <t>দক্ষিণ পাড়া</t>
  </si>
  <si>
    <t>BHR202</t>
  </si>
  <si>
    <t>Pashchim Para</t>
  </si>
  <si>
    <t>পশ্চিম পাড়া</t>
  </si>
  <si>
    <t>BHR301</t>
  </si>
  <si>
    <t>Masharaf Para</t>
  </si>
  <si>
    <t>মশারফ পাড়া</t>
  </si>
  <si>
    <t>BHR401</t>
  </si>
  <si>
    <t>Chauchula Mura</t>
  </si>
  <si>
    <t>চৌচূলা মুড়া</t>
  </si>
  <si>
    <t>BHR402</t>
  </si>
  <si>
    <t>Bania Para</t>
  </si>
  <si>
    <t>বানিয়া পাড়া</t>
  </si>
  <si>
    <t>BHR403</t>
  </si>
  <si>
    <t>Chhandur Para</t>
  </si>
  <si>
    <t>ছান্দূর পাড়া</t>
  </si>
  <si>
    <t>BHR501</t>
  </si>
  <si>
    <t>Highschool Para</t>
  </si>
  <si>
    <t>হাইস্কুল পাড়া</t>
  </si>
  <si>
    <t>BHR502</t>
  </si>
  <si>
    <t>Chaingha Mura</t>
  </si>
  <si>
    <t>চাইংগা মূরা</t>
  </si>
  <si>
    <t>BHR503</t>
  </si>
  <si>
    <t>Mura Para</t>
  </si>
  <si>
    <t>মুড়া পাড়া</t>
  </si>
  <si>
    <t>BHR504</t>
  </si>
  <si>
    <t>BHR505</t>
  </si>
  <si>
    <t>Hajir Para</t>
  </si>
  <si>
    <t>হাজীর পাড়া</t>
  </si>
  <si>
    <t>BHR601</t>
  </si>
  <si>
    <t>Karim Sikder Para</t>
  </si>
  <si>
    <t>করিম সিকদার পাড়া</t>
  </si>
  <si>
    <t>BHR602</t>
  </si>
  <si>
    <t>Purba Karim Sikder Para</t>
  </si>
  <si>
    <t>পূর্ব করিম সিকদার পাড়া</t>
  </si>
  <si>
    <t>BHR603</t>
  </si>
  <si>
    <t>Pashchim Ghonarpara</t>
  </si>
  <si>
    <t>পশ্চিম ঘোনারপাড়া</t>
  </si>
  <si>
    <t>BHR701</t>
  </si>
  <si>
    <t>Purba Ghonar Para</t>
  </si>
  <si>
    <t>পূর্ব ঘোনার পাড়া </t>
  </si>
  <si>
    <t>BHR702</t>
  </si>
  <si>
    <t>Ghonarpara Dakkhinangsha</t>
  </si>
  <si>
    <t>ঘোনারপাড়া দক্ষিণাংশ</t>
  </si>
  <si>
    <t>BHR703</t>
  </si>
  <si>
    <t>Nonamiya Para</t>
  </si>
  <si>
    <t>ননামিয়া পাড়া</t>
  </si>
  <si>
    <t>BHR801</t>
  </si>
  <si>
    <t>Chota Chowdhury Para</t>
  </si>
  <si>
    <t>ছোট চৌধুরী পাড়া</t>
  </si>
  <si>
    <t>BHR802</t>
  </si>
  <si>
    <t>Purba Napit Para</t>
  </si>
  <si>
    <t>পূর্ব নাপিত পাড়া</t>
  </si>
  <si>
    <t>BHR803</t>
  </si>
  <si>
    <t>Bara Chowdhury Para</t>
  </si>
  <si>
    <t>বড় চৌধুরী পাড়া</t>
  </si>
  <si>
    <t>BHR901</t>
  </si>
  <si>
    <t>Ultakhali</t>
  </si>
  <si>
    <t>উল্টাখালি</t>
  </si>
  <si>
    <t>BHR902</t>
  </si>
  <si>
    <t>Guchha Gram</t>
  </si>
  <si>
    <t>গুচ্ছ গ্রাম</t>
  </si>
  <si>
    <t>BHR903</t>
  </si>
  <si>
    <t>Asrayan Prakalpa</t>
  </si>
  <si>
    <t>আশ্রয়ণ প্রকল্প</t>
  </si>
  <si>
    <t>BHR904</t>
  </si>
  <si>
    <t>BHR905</t>
  </si>
  <si>
    <t>Dakkhin Rakhain Para</t>
  </si>
  <si>
    <t>দক্ষিণ রাখাইন পাড়া</t>
  </si>
  <si>
    <t>CHO101</t>
  </si>
  <si>
    <t>Madhyam Rakhain Para</t>
  </si>
  <si>
    <t>মধ্যম রাখাইন পাড়া</t>
  </si>
  <si>
    <t>CHO102</t>
  </si>
  <si>
    <t>Uttar Rakhain Para</t>
  </si>
  <si>
    <t>উত্তর রাখাইন পাড়া</t>
  </si>
  <si>
    <t>CHO103</t>
  </si>
  <si>
    <t>Chowfaldandi Bazar Para</t>
  </si>
  <si>
    <t>চৌফলদন্ডী বাজার পাড়া</t>
  </si>
  <si>
    <t>CHO201</t>
  </si>
  <si>
    <t>Dakkhin Para (Dhakkhinangsha)</t>
  </si>
  <si>
    <t>দক্ষিণ পাড়া (দক্ষিণাংশ)</t>
  </si>
  <si>
    <t>CHO202</t>
  </si>
  <si>
    <t>Dakkhin Para (Uttar)</t>
  </si>
  <si>
    <t>দক্ষিণ পাড়া (উত্তর)</t>
  </si>
  <si>
    <t>CHO301</t>
  </si>
  <si>
    <t>Sagor Para</t>
  </si>
  <si>
    <t>সাগর পাড়া</t>
  </si>
  <si>
    <t>CHO302</t>
  </si>
  <si>
    <t>Pashchim Hindu Para</t>
  </si>
  <si>
    <t>পশ্চিম হিন্দু পাড়া</t>
  </si>
  <si>
    <t>CHO303</t>
  </si>
  <si>
    <t>বণিক পাড়া</t>
  </si>
  <si>
    <t>CHO304</t>
  </si>
  <si>
    <t>Purba Hindu Para</t>
  </si>
  <si>
    <t>পূর্ব হিন্দু পাড়া</t>
  </si>
  <si>
    <t>CHO305</t>
  </si>
  <si>
    <t>Dail Para</t>
  </si>
  <si>
    <t>ডেইল পাড়া</t>
  </si>
  <si>
    <t>CHO306</t>
  </si>
  <si>
    <t>Napit Para</t>
  </si>
  <si>
    <t>নাপিত পাড়া</t>
  </si>
  <si>
    <t>CHO307</t>
  </si>
  <si>
    <t>Chowfaldandi Pashchim Para</t>
  </si>
  <si>
    <t>চৌফলদন্ডী পশ্চিম পাড়া</t>
  </si>
  <si>
    <t>CHO401</t>
  </si>
  <si>
    <t>কোনার পাড়া</t>
  </si>
  <si>
    <t>CHO402</t>
  </si>
  <si>
    <t>Pashchim Wafda Para</t>
  </si>
  <si>
    <t>পশ্চিম ওয়াফদা পাড়া</t>
  </si>
  <si>
    <t>CHO403</t>
  </si>
  <si>
    <t>Dakkhin Maiz Para</t>
  </si>
  <si>
    <t>দক্ষিণ মাইজ পাড়া</t>
  </si>
  <si>
    <t>CHO501</t>
  </si>
  <si>
    <t>Madhyam Maiz Para</t>
  </si>
  <si>
    <t>মধ্যম মাইজ পাড়া</t>
  </si>
  <si>
    <t>CHO502</t>
  </si>
  <si>
    <t>Uttar Maiz Para</t>
  </si>
  <si>
    <t>উত্তর মাইজ পাড়া</t>
  </si>
  <si>
    <t>CHO503</t>
  </si>
  <si>
    <t>Chowfaldandi Ghona Para</t>
  </si>
  <si>
    <t>চৌফলদন্ডী ঘোনা পাড়া</t>
  </si>
  <si>
    <t>CHO504</t>
  </si>
  <si>
    <t>Haidar Para</t>
  </si>
  <si>
    <t>হায়দার পাড়া</t>
  </si>
  <si>
    <t>CHO505</t>
  </si>
  <si>
    <t>Matabbar Para</t>
  </si>
  <si>
    <t>মাতব্বর পাড়া</t>
  </si>
  <si>
    <t>CHO506</t>
  </si>
  <si>
    <t>Khamar Para</t>
  </si>
  <si>
    <t>খামার পাড়া</t>
  </si>
  <si>
    <t>CHO601</t>
  </si>
  <si>
    <t>Chowfaldandi Sikder Para</t>
  </si>
  <si>
    <t xml:space="preserve">চৌফলদন্ডী সিকদার পাড়া
</t>
  </si>
  <si>
    <t>CHO602</t>
  </si>
  <si>
    <t>Kalu Fakir Para</t>
  </si>
  <si>
    <t>কালু ফকির পাড়া</t>
  </si>
  <si>
    <t>CHO701</t>
  </si>
  <si>
    <t>Chowfaldandi Uttar Para</t>
  </si>
  <si>
    <t>চৌফলদন্ডী উত্তর পাড়া</t>
  </si>
  <si>
    <t>CHO702</t>
  </si>
  <si>
    <t>ডেইল পাড়া</t>
  </si>
  <si>
    <t>CHO703</t>
  </si>
  <si>
    <t>Natun Mahal Ghona Para</t>
  </si>
  <si>
    <t>নতুন মহাল ঘোনা পাড়া</t>
  </si>
  <si>
    <t>CHO801</t>
  </si>
  <si>
    <t>Natun Mahal Para</t>
  </si>
  <si>
    <t>নতুন মহাল পাড়া</t>
  </si>
  <si>
    <t>CHO802</t>
  </si>
  <si>
    <t>Natun Mahal Adarsha Para</t>
  </si>
  <si>
    <t>নতুন মহাল আদর্শ পাড়া</t>
  </si>
  <si>
    <t>CHO803</t>
  </si>
  <si>
    <t>Natun Mahal Purba Para</t>
  </si>
  <si>
    <t>নতুন মহাল পূর্ব পাড়া</t>
  </si>
  <si>
    <t>CHO804</t>
  </si>
  <si>
    <t>Natun Mahal Voalia Para</t>
  </si>
  <si>
    <t>নতুন মহাল ভোয়ালিয়া পাড়া</t>
  </si>
  <si>
    <t>CHO805</t>
  </si>
  <si>
    <t>Bepari Para</t>
  </si>
  <si>
    <t>ব্যাপারী পাড়া</t>
  </si>
  <si>
    <t>CHO901</t>
  </si>
  <si>
    <t>Khonkarkhill Para</t>
  </si>
  <si>
    <t xml:space="preserve">খোনকারখিল পাড়া
</t>
  </si>
  <si>
    <t>CHO902</t>
  </si>
  <si>
    <t>Pukuria Ghona Para</t>
  </si>
  <si>
    <t>পুকুরিয়া ঘোনা পাড়া</t>
  </si>
  <si>
    <t>CHO903</t>
  </si>
  <si>
    <t>Purba Ghona Para</t>
  </si>
  <si>
    <t xml:space="preserve">পূর্ব ঘোনা পাড়া
</t>
  </si>
  <si>
    <t>CHO904</t>
  </si>
  <si>
    <t>Mohajer Para</t>
  </si>
  <si>
    <t>মোহাজের পাড়া</t>
  </si>
  <si>
    <t>COX1001</t>
  </si>
  <si>
    <t>Staduim Para</t>
  </si>
  <si>
    <t>স্টেডিয়াম পাড়া</t>
  </si>
  <si>
    <t>COX1002</t>
  </si>
  <si>
    <t>Hospital Sarak Elaka IBP Math</t>
  </si>
  <si>
    <t>হাসপাতাল সড়ক এলাকা আইবিপি মাঠ</t>
  </si>
  <si>
    <t>COX1003</t>
  </si>
  <si>
    <t>Hasan Colony Haspatal Sarak</t>
  </si>
  <si>
    <t>হাসান কলোনী হাসপাতাল সড়ক</t>
  </si>
  <si>
    <t>COX1004</t>
  </si>
  <si>
    <t>Kachari Pahar Elaka</t>
  </si>
  <si>
    <t>কাচারী পাহাড় এলাকা</t>
  </si>
  <si>
    <t>COX1005</t>
  </si>
  <si>
    <t>Uttar Baharchhara (Part)</t>
  </si>
  <si>
    <t>উত্তর বাহারছড়া (আংশিক)</t>
  </si>
  <si>
    <t>COX1006</t>
  </si>
  <si>
    <t>Madhyam Baharchhara</t>
  </si>
  <si>
    <t>মধ্যম বাহারছড়া </t>
  </si>
  <si>
    <t>COX1007</t>
  </si>
  <si>
    <t>Officer's Colony</t>
  </si>
  <si>
    <t>অফিসার্স কলোনী</t>
  </si>
  <si>
    <t>COX1008</t>
  </si>
  <si>
    <t>Uttar Kutubdia Para (Veron Para)</t>
  </si>
  <si>
    <t>উওর কুতুবদিয়া পাড়া (ভেরন পাড়া)</t>
  </si>
  <si>
    <t>COX101</t>
  </si>
  <si>
    <t>Uttar Kutubdia Para (Khaler Dakkhin)</t>
  </si>
  <si>
    <t>উত্তর কুতুবদিয়া পাড়া (খালের দক্ষিণ)</t>
  </si>
  <si>
    <t>COX102</t>
  </si>
  <si>
    <t>Madhyam Kutubdia Para (Bara Masjid Elaka)</t>
  </si>
  <si>
    <t>মধ্যম কুতুবদিয়া পাড়া (বড় মসজিদ এলাকা)</t>
  </si>
  <si>
    <t>COX103</t>
  </si>
  <si>
    <t>Madhyamkutubdia Para (Baytush Sharaf Mosjid Elaka)</t>
  </si>
  <si>
    <t>মধ্যম কুতুবদিয়া পাড়া (বায়তুশ শরফ মসজিদ এলাকা)</t>
  </si>
  <si>
    <t>COX104</t>
  </si>
  <si>
    <t>Farm Elaka</t>
  </si>
  <si>
    <t>ফার্ম এলাকা</t>
  </si>
  <si>
    <t>COX105</t>
  </si>
  <si>
    <t>Purba Kutubdia Natun Para</t>
  </si>
  <si>
    <t>পূর্ব কুতুবদিয়া নতুন পাড়া</t>
  </si>
  <si>
    <t>COX106</t>
  </si>
  <si>
    <t>Dakkhin Kutubdia Para (Fadnar Dail)</t>
  </si>
  <si>
    <t>দক্ষিণ কুতুবদিয়া পাড়া (ফদনার ডেইল)</t>
  </si>
  <si>
    <t>COX107</t>
  </si>
  <si>
    <t>Bandar Para</t>
  </si>
  <si>
    <t>বন্দর পাড়া</t>
  </si>
  <si>
    <t>COX108</t>
  </si>
  <si>
    <t>Dakkhin Samiti Para</t>
  </si>
  <si>
    <t>দক্ষিণ সমিতি পাড়া</t>
  </si>
  <si>
    <t>COX109</t>
  </si>
  <si>
    <t>Uttar Samiti Para (Bajar Elaka)</t>
  </si>
  <si>
    <t>উত্তর সমিতি পাড়া (বাজার এলাকা)</t>
  </si>
  <si>
    <t>COX110</t>
  </si>
  <si>
    <t>Haji Siddiqia Road Garir Math Elaka</t>
  </si>
  <si>
    <t>হাজী সিদ্দিকিয়া রোড গাড়ির মাঠ এলাকা</t>
  </si>
  <si>
    <t>COX1101</t>
  </si>
  <si>
    <t>Uttar Baharchhara Elaka (Part)</t>
  </si>
  <si>
    <t>উত্তর বাহারছড়া এলাকা (আংশিক)</t>
  </si>
  <si>
    <t>COX1102</t>
  </si>
  <si>
    <t>Dakkhin Baharchhara Elaka (Part)</t>
  </si>
  <si>
    <t>দক্ষিণ বাহারছড়া এলাকা(আংশিক)</t>
  </si>
  <si>
    <t>COX1103</t>
  </si>
  <si>
    <t>Pashchim Baharchhara</t>
  </si>
  <si>
    <t>পশ্চিম বাহারছড়া</t>
  </si>
  <si>
    <t>COX1104</t>
  </si>
  <si>
    <t>Dakkhin Baharchhara Koborshtan Elaka</t>
  </si>
  <si>
    <t>দক্ষিণ বাহারছড়া কবরস্থান এলাকা</t>
  </si>
  <si>
    <t>COX1105</t>
  </si>
  <si>
    <t>Jhawtola Elaka</t>
  </si>
  <si>
    <t>ঝাউতলা এলাকা</t>
  </si>
  <si>
    <t>COX1106</t>
  </si>
  <si>
    <t>Purba Samiti Para (Masjid Gate)</t>
  </si>
  <si>
    <t>পূর্ব সমিতি পাড়া (মসজিদ গেইট)</t>
  </si>
  <si>
    <t>COX111</t>
  </si>
  <si>
    <t>Pashchim Kutubdia Para (Baitur Ridwan)</t>
  </si>
  <si>
    <t>পশ্চিম কুতুবদিয়া পাড়া (বায়তুর রিদওয়ান)</t>
  </si>
  <si>
    <t>COX112</t>
  </si>
  <si>
    <t>Pashchim Kutubdia Para (Baytush Sharaf Kutub Bazar)</t>
  </si>
  <si>
    <t>পশ্চিম কুতুবদিয়া পাড়া (বায়তুশ শরফ কুতুব বাজার)</t>
  </si>
  <si>
    <t>COX113</t>
  </si>
  <si>
    <t>Basinna Para</t>
  </si>
  <si>
    <t>বাসিন্না পাড়া</t>
  </si>
  <si>
    <t>COX114</t>
  </si>
  <si>
    <t>Dakkhin Mostak Para</t>
  </si>
  <si>
    <t>দক্ষিণ মোস্তাক পাড়া</t>
  </si>
  <si>
    <t>COX115</t>
  </si>
  <si>
    <t>Uttar Mostak Para</t>
  </si>
  <si>
    <t>উত্তর মোস্তাক পাড়া</t>
  </si>
  <si>
    <t>COX116</t>
  </si>
  <si>
    <t>Nazirar Tek (Shutki Mahal)</t>
  </si>
  <si>
    <t>নাজিরার টেক (শুটকি মহল)</t>
  </si>
  <si>
    <t>COX117</t>
  </si>
  <si>
    <t>Bangladesh Air Force (BAF) Base Area</t>
  </si>
  <si>
    <t>বাংলাদেশ বিমান বাহিনী ঘাঁটি এলাকা</t>
  </si>
  <si>
    <t>COX118</t>
  </si>
  <si>
    <t>Hachari Zone Elaka</t>
  </si>
  <si>
    <t>হ্যাচারী জোন এলাকা</t>
  </si>
  <si>
    <t>COX1201</t>
  </si>
  <si>
    <t>Gayamtoli</t>
  </si>
  <si>
    <t>গৈয়মতলী</t>
  </si>
  <si>
    <t>COX1202</t>
  </si>
  <si>
    <t>Dakkhin Kalatali</t>
  </si>
  <si>
    <t>দক্ষিণ কলাতলী</t>
  </si>
  <si>
    <t>COX1203</t>
  </si>
  <si>
    <t>Uttar Adarshagram</t>
  </si>
  <si>
    <t>উত্তর আদর্শগ্রাম</t>
  </si>
  <si>
    <t>COX1204</t>
  </si>
  <si>
    <t>Adarsha Para</t>
  </si>
  <si>
    <t>আদর্শ পাড়া</t>
  </si>
  <si>
    <t>COX1205</t>
  </si>
  <si>
    <t>COX1206</t>
  </si>
  <si>
    <t>Light House Para</t>
  </si>
  <si>
    <t>লাইট হাউস পাড়া</t>
  </si>
  <si>
    <t>COX1207</t>
  </si>
  <si>
    <t>Baghghona Para</t>
  </si>
  <si>
    <t>বাঘঘোনা পাড়া</t>
  </si>
  <si>
    <t>COX1208</t>
  </si>
  <si>
    <t>Faterghona</t>
  </si>
  <si>
    <t>ফাতেরঘোনা</t>
  </si>
  <si>
    <t>COX1209</t>
  </si>
  <si>
    <t>Hotel Motel Zone</t>
  </si>
  <si>
    <t>হোটেল মোটেল জোন</t>
  </si>
  <si>
    <t>COX1210</t>
  </si>
  <si>
    <t>Government Abasan Prakalpa</t>
  </si>
  <si>
    <t>সরকারী আবাসন প্রকল্প</t>
  </si>
  <si>
    <t>COX1211</t>
  </si>
  <si>
    <t>Pashchim Natun Baharchhara (Garir Math)</t>
  </si>
  <si>
    <t>পশ্চিম নতুন বাহারছড়া (গাড়ির মাঠ)</t>
  </si>
  <si>
    <t>COX201</t>
  </si>
  <si>
    <t>Purba Natun Baharchhara</t>
  </si>
  <si>
    <t>পূর্ব নতুন বাহারছড়া</t>
  </si>
  <si>
    <t>COX202</t>
  </si>
  <si>
    <t>Pashchim Natun Baharchhara Airport Area</t>
  </si>
  <si>
    <t>পশ্চিম নতুন বাহারছড়া বিমানবন্দর এলাকা</t>
  </si>
  <si>
    <t>COX203</t>
  </si>
  <si>
    <t>Natun Fishari Para</t>
  </si>
  <si>
    <t>নতুন ফিশারী পাড়া</t>
  </si>
  <si>
    <t>COX204</t>
  </si>
  <si>
    <t>Madhyam Nuniyachhara</t>
  </si>
  <si>
    <t>মধ্যম নুনিয়াছড়া</t>
  </si>
  <si>
    <t>COX205</t>
  </si>
  <si>
    <t>Dakkhin Nuniyachhara</t>
  </si>
  <si>
    <t>দক্ষিণ নুনিয়াছড়া</t>
  </si>
  <si>
    <t>COX206</t>
  </si>
  <si>
    <t>Uttar Nuniyachhara</t>
  </si>
  <si>
    <t>উত্তর নুনিয়াছড়া</t>
  </si>
  <si>
    <t>COX207</t>
  </si>
  <si>
    <t>Panir Kua Para</t>
  </si>
  <si>
    <t>পানির কুয়া পাড়া</t>
  </si>
  <si>
    <t>COX208</t>
  </si>
  <si>
    <t>Uttar Nuniyachhara Shilpa Elaka</t>
  </si>
  <si>
    <t>উত্তর নুনিয়াছড়া শিল্প এলাকা</t>
  </si>
  <si>
    <t>COX209</t>
  </si>
  <si>
    <t>Tuitta Para</t>
  </si>
  <si>
    <t>টুইট্টা পাড়া</t>
  </si>
  <si>
    <t>COX210</t>
  </si>
  <si>
    <t>Ansar Camp 1</t>
  </si>
  <si>
    <t>আনসার ক্যাম্প ১</t>
  </si>
  <si>
    <t>COX211</t>
  </si>
  <si>
    <t>Army Camp</t>
  </si>
  <si>
    <t>আর্মি ক্যাম্প</t>
  </si>
  <si>
    <t>COX212</t>
  </si>
  <si>
    <t>Coast Guard Camp</t>
  </si>
  <si>
    <t>কোস্ট গার্ড ক্যাম্প</t>
  </si>
  <si>
    <t>COX213</t>
  </si>
  <si>
    <t>Ansar Camp 2</t>
  </si>
  <si>
    <t>আনসার ক্যাম্প ২</t>
  </si>
  <si>
    <t>COX214</t>
  </si>
  <si>
    <t>Chaul Bazar Elaka</t>
  </si>
  <si>
    <t>চাউল বাজার এলাকা</t>
  </si>
  <si>
    <t>COX301</t>
  </si>
  <si>
    <t>Barabazar Elaka</t>
  </si>
  <si>
    <t>বড়বাজার এলাকা</t>
  </si>
  <si>
    <t>COX302</t>
  </si>
  <si>
    <t>Puratan Pan Bazar Elaka</t>
  </si>
  <si>
    <t>পুরাতন পান বাজার এলাকা</t>
  </si>
  <si>
    <t>COX303</t>
  </si>
  <si>
    <t>Barabazar Rakhain Para</t>
  </si>
  <si>
    <t>বড়বাজার রাখাইন পাড়া</t>
  </si>
  <si>
    <t>COX304</t>
  </si>
  <si>
    <t>Nur Para</t>
  </si>
  <si>
    <t>নূর পাড়া</t>
  </si>
  <si>
    <t>COX305</t>
  </si>
  <si>
    <t>Anderson Road Elaka</t>
  </si>
  <si>
    <t>এন্ডারসন রোড এলাকা</t>
  </si>
  <si>
    <t>COX306</t>
  </si>
  <si>
    <t>Badar Mokam Elaka</t>
  </si>
  <si>
    <t>বদর মোকাম এলাকা</t>
  </si>
  <si>
    <t>COX307</t>
  </si>
  <si>
    <t>Lal Dighir Par Elaka</t>
  </si>
  <si>
    <t>লাল দিঘীর পাড় এলাকা</t>
  </si>
  <si>
    <t>COX308</t>
  </si>
  <si>
    <t>Purba Natun Baharchhara Elaka</t>
  </si>
  <si>
    <t>পূর্ব নতুন বাহারছড়া এলাকা</t>
  </si>
  <si>
    <t>COX309</t>
  </si>
  <si>
    <t>Madhyam Tek Para</t>
  </si>
  <si>
    <t>মধ্যম টেক পাড়া</t>
  </si>
  <si>
    <t>COX401</t>
  </si>
  <si>
    <t>Purba Tek Para</t>
  </si>
  <si>
    <t>পূর্ব টেক পাড়া</t>
  </si>
  <si>
    <t>COX402</t>
  </si>
  <si>
    <t>Pashchim Tek Para</t>
  </si>
  <si>
    <t>পশ্চিম টেক পাড়া</t>
  </si>
  <si>
    <t>COX403</t>
  </si>
  <si>
    <t>Hangar Para</t>
  </si>
  <si>
    <t>হাঙ্গর পাড়া</t>
  </si>
  <si>
    <t>COX404</t>
  </si>
  <si>
    <t>Uttar Tek Para</t>
  </si>
  <si>
    <t>উত্তর টেক পাড়া</t>
  </si>
  <si>
    <t>COX405</t>
  </si>
  <si>
    <t>Achhimang Peshkar Para</t>
  </si>
  <si>
    <t>আছিমং পেশকার পাড়া</t>
  </si>
  <si>
    <t>COX406</t>
  </si>
  <si>
    <t>Sujaw Sawdagor Para</t>
  </si>
  <si>
    <t>সূজাউ সওদাগর পাড়া</t>
  </si>
  <si>
    <t>COX407</t>
  </si>
  <si>
    <t>Fulbag Ealaka</t>
  </si>
  <si>
    <t>ফুলবাগ এলাকা</t>
  </si>
  <si>
    <t>COX408</t>
  </si>
  <si>
    <t>Purba Peshkar Para</t>
  </si>
  <si>
    <t>পূর্ব পেশকার পাড়া</t>
  </si>
  <si>
    <t>COX409</t>
  </si>
  <si>
    <t>Pashchim Peshkar Para</t>
  </si>
  <si>
    <t>পশ্চিম পেশকারপাড়া </t>
  </si>
  <si>
    <t>COX410</t>
  </si>
  <si>
    <t>Kumilla Para</t>
  </si>
  <si>
    <t>কুমিল্লা পাড়া</t>
  </si>
  <si>
    <t>COX411</t>
  </si>
  <si>
    <t>Uttar Peshkar Para</t>
  </si>
  <si>
    <t>উত্তর পেশকার পাড়া</t>
  </si>
  <si>
    <t>COX412</t>
  </si>
  <si>
    <t>Gudar Para</t>
  </si>
  <si>
    <t>গুদার পাড়া</t>
  </si>
  <si>
    <t>COX501</t>
  </si>
  <si>
    <t>Brihattar SM Para</t>
  </si>
  <si>
    <t>বৃহত্তর এসএম পাড়া</t>
  </si>
  <si>
    <t>COX502</t>
  </si>
  <si>
    <t>Uttar Rumaliar Chhara Purbangsha</t>
  </si>
  <si>
    <t>উত্তর রুমালিয়ার ছড়া পূর্বাংশ</t>
  </si>
  <si>
    <t>COX503</t>
  </si>
  <si>
    <t>Chowdhury Para</t>
  </si>
  <si>
    <t>চৌধুরী পাড়া</t>
  </si>
  <si>
    <t>COX504</t>
  </si>
  <si>
    <t>Banorupa Para</t>
  </si>
  <si>
    <t>বনরূপা পাড়া</t>
  </si>
  <si>
    <t>COX505</t>
  </si>
  <si>
    <t>Uttar Rumaliar Chhara Brickfield Para</t>
  </si>
  <si>
    <t>উত্তর রুমালিয়ার ছড়া ব্রিকফিল্ড পাড়া</t>
  </si>
  <si>
    <t>COX506</t>
  </si>
  <si>
    <t>Uttar Tarabaniar Chhara</t>
  </si>
  <si>
    <t>উত্তর তারাবনিয়ার ছড়া</t>
  </si>
  <si>
    <t>COX507</t>
  </si>
  <si>
    <t>Haji Para (Part)</t>
  </si>
  <si>
    <t>হাজী পাড়া (আংশিক)</t>
  </si>
  <si>
    <t>COX601</t>
  </si>
  <si>
    <t>Uttar Dikkul</t>
  </si>
  <si>
    <t>উত্তর ডিককুল</t>
  </si>
  <si>
    <t>COX602</t>
  </si>
  <si>
    <t>Purba Barua Para</t>
  </si>
  <si>
    <t>পূর্ব বড়ুয়া পাড়া</t>
  </si>
  <si>
    <t>COX603</t>
  </si>
  <si>
    <t>Sardar Para</t>
  </si>
  <si>
    <t>সর্দার পাড়া</t>
  </si>
  <si>
    <t>COX604</t>
  </si>
  <si>
    <t>Dhupi Para</t>
  </si>
  <si>
    <t>ধুপি পাড়া</t>
  </si>
  <si>
    <t>COX605</t>
  </si>
  <si>
    <t>Peta Sawdagor Para</t>
  </si>
  <si>
    <t>পেতা সওদাগর পাড়া</t>
  </si>
  <si>
    <t>COX606</t>
  </si>
  <si>
    <t>Uttar Peta Sawdagor Para</t>
  </si>
  <si>
    <t>উত্তর পেতা সওদাগর পাড়া</t>
  </si>
  <si>
    <t>COX607</t>
  </si>
  <si>
    <t>Pashchim Barua Para</t>
  </si>
  <si>
    <t>পশ্চিম বড়ুয়া পাড়া</t>
  </si>
  <si>
    <t>COX608</t>
  </si>
  <si>
    <t>COX609</t>
  </si>
  <si>
    <t>Mallik Para</t>
  </si>
  <si>
    <t>মল্লিক পাড়া</t>
  </si>
  <si>
    <t>COX610</t>
  </si>
  <si>
    <t>Dakkhin Shahittika Palli</t>
  </si>
  <si>
    <t>দক্ষিণ সাহিত্যিকা পল্লী</t>
  </si>
  <si>
    <t>COX611</t>
  </si>
  <si>
    <t>Shahittika Palli</t>
  </si>
  <si>
    <t>সাহিত্যিকা পল্লী</t>
  </si>
  <si>
    <t>COX612</t>
  </si>
  <si>
    <t>Pallaniya Kata</t>
  </si>
  <si>
    <t>পল্লানিয়া কাটা</t>
  </si>
  <si>
    <t>COX613</t>
  </si>
  <si>
    <t>Dakkhin Pallaniya Kata</t>
  </si>
  <si>
    <t>দক্ষিণ পল্লানিয়া কাটা</t>
  </si>
  <si>
    <t>COX614</t>
  </si>
  <si>
    <t>Matiyatali</t>
  </si>
  <si>
    <t>মাটিয়াতলী</t>
  </si>
  <si>
    <t>COX615</t>
  </si>
  <si>
    <t>Dakkhin Rumaliar Chhara Purbangsha</t>
  </si>
  <si>
    <t>দক্ষিণ রুমালিয়া়র ছড়া পূর্বাংশ</t>
  </si>
  <si>
    <t>COX616</t>
  </si>
  <si>
    <t>Dakkhin Rumaliar Chhara/ Gorur Halda</t>
  </si>
  <si>
    <t>দক্ষিণ রুমালিয়ার ছড়া/ গরুর হালদা</t>
  </si>
  <si>
    <t>COX617</t>
  </si>
  <si>
    <t>Nappanja Para</t>
  </si>
  <si>
    <t>নাপ্পাঞ্জা পাড়া</t>
  </si>
  <si>
    <t>COX618</t>
  </si>
  <si>
    <t>COX619</t>
  </si>
  <si>
    <t>বিজিবি ক্যাম্প </t>
  </si>
  <si>
    <t>COX620</t>
  </si>
  <si>
    <t>Police Camp</t>
  </si>
  <si>
    <t>পুলিশ ফাঁড়ি</t>
  </si>
  <si>
    <t>COX621</t>
  </si>
  <si>
    <t>Pallabi Lane Elaka</t>
  </si>
  <si>
    <t>পল্লবী লেইন এলাকা</t>
  </si>
  <si>
    <t>COX701</t>
  </si>
  <si>
    <t>Dakkhin Tek Para</t>
  </si>
  <si>
    <t>দক্ষিণ টেক পাড়া</t>
  </si>
  <si>
    <t>COX702</t>
  </si>
  <si>
    <t>Bailla Para</t>
  </si>
  <si>
    <t>বইল্ল্যা পাড়া</t>
  </si>
  <si>
    <t>COX703</t>
  </si>
  <si>
    <t>Pashchim Pahartali</t>
  </si>
  <si>
    <t>পশ্চিম পাহাড়তলী</t>
  </si>
  <si>
    <t>COX704</t>
  </si>
  <si>
    <t>Purba Pahartali</t>
  </si>
  <si>
    <t>পূর্ব পাহাড়তলী</t>
  </si>
  <si>
    <t>COX705</t>
  </si>
  <si>
    <t>Dakkhin Tarabaniar Chhara</t>
  </si>
  <si>
    <t>দক্ষিণ তারাবনিয়ার ছড়া</t>
  </si>
  <si>
    <t>COX706</t>
  </si>
  <si>
    <t>Dakkhin Rumaliar Chhara</t>
  </si>
  <si>
    <t>দক্ষিণ রুমালিয়ার ছড়া</t>
  </si>
  <si>
    <t>COX707</t>
  </si>
  <si>
    <t>Dakkhin Pahartali</t>
  </si>
  <si>
    <t>দক্ষিণ পাহাড়তলী</t>
  </si>
  <si>
    <t>COX708</t>
  </si>
  <si>
    <t>Halima Para</t>
  </si>
  <si>
    <t>হালিমা পাড়া</t>
  </si>
  <si>
    <t>COX709</t>
  </si>
  <si>
    <t>Abc Ghona</t>
  </si>
  <si>
    <t>এবিসি ঘোনা</t>
  </si>
  <si>
    <t>COX710</t>
  </si>
  <si>
    <t>Banchamiyar Ghona</t>
  </si>
  <si>
    <t>বাঁচামিয়ার ঘোনা</t>
  </si>
  <si>
    <t>COX711</t>
  </si>
  <si>
    <t>Islampur</t>
  </si>
  <si>
    <t>ইসলামপুর</t>
  </si>
  <si>
    <t>COX712</t>
  </si>
  <si>
    <t>Sattarghona</t>
  </si>
  <si>
    <t>সাত্তারঘোনা</t>
  </si>
  <si>
    <t>COX713</t>
  </si>
  <si>
    <t>Purba Bajar Ghata</t>
  </si>
  <si>
    <t>পূর্ব বাজার ঘাটা</t>
  </si>
  <si>
    <t>COX801</t>
  </si>
  <si>
    <t>Gol Dighir Uttar Par Jadiram Para</t>
  </si>
  <si>
    <t>গোল দিঘীর উত্তর পাড় জাদিরাম পাড়া</t>
  </si>
  <si>
    <t>COX802</t>
  </si>
  <si>
    <t>Bailla Para Baytush Sharaf Elaka</t>
  </si>
  <si>
    <t>বইল্ল্যাপাড়া বায়তুশ শরফ এলাকা</t>
  </si>
  <si>
    <t>COX803</t>
  </si>
  <si>
    <t>Gol Dighir Purbapar</t>
  </si>
  <si>
    <t>গোল দিঘীর পূর্বপাড়</t>
  </si>
  <si>
    <t>COX804</t>
  </si>
  <si>
    <t>Gol Dighir Purbapar Rakhain Para</t>
  </si>
  <si>
    <t>গোল দিঘীর পূর্বপাড় রাখাইন পাড়া</t>
  </si>
  <si>
    <t>COX805</t>
  </si>
  <si>
    <t>S.A Kiyanng Rakhain Para</t>
  </si>
  <si>
    <t>এস.এ ক্যাং রাখাইন পাড়া</t>
  </si>
  <si>
    <t>COX806</t>
  </si>
  <si>
    <t>S.A Kiyang Baiddaghona</t>
  </si>
  <si>
    <t>এস.এ ক্যাং বৈদ্যঘোনা</t>
  </si>
  <si>
    <t>COX807</t>
  </si>
  <si>
    <t>S.A Kiyang Ghonar Para</t>
  </si>
  <si>
    <t>এস. এ ক্যাং ঘোনার পাড়া</t>
  </si>
  <si>
    <t>COX808</t>
  </si>
  <si>
    <t>S.A Kiyang Shankar Moth Elaka</t>
  </si>
  <si>
    <t>এস.এ ক্যাং শংকর মঠ এলাকা</t>
  </si>
  <si>
    <t>COX809</t>
  </si>
  <si>
    <t>Ghonar Para (Part)</t>
  </si>
  <si>
    <t>ঘোনার পাড়া (আংশিক)</t>
  </si>
  <si>
    <t>COX810</t>
  </si>
  <si>
    <t>Baiddaghona</t>
  </si>
  <si>
    <t>বৈদ্যঘোনা</t>
  </si>
  <si>
    <t>COX811</t>
  </si>
  <si>
    <t>IBP Math Elaka</t>
  </si>
  <si>
    <t>আইবিপি মাঠ এলাকা</t>
  </si>
  <si>
    <t>COX901</t>
  </si>
  <si>
    <t>Harijon Para</t>
  </si>
  <si>
    <t>হরিজন পাড়া</t>
  </si>
  <si>
    <t>COX902</t>
  </si>
  <si>
    <t>Jalodashpara</t>
  </si>
  <si>
    <t>জলদাসপাড়া</t>
  </si>
  <si>
    <t>COX903</t>
  </si>
  <si>
    <t>Loknath Palli</t>
  </si>
  <si>
    <t>লোকনাথ পল্লী</t>
  </si>
  <si>
    <t>COX904</t>
  </si>
  <si>
    <t>Pashchim Goldighir Par Amin Miya Lane Elaka</t>
  </si>
  <si>
    <t>পশ্চিম গোলদিঘীর পাড় আমিন মিয়া লেইন এলাকা</t>
  </si>
  <si>
    <t>COX905</t>
  </si>
  <si>
    <t>Mahajer Para</t>
  </si>
  <si>
    <t>মহাজের পাড়া</t>
  </si>
  <si>
    <t>COX906</t>
  </si>
  <si>
    <t>Tanki Pahar</t>
  </si>
  <si>
    <t>টাংকি পাহাড়</t>
  </si>
  <si>
    <t>COX907</t>
  </si>
  <si>
    <t>Dakkhin Ghonarpara</t>
  </si>
  <si>
    <t>দক্ষিণ ঘোনারপাড়া</t>
  </si>
  <si>
    <t>COX908</t>
  </si>
  <si>
    <t>Madhyam Ghonar Para (Gol Dighir Dakkhin Par)</t>
  </si>
  <si>
    <t>মধ্যম ঘোনার পাড়া (গোল দিঘীর দক্ষিণ পাড়)</t>
  </si>
  <si>
    <t>COX909</t>
  </si>
  <si>
    <t>COX910</t>
  </si>
  <si>
    <t>Khaja Manjil</t>
  </si>
  <si>
    <t>খাজা মঞ্জিল</t>
  </si>
  <si>
    <t>COX911</t>
  </si>
  <si>
    <t>Badhsha Ghona</t>
  </si>
  <si>
    <t>বাদশা ঘোনা</t>
  </si>
  <si>
    <t>COX912</t>
  </si>
  <si>
    <t>Shankar Moth Elaka (Part)</t>
  </si>
  <si>
    <t>শংকর মঠ এলাকা (আংশিক)</t>
  </si>
  <si>
    <t>COX913</t>
  </si>
  <si>
    <t>মৌলভী পাড়া</t>
  </si>
  <si>
    <t>COX914</t>
  </si>
  <si>
    <t>Purba Lar Para</t>
  </si>
  <si>
    <t>পূর্ব লার পাড়া</t>
  </si>
  <si>
    <t>JHI101</t>
  </si>
  <si>
    <t>Pashchim Lar Para</t>
  </si>
  <si>
    <t>পশ্চিম লার পাড়া</t>
  </si>
  <si>
    <t>JHI102</t>
  </si>
  <si>
    <t>Uttaran Elaka</t>
  </si>
  <si>
    <t>উত্তরণ এলাকা</t>
  </si>
  <si>
    <t>JHI103</t>
  </si>
  <si>
    <t>Islamabad Para</t>
  </si>
  <si>
    <t>ইসলামাবাদ পাড়া</t>
  </si>
  <si>
    <t>JHI104</t>
  </si>
  <si>
    <t>Ghritopalli Para</t>
  </si>
  <si>
    <t>ঘৃতপল্লী পাড়া</t>
  </si>
  <si>
    <t>JHI105</t>
  </si>
  <si>
    <t>Jail Gate Para</t>
  </si>
  <si>
    <t>জেল গেইট পাড়া</t>
  </si>
  <si>
    <t>JHI106</t>
  </si>
  <si>
    <t>Badshah Ghona Para</t>
  </si>
  <si>
    <t>বাদশা ঘোনা পাড়া</t>
  </si>
  <si>
    <t>JHI107</t>
  </si>
  <si>
    <t>Dakkhin Adarsha Gram</t>
  </si>
  <si>
    <t>দক্ষিণ আদর্শ গ্রাম</t>
  </si>
  <si>
    <t>JHI108</t>
  </si>
  <si>
    <t>Purba Kolatali Jhirjhiri Para</t>
  </si>
  <si>
    <t>পূর্ব কলাতলী ঝিরঝিরি পাড়া</t>
  </si>
  <si>
    <t>JHI109</t>
  </si>
  <si>
    <t>Shuknachhari Para</t>
  </si>
  <si>
    <t>শুকনাছড়ি পাড়া</t>
  </si>
  <si>
    <t>JHI110</t>
  </si>
  <si>
    <t>JHI111</t>
  </si>
  <si>
    <t>Cox'S Bazar District Central Jail</t>
  </si>
  <si>
    <t>কক্সবাজার জেলা কেন্দ্রীয় কারাগার</t>
  </si>
  <si>
    <t>JHI112</t>
  </si>
  <si>
    <t>Cox'S Bazar District Police Line</t>
  </si>
  <si>
    <t>কক্সবাজার জেলা পুলিশ লাইন</t>
  </si>
  <si>
    <t>JHI113</t>
  </si>
  <si>
    <t>Shuknachhari Chapara</t>
  </si>
  <si>
    <t>শুকনাছড়ি চরপাড়া</t>
  </si>
  <si>
    <t>JHI114</t>
  </si>
  <si>
    <t>Dakkhin Dikkul</t>
  </si>
  <si>
    <t>দক্ষিণ ডিককুল</t>
  </si>
  <si>
    <t>JHI201</t>
  </si>
  <si>
    <t>Upazila Para</t>
  </si>
  <si>
    <t>উপজেলা পাড়া</t>
  </si>
  <si>
    <t>JHI202</t>
  </si>
  <si>
    <t>Dakkhin Hajipara</t>
  </si>
  <si>
    <t>দক্ষিণ হাজীপাড়া</t>
  </si>
  <si>
    <t>JHI203</t>
  </si>
  <si>
    <t>Uttar Hajipara</t>
  </si>
  <si>
    <t>উত্তর হাজীপাড়া</t>
  </si>
  <si>
    <t>JHI204</t>
  </si>
  <si>
    <t>Uttar Janar Ghona</t>
  </si>
  <si>
    <t>উত্তর জানার ঘোনা</t>
  </si>
  <si>
    <t>JHI301</t>
  </si>
  <si>
    <t>Dakkhin Janar Ghona</t>
  </si>
  <si>
    <t>দক্ষিণ জানার ঘোনা</t>
  </si>
  <si>
    <t>JHI302</t>
  </si>
  <si>
    <t>Fut Khali</t>
  </si>
  <si>
    <t>পুট খালী</t>
  </si>
  <si>
    <t>JHI303</t>
  </si>
  <si>
    <t>Uttar Muhuripara</t>
  </si>
  <si>
    <t>উত্তর মুহুরীপাড়া</t>
  </si>
  <si>
    <t>JHI401</t>
  </si>
  <si>
    <t>Linkroad Konarpara</t>
  </si>
  <si>
    <t>লিংকরোড কোনারপাড়া</t>
  </si>
  <si>
    <t>JHI402</t>
  </si>
  <si>
    <t>Dakkhin Muhuripara</t>
  </si>
  <si>
    <t>দক্ষিণ মুহুরীপাড়া</t>
  </si>
  <si>
    <t>JHI403</t>
  </si>
  <si>
    <t>BISIC Shilpanagari Area</t>
  </si>
  <si>
    <t>বিসিক শিল্পনগরী এলাকা</t>
  </si>
  <si>
    <t>JHI404</t>
  </si>
  <si>
    <t>Khasshobo Para</t>
  </si>
  <si>
    <t>খস্সবো পাড়া</t>
  </si>
  <si>
    <t>JHI405</t>
  </si>
  <si>
    <t>Dakkhin Chander Para</t>
  </si>
  <si>
    <t>দক্ষিণ চাঁন্দের পাড়া</t>
  </si>
  <si>
    <t>JHI501</t>
  </si>
  <si>
    <t>Uttar Chander Para</t>
  </si>
  <si>
    <t>উত্তর চাঁন্দের পাড়া</t>
  </si>
  <si>
    <t>JHI502</t>
  </si>
  <si>
    <t>Pashchim Mukterkul Konar Para</t>
  </si>
  <si>
    <t>পশ্চিম মুক্তারকুল কোনার পাড়া</t>
  </si>
  <si>
    <t>JHI601</t>
  </si>
  <si>
    <t>Pashchim Mukterkul Para</t>
  </si>
  <si>
    <t>পশ্চিম মুক্তারকুল পাড়া</t>
  </si>
  <si>
    <t>JHI602</t>
  </si>
  <si>
    <t>Dakkhin Mukterkul Para</t>
  </si>
  <si>
    <t>দক্ষিণ মুক্তারকুল পাড়া</t>
  </si>
  <si>
    <t>JHI603</t>
  </si>
  <si>
    <t>Purba Mukterkul Para</t>
  </si>
  <si>
    <t>পূর্ব মুক্তারকুল পাড়া</t>
  </si>
  <si>
    <t>JHI604</t>
  </si>
  <si>
    <t>JHI605</t>
  </si>
  <si>
    <t>JHI701</t>
  </si>
  <si>
    <t>Dargah Para</t>
  </si>
  <si>
    <t>দরগাহ পাড়া</t>
  </si>
  <si>
    <t>JHI702</t>
  </si>
  <si>
    <t>Mokbul Sawdagar Para</t>
  </si>
  <si>
    <t>মকবুল সওদাগর পাড়া</t>
  </si>
  <si>
    <t>JHI703</t>
  </si>
  <si>
    <t>Kharuliya Char Para</t>
  </si>
  <si>
    <t>খরুলিয়া চর পাড়া</t>
  </si>
  <si>
    <t>JHI801</t>
  </si>
  <si>
    <t>Dakkhin Kharuliya Para</t>
  </si>
  <si>
    <t>দক্ষিণ খরুলিয়া পাড়া</t>
  </si>
  <si>
    <t>JHI802</t>
  </si>
  <si>
    <t>Pashchim Kharuliya Ghat Para</t>
  </si>
  <si>
    <t>পশ্চিম খরুলিয়া ঘাট পাড়া</t>
  </si>
  <si>
    <t>JHI803</t>
  </si>
  <si>
    <t>Kharuliya Ghat Para</t>
  </si>
  <si>
    <t>খরুলিয়া ঘাট পাড়া</t>
  </si>
  <si>
    <t>JHI804</t>
  </si>
  <si>
    <t>Kharuliya Bazar Para (Dakkhinangsha)</t>
  </si>
  <si>
    <t>খরুলিয়া বাজার পাড়া (দক্ষিণাংশ)</t>
  </si>
  <si>
    <t>JHI805</t>
  </si>
  <si>
    <t>Kharuliya Konar Para</t>
  </si>
  <si>
    <t>খরুলিয়া কোনার পাড়া</t>
  </si>
  <si>
    <t>JHI806</t>
  </si>
  <si>
    <t>JHI807</t>
  </si>
  <si>
    <t>Kharuliya Naya Para</t>
  </si>
  <si>
    <t>খরুলিয়া নয়া পাড়া</t>
  </si>
  <si>
    <t>JHI808</t>
  </si>
  <si>
    <t>Karuliya Daingga Para (Dakkhinangsha)</t>
  </si>
  <si>
    <t>খরুলিয়া ডেইঙ্গা পাড়া (দক্ষিণাংশ)</t>
  </si>
  <si>
    <t>JHI809</t>
  </si>
  <si>
    <t>JHI901</t>
  </si>
  <si>
    <t>Kharuliya Bazar Para (Uttar)</t>
  </si>
  <si>
    <t>খরুলিয়া বাজার পাড়া (উত্তর)</t>
  </si>
  <si>
    <t>JHI902</t>
  </si>
  <si>
    <t>Munsir Bil</t>
  </si>
  <si>
    <t>মুন্সীর বিল</t>
  </si>
  <si>
    <t>JHI903</t>
  </si>
  <si>
    <t>Sutar Char</t>
  </si>
  <si>
    <t>সুতার চর</t>
  </si>
  <si>
    <t>JHI904</t>
  </si>
  <si>
    <t>JHI905</t>
  </si>
  <si>
    <t>JHI906</t>
  </si>
  <si>
    <t>Meher Ali Para</t>
  </si>
  <si>
    <t>মেহের আলী পাড়া</t>
  </si>
  <si>
    <t>JHI907</t>
  </si>
  <si>
    <t>খামার পাড়া</t>
  </si>
  <si>
    <t>JHI908</t>
  </si>
  <si>
    <t>Bhut Para</t>
  </si>
  <si>
    <t>ভূত পাড়া</t>
  </si>
  <si>
    <t>JHI909</t>
  </si>
  <si>
    <t>Uttar Daingga Para</t>
  </si>
  <si>
    <t>উত্তর ডেইঙ্গা পাড়া</t>
  </si>
  <si>
    <t>JHI910</t>
  </si>
  <si>
    <t>Khalil Sawdagar Para</t>
  </si>
  <si>
    <t>খলিল সওদাগর পাড়া</t>
  </si>
  <si>
    <t>JHI911</t>
  </si>
  <si>
    <t>Tetaiya Dakkhin Para</t>
  </si>
  <si>
    <t>তেতৈয়া দক্ষিণ পাড়া</t>
  </si>
  <si>
    <t>KHR101</t>
  </si>
  <si>
    <t>Tetaiya Sawdagar Para</t>
  </si>
  <si>
    <t>তেতৈয়া সওদাগর পাড়া</t>
  </si>
  <si>
    <t>KHR102</t>
  </si>
  <si>
    <t>Yousuf Fakir Para (Ghonar Para)</t>
  </si>
  <si>
    <t>ইউসুফ ফকির পাড়া (ঘোনার পাড়া)</t>
  </si>
  <si>
    <t>KHR103</t>
  </si>
  <si>
    <t>Puratan Guilla Baper Para</t>
  </si>
  <si>
    <t>পুরাতন গুইল্যা বাপের পাড়া</t>
  </si>
  <si>
    <t>KHR104</t>
  </si>
  <si>
    <t>Petna Baper Para</t>
  </si>
  <si>
    <t>পেতনা বাপের পাড়া</t>
  </si>
  <si>
    <t>KHR105</t>
  </si>
  <si>
    <t>Puratan Fazu Sikdar Para</t>
  </si>
  <si>
    <t>পুরাতন ফজু সিকদার পাড়া</t>
  </si>
  <si>
    <t>KHR106</t>
  </si>
  <si>
    <t>Jaliya Baper Para</t>
  </si>
  <si>
    <t>জলিয়া বাপের পাড়া</t>
  </si>
  <si>
    <t>KHR107</t>
  </si>
  <si>
    <t>Natun Guilla Baper Para</t>
  </si>
  <si>
    <t>নতুন গুইল্যা বাপের পাড়া</t>
  </si>
  <si>
    <t>KHR108</t>
  </si>
  <si>
    <t>Natun Faju Sikdar Para</t>
  </si>
  <si>
    <t>নতুন ফজু সিকদার পাড়া</t>
  </si>
  <si>
    <t>KHR109</t>
  </si>
  <si>
    <t>Dakkhin Dail Para</t>
  </si>
  <si>
    <t>দক্ষিণ ডেইল পাড়া</t>
  </si>
  <si>
    <t>KHR201</t>
  </si>
  <si>
    <t>Madhyam Dail Para</t>
  </si>
  <si>
    <t>মধ্যম ডেইল পাড়া</t>
  </si>
  <si>
    <t>KHR202</t>
  </si>
  <si>
    <t>Tetaiya Dail Para</t>
  </si>
  <si>
    <t>তেতৈয়া ডেইল পাড়া</t>
  </si>
  <si>
    <t>KHR203</t>
  </si>
  <si>
    <t>Teitaya Sikder Para</t>
  </si>
  <si>
    <t>তেতৈয়া সিকদার পাড়া</t>
  </si>
  <si>
    <t>KHR204</t>
  </si>
  <si>
    <t>Tetaiya Natun Ghonar Para</t>
  </si>
  <si>
    <t>তেতৈয়া নতুন ঘোনার পাড়া</t>
  </si>
  <si>
    <t>KHR205</t>
  </si>
  <si>
    <t>Tetaiya Halder Para</t>
  </si>
  <si>
    <t>তেতৈয়া হালদার পাড়া</t>
  </si>
  <si>
    <t>KHR206</t>
  </si>
  <si>
    <t>Uttar Dail Para</t>
  </si>
  <si>
    <t>উত্তর ডেইল পাড়া</t>
  </si>
  <si>
    <t>KHR207</t>
  </si>
  <si>
    <t>Dakkhin Penchar Ghona</t>
  </si>
  <si>
    <t>দক্ষিণ পেঁচার ঘোনা</t>
  </si>
  <si>
    <t>KHR301</t>
  </si>
  <si>
    <t>Uttar Penchar Ghona</t>
  </si>
  <si>
    <t>উত্তর পেঁচার ঘোনা</t>
  </si>
  <si>
    <t>KHR302</t>
  </si>
  <si>
    <t>Uttar Raster Para (Nakkar Para)</t>
  </si>
  <si>
    <t>উত্তর রাস্তার পাড়া (নাক্কার পাড়া)</t>
  </si>
  <si>
    <t>KHR303</t>
  </si>
  <si>
    <t>Dakkhin Raster Para</t>
  </si>
  <si>
    <t>দক্ষিণ রাস্তার পাড়া</t>
  </si>
  <si>
    <t>KHR304</t>
  </si>
  <si>
    <t>Rakhain Para (Jalia Para)</t>
  </si>
  <si>
    <t>রাখাইন পাড়া (জালিয়া পাড়া)</t>
  </si>
  <si>
    <t>KHR305</t>
  </si>
  <si>
    <t>Madhyam Raster Para</t>
  </si>
  <si>
    <t>মধ্যম রাস্তার পাড়া</t>
  </si>
  <si>
    <t>KHR306</t>
  </si>
  <si>
    <t>Kawar Para</t>
  </si>
  <si>
    <t>কাওয়ার পাড়া</t>
  </si>
  <si>
    <t>KHR401</t>
  </si>
  <si>
    <t>Sarkar Para</t>
  </si>
  <si>
    <t>সরকার পাড়া</t>
  </si>
  <si>
    <t>KHR402</t>
  </si>
  <si>
    <t>KHR403</t>
  </si>
  <si>
    <t>Adarsha Gram Fakir Para</t>
  </si>
  <si>
    <t>আদর্শ গ্রাম ফকির পাড়া</t>
  </si>
  <si>
    <t>KHR404</t>
  </si>
  <si>
    <t>Uttar Mamun Para</t>
  </si>
  <si>
    <t>উত্তর মামুন পাড়া</t>
  </si>
  <si>
    <t>KHR501</t>
  </si>
  <si>
    <t>Dakkhin Mamun Para</t>
  </si>
  <si>
    <t>দক্ষিণ মামুন পাড়া</t>
  </si>
  <si>
    <t>KHR502</t>
  </si>
  <si>
    <t>Janar Para</t>
  </si>
  <si>
    <t>জানার পাড়া</t>
  </si>
  <si>
    <t>KHR503</t>
  </si>
  <si>
    <t>Hatkhola Para</t>
  </si>
  <si>
    <t>হাটখোলা পাড়া</t>
  </si>
  <si>
    <t>KHR504</t>
  </si>
  <si>
    <t>KHR505</t>
  </si>
  <si>
    <t>KHR601</t>
  </si>
  <si>
    <t>Shil Para</t>
  </si>
  <si>
    <t>শীল পাড়া</t>
  </si>
  <si>
    <t>KHR602</t>
  </si>
  <si>
    <t>Dakkhin Rudra Para</t>
  </si>
  <si>
    <t>দক্ষিণ রুদ্র পাড়া</t>
  </si>
  <si>
    <t>KHR603</t>
  </si>
  <si>
    <t>Hamzar Dail Para</t>
  </si>
  <si>
    <t>হামজার ডেইল পাড়া</t>
  </si>
  <si>
    <t>KHR604</t>
  </si>
  <si>
    <t>Purba Hamzar Dail</t>
  </si>
  <si>
    <t>পূর্ব হামজার ডেইল</t>
  </si>
  <si>
    <t>KHR605</t>
  </si>
  <si>
    <t>Uttar Hamzar Dail Para</t>
  </si>
  <si>
    <t>উত্তর হামজার ডেইল পাড়া</t>
  </si>
  <si>
    <t>KHR606</t>
  </si>
  <si>
    <t>KHR607</t>
  </si>
  <si>
    <t>Jalsiri Adarsha Gram</t>
  </si>
  <si>
    <t>জলসিঁড়ি আদর্শ গ্রাম</t>
  </si>
  <si>
    <t>KHR608</t>
  </si>
  <si>
    <t>Pal Para</t>
  </si>
  <si>
    <t>পাল পাড়া</t>
  </si>
  <si>
    <t>KHR609</t>
  </si>
  <si>
    <t>Uttar Rudra Para</t>
  </si>
  <si>
    <t>উত্তর রুদ্র পাড়া</t>
  </si>
  <si>
    <t>KHR610</t>
  </si>
  <si>
    <t>Uttar Hindu Para</t>
  </si>
  <si>
    <t>উত্তর হিন্দু পাড়া</t>
  </si>
  <si>
    <t>KHR701</t>
  </si>
  <si>
    <t>Panchayet Para</t>
  </si>
  <si>
    <t>পঞ্চায়েত পাড়া</t>
  </si>
  <si>
    <t>KHR702</t>
  </si>
  <si>
    <t>Gazir Dail Para</t>
  </si>
  <si>
    <t>গাজীর ডেইল পাড়া</t>
  </si>
  <si>
    <t>KHR703</t>
  </si>
  <si>
    <t>Madhyam Hindu Para</t>
  </si>
  <si>
    <t>মধ্যম হিন্দু পাড়া</t>
  </si>
  <si>
    <t>KHR704</t>
  </si>
  <si>
    <t>Manu Para</t>
  </si>
  <si>
    <t>মনু পাড়া</t>
  </si>
  <si>
    <t>KHR801</t>
  </si>
  <si>
    <t>Hafeza Para</t>
  </si>
  <si>
    <t>হাফেজা পাড়া</t>
  </si>
  <si>
    <t>KHR802</t>
  </si>
  <si>
    <t>Guramiah Para</t>
  </si>
  <si>
    <t>গুরামিয়া পাড়া</t>
  </si>
  <si>
    <t>KHR803</t>
  </si>
  <si>
    <t>Time Bazar Mehedi Para</t>
  </si>
  <si>
    <t>টাইম বাজার মেহেদী পাড়া</t>
  </si>
  <si>
    <t>KHR804</t>
  </si>
  <si>
    <t>La Majhi Para</t>
  </si>
  <si>
    <t>ল মাঝি পাড়া</t>
  </si>
  <si>
    <t>KHR805</t>
  </si>
  <si>
    <t>KHR806</t>
  </si>
  <si>
    <t>Khurushkul Asrayan Prakalpa</t>
  </si>
  <si>
    <t>খুরুশকুল আশ্রয়ন প্রকল্প</t>
  </si>
  <si>
    <t>KHR807</t>
  </si>
  <si>
    <t>Kastura Ghat Ukhil Para</t>
  </si>
  <si>
    <t xml:space="preserve">কস্তুরা ঘাট উখিল পাড়া
</t>
  </si>
  <si>
    <t>KHR808</t>
  </si>
  <si>
    <t>Kulia Para</t>
  </si>
  <si>
    <t>কুলিয়া পাড়া</t>
  </si>
  <si>
    <t>KHR901</t>
  </si>
  <si>
    <t>Dakkhin Hindu Para</t>
  </si>
  <si>
    <t>দক্ষিণ হিন্দু পাড়া</t>
  </si>
  <si>
    <t>KHR902</t>
  </si>
  <si>
    <t>Ruhullar Dail</t>
  </si>
  <si>
    <t>রুহুল্লার ডেইল</t>
  </si>
  <si>
    <t>KHR903</t>
  </si>
  <si>
    <t>Sampanghat</t>
  </si>
  <si>
    <t>সাম্পানঘাট</t>
  </si>
  <si>
    <t>KHR904</t>
  </si>
  <si>
    <t>Chankhola Pashchim Para</t>
  </si>
  <si>
    <t>ছনখোলা পশ্চিম পাড়া</t>
  </si>
  <si>
    <t>PAA101</t>
  </si>
  <si>
    <t>PAA102</t>
  </si>
  <si>
    <t>Setu Para</t>
  </si>
  <si>
    <t>সেতু পাড়া</t>
  </si>
  <si>
    <t>PAA103</t>
  </si>
  <si>
    <t>Chankhola Mali Para</t>
  </si>
  <si>
    <t>ছনখোলা মালী পাড়া</t>
  </si>
  <si>
    <t>PAA201</t>
  </si>
  <si>
    <t>Chankhola Ghonar Para</t>
  </si>
  <si>
    <t>ছনখোলা ঘোনার পাড়া</t>
  </si>
  <si>
    <t>PAA202</t>
  </si>
  <si>
    <t>Madolia Para</t>
  </si>
  <si>
    <t>মাদলীয়া পাড়া</t>
  </si>
  <si>
    <t>PAA203</t>
  </si>
  <si>
    <t>Chankhola Naya Para</t>
  </si>
  <si>
    <t>ছনখোলা নয়া পাড়া</t>
  </si>
  <si>
    <t>PAA204</t>
  </si>
  <si>
    <t>PAA205</t>
  </si>
  <si>
    <t>Yunus Ghona</t>
  </si>
  <si>
    <t>ইউনুছ ঘোনা</t>
  </si>
  <si>
    <t>PAA206</t>
  </si>
  <si>
    <t>Totakkhali Sikder Para</t>
  </si>
  <si>
    <t>তোতকখালী সিকদার পাড়া</t>
  </si>
  <si>
    <t>PAA301</t>
  </si>
  <si>
    <t>Totakkhali Porakata Para</t>
  </si>
  <si>
    <t>তোতকখালী পোরাকাটা পাড়া</t>
  </si>
  <si>
    <t>PAA302</t>
  </si>
  <si>
    <t>Deheria Ghona</t>
  </si>
  <si>
    <t>ডেহেরিয়া ঘোনা</t>
  </si>
  <si>
    <t>PAA303</t>
  </si>
  <si>
    <t>Choy Bhaiyer Para</t>
  </si>
  <si>
    <t>ছয় ভায়ের পাড়া</t>
  </si>
  <si>
    <t>PAA304</t>
  </si>
  <si>
    <t>Totakkhali Majher Para</t>
  </si>
  <si>
    <t>তোতকখালী মাঝের পাড়া</t>
  </si>
  <si>
    <t>PAA305</t>
  </si>
  <si>
    <t>Taher Mohammodia Ghona</t>
  </si>
  <si>
    <t>তাহের মোহাম্মাদিয়া ঘোনা</t>
  </si>
  <si>
    <t>PAA306</t>
  </si>
  <si>
    <t>Totakkhali Kamala Ghona</t>
  </si>
  <si>
    <t>তোতকখালী কমলা ঘোনা</t>
  </si>
  <si>
    <t>PAA307</t>
  </si>
  <si>
    <t>Asrayan Prakolpa Ghona Para</t>
  </si>
  <si>
    <t>আশ্রয়ন প্রকল্প ঘোনা পাড়া</t>
  </si>
  <si>
    <t>PAA308</t>
  </si>
  <si>
    <t>Pailla Kata Para</t>
  </si>
  <si>
    <t>পেইল্লা কাটা পাড়া</t>
  </si>
  <si>
    <t>PAA309</t>
  </si>
  <si>
    <t>Purba Jhumchhari Para</t>
  </si>
  <si>
    <t>পূর্ব জুমছড়ী পাড়া</t>
  </si>
  <si>
    <t>PAA401</t>
  </si>
  <si>
    <t>Madhyam Jhumchhari Para</t>
  </si>
  <si>
    <t>মধ্যম জুমছড়ী পাড়া</t>
  </si>
  <si>
    <t>PAA402</t>
  </si>
  <si>
    <t>Jhumchhari Hindu Para</t>
  </si>
  <si>
    <t>জুমছড়ী হিন্দু পাড়া</t>
  </si>
  <si>
    <t>PAA403</t>
  </si>
  <si>
    <t>Pashchim Jhumchhari Para</t>
  </si>
  <si>
    <t>পশ্চিম জুমছড়ী পাড়া</t>
  </si>
  <si>
    <t>PAA404</t>
  </si>
  <si>
    <t>Jhumchhari Ghona Para</t>
  </si>
  <si>
    <t>জুমছড়ী ঘোনা পাড়া</t>
  </si>
  <si>
    <t>PAA405</t>
  </si>
  <si>
    <t>Jhumchhari Sikdar Ghona Para</t>
  </si>
  <si>
    <t>জুমছড়ী সিকদার ঘোনা পাড়া</t>
  </si>
  <si>
    <t>PAA406</t>
  </si>
  <si>
    <t>Dakkhin Parania Para</t>
  </si>
  <si>
    <t>দক্ষিণ পরানিয়া পাড়া</t>
  </si>
  <si>
    <t>PAA407</t>
  </si>
  <si>
    <t>Uttar Parania Para</t>
  </si>
  <si>
    <t>উত্তর পরানিয়া পাড়া</t>
  </si>
  <si>
    <t>PAA408</t>
  </si>
  <si>
    <t>Pashchim Parania Para</t>
  </si>
  <si>
    <t>পশ্চিম পরানিয়া পাড়া</t>
  </si>
  <si>
    <t>PAA409</t>
  </si>
  <si>
    <t>Madhyam Parania Para</t>
  </si>
  <si>
    <t>মধ্যম পরানিয়া পাড়া</t>
  </si>
  <si>
    <t>PAA410</t>
  </si>
  <si>
    <t>Satgharia Para</t>
  </si>
  <si>
    <t>সাতঘরিয়া পাড়়া</t>
  </si>
  <si>
    <t>PAA411</t>
  </si>
  <si>
    <t>PAA412</t>
  </si>
  <si>
    <t>Ghatukulia Para</t>
  </si>
  <si>
    <t>ঘাটুকুলিয়া পাড়া</t>
  </si>
  <si>
    <t>PAA501</t>
  </si>
  <si>
    <t>Dakkhin Naya Para</t>
  </si>
  <si>
    <t>দক্ষিণ নয়া পাড়া</t>
  </si>
  <si>
    <t>PAA502</t>
  </si>
  <si>
    <t>PAA503</t>
  </si>
  <si>
    <t>PAA504</t>
  </si>
  <si>
    <t>Dakkhin Dikpara</t>
  </si>
  <si>
    <t>দক্ষিণ ডিকপাড়া</t>
  </si>
  <si>
    <t>PAA505</t>
  </si>
  <si>
    <t>Uttar Dikpara</t>
  </si>
  <si>
    <t>উত্তর ডিকপাড়া</t>
  </si>
  <si>
    <t>PAA506</t>
  </si>
  <si>
    <t>Golar Para</t>
  </si>
  <si>
    <t>গোলার পাড়া</t>
  </si>
  <si>
    <t>PAA601</t>
  </si>
  <si>
    <t>PAA602</t>
  </si>
  <si>
    <t>Miazi Para</t>
  </si>
  <si>
    <t>মিয়াজী পাড়া</t>
  </si>
  <si>
    <t>PAA603</t>
  </si>
  <si>
    <t>Dakkhin Patoli Para</t>
  </si>
  <si>
    <t>দক্ষিণ পাতলী পাড়া</t>
  </si>
  <si>
    <t>PAA604</t>
  </si>
  <si>
    <t>Uttar Patoli Para</t>
  </si>
  <si>
    <t>উত্তর পাতলী পাড়া</t>
  </si>
  <si>
    <t>PAA605</t>
  </si>
  <si>
    <t>PAA606</t>
  </si>
  <si>
    <t>Pashchim Muhsinia Para</t>
  </si>
  <si>
    <t>পশ্চিম মুহসিনিয়া পাড়া</t>
  </si>
  <si>
    <t>PAA701</t>
  </si>
  <si>
    <t>Purba Muhsinia Para</t>
  </si>
  <si>
    <t>পূর্ব মুহসিনিয়া পাড়া</t>
  </si>
  <si>
    <t>PAA702</t>
  </si>
  <si>
    <t>ঘোনার পাড়া</t>
  </si>
  <si>
    <t>PAA703</t>
  </si>
  <si>
    <t>Dakkhin Dhawn Khali</t>
  </si>
  <si>
    <t>দক্ষিন ধাউন খালী</t>
  </si>
  <si>
    <t>PAA801</t>
  </si>
  <si>
    <t>Uttar Dhawn Khali</t>
  </si>
  <si>
    <t>উত্তর ধাউন খালী</t>
  </si>
  <si>
    <t>PAA802</t>
  </si>
  <si>
    <t>Purba Dhawn Khali</t>
  </si>
  <si>
    <t>পূর্ব ধাউন খালী</t>
  </si>
  <si>
    <t>PAA803</t>
  </si>
  <si>
    <t>Pashchim Dhawn Khali</t>
  </si>
  <si>
    <t>পশ্চিম ধাউন খালী</t>
  </si>
  <si>
    <t>PAA804</t>
  </si>
  <si>
    <t>Khathalia Mura Para</t>
  </si>
  <si>
    <t>কাঠালিয়া মুড়া পাড়া</t>
  </si>
  <si>
    <t>PAA901</t>
  </si>
  <si>
    <t>Purba Kathalia Mora Para</t>
  </si>
  <si>
    <t>পূর্ব কাঠালিয়া মোরা পাড়া</t>
  </si>
  <si>
    <t>PAA902</t>
  </si>
  <si>
    <t>Macchuakhali Majher Para</t>
  </si>
  <si>
    <t>মাছুয়াখালী মাঝের পাড়া</t>
  </si>
  <si>
    <t>PAA903</t>
  </si>
  <si>
    <t>Purba Machhuakhali</t>
  </si>
  <si>
    <t>পূর্ব মাছুয়াখালী</t>
  </si>
  <si>
    <t>PAA904</t>
  </si>
  <si>
    <t>Nosrat Ali Para</t>
  </si>
  <si>
    <t>নসরত আলী পাড়া</t>
  </si>
  <si>
    <t>PAA905</t>
  </si>
  <si>
    <t>চৌধুরী পাড়া</t>
  </si>
  <si>
    <t>PAA906</t>
  </si>
  <si>
    <t>Maij Para</t>
  </si>
  <si>
    <t>মাইজ পাড়া</t>
  </si>
  <si>
    <t>PAA907</t>
  </si>
  <si>
    <t>Ghonar Para Younusbad</t>
  </si>
  <si>
    <t>ঘোনার পাড়া ইউনুসাবাদ</t>
  </si>
  <si>
    <t>PAA908</t>
  </si>
  <si>
    <t>Pashchim Khathalia Mura Para</t>
  </si>
  <si>
    <t>পশ্চিম কাঠালিয়া মুড়া পাড়া</t>
  </si>
  <si>
    <t>PAA909</t>
  </si>
  <si>
    <t>Kathalia Mura Aziz Nagar Para</t>
  </si>
  <si>
    <t>কাঠালিয়া মুড়া আজিজ নগর পাড়া</t>
  </si>
  <si>
    <t>PAA910</t>
  </si>
  <si>
    <t>Ramu</t>
  </si>
  <si>
    <t>Chakmarkul</t>
  </si>
  <si>
    <t>Dakkhin Mithachhari</t>
  </si>
  <si>
    <t>Eidgar</t>
  </si>
  <si>
    <t>Fatekharkul</t>
  </si>
  <si>
    <t>Garjania</t>
  </si>
  <si>
    <t>Joarianala</t>
  </si>
  <si>
    <t>Kachchhapia</t>
  </si>
  <si>
    <t>Kauar Khop</t>
  </si>
  <si>
    <t>Khuniapalang</t>
  </si>
  <si>
    <t>Rajarkul</t>
  </si>
  <si>
    <t>Rashidnagar</t>
  </si>
  <si>
    <t>Maulavi Saleh Ahmod Para</t>
  </si>
  <si>
    <t>মৌলভী ছালেহ আহমদ পাড়া</t>
  </si>
  <si>
    <t>CHA101</t>
  </si>
  <si>
    <t>CHA102</t>
  </si>
  <si>
    <t>Ali Hossen Sikder Para</t>
  </si>
  <si>
    <t>আলী হোসেন সিকদার পাড়া</t>
  </si>
  <si>
    <t>CHA103</t>
  </si>
  <si>
    <t>CHA104</t>
  </si>
  <si>
    <t>Dakkhin Chakmarkul Miaji Para</t>
  </si>
  <si>
    <t>দক্ষিণ চাকমারকুল মিয়াজী পাড়া</t>
  </si>
  <si>
    <t>CHA201</t>
  </si>
  <si>
    <t>Natun Char Para</t>
  </si>
  <si>
    <t>নতুন চর পাড়া</t>
  </si>
  <si>
    <t>CHA202</t>
  </si>
  <si>
    <t>Moajjimer Dwip</t>
  </si>
  <si>
    <t xml:space="preserve">মোয়াজ্জিমের দ্বীপ
</t>
  </si>
  <si>
    <t>CHA203</t>
  </si>
  <si>
    <t>Dakkhin Chakmarkul Matbor Para</t>
  </si>
  <si>
    <t>দক্ষিণ চাকমারকুল মাতবর পাড়া</t>
  </si>
  <si>
    <t>CHA301</t>
  </si>
  <si>
    <t>Mistri Para</t>
  </si>
  <si>
    <t>মিস্ত্রি পাড়া</t>
  </si>
  <si>
    <t>CHA302</t>
  </si>
  <si>
    <t>Dumer Char</t>
  </si>
  <si>
    <t>ডুমের চর</t>
  </si>
  <si>
    <t>CHA303</t>
  </si>
  <si>
    <t>Dakkhin Charpara</t>
  </si>
  <si>
    <t>দক্ষিণ চরপাড়া</t>
  </si>
  <si>
    <t>CHA304</t>
  </si>
  <si>
    <t>Dakkhin Chakmarkul Konar Para</t>
  </si>
  <si>
    <t>দক্ষিণ চাকমারকুল কোনার পাড়া</t>
  </si>
  <si>
    <t>CHA401</t>
  </si>
  <si>
    <t>Dakkhin Chakmarkul Mallik Para</t>
  </si>
  <si>
    <t>দক্ষিণ চাকমারকুল মল্লিক পাড়া</t>
  </si>
  <si>
    <t>CHA402</t>
  </si>
  <si>
    <t>Dakkhin Chakmarkul Khondakar Para</t>
  </si>
  <si>
    <t>দক্ষিণ চাকমারকুল খোন্দকার পাড়া</t>
  </si>
  <si>
    <t>CHA403</t>
  </si>
  <si>
    <t>Dakkhin Chakmarkul Askar Para</t>
  </si>
  <si>
    <t>দক্ষিণ চাকমারকুল আসকর পাড়া</t>
  </si>
  <si>
    <t>CHA404</t>
  </si>
  <si>
    <t>Techchhipul Dakkhinangsha</t>
  </si>
  <si>
    <t>তেচ্ছিপুল দক্ষিণাংশ</t>
  </si>
  <si>
    <t>CHA405</t>
  </si>
  <si>
    <t>Techchhipul Uttarangsha</t>
  </si>
  <si>
    <t>তেচ্ছিপুল উত্তরাংশ</t>
  </si>
  <si>
    <t>CHA406</t>
  </si>
  <si>
    <t>Uttar Jarailtali</t>
  </si>
  <si>
    <t>উত্তর জারাইলতলী</t>
  </si>
  <si>
    <t>CHA501</t>
  </si>
  <si>
    <t>Dakkhin Jarailtali</t>
  </si>
  <si>
    <t>দক্ষিণ জারাইলতলী</t>
  </si>
  <si>
    <t>CHA502</t>
  </si>
  <si>
    <t>CHA503</t>
  </si>
  <si>
    <t>CHA504</t>
  </si>
  <si>
    <t>Purba Mohammadpura</t>
  </si>
  <si>
    <t>র্পূব মোহাম্মদপুরা</t>
  </si>
  <si>
    <t>CHA601</t>
  </si>
  <si>
    <t>Purba Mohammadpura Naya Para</t>
  </si>
  <si>
    <t>র্পূব মোহাম্মদপুরা নয়া পাড়া</t>
  </si>
  <si>
    <t>CHA602</t>
  </si>
  <si>
    <t>Sreemura Dakkhin Para</t>
  </si>
  <si>
    <t>শ্রীমুরা দক্ষিণ পাড়া</t>
  </si>
  <si>
    <t>CHA701</t>
  </si>
  <si>
    <t>Sreemura Pashchim Para</t>
  </si>
  <si>
    <t>শ্রীমুরা পশ্চিম পাড়া</t>
  </si>
  <si>
    <t>CHA702</t>
  </si>
  <si>
    <t>Sreemura Nasira Para</t>
  </si>
  <si>
    <t>শ্রীমুরা নাছিরা পাড়া</t>
  </si>
  <si>
    <t>CHA703</t>
  </si>
  <si>
    <t>Sreemura Uttar Para</t>
  </si>
  <si>
    <t>শ্রীমুরা উত্তর পাড়া</t>
  </si>
  <si>
    <t>CHA704</t>
  </si>
  <si>
    <t>Sreemura Purba Para</t>
  </si>
  <si>
    <t>শ্রীমুরা পূর্ব পাড়া</t>
  </si>
  <si>
    <t>CHA705</t>
  </si>
  <si>
    <t>Sreemura Naya Para</t>
  </si>
  <si>
    <t>শ্রীমুরা নয়া পাড়া</t>
  </si>
  <si>
    <t>CHA706</t>
  </si>
  <si>
    <t>Dakkhin Shahmoder Para</t>
  </si>
  <si>
    <t>দক্ষিণ শাহমদের পাড়া</t>
  </si>
  <si>
    <t>CHA801</t>
  </si>
  <si>
    <t>Pashchim Shahmoder Para</t>
  </si>
  <si>
    <t>পশ্চিম শাহমদের পাড়া</t>
  </si>
  <si>
    <t>CHA802</t>
  </si>
  <si>
    <t>Purba Shahmoder Para</t>
  </si>
  <si>
    <t>পূর্ব শাহমদের পাড়া</t>
  </si>
  <si>
    <t>CHA803</t>
  </si>
  <si>
    <t>Deinga Para</t>
  </si>
  <si>
    <t>ডেইংগা পাড়া</t>
  </si>
  <si>
    <t>CHA901</t>
  </si>
  <si>
    <t>CHA902</t>
  </si>
  <si>
    <t>Naya Charpara</t>
  </si>
  <si>
    <t>নয়া চরপাড়া</t>
  </si>
  <si>
    <t>CHA903</t>
  </si>
  <si>
    <t>Pashchim Chakmarkul</t>
  </si>
  <si>
    <t>পশ্চিম চাকমারকুল</t>
  </si>
  <si>
    <t>CHA904</t>
  </si>
  <si>
    <t>Dakkhin Mithachhari Dakkhin Para</t>
  </si>
  <si>
    <t>দক্ষিণ মিঠাছড়ি দক্ষিণ পাড়া</t>
  </si>
  <si>
    <t>DAK101</t>
  </si>
  <si>
    <t>Dakkhin Mithachhari Khandokar Para</t>
  </si>
  <si>
    <t>দক্ষিণ মিঠাছড়ি খোন্দকার পাড়া</t>
  </si>
  <si>
    <t>DAK102</t>
  </si>
  <si>
    <t>DAK103</t>
  </si>
  <si>
    <t>Ghat Para</t>
  </si>
  <si>
    <t xml:space="preserve">ঘাট পাড়া
</t>
  </si>
  <si>
    <t>DAK104</t>
  </si>
  <si>
    <t>DAK105</t>
  </si>
  <si>
    <t>Bara Pukur Par Para</t>
  </si>
  <si>
    <t>বড় পুকুর পাড় পাড়া</t>
  </si>
  <si>
    <t>DAK106</t>
  </si>
  <si>
    <t>DAK107</t>
  </si>
  <si>
    <t>Mithachhari Charpara</t>
  </si>
  <si>
    <t>মিঠাছড়ি চরপাড়া</t>
  </si>
  <si>
    <t>DAK108</t>
  </si>
  <si>
    <t>Chainda Charpara</t>
  </si>
  <si>
    <t>চাইন্দা চরপাড়া</t>
  </si>
  <si>
    <t>DAK109</t>
  </si>
  <si>
    <t>Madhyam Umkhali Mohammad Hajir Para</t>
  </si>
  <si>
    <t>মধ্যম উমখালি মোহাম্মদ হাজ্বীর পাড়া</t>
  </si>
  <si>
    <t>DAK201</t>
  </si>
  <si>
    <t>Madhyam Umkhali Kajir Para</t>
  </si>
  <si>
    <t>মধ্যম উমখালি কাজীর পাড়া</t>
  </si>
  <si>
    <t>DAK202</t>
  </si>
  <si>
    <t>Abdus Salam Uttar Miyaji Para</t>
  </si>
  <si>
    <t>আব্দুস সালাম উত্তর মিয়াজী পাড়া</t>
  </si>
  <si>
    <t>DAK203</t>
  </si>
  <si>
    <t>Pashchim Umkhali Uttor Para</t>
  </si>
  <si>
    <t>পশ্চিম উমখালি উত্তর পাড়া</t>
  </si>
  <si>
    <t>DAK204</t>
  </si>
  <si>
    <t>Pashchim Umkhali Satgharia Para</t>
  </si>
  <si>
    <t>পশ্চিম উমখালি সাতঘরিয়া পাড়া</t>
  </si>
  <si>
    <t>DAK205</t>
  </si>
  <si>
    <t>Pashchim Umkhali Dakkhin Para</t>
  </si>
  <si>
    <t>পশ্চিম উমখালি দক্ষিণ পাড়া</t>
  </si>
  <si>
    <t>DAK206</t>
  </si>
  <si>
    <t>Umkhali Azimuddin Sikder Para</t>
  </si>
  <si>
    <t>উমখালি আজিমুদ্দিন সিকদার পাড়া</t>
  </si>
  <si>
    <t>DAK301</t>
  </si>
  <si>
    <t>Umkhali Abu Bakkar Baper Para</t>
  </si>
  <si>
    <t>উমখালি আবু বক্কর বাপের পাড়া</t>
  </si>
  <si>
    <t>DAK302</t>
  </si>
  <si>
    <t>Umkhali Pashchim Dharpara</t>
  </si>
  <si>
    <t>উমখালি পশ্চিম ধরপাড়া</t>
  </si>
  <si>
    <t>DAK303</t>
  </si>
  <si>
    <t>Umkhali Janu Matbor Para</t>
  </si>
  <si>
    <t>উমখালি জনু মাতবর পাড়া</t>
  </si>
  <si>
    <t>DAK304</t>
  </si>
  <si>
    <t>Umkhali Gani Sawdagarpara</t>
  </si>
  <si>
    <t>উমখালি গণি সওদাগরপাড়া</t>
  </si>
  <si>
    <t>DAK305</t>
  </si>
  <si>
    <t>Purba Umkhali Muktar Baper Para</t>
  </si>
  <si>
    <t>পূর্ব উমখালি মুক্তার বাপের পাড়া</t>
  </si>
  <si>
    <t>DAK401</t>
  </si>
  <si>
    <t>Purba Umkhali Purba Dharpara</t>
  </si>
  <si>
    <t>পূর্ব উমখালি পূর্ব ধরপাড়া</t>
  </si>
  <si>
    <t>DAK402</t>
  </si>
  <si>
    <t>Purba Umkhali Baruapara</t>
  </si>
  <si>
    <t>পূর্ব উমখালি বড়ুয়াপাড়া</t>
  </si>
  <si>
    <t>DAK403</t>
  </si>
  <si>
    <t>Purba Umkhali Jinur Ghona Pahartali</t>
  </si>
  <si>
    <t>পূর্ব উমখালি জিনুর ঘোনা পাহাড়তলী</t>
  </si>
  <si>
    <t>DAK404</t>
  </si>
  <si>
    <t>Purba Umkhali Karailya Chhara</t>
  </si>
  <si>
    <t>পূর্ব উমখালি করইল্যা ছড়া</t>
  </si>
  <si>
    <t>DAK405</t>
  </si>
  <si>
    <t>Purba Panerchhara</t>
  </si>
  <si>
    <t>পূর্ব পানেরছড়া</t>
  </si>
  <si>
    <t>DAK501</t>
  </si>
  <si>
    <t>Panerchhara Bali Para</t>
  </si>
  <si>
    <t>পানেরছড়া বলি পাড়া</t>
  </si>
  <si>
    <t>DAK502</t>
  </si>
  <si>
    <t>Janu Matbor Para</t>
  </si>
  <si>
    <t>জনু মাতবর পাড়া</t>
  </si>
  <si>
    <t>DAK503</t>
  </si>
  <si>
    <t>Pashchim Panerchhara</t>
  </si>
  <si>
    <t>পশ্চিম পানেরছড়া</t>
  </si>
  <si>
    <t>DAK504</t>
  </si>
  <si>
    <t>Purba Shia Para</t>
  </si>
  <si>
    <t>পূর্ব শিয়া পাড়া</t>
  </si>
  <si>
    <t>DAK505</t>
  </si>
  <si>
    <t>Pashchim Shia Para</t>
  </si>
  <si>
    <t>পশ্চিম শিয়া পাড়া</t>
  </si>
  <si>
    <t>DAK506</t>
  </si>
  <si>
    <t>Panerchhara Rakhain Para</t>
  </si>
  <si>
    <t>পানেরছড়া রাখাইন পাড়া</t>
  </si>
  <si>
    <t>DAK507</t>
  </si>
  <si>
    <t>Panerchhara Camp Para</t>
  </si>
  <si>
    <t>পানেরছড়া ক্যাম্প পাড়া</t>
  </si>
  <si>
    <t>DAK508</t>
  </si>
  <si>
    <t>Panerchhara Marichyaghona</t>
  </si>
  <si>
    <t>পানেরছড়া মরিচ্চাঘোনা</t>
  </si>
  <si>
    <t>DAK509</t>
  </si>
  <si>
    <t>Panerchhara Lambaghona</t>
  </si>
  <si>
    <t>পানেরছড়া লম্বাঘোনা</t>
  </si>
  <si>
    <t>DAK510</t>
  </si>
  <si>
    <t>Panerchhara Baghghona</t>
  </si>
  <si>
    <t>পানেরছড়া বাঘঘোনা</t>
  </si>
  <si>
    <t>DAK511</t>
  </si>
  <si>
    <t>Purba Panerchhara Adarsha Gram</t>
  </si>
  <si>
    <t>পূর্ব পানেরছড়া আদর্শ গ্রাম</t>
  </si>
  <si>
    <t>DAK512</t>
  </si>
  <si>
    <t>Kala Khondakar Para</t>
  </si>
  <si>
    <t>কালা খন্দকার পাড়া</t>
  </si>
  <si>
    <t>DAK601</t>
  </si>
  <si>
    <t>Nijer Para</t>
  </si>
  <si>
    <t>নিজের পাড়া</t>
  </si>
  <si>
    <t>DAK602</t>
  </si>
  <si>
    <t>Samiti Para</t>
  </si>
  <si>
    <t>সমিতি পাড়া</t>
  </si>
  <si>
    <t>DAK603</t>
  </si>
  <si>
    <t>Tetaiya Para</t>
  </si>
  <si>
    <t>তেতৈয়া পাড়া</t>
  </si>
  <si>
    <t>DAK604</t>
  </si>
  <si>
    <t>Baraiya Para</t>
  </si>
  <si>
    <t>বারাইয়া পাড়া</t>
  </si>
  <si>
    <t>DAK605</t>
  </si>
  <si>
    <t>Fakira Mura</t>
  </si>
  <si>
    <t>ফকিরা মুরা</t>
  </si>
  <si>
    <t>DAK701</t>
  </si>
  <si>
    <t>Huari Ghona</t>
  </si>
  <si>
    <t>হুয়ারী ঘোনা</t>
  </si>
  <si>
    <t>DAK702</t>
  </si>
  <si>
    <t>Mithachhari Purba Chhararkul</t>
  </si>
  <si>
    <t>মিঠাছড়ি পূর্ব ছড়ারকুল</t>
  </si>
  <si>
    <t>DAK703</t>
  </si>
  <si>
    <t>Asmar Ghona</t>
  </si>
  <si>
    <t>আসমার ঘোনা</t>
  </si>
  <si>
    <t>DAK704</t>
  </si>
  <si>
    <t>Chengchhari Para</t>
  </si>
  <si>
    <t>চেংছড়ি পাড়া</t>
  </si>
  <si>
    <t>DAK705</t>
  </si>
  <si>
    <t>Banotala Para</t>
  </si>
  <si>
    <t>বনতলা পাড়া</t>
  </si>
  <si>
    <t>DAK706</t>
  </si>
  <si>
    <t>Chainda Uttar Khondokar Para</t>
  </si>
  <si>
    <t>চাইন্দা উত্তর খোন্দকার পাড়া</t>
  </si>
  <si>
    <t>DAK801</t>
  </si>
  <si>
    <t>Chainda Ghonar Para</t>
  </si>
  <si>
    <t>চাইন্দা ঘোনার পাড়া</t>
  </si>
  <si>
    <t>DAK802</t>
  </si>
  <si>
    <t>Chainda Chararkul</t>
  </si>
  <si>
    <t>চাইন্দা ছড়ারকূল</t>
  </si>
  <si>
    <t>DAK803</t>
  </si>
  <si>
    <t>Chainda Dakkhin Khondokar Para</t>
  </si>
  <si>
    <t>চাইন্দা দক্ষিণ খোন্দকার পাড়া</t>
  </si>
  <si>
    <t>DAK804</t>
  </si>
  <si>
    <t>Chainda Pashchim Khondokar Para</t>
  </si>
  <si>
    <t>চাইন্দা পশ্চিম খোন্দকার পাড়া</t>
  </si>
  <si>
    <t>DAK805</t>
  </si>
  <si>
    <t>Kaimayar Ghona</t>
  </si>
  <si>
    <t>কাইম্যার ঘোনা</t>
  </si>
  <si>
    <t>DAK901</t>
  </si>
  <si>
    <t>Kaimayar Ghona Muslimabad</t>
  </si>
  <si>
    <t>কাইম্যার ঘোনা মুসলিমাবাদ</t>
  </si>
  <si>
    <t>DAK902</t>
  </si>
  <si>
    <t>Kaimayar Ghona Sambruchar/ Mambruchar</t>
  </si>
  <si>
    <t>কাইম্যার ঘোনা সমব্রুচর/ মমব্রুচর</t>
  </si>
  <si>
    <t>DAK903</t>
  </si>
  <si>
    <t>Sadar Para</t>
  </si>
  <si>
    <t>সাদর পাড়া</t>
  </si>
  <si>
    <t>DAK904</t>
  </si>
  <si>
    <t>Camper Char</t>
  </si>
  <si>
    <t>ক্যাম্পের চর</t>
  </si>
  <si>
    <t>EID101</t>
  </si>
  <si>
    <t>Kuddus Miar Jum</t>
  </si>
  <si>
    <t>কুদ্দুস মিয়ার জুম</t>
  </si>
  <si>
    <t>EID102</t>
  </si>
  <si>
    <t>Dhumchha Kata</t>
  </si>
  <si>
    <t>ধুমছা কাটা</t>
  </si>
  <si>
    <t>EID103</t>
  </si>
  <si>
    <t>EID104</t>
  </si>
  <si>
    <t>Pashchim Hasna Kata</t>
  </si>
  <si>
    <t>পশ্চিম হাসনা কাটা</t>
  </si>
  <si>
    <t>EID201</t>
  </si>
  <si>
    <t>EID202</t>
  </si>
  <si>
    <t>নয়া পাড়া</t>
  </si>
  <si>
    <t>EID203</t>
  </si>
  <si>
    <t>Purba Hasna Kata</t>
  </si>
  <si>
    <t>পূর্ব হাসনা কাটা</t>
  </si>
  <si>
    <t>EID204</t>
  </si>
  <si>
    <t>Maittatali</t>
  </si>
  <si>
    <t>মইত্তাতলী</t>
  </si>
  <si>
    <t>EID205</t>
  </si>
  <si>
    <t>ঘিলাতলী পাড়া</t>
  </si>
  <si>
    <t>EID206</t>
  </si>
  <si>
    <t>Badar Mokam</t>
  </si>
  <si>
    <t>বদর মোকাম</t>
  </si>
  <si>
    <t>EID301</t>
  </si>
  <si>
    <t>Ghunya Para</t>
  </si>
  <si>
    <t>ঘুইন্যা পাড়া</t>
  </si>
  <si>
    <t>EID302</t>
  </si>
  <si>
    <t>Renur Kul</t>
  </si>
  <si>
    <t>রেনুর কুল</t>
  </si>
  <si>
    <t>EID303</t>
  </si>
  <si>
    <t>EID304</t>
  </si>
  <si>
    <t>Khondoker Para</t>
  </si>
  <si>
    <t>খোন্দকার পাড়া</t>
  </si>
  <si>
    <t>EID305</t>
  </si>
  <si>
    <t>Eidgar Charpara</t>
  </si>
  <si>
    <t>ঈদগড় চরপাড়া</t>
  </si>
  <si>
    <t>EID306</t>
  </si>
  <si>
    <t>EID307</t>
  </si>
  <si>
    <t>Purba Rajghat</t>
  </si>
  <si>
    <t>পূর্ব রাজঘাট</t>
  </si>
  <si>
    <t>EID401</t>
  </si>
  <si>
    <t>Leinga Para</t>
  </si>
  <si>
    <t>লেইঙ্গা পাড়া</t>
  </si>
  <si>
    <t>EID402</t>
  </si>
  <si>
    <t>Dakkhin Sharif Para</t>
  </si>
  <si>
    <t>দক্ষিণ শরীফ পাড়া</t>
  </si>
  <si>
    <t>EID403</t>
  </si>
  <si>
    <t>Uttar Sharif Para</t>
  </si>
  <si>
    <t>উত্তর শরীফ পাড়া</t>
  </si>
  <si>
    <t>EID404</t>
  </si>
  <si>
    <t>EID501</t>
  </si>
  <si>
    <t>দক্ষিণ শরীফ পাড়া</t>
  </si>
  <si>
    <t>EID502</t>
  </si>
  <si>
    <t>Kata Jangal</t>
  </si>
  <si>
    <t>কাটা জঙ্গল</t>
  </si>
  <si>
    <t>EID503</t>
  </si>
  <si>
    <t>EID504</t>
  </si>
  <si>
    <t>EID505</t>
  </si>
  <si>
    <t>BarabilCharpara</t>
  </si>
  <si>
    <t>বড়বিল চরপাড়া</t>
  </si>
  <si>
    <t>EID506</t>
  </si>
  <si>
    <t>Eidgar Barabil</t>
  </si>
  <si>
    <t>ঈদগড় বড়বিল</t>
  </si>
  <si>
    <t>EID601</t>
  </si>
  <si>
    <t>Eidgar Baughat</t>
  </si>
  <si>
    <t>ঈদগড় বউঘাট</t>
  </si>
  <si>
    <t>EID602</t>
  </si>
  <si>
    <t>Monir Jum</t>
  </si>
  <si>
    <t>মনির জুম</t>
  </si>
  <si>
    <t>EID603</t>
  </si>
  <si>
    <t>EID604</t>
  </si>
  <si>
    <t>Uporer Khil</t>
  </si>
  <si>
    <t>উপরের খীল</t>
  </si>
  <si>
    <t>EID605</t>
  </si>
  <si>
    <t>Alekkhyang Chatoi Para</t>
  </si>
  <si>
    <t>আলেক্ষ্যং চাতই পাড়া</t>
  </si>
  <si>
    <t>EID606</t>
  </si>
  <si>
    <t>Chenchhari Para</t>
  </si>
  <si>
    <t>চেনছড়ি পাড়া</t>
  </si>
  <si>
    <t>EID607</t>
  </si>
  <si>
    <t>নোয়া পাড়া</t>
  </si>
  <si>
    <t>EID608</t>
  </si>
  <si>
    <t>Panisyaghona</t>
  </si>
  <si>
    <t>পানিস্যাঘোনা</t>
  </si>
  <si>
    <t>EID701</t>
  </si>
  <si>
    <t>Tutarbil</t>
  </si>
  <si>
    <t>টুটারবিল</t>
  </si>
  <si>
    <t>EID702</t>
  </si>
  <si>
    <t>Jalaler Jum</t>
  </si>
  <si>
    <t>জালালের জুম</t>
  </si>
  <si>
    <t>EID703</t>
  </si>
  <si>
    <t>EID801</t>
  </si>
  <si>
    <t>Kodalia Kata</t>
  </si>
  <si>
    <t>কোদালিয়া কাটা</t>
  </si>
  <si>
    <t>EID802</t>
  </si>
  <si>
    <t>Chhagira Kata</t>
  </si>
  <si>
    <t>ছগিরা কাটা</t>
  </si>
  <si>
    <t>EID803</t>
  </si>
  <si>
    <t>Uttar Karaliya Mura</t>
  </si>
  <si>
    <t>উত্তর করলিয়া মুরা</t>
  </si>
  <si>
    <t>EID901</t>
  </si>
  <si>
    <t>Dakkhin Karaliya Mura</t>
  </si>
  <si>
    <t>দক্ষিণ করলিয়া মুরা</t>
  </si>
  <si>
    <t>EID902</t>
  </si>
  <si>
    <t>EID903</t>
  </si>
  <si>
    <t>EID904</t>
  </si>
  <si>
    <t>Dakkhin Dwip Fatekharkul</t>
  </si>
  <si>
    <t>দক্ষিণ দ্বীপ ফতেখাঁরকুল</t>
  </si>
  <si>
    <t>FAT101</t>
  </si>
  <si>
    <t>Purba Dwip Fatekharkul</t>
  </si>
  <si>
    <t>পূর্ব দ্বীপ ফতেখাঁরকুল</t>
  </si>
  <si>
    <t>FAT102</t>
  </si>
  <si>
    <t>Officerchar Char Para</t>
  </si>
  <si>
    <t>অফিসেরচর চর পাড়া</t>
  </si>
  <si>
    <t>FAT103</t>
  </si>
  <si>
    <t>Nath Para</t>
  </si>
  <si>
    <t>নাথ পাড়া</t>
  </si>
  <si>
    <t>FAT201</t>
  </si>
  <si>
    <t>Sipahi Para</t>
  </si>
  <si>
    <t>সিপাহী পাড়া</t>
  </si>
  <si>
    <t>FAT202</t>
  </si>
  <si>
    <t>Hajarikul</t>
  </si>
  <si>
    <t>হাজারীকুল</t>
  </si>
  <si>
    <t>FAT203</t>
  </si>
  <si>
    <t>Julekhnar Para</t>
  </si>
  <si>
    <t>জুলেখাঁর পাড়া</t>
  </si>
  <si>
    <t>FAT204</t>
  </si>
  <si>
    <t>Officer Char Sikder Para</t>
  </si>
  <si>
    <t>অফিসের চর সিকদার পাড়া</t>
  </si>
  <si>
    <t>FAT205</t>
  </si>
  <si>
    <t>Officer Char</t>
  </si>
  <si>
    <t>অফিসের চর</t>
  </si>
  <si>
    <t>FAT206</t>
  </si>
  <si>
    <t>FAT207</t>
  </si>
  <si>
    <t>Ram Para</t>
  </si>
  <si>
    <t>রাম পাড়া</t>
  </si>
  <si>
    <t>FAT208</t>
  </si>
  <si>
    <t>Techchhipul Munsibari</t>
  </si>
  <si>
    <t>তেচ্ছিপুল মুন্সিবাড়ি</t>
  </si>
  <si>
    <t>FAT301</t>
  </si>
  <si>
    <t>Techchhipul Sikder Para</t>
  </si>
  <si>
    <t>তেচ্ছিপুল সিকদার পাড়া</t>
  </si>
  <si>
    <t>FAT302</t>
  </si>
  <si>
    <t>FAT303</t>
  </si>
  <si>
    <t>Mali Para</t>
  </si>
  <si>
    <t>মালী পাড়া</t>
  </si>
  <si>
    <t>FAT304</t>
  </si>
  <si>
    <t>Lambari Para</t>
  </si>
  <si>
    <t>লম্বরী পাড়া</t>
  </si>
  <si>
    <t>FAT305</t>
  </si>
  <si>
    <t>FAT306</t>
  </si>
  <si>
    <t>Mandal Para</t>
  </si>
  <si>
    <t>মণ্ডল পাড়া</t>
  </si>
  <si>
    <t>FAT401</t>
  </si>
  <si>
    <t>Haitupi</t>
  </si>
  <si>
    <t>হাইটুপি</t>
  </si>
  <si>
    <t>FAT501</t>
  </si>
  <si>
    <t>Dwip Sreekul</t>
  </si>
  <si>
    <t>দ্বীপ শ্রীকুল</t>
  </si>
  <si>
    <t>FAT502</t>
  </si>
  <si>
    <t>Uttar Sreekul</t>
  </si>
  <si>
    <t>উত্তর শ্রীকুল</t>
  </si>
  <si>
    <t>FAT503</t>
  </si>
  <si>
    <t>Dakkhin Sreekul</t>
  </si>
  <si>
    <t>দক্ষিণ শ্রীকুল</t>
  </si>
  <si>
    <t>FAT504</t>
  </si>
  <si>
    <t>Purba Merangloa Baruapara</t>
  </si>
  <si>
    <t>পূর্ব মেরংলোয়া বড়ুয়াপাড়া</t>
  </si>
  <si>
    <t>FAT601</t>
  </si>
  <si>
    <t>Purba Merangloa Sharma Para</t>
  </si>
  <si>
    <t>পূর্ব মেরংলোয়া শর্মা পাড়া</t>
  </si>
  <si>
    <t>FAT602</t>
  </si>
  <si>
    <t>Purba Merangloa Talia Para</t>
  </si>
  <si>
    <t>পূর্ব মেরংলোয়া তলিয়া পাড়া</t>
  </si>
  <si>
    <t>FAT603</t>
  </si>
  <si>
    <t>Haitupi Bhutpara</t>
  </si>
  <si>
    <t>হাইটুপি ভূতপাড়া</t>
  </si>
  <si>
    <t>FAT604</t>
  </si>
  <si>
    <t>Gachhua Para</t>
  </si>
  <si>
    <t>গাছুয়া পাড়া</t>
  </si>
  <si>
    <t>FAT605</t>
  </si>
  <si>
    <t>Uttar Haitupi</t>
  </si>
  <si>
    <t>উত্তর হাইটুপি</t>
  </si>
  <si>
    <t>FAT606</t>
  </si>
  <si>
    <t>Purba Merangloa</t>
  </si>
  <si>
    <t>পূর্ব মেরংলোয়া</t>
  </si>
  <si>
    <t>FAT607</t>
  </si>
  <si>
    <t>Purba Merangloa Rahmania Para</t>
  </si>
  <si>
    <t>পূর্ব মেরংলোয়া রহমানিয়া পাড়া</t>
  </si>
  <si>
    <t>FAT608</t>
  </si>
  <si>
    <t>Merangloa Baruapara</t>
  </si>
  <si>
    <t>মেরংলোয়া বড়ুয়াপাড়া</t>
  </si>
  <si>
    <t>FAT701</t>
  </si>
  <si>
    <t>Shridhan Para</t>
  </si>
  <si>
    <t>শ্রীধন পাড়া</t>
  </si>
  <si>
    <t>FAT702</t>
  </si>
  <si>
    <t>Amtaliapara</t>
  </si>
  <si>
    <t>আমতলিয়াপাড়া</t>
  </si>
  <si>
    <t>FAT703</t>
  </si>
  <si>
    <t>Merangloa Rahmania Para</t>
  </si>
  <si>
    <t>মেরংলোয়া রহমানিয়া পাড়া</t>
  </si>
  <si>
    <t>FAT704</t>
  </si>
  <si>
    <t>Pashchim Merangloa (Dakkhin Para)</t>
  </si>
  <si>
    <t>পশ্চিম মেরংলোয়া (দক্ষিণ পাড়া)</t>
  </si>
  <si>
    <t>FAT801</t>
  </si>
  <si>
    <t>Pashchim Merangloa (Uttar Para)</t>
  </si>
  <si>
    <t>পশ্চিম মেরংলোয়া (উত্তর পাড়া)</t>
  </si>
  <si>
    <t>FAT802</t>
  </si>
  <si>
    <t>Pashchim Merangloa (Dokan Para)</t>
  </si>
  <si>
    <t>পশ্চিম মেরংলোয়া (দোকান পাড়া)</t>
  </si>
  <si>
    <t>FAT803</t>
  </si>
  <si>
    <t>Pashchim Merangloa (Munshipara)</t>
  </si>
  <si>
    <t>পশ্চিম মেরংলোয়া (মুন্সিপাড়া)</t>
  </si>
  <si>
    <t>FAT804</t>
  </si>
  <si>
    <t>Pashchim Merangloa Napit Para</t>
  </si>
  <si>
    <t>পশ্চিম মেরংলোয়া নাপিত পাড়া</t>
  </si>
  <si>
    <t>FAT805</t>
  </si>
  <si>
    <t>Pashchim Merangloa Amtalia Para</t>
  </si>
  <si>
    <t>পশ্চিম মেরংলোয়া আমতলিয়া পাড়া</t>
  </si>
  <si>
    <t>FAT806</t>
  </si>
  <si>
    <t>Madhyam Merangloa Maulovi Para</t>
  </si>
  <si>
    <t>মধ্যম মেরংলোয়া মৌলভী পাড়া</t>
  </si>
  <si>
    <t>FAT807</t>
  </si>
  <si>
    <t>Madhyam Merangloa Uttar Para</t>
  </si>
  <si>
    <t>মধ্যম মেরংলোয়া উত্তর পাড়া</t>
  </si>
  <si>
    <t>FAT808</t>
  </si>
  <si>
    <t>Uttar Fatekharkul	Muslim Para</t>
  </si>
  <si>
    <t>উত্তর ফতেখাঁরকুল মুসলিম পাড়া</t>
  </si>
  <si>
    <t>FAT901</t>
  </si>
  <si>
    <t>Uttar Fatekharkul	Banik Para</t>
  </si>
  <si>
    <t>উত্তর ফতেখাঁরকুল বণিক পাড়া</t>
  </si>
  <si>
    <t>FAT902</t>
  </si>
  <si>
    <t>Uttar Fatekharkul	Barua Para</t>
  </si>
  <si>
    <t>উত্তর ফতেখাঁরকুল বড়ুয়া পাড়া</t>
  </si>
  <si>
    <t>FAT903</t>
  </si>
  <si>
    <t>Uttar Fatekharkul	Chalanya Para</t>
  </si>
  <si>
    <t>উত্তর ফতেখাঁরকুল চালন্যা পাড়া</t>
  </si>
  <si>
    <t>FAT904</t>
  </si>
  <si>
    <t>Uttar Fatekharkul Satgharia Para</t>
  </si>
  <si>
    <t>উত্তর ফতেখাঁরকুল সাতঘরিয়া পাড়া</t>
  </si>
  <si>
    <t>FAT905</t>
  </si>
  <si>
    <t>Purba Barabil</t>
  </si>
  <si>
    <t>পূর্ব বড়বিল</t>
  </si>
  <si>
    <t>GAR101</t>
  </si>
  <si>
    <t>Uttar Barabil</t>
  </si>
  <si>
    <t>উত্তর বড়বিল</t>
  </si>
  <si>
    <t>GAR102</t>
  </si>
  <si>
    <t>Dakkhin Barabil</t>
  </si>
  <si>
    <t>দক্ষিণ বড়বিল</t>
  </si>
  <si>
    <t>GAR103</t>
  </si>
  <si>
    <t>Pashchim Barabil</t>
  </si>
  <si>
    <t>পশ্চিম বড়বিল</t>
  </si>
  <si>
    <t>GAR104</t>
  </si>
  <si>
    <t>লোহারঝিরি পাড়া</t>
  </si>
  <si>
    <t>GAR105</t>
  </si>
  <si>
    <t>Teikya Hajir Para</t>
  </si>
  <si>
    <t>টেইক্যা হাজির পাড়া</t>
  </si>
  <si>
    <t>GAR106</t>
  </si>
  <si>
    <t>Pashchim Jumchhari Naju Matbor Para</t>
  </si>
  <si>
    <t>পশ্চিম জুমছড়ি নজু মাতবর পাড়া</t>
  </si>
  <si>
    <t>GAR201</t>
  </si>
  <si>
    <t>Pashchim Jumchhari Baruarchhara</t>
  </si>
  <si>
    <t>পশ্চিম জুমছড়ি বড়ুয়ারছড়া</t>
  </si>
  <si>
    <t>GAR202</t>
  </si>
  <si>
    <t>Pashchim Jumchhari Marichyachar</t>
  </si>
  <si>
    <t>পশ্চিম জুমছড়ি মরিচ্যাচর</t>
  </si>
  <si>
    <t>GAR203</t>
  </si>
  <si>
    <t>Pashchim Jumchhari Mainyakata</t>
  </si>
  <si>
    <t>পশ্চিম জুমছড়ি মইন্যাকাটা</t>
  </si>
  <si>
    <t>GAR204</t>
  </si>
  <si>
    <t>Pashchim Jumchhari</t>
  </si>
  <si>
    <t>পশ্চিম জুমছড়ি</t>
  </si>
  <si>
    <t>GAR205</t>
  </si>
  <si>
    <t>Purba Jumchhari</t>
  </si>
  <si>
    <t>পূর্ব জুমছড়ি</t>
  </si>
  <si>
    <t>GAR206</t>
  </si>
  <si>
    <t>Harin Para</t>
  </si>
  <si>
    <t>হরিণ পাড়া</t>
  </si>
  <si>
    <t>GAR301</t>
  </si>
  <si>
    <t>ঘোনার পাড়া</t>
  </si>
  <si>
    <t>GAR302</t>
  </si>
  <si>
    <t>Thoangarkata Shiapara</t>
  </si>
  <si>
    <t>থোয়াঙ্গারকাটা শিয়াপাড়া</t>
  </si>
  <si>
    <t>GAR303</t>
  </si>
  <si>
    <t>Uttar Thoangarkata</t>
  </si>
  <si>
    <t>উত্তর থোয়াঙ্গারকাটা</t>
  </si>
  <si>
    <t>GAR304</t>
  </si>
  <si>
    <t>Dakkhin Thoangarkata</t>
  </si>
  <si>
    <t>দক্ষিণ থোয়াঙ্গারকাটা</t>
  </si>
  <si>
    <t>GAR305</t>
  </si>
  <si>
    <t>Pashchim Thimchhari</t>
  </si>
  <si>
    <t>পশ্চিম থিমছড়ি</t>
  </si>
  <si>
    <t>GAR401</t>
  </si>
  <si>
    <t>Dakkhin Thimchhari</t>
  </si>
  <si>
    <t>দক্ষিণ থিমছড়ি</t>
  </si>
  <si>
    <t>GAR402</t>
  </si>
  <si>
    <t>Purba Thimchhari</t>
  </si>
  <si>
    <t>পূর্ব থিমছড়ি</t>
  </si>
  <si>
    <t>GAR403</t>
  </si>
  <si>
    <t>Shah Mohammad Para</t>
  </si>
  <si>
    <t>শাহ মোহাম্মদ পাড়া</t>
  </si>
  <si>
    <t>GAR404</t>
  </si>
  <si>
    <t>ফকির পাড়া</t>
  </si>
  <si>
    <t>GAR501</t>
  </si>
  <si>
    <t>Rajghat</t>
  </si>
  <si>
    <t>রাজঘাট</t>
  </si>
  <si>
    <t>GAR502</t>
  </si>
  <si>
    <t>Gayalmara</t>
  </si>
  <si>
    <t>গয়ালমারা</t>
  </si>
  <si>
    <t>GAR503</t>
  </si>
  <si>
    <t>Mokter Ghona</t>
  </si>
  <si>
    <t>মোক্তার ঘোনা</t>
  </si>
  <si>
    <t>GAR504</t>
  </si>
  <si>
    <t>Jauch Para</t>
  </si>
  <si>
    <t>জাউচ পাড়া</t>
  </si>
  <si>
    <t>GAR505</t>
  </si>
  <si>
    <t>Dakkhin Majhirkata</t>
  </si>
  <si>
    <t>দক্ষিণ মাঝিরকাটা</t>
  </si>
  <si>
    <t>GAR601</t>
  </si>
  <si>
    <t>Majhir Kata</t>
  </si>
  <si>
    <t>মাঝির কাটা</t>
  </si>
  <si>
    <t>GAR602</t>
  </si>
  <si>
    <t>Majhir Kata Dik Para</t>
  </si>
  <si>
    <t>মাঝির কাটা ডিক পাড়া</t>
  </si>
  <si>
    <t>GAR603</t>
  </si>
  <si>
    <t>Majhir Kata Beltali</t>
  </si>
  <si>
    <t>মাঝির কাটা বেলতলী</t>
  </si>
  <si>
    <t>GAR604</t>
  </si>
  <si>
    <t>Purba Bomangkhil Dakkhin Para</t>
  </si>
  <si>
    <t>পূর্ব বোমাংখিল দক্ষিণ পাড়া</t>
  </si>
  <si>
    <t>GAR701</t>
  </si>
  <si>
    <t>Purba Bomangkhil Sharma Para</t>
  </si>
  <si>
    <t>পূর্ব বোমাংখিল শর্মা পাড়া</t>
  </si>
  <si>
    <t>GAR702</t>
  </si>
  <si>
    <t>Purba Bomangkhil Hafejkhana Para</t>
  </si>
  <si>
    <t>পূর্ব বোমাংখিল হাফেজখানা পাড়া</t>
  </si>
  <si>
    <t>GAR703</t>
  </si>
  <si>
    <t>Purba Bomangkhil Uttar Para</t>
  </si>
  <si>
    <t>পূর্ব বোমাংখিল উত্তর পাড়া</t>
  </si>
  <si>
    <t>GAR704</t>
  </si>
  <si>
    <t>Pashchim Bomangkhil</t>
  </si>
  <si>
    <t>পশ্চিম বোমাংখিল</t>
  </si>
  <si>
    <t>GAR801</t>
  </si>
  <si>
    <t>Bomangkhil</t>
  </si>
  <si>
    <t>বোমাংখিল</t>
  </si>
  <si>
    <t>GAR802</t>
  </si>
  <si>
    <t>School Mura</t>
  </si>
  <si>
    <t>স্কুল মুরা</t>
  </si>
  <si>
    <t>GAR803</t>
  </si>
  <si>
    <t>Miajir Para</t>
  </si>
  <si>
    <t>মিয়াজির পাড়া</t>
  </si>
  <si>
    <t>GAR804</t>
  </si>
  <si>
    <t>Kyajarbil</t>
  </si>
  <si>
    <t>ক্যাজরবিল</t>
  </si>
  <si>
    <t>GAR901</t>
  </si>
  <si>
    <t>Dengarchar Para</t>
  </si>
  <si>
    <t>ডেঙ্গারচর পাড়া</t>
  </si>
  <si>
    <t>GAR902</t>
  </si>
  <si>
    <t>Alekhyapara</t>
  </si>
  <si>
    <t>আলেখ্যাপাড়া</t>
  </si>
  <si>
    <t>GAR903</t>
  </si>
  <si>
    <t>Uttar Mithachhari Dakkhin Para</t>
  </si>
  <si>
    <t>উত্তর মিঠাছড়ি দক্ষিণ পাড়া</t>
  </si>
  <si>
    <t>JOA101</t>
  </si>
  <si>
    <t>Uttar Mithachhari Chowdhury Para</t>
  </si>
  <si>
    <t>উত্তর মিঠাছড়ি চৌধুরী পাড়া</t>
  </si>
  <si>
    <t>JOA102</t>
  </si>
  <si>
    <t>Uttar Mithachhari Gain Para</t>
  </si>
  <si>
    <t>উত্তর মিঠাছড়ি গাইন পাড়া</t>
  </si>
  <si>
    <t>JOA103</t>
  </si>
  <si>
    <t>Uttar Mithachhari Uttar Para</t>
  </si>
  <si>
    <t>উত্তর মিঠাছড়ি উত্তর পাড়া</t>
  </si>
  <si>
    <t>JOA104</t>
  </si>
  <si>
    <t>Uttar Mithachhari Paharia Para</t>
  </si>
  <si>
    <t>উত্তর মিঠাছড়ি পাহাড়িয়া পাড়া</t>
  </si>
  <si>
    <t>JOA105</t>
  </si>
  <si>
    <t>Uttar Mithachhari Ashkarkhil</t>
  </si>
  <si>
    <t>উত্তর মিঠাছড়ি আশকরখীল</t>
  </si>
  <si>
    <t>JOA106</t>
  </si>
  <si>
    <t>JOA201</t>
  </si>
  <si>
    <t>Uttar Mithachhari Pashchim Kulal Para</t>
  </si>
  <si>
    <t>উত্তর মিঠাছড়ি পশ্চিম কুলাল পাড়া</t>
  </si>
  <si>
    <t>JOA202</t>
  </si>
  <si>
    <t>Uttar Mithachhari Barua Para</t>
  </si>
  <si>
    <t>উত্তর মিঠাছড়ি বড়ুয়া পাড়া</t>
  </si>
  <si>
    <t>JOA203</t>
  </si>
  <si>
    <t>Uttar Mithachhari Haspatal Para</t>
  </si>
  <si>
    <t>উত্তর মিঠাছড়ি হাসপাতাল পাড়া</t>
  </si>
  <si>
    <t>JOA204</t>
  </si>
  <si>
    <t>Uttar Mithachhari Purba Kulal Para</t>
  </si>
  <si>
    <t>উত্তর মিঠাছড়ি পূর্ব কুলাল পাড়া</t>
  </si>
  <si>
    <t>JOA205</t>
  </si>
  <si>
    <t>Nandakhali Mura Para</t>
  </si>
  <si>
    <t>নন্দাখালী মুরা পাড়া</t>
  </si>
  <si>
    <t>JOA301</t>
  </si>
  <si>
    <t>Nandakhali Uttar Para</t>
  </si>
  <si>
    <t>নন্দাখালী উত্তর পাড়া</t>
  </si>
  <si>
    <t>JOA302</t>
  </si>
  <si>
    <t>Nandakhali Barapara</t>
  </si>
  <si>
    <t>নন্দাখালী বড়পাড়া</t>
  </si>
  <si>
    <t>JOA303</t>
  </si>
  <si>
    <t>Pashchim Nonachhari Konar Para</t>
  </si>
  <si>
    <t>পশ্চিম নোনাছড়ি কোনার পাড়া</t>
  </si>
  <si>
    <t>JOA401</t>
  </si>
  <si>
    <t>Pashchim Nonachhari Purba Morapara</t>
  </si>
  <si>
    <t>পশ্চিম নোনাছড়ি পূর্ব মোরাপাড়া</t>
  </si>
  <si>
    <t>JOA402</t>
  </si>
  <si>
    <t>Pashchim Nonachhari Dakkhin Morapara</t>
  </si>
  <si>
    <t>পশ্চিম নোনাছড়ি দক্ষিণ মোরাপাড়া</t>
  </si>
  <si>
    <t>JOA403</t>
  </si>
  <si>
    <t>Pashchim Nonachhari School Para</t>
  </si>
  <si>
    <t>পশ্চিম নোনাছড়ি স্কুল পাড়া</t>
  </si>
  <si>
    <t>JOA404</t>
  </si>
  <si>
    <t>Pashchim Nonachhari Uttar Para</t>
  </si>
  <si>
    <t>পশ্চিম নোনাছড়ি উত্তর পাড়া</t>
  </si>
  <si>
    <t>JOA405</t>
  </si>
  <si>
    <t>Pashchim Nonachhari Dakkhin Para</t>
  </si>
  <si>
    <t>পশ্চিম নোনাছড়ি দক্ষিণ পাড়া</t>
  </si>
  <si>
    <t>JOA406</t>
  </si>
  <si>
    <t>Pashchim Nonachhari Pashchim Para</t>
  </si>
  <si>
    <t>পশ্চিম নোনাছড়ি পশ্চিম পাড়া</t>
  </si>
  <si>
    <t>JOA407</t>
  </si>
  <si>
    <t>Nadar Para</t>
  </si>
  <si>
    <t>নাদার পাড়া</t>
  </si>
  <si>
    <t>JOA501</t>
  </si>
  <si>
    <t>Raingar Para</t>
  </si>
  <si>
    <t>রইঙ্গার পাড়া</t>
  </si>
  <si>
    <t>JOA502</t>
  </si>
  <si>
    <t>JOA503</t>
  </si>
  <si>
    <t>Maishkum Mura Para</t>
  </si>
  <si>
    <t>মইশকুম মুরা পাড়া</t>
  </si>
  <si>
    <t>JOA504</t>
  </si>
  <si>
    <t>Adarsha Gram (Guccha Gram)</t>
  </si>
  <si>
    <t>আদর্শ গ্রাম (গুচ্ছ গ্রাম)</t>
  </si>
  <si>
    <t>JOA505</t>
  </si>
  <si>
    <t>Natun Mura Para</t>
  </si>
  <si>
    <t>নতুন মুরা পাড়া</t>
  </si>
  <si>
    <t>JOA506</t>
  </si>
  <si>
    <t>Purba Mura Para</t>
  </si>
  <si>
    <t>পূর্ব মুরা পাড়া</t>
  </si>
  <si>
    <t>JOA507</t>
  </si>
  <si>
    <t>JOA508</t>
  </si>
  <si>
    <t>Ilishia Para</t>
  </si>
  <si>
    <t>ইলিশিয়া পাড়া</t>
  </si>
  <si>
    <t>JOA601</t>
  </si>
  <si>
    <t>Ilishia Para Dakkhin Murapara</t>
  </si>
  <si>
    <t>ইলিশিয়া পাড়া দক্ষিণ মুরা পাড়া</t>
  </si>
  <si>
    <t>JOA602</t>
  </si>
  <si>
    <t>Purba Nonachhari</t>
  </si>
  <si>
    <t>পূর্ব নোনাছড়ি</t>
  </si>
  <si>
    <t>JOA603</t>
  </si>
  <si>
    <t>Purba Nonachhari Mura Para</t>
  </si>
  <si>
    <t>পূর্ব নোনাছড়ি মুরা পাড়া</t>
  </si>
  <si>
    <t>JOA604</t>
  </si>
  <si>
    <t>Purba Nonachhari Ramani Pahar</t>
  </si>
  <si>
    <t>পূর্ব নোনাছড়ি রমনী পাহাড়</t>
  </si>
  <si>
    <t>JOA605</t>
  </si>
  <si>
    <t>Halder Para</t>
  </si>
  <si>
    <t>হালদার পাড়া</t>
  </si>
  <si>
    <t>JOA701</t>
  </si>
  <si>
    <t>JOA702</t>
  </si>
  <si>
    <t>JOA703</t>
  </si>
  <si>
    <t>JOA704</t>
  </si>
  <si>
    <t>Mala Para</t>
  </si>
  <si>
    <t>মালা পাড়া</t>
  </si>
  <si>
    <t>JOA705</t>
  </si>
  <si>
    <t>Jumchhari Mitar Chhara</t>
  </si>
  <si>
    <t>জুমছড়ি মিতার ছড়া</t>
  </si>
  <si>
    <t>JOA706</t>
  </si>
  <si>
    <t>Jumchhari Kathal Bagan</t>
  </si>
  <si>
    <t>জুমছড়ি কাঠাল বাগান</t>
  </si>
  <si>
    <t>JOA707</t>
  </si>
  <si>
    <t>Jumchhari Notun Kata</t>
  </si>
  <si>
    <t>জুমছড়ি নতুন কাটা</t>
  </si>
  <si>
    <t>JOA708</t>
  </si>
  <si>
    <t>Rubber Bagan (Nurpara)</t>
  </si>
  <si>
    <t>রাবার বাগান (নূরপাড়া)</t>
  </si>
  <si>
    <t>JOA709</t>
  </si>
  <si>
    <t>Joarianala Purba Para</t>
  </si>
  <si>
    <t>জোয়ারিয়ানালা পূর্ব পাড়া</t>
  </si>
  <si>
    <t>JOA801</t>
  </si>
  <si>
    <t>Purba Joarianala Forest Office Para</t>
  </si>
  <si>
    <t>পূর্ব জোয়ারিয়ানালা ফরেস্ট অফিস পাড়া</t>
  </si>
  <si>
    <t>JOA802</t>
  </si>
  <si>
    <t>Purba Joarianala VIP Pahar</t>
  </si>
  <si>
    <t>পূর্ব জোয়ারিয়ানালা ভিআইপি পাহাড়</t>
  </si>
  <si>
    <t>JOA803</t>
  </si>
  <si>
    <t>Purba Joarianala Bengdepa</t>
  </si>
  <si>
    <t>পূর্ব জোয়ারিয়ানালা ব্যাংডেপা</t>
  </si>
  <si>
    <t>JOA804</t>
  </si>
  <si>
    <t>Purba Joarianala Purba Murapara</t>
  </si>
  <si>
    <t>পূর্ব জোয়ারিয়ানালা পূর্ব মুরাপাড়া</t>
  </si>
  <si>
    <t>JOA805</t>
  </si>
  <si>
    <t>Garjaniapara</t>
  </si>
  <si>
    <t>গর্জনিয়াপাড়া</t>
  </si>
  <si>
    <t>JOA901</t>
  </si>
  <si>
    <t>JOA902</t>
  </si>
  <si>
    <t>Bharachharakul</t>
  </si>
  <si>
    <t>ভরাছড়াকুল</t>
  </si>
  <si>
    <t>JOA903</t>
  </si>
  <si>
    <t>JOA904</t>
  </si>
  <si>
    <t>Kachchhapia Dakkhin Para</t>
  </si>
  <si>
    <t>কচ্ছপিয়া দক্ষিণ পাড়া</t>
  </si>
  <si>
    <t>KAC101</t>
  </si>
  <si>
    <t>Kachchhapia Tekpara</t>
  </si>
  <si>
    <t>কচ্ছপিয়া টেকপাড়া</t>
  </si>
  <si>
    <t>KAC102</t>
  </si>
  <si>
    <t>Kachchhapia Uttar Para</t>
  </si>
  <si>
    <t>কচ্ছপিয়া উত্তর পাড়া</t>
  </si>
  <si>
    <t>KAC103</t>
  </si>
  <si>
    <t>Kachchhapia Natun Para</t>
  </si>
  <si>
    <t>কচ্ছপিয়া নতুন পাড়া</t>
  </si>
  <si>
    <t>KAC104</t>
  </si>
  <si>
    <t>Kachchhapia Ghilatali</t>
  </si>
  <si>
    <t>কচ্ছপিয়া ঘিলাতলী</t>
  </si>
  <si>
    <t>KAC105</t>
  </si>
  <si>
    <t>Kachchhapia Magbil</t>
  </si>
  <si>
    <t>কচ্ছপিয়া মগবিল</t>
  </si>
  <si>
    <t>KAC106</t>
  </si>
  <si>
    <t>Kachchhapia Shibatali</t>
  </si>
  <si>
    <t>কচ্ছপিয়া শিবাতলী</t>
  </si>
  <si>
    <t>KAC107</t>
  </si>
  <si>
    <t>Lamar Khamar Para Jaruliachhari</t>
  </si>
  <si>
    <t xml:space="preserve">লামার খামার পাড়া জারুলীয়াছড়ি
</t>
  </si>
  <si>
    <t>KAC201</t>
  </si>
  <si>
    <t>Golachipa Para</t>
  </si>
  <si>
    <t>গলাচিপা পাড়া</t>
  </si>
  <si>
    <t>KAC202</t>
  </si>
  <si>
    <t>Douchhari Dakkhinkul Purba Para</t>
  </si>
  <si>
    <t>দৌছড়ি দক্ষিণকুল পূর্ব পাড়া</t>
  </si>
  <si>
    <t>KAC203</t>
  </si>
  <si>
    <t>Douchhari Dakkhinkul Pashchim Para</t>
  </si>
  <si>
    <t>দৌছড়ি দক্ষিণকুল পশ্চিম পাড়া</t>
  </si>
  <si>
    <t>KAC204</t>
  </si>
  <si>
    <t>Douchhari Dakkhinkul Purba Titar Para</t>
  </si>
  <si>
    <t>দৌছড়ি দক্ষিণকুল পূর্ব তিতার পাড়া</t>
  </si>
  <si>
    <t>KAC205</t>
  </si>
  <si>
    <t>Douchhari Uttarkul Purba Para</t>
  </si>
  <si>
    <t>দৌছড়ি উত্তরকুল পূর্ব পাড়া</t>
  </si>
  <si>
    <t>KAC206</t>
  </si>
  <si>
    <t>Douchhari Uttarkul Paschimpara</t>
  </si>
  <si>
    <t>দৌছড়ি উত্তরকুল পশ্চিম পাড়া</t>
  </si>
  <si>
    <t>KAC207</t>
  </si>
  <si>
    <t>Douchhari Uttarkul Mura Para</t>
  </si>
  <si>
    <t>দৌছড়ি উত্তরকুল মুরা পাড়া</t>
  </si>
  <si>
    <t>KAC208</t>
  </si>
  <si>
    <t>Purba Titar Para</t>
  </si>
  <si>
    <t>পূর্ব তিতার পাড়া</t>
  </si>
  <si>
    <t>KAC301</t>
  </si>
  <si>
    <t>Pashchim Titar Para</t>
  </si>
  <si>
    <t>পশ্চিম তিতার পাড়া</t>
  </si>
  <si>
    <t>KAC302</t>
  </si>
  <si>
    <t>Natun Titar Para</t>
  </si>
  <si>
    <t>নতুন তিতার পাড়া</t>
  </si>
  <si>
    <t>KAC303</t>
  </si>
  <si>
    <t>Kachchhapia Highschool Para</t>
  </si>
  <si>
    <t>কচ্ছপিয়া হাইস্কুল পাড়া</t>
  </si>
  <si>
    <t>KAC401</t>
  </si>
  <si>
    <t>Chota Jangchhari Nadir Uttarkul</t>
  </si>
  <si>
    <t>ছোট জাংছড়ি নদীর উত্তরকুল</t>
  </si>
  <si>
    <t>KAC402</t>
  </si>
  <si>
    <t>Balubasa Para</t>
  </si>
  <si>
    <t>বালুবাসা পাড়া</t>
  </si>
  <si>
    <t>KAC403</t>
  </si>
  <si>
    <t>Shukmonia Para</t>
  </si>
  <si>
    <t>শুকমনিয়া পাড়া</t>
  </si>
  <si>
    <t>KAC404</t>
  </si>
  <si>
    <t>Gudaiya Kata</t>
  </si>
  <si>
    <t>গুদাইয়া কাটা</t>
  </si>
  <si>
    <t>KAC405</t>
  </si>
  <si>
    <t>Bangdepa</t>
  </si>
  <si>
    <t>ব্যাঙডেপা</t>
  </si>
  <si>
    <t>KAC406</t>
  </si>
  <si>
    <t>Daktar Kata</t>
  </si>
  <si>
    <t>ডাক্তার কাটা</t>
  </si>
  <si>
    <t>KAC407</t>
  </si>
  <si>
    <t>Puratan Miajir Para</t>
  </si>
  <si>
    <t>পুরাতন মিয়াজির পাড়া</t>
  </si>
  <si>
    <t>KAC501</t>
  </si>
  <si>
    <t>Chakmar Kata</t>
  </si>
  <si>
    <t>চাকমার কাটা</t>
  </si>
  <si>
    <t>KAC502</t>
  </si>
  <si>
    <t>Jangchari Natunpara</t>
  </si>
  <si>
    <t>জাংছড়ি নতুনপাড়া</t>
  </si>
  <si>
    <t>KAC503</t>
  </si>
  <si>
    <t>Natun Miajir Para</t>
  </si>
  <si>
    <t>নতুন মিয়াজির পাড়া</t>
  </si>
  <si>
    <t>KAC504</t>
  </si>
  <si>
    <t>Bara Jamchhari Nadir Purba Paschimkul</t>
  </si>
  <si>
    <t>বড় জামছড়ি নদীর পূর্ব পশ্চিমকুল</t>
  </si>
  <si>
    <t>KAC505</t>
  </si>
  <si>
    <t>Fakrikata</t>
  </si>
  <si>
    <t>ফাক্রিকাটা</t>
  </si>
  <si>
    <t>KAC506</t>
  </si>
  <si>
    <t>Fakrikata Pahartali</t>
  </si>
  <si>
    <t>ফাক্রিকাটা পাহাড়তলী</t>
  </si>
  <si>
    <t>KAC507</t>
  </si>
  <si>
    <t>Fakrikata Adarsha Gram</t>
  </si>
  <si>
    <t>ফাক্রিকাটা আদর্শ গ্রাম</t>
  </si>
  <si>
    <t>KAC508</t>
  </si>
  <si>
    <t>Bara Jamchhari Pahar Para</t>
  </si>
  <si>
    <t>বড় জামছড়ি পাহাড় পাড়া </t>
  </si>
  <si>
    <t>KAC509</t>
  </si>
  <si>
    <t>Tulatali</t>
  </si>
  <si>
    <t>তুলাতলী</t>
  </si>
  <si>
    <t>KAC510</t>
  </si>
  <si>
    <t>Rupnagar</t>
  </si>
  <si>
    <t>রূপনগর</t>
  </si>
  <si>
    <t>KAC511</t>
  </si>
  <si>
    <t>KAC601</t>
  </si>
  <si>
    <t>Fakrikata Murapara</t>
  </si>
  <si>
    <t>ফাক্রিকাটা মুরাপাড়া</t>
  </si>
  <si>
    <t>KAC602</t>
  </si>
  <si>
    <t>Napiter Char</t>
  </si>
  <si>
    <t>নাপিতের চর</t>
  </si>
  <si>
    <t>KAC603</t>
  </si>
  <si>
    <t>KAC604</t>
  </si>
  <si>
    <t>Dakkhin Shahor Alir Char</t>
  </si>
  <si>
    <t>দক্ষিণ শহর আলীর চর</t>
  </si>
  <si>
    <t>KAC605</t>
  </si>
  <si>
    <t>Uttar Shahor Alir Char</t>
  </si>
  <si>
    <t>উত্তর শহর আলীর চর</t>
  </si>
  <si>
    <t>KAC606</t>
  </si>
  <si>
    <t>Fakinir Char</t>
  </si>
  <si>
    <t>ফকিনীর চর</t>
  </si>
  <si>
    <t>KAC607</t>
  </si>
  <si>
    <t>Dakvanga</t>
  </si>
  <si>
    <t>ডাকভাঙ্গা</t>
  </si>
  <si>
    <t>KAC608</t>
  </si>
  <si>
    <t>Shibatali</t>
  </si>
  <si>
    <t>শিবাতলী</t>
  </si>
  <si>
    <t>KAC609</t>
  </si>
  <si>
    <t>Adarsha Gram Hati Mara</t>
  </si>
  <si>
    <t>আদর্শ গ্রাম হাতি মারা</t>
  </si>
  <si>
    <t>KAC610</t>
  </si>
  <si>
    <t>Chota Jangchhari Dakkhinkul</t>
  </si>
  <si>
    <t>ছোট জাংছড়ি দক্ষিণকুল</t>
  </si>
  <si>
    <t>KAC701</t>
  </si>
  <si>
    <t>Balubasa Dakkhinkul</t>
  </si>
  <si>
    <t>বালুবাসা দক্ষিণকুল</t>
  </si>
  <si>
    <t>KAC702</t>
  </si>
  <si>
    <t>হাজীর পাড়া</t>
  </si>
  <si>
    <t>KAC703</t>
  </si>
  <si>
    <t>Purba Hajir Para</t>
  </si>
  <si>
    <t>পূর্ব হাজির পাড়া</t>
  </si>
  <si>
    <t>KAC704</t>
  </si>
  <si>
    <t>Daktar Kata Para</t>
  </si>
  <si>
    <t>ডাক্তার কাটা পাড়া</t>
  </si>
  <si>
    <t>KAC705</t>
  </si>
  <si>
    <t>Bara Jangchari Nadir Purbakul</t>
  </si>
  <si>
    <t>বড় জাংছড়ি নদীর পূর্বকুল</t>
  </si>
  <si>
    <t>KAC801</t>
  </si>
  <si>
    <t>Bara Jangchari Nadir Pashchimkul</t>
  </si>
  <si>
    <t>বড় জাংছড়ি নদীর পশ্চিমকুল</t>
  </si>
  <si>
    <t>KAC802</t>
  </si>
  <si>
    <t>KAC803</t>
  </si>
  <si>
    <t>KAC804</t>
  </si>
  <si>
    <t>Shaira Para</t>
  </si>
  <si>
    <t>শাইরা পাড়া</t>
  </si>
  <si>
    <t>KAC805</t>
  </si>
  <si>
    <t>KAC806</t>
  </si>
  <si>
    <t>Badu Para</t>
  </si>
  <si>
    <t>বদু পাড়া</t>
  </si>
  <si>
    <t>KAC807</t>
  </si>
  <si>
    <t>Dakkhin Maulovir Kata</t>
  </si>
  <si>
    <t>দক্ষিণ মৌলভীর কাটা</t>
  </si>
  <si>
    <t>KAC901</t>
  </si>
  <si>
    <t>Miyajir Para</t>
  </si>
  <si>
    <t>মিয়াজির পাড়়া</t>
  </si>
  <si>
    <t>KAC902</t>
  </si>
  <si>
    <t>Tekpara Nadir Pashchimkul</t>
  </si>
  <si>
    <t>টেকপাড়া নদীর পশ্চিমকুল</t>
  </si>
  <si>
    <t>KAC903</t>
  </si>
  <si>
    <t>Tekpara Nadir Purbakul</t>
  </si>
  <si>
    <t>টেকপাড়া নদীর পূর্বকুল</t>
  </si>
  <si>
    <t>KAC904</t>
  </si>
  <si>
    <t>Pashchim Manirjhil Para</t>
  </si>
  <si>
    <t>পশ্চিম মনিরঝিল পাড়া</t>
  </si>
  <si>
    <t>KAU101</t>
  </si>
  <si>
    <t>Pashchim Manirjhil Dargah Para</t>
  </si>
  <si>
    <t>পশ্চিম মনিরঝিল দরগাহ পাড়া</t>
  </si>
  <si>
    <t>KAU102</t>
  </si>
  <si>
    <t>Madhyam Manirjhil</t>
  </si>
  <si>
    <t>মধ্যম মনিরঝিল</t>
  </si>
  <si>
    <t>KAU201</t>
  </si>
  <si>
    <t>Madhyam Manirjhil (Dakkhin Para)</t>
  </si>
  <si>
    <t>মধ্যম মনিরঝিল (দক্ষিণ পাড়া)</t>
  </si>
  <si>
    <t>KAU202</t>
  </si>
  <si>
    <t>Madhyam Manirjhil Sonaichhari</t>
  </si>
  <si>
    <t>মধ্যম মনিরঝিল সোনাইছড়ি</t>
  </si>
  <si>
    <t>KAU203</t>
  </si>
  <si>
    <t>Madhyam Manirjhil Islampur</t>
  </si>
  <si>
    <t>মধ্যম মনিরঝিল ইসলামপুর</t>
  </si>
  <si>
    <t>KAU204</t>
  </si>
  <si>
    <t>Purba Manirjhil Majher Para</t>
  </si>
  <si>
    <t>পূর্ব মনিরঝিল মাঝের পাড়া</t>
  </si>
  <si>
    <t>KAU301</t>
  </si>
  <si>
    <t>Purba Manirjhil Purba Para</t>
  </si>
  <si>
    <t>পূর্ব মনিরঝিল পূর্ব পাড়া</t>
  </si>
  <si>
    <t>KAU302</t>
  </si>
  <si>
    <t>Purba Manirjhil Pahar Para</t>
  </si>
  <si>
    <t>পূর্ব মনিরঝিল পাহাড় পাড়া</t>
  </si>
  <si>
    <t>KAU303</t>
  </si>
  <si>
    <t>Purba Kauarkhop Purba Para</t>
  </si>
  <si>
    <t>পূর্ব কাউয়ারখোপ পূর্ব পাড়া</t>
  </si>
  <si>
    <t>KAU401</t>
  </si>
  <si>
    <t>Purba Kauarkhop Villagerpara</t>
  </si>
  <si>
    <t>পূর্ব কাউয়ারখোপ ভিলেজারপাড়া</t>
  </si>
  <si>
    <t>KAU402</t>
  </si>
  <si>
    <t>Purba Kauarkhop Banarupa Para</t>
  </si>
  <si>
    <t>পূর্ব কাউয়ারখোপ বনরূপা পাড়া</t>
  </si>
  <si>
    <t>KAU403</t>
  </si>
  <si>
    <t>Purba Kauarkhop Maishkum</t>
  </si>
  <si>
    <t>পূর্ব কাউয়ারখোপ মইশকুম</t>
  </si>
  <si>
    <t>KAU404</t>
  </si>
  <si>
    <t>Madhyam Kauarkhop Dail Para</t>
  </si>
  <si>
    <t>মধ্যম কাউয়ারখোপ ডেইল পাড়া</t>
  </si>
  <si>
    <t>KAU501</t>
  </si>
  <si>
    <t>Madhyam Kauarkhop Charpara</t>
  </si>
  <si>
    <t>মধ্যম কাউয়ারখোপ চরপাড়া</t>
  </si>
  <si>
    <t>KAU502</t>
  </si>
  <si>
    <t>Madhyam Kauarkhop Banik Para</t>
  </si>
  <si>
    <t>মধ্যম কাউয়ারখোপ বণিক পাড়া</t>
  </si>
  <si>
    <t>KAU503</t>
  </si>
  <si>
    <t>Madhyam Kauarkhop Deparkul</t>
  </si>
  <si>
    <t>মধ্যম কাউয়ারখোপ ডেপারকুল</t>
  </si>
  <si>
    <t>KAU504</t>
  </si>
  <si>
    <t>Madhyam Kauarkhop Pahar Para</t>
  </si>
  <si>
    <t>মধ্যম কাউয়ারখোপ পাহাড় পাড়া</t>
  </si>
  <si>
    <t>KAU505</t>
  </si>
  <si>
    <t>Madhyam Kauarkhop Madhyam Para</t>
  </si>
  <si>
    <t>মধ্যম কাউয়ারখোপ মধ্যম পাড়া</t>
  </si>
  <si>
    <t>KAU506</t>
  </si>
  <si>
    <t>Madhyam Kauarkhop</t>
  </si>
  <si>
    <t>মধ্যম কাউয়ারখোপ</t>
  </si>
  <si>
    <t>KAU601</t>
  </si>
  <si>
    <t>Pashchim Kauarkhop Charpara</t>
  </si>
  <si>
    <t>পশ্চিম কাউয়ারখোপ চরপাড়া</t>
  </si>
  <si>
    <t>KAU602</t>
  </si>
  <si>
    <t>Pashchim Kauarkhop Uttarpara</t>
  </si>
  <si>
    <t>পশ্চিম কাউয়ারখোপ উত্তরপাড়া</t>
  </si>
  <si>
    <t>KAU603</t>
  </si>
  <si>
    <t>Pashchim Kauarkhop Bailtali</t>
  </si>
  <si>
    <t>পশ্চিম কাউয়ারখোপ বইলতলী</t>
  </si>
  <si>
    <t>KAU604</t>
  </si>
  <si>
    <t>Pashchim Kauarkhop Fulanirchar</t>
  </si>
  <si>
    <t>পশ্চিম কাউয়ারখোপ ফুলনিরচর</t>
  </si>
  <si>
    <t>KAU605</t>
  </si>
  <si>
    <t>Fulanirchar</t>
  </si>
  <si>
    <t>ফুলনীরচর</t>
  </si>
  <si>
    <t>KAU701</t>
  </si>
  <si>
    <t>Dikkul Para</t>
  </si>
  <si>
    <t>ডিককুল পাড়া</t>
  </si>
  <si>
    <t>KAU702</t>
  </si>
  <si>
    <t>KAU703</t>
  </si>
  <si>
    <t>Lord Ukhiarghona Pahar Para</t>
  </si>
  <si>
    <t>লর্ড উখিয়ারঘোনা পাহাড় পাড়া</t>
  </si>
  <si>
    <t>KAU704</t>
  </si>
  <si>
    <t>Lord Ukhiarghona Jharnar Ghona</t>
  </si>
  <si>
    <t>লর্ড উখিয়ারঘোনা ঝর্ণার ঘোনা</t>
  </si>
  <si>
    <t>KAU705</t>
  </si>
  <si>
    <t>Lord Ukhiarghona Barua Para</t>
  </si>
  <si>
    <t>লর্ড উখিয়ারঘোনা বড়ুয়া পাড়া</t>
  </si>
  <si>
    <t>KAU706</t>
  </si>
  <si>
    <t>Lord Ukhiarghona Khencharghona</t>
  </si>
  <si>
    <t>লর্ড উখিয়ারঘোনা খেনচরঘোনা</t>
  </si>
  <si>
    <t>KAU707</t>
  </si>
  <si>
    <t>Ukhiarghona Barua Para</t>
  </si>
  <si>
    <t>উখিয়ারঘোনা বড়ুয়া পাড়া</t>
  </si>
  <si>
    <t>KAU708</t>
  </si>
  <si>
    <t>Lord Ukhiarghona Tachhakahli</t>
  </si>
  <si>
    <t>লর্ড উখিয়ারঘোনা তচ্ছাখালী</t>
  </si>
  <si>
    <t>KAU709</t>
  </si>
  <si>
    <t>Lord Ukhiarghona</t>
  </si>
  <si>
    <t>লর্ড উখিয়ারঘোনা</t>
  </si>
  <si>
    <t>KAU710</t>
  </si>
  <si>
    <t>Ukhiarghona Tila Para</t>
  </si>
  <si>
    <t>উখিয়ারঘোনা টিলা পাড়া</t>
  </si>
  <si>
    <t>KAU801</t>
  </si>
  <si>
    <t>Ukhiarghona School Para</t>
  </si>
  <si>
    <t>উখিয়ারঘোনা স্কুল পাড়া</t>
  </si>
  <si>
    <t>KAU802</t>
  </si>
  <si>
    <t>Ukhiarghona Sawdagor Para</t>
  </si>
  <si>
    <t>উখিয়ারঘোনা সওদাগর পাড়া</t>
  </si>
  <si>
    <t>KAU803</t>
  </si>
  <si>
    <t>Ukhiarghona Miyaji Para</t>
  </si>
  <si>
    <t>উখিয়ারঘোনা মিয়াজী পাড়া</t>
  </si>
  <si>
    <t>KAU804</t>
  </si>
  <si>
    <t>Ukhiarghona Pashchim Ganiakata</t>
  </si>
  <si>
    <t>উখিয়ারঘোনা পশ্চিম গনিয়াকাটা</t>
  </si>
  <si>
    <t>KAU805</t>
  </si>
  <si>
    <t>Ukhiarghona Lamar Para</t>
  </si>
  <si>
    <t>উখিয়ারঘোনা লামার পাড়া</t>
  </si>
  <si>
    <t>KAU901</t>
  </si>
  <si>
    <t>KAU902</t>
  </si>
  <si>
    <t>Ukhiarghona Gudamkata</t>
  </si>
  <si>
    <t>উখিয়ারঘোনা গুদামকাটা</t>
  </si>
  <si>
    <t>KAU903</t>
  </si>
  <si>
    <t>Ukhiarghona Ganiakata</t>
  </si>
  <si>
    <t>উখিয়ারঘোনা গনিয়াকাটা</t>
  </si>
  <si>
    <t>KAU904</t>
  </si>
  <si>
    <t>Ukhiarghona Fakir Para</t>
  </si>
  <si>
    <t>উখিয়ারঘোনা ফকির পাড়া</t>
  </si>
  <si>
    <t>KAU905</t>
  </si>
  <si>
    <t>Dariar Dighi Baradeba</t>
  </si>
  <si>
    <t>দরিয়ার দীঘি বড়ডেবা</t>
  </si>
  <si>
    <t>KHU101</t>
  </si>
  <si>
    <t>Dariar Dighi Khedar Ghona</t>
  </si>
  <si>
    <t>দরিয়ার দীঘি খেদার ঘোনা</t>
  </si>
  <si>
    <t>KHU102</t>
  </si>
  <si>
    <t>Thoaingakata Kalur Dokan</t>
  </si>
  <si>
    <t>থোয়াইংগাকাটা কালুর দোকান</t>
  </si>
  <si>
    <t>KHU103</t>
  </si>
  <si>
    <t>Dariar Dighi Maijkum</t>
  </si>
  <si>
    <t>দরিয়ার দীঘি মাইজকুম</t>
  </si>
  <si>
    <t>KHU104</t>
  </si>
  <si>
    <t>Dariar Dighi Maulovi Para</t>
  </si>
  <si>
    <t>দরিয়ার দীঘি মৌলভী পাড়া</t>
  </si>
  <si>
    <t>KHU105</t>
  </si>
  <si>
    <t>Dariar Dighi Dakkhin Para</t>
  </si>
  <si>
    <t>দরিয়ার দীঘি দক্ষিণ পাড়া</t>
  </si>
  <si>
    <t>KHU106</t>
  </si>
  <si>
    <t>Dariar Dighi Mandol Para</t>
  </si>
  <si>
    <t>দরিয়ার দীঘি মণ্ডল পাড়া</t>
  </si>
  <si>
    <t>KHU107</t>
  </si>
  <si>
    <t>Sikder Para Ashrayan Prakalpa</t>
  </si>
  <si>
    <t>সিকদার পাড়া আশ্রয়ণ প্রকল্প</t>
  </si>
  <si>
    <t>KHU108</t>
  </si>
  <si>
    <t>Dariar Dighi Purba Para</t>
  </si>
  <si>
    <t>দরিয়ার দীঘি পূর্ব পাড়া</t>
  </si>
  <si>
    <t>KHU109</t>
  </si>
  <si>
    <t>Dariar Dighi Madinabag Para</t>
  </si>
  <si>
    <t>দরিয়ার দীঘি মদিনাবাগ পাড়া</t>
  </si>
  <si>
    <t>KHU110</t>
  </si>
  <si>
    <t>Thoaingakata Milghar</t>
  </si>
  <si>
    <t>থোয়াইংগাকাটা মিলঘর</t>
  </si>
  <si>
    <t>KHU111</t>
  </si>
  <si>
    <t>Thoaingakata Jumma Para</t>
  </si>
  <si>
    <t>থোয়াইংগাকাটা জুম্মা পাড়া</t>
  </si>
  <si>
    <t>KHU112</t>
  </si>
  <si>
    <t>Thoaingakata Ghuityabainya</t>
  </si>
  <si>
    <t xml:space="preserve">থোয়াইংগাকাটা ঘুইট্টাবইন্যা
</t>
  </si>
  <si>
    <t>KHU113</t>
  </si>
  <si>
    <t>Thoaingakata Hatir Deba</t>
  </si>
  <si>
    <t>থোয়াইংগাকাটা হাতির ডেবা</t>
  </si>
  <si>
    <t>KHU114</t>
  </si>
  <si>
    <t>Pashchim Thoaingakata</t>
  </si>
  <si>
    <t>পশ্চিম থোয়াইংগাকাটা</t>
  </si>
  <si>
    <t>KHU115</t>
  </si>
  <si>
    <t>Tulabagan Para</t>
  </si>
  <si>
    <t>তুলাবাগান পাড়া</t>
  </si>
  <si>
    <t>KHU201</t>
  </si>
  <si>
    <t>Kalar Para Bhaditala</t>
  </si>
  <si>
    <t>কালার পাড়া ভাদিতলা</t>
  </si>
  <si>
    <t>KHU202</t>
  </si>
  <si>
    <t>Tungadeba Painbagan Para</t>
  </si>
  <si>
    <t>টুংগাডেবা পাইনবাগান পাড়া</t>
  </si>
  <si>
    <t>KHU203</t>
  </si>
  <si>
    <t>Jambagan Barabil</t>
  </si>
  <si>
    <t>জামবাগান বড়বিল</t>
  </si>
  <si>
    <t>KHU204</t>
  </si>
  <si>
    <t>Kechubaniya Pashchimghona</t>
  </si>
  <si>
    <t>কেচুবনিয়া পশ্চিমঘোনা</t>
  </si>
  <si>
    <t>KHU205</t>
  </si>
  <si>
    <t>Chankhola Para</t>
  </si>
  <si>
    <t>ছনখোলা পাড়া</t>
  </si>
  <si>
    <t>KHU206</t>
  </si>
  <si>
    <t>Kaluarkhola Headman Para</t>
  </si>
  <si>
    <t>কালুয়ারখোলা হেডম্যান পাড়া</t>
  </si>
  <si>
    <t>KHU207</t>
  </si>
  <si>
    <t>Kechubaniya Purbaghona</t>
  </si>
  <si>
    <t>কেচুবনিয়া পূর্বঘোনা</t>
  </si>
  <si>
    <t>KHU208</t>
  </si>
  <si>
    <t>পুলিশ ফাঁড়ি</t>
  </si>
  <si>
    <t>KHU209</t>
  </si>
  <si>
    <t>Uttar Khuniapalang Jambagan Para</t>
  </si>
  <si>
    <t>উত্তর খুনিয়াপালং জামবাগান পাড়া</t>
  </si>
  <si>
    <t>KHU301</t>
  </si>
  <si>
    <t>Uttar Khuniapalang Bali Para</t>
  </si>
  <si>
    <t>উত্তর খুনিয়াপালং বলি পাড়া</t>
  </si>
  <si>
    <t>KHU302</t>
  </si>
  <si>
    <t>Uttar Khuniapalang School Pahar</t>
  </si>
  <si>
    <t>উত্তর খুনিয়াপালং স্কুল পাহাড়</t>
  </si>
  <si>
    <t>KHU303</t>
  </si>
  <si>
    <t>Madhyam Khuniapalang</t>
  </si>
  <si>
    <t>মধ্যম খুনিয়াপালং</t>
  </si>
  <si>
    <t>KHU304</t>
  </si>
  <si>
    <t>Madhyam Khuniapalang Jamira Kata</t>
  </si>
  <si>
    <t>মধ্যম খুনিয়াপালং জমিরা কাটা</t>
  </si>
  <si>
    <t>KHU305</t>
  </si>
  <si>
    <t>Dakkhin Khuniapalang</t>
  </si>
  <si>
    <t>দক্ষিণ খুনিয়াপালং</t>
  </si>
  <si>
    <t>KHU306</t>
  </si>
  <si>
    <t>Dakkhin Khuniapalang Master Para</t>
  </si>
  <si>
    <t>দক্ষিণ খুনিয়াপালং মাষ্টার পাড়া</t>
  </si>
  <si>
    <t>KHU307</t>
  </si>
  <si>
    <t>Dakkhin Khuniapalang Gainpara</t>
  </si>
  <si>
    <t>দক্ষিণ খুনিয়াপালং গাইনপাড়া</t>
  </si>
  <si>
    <t>KHU308</t>
  </si>
  <si>
    <t>KHU309</t>
  </si>
  <si>
    <t>Purba Dhechhuapalang Hakim Ali Baper Para</t>
  </si>
  <si>
    <t>পূর্ব ধেছুয়াপালং হাকিম আলী বাপের পাড়া</t>
  </si>
  <si>
    <t>KHU401</t>
  </si>
  <si>
    <t>Purba Dhechhuapalang Madrasa Para</t>
  </si>
  <si>
    <t>পূর্ব ধেছুয়াপালং মাদ্রাসা পাড়া</t>
  </si>
  <si>
    <t>KHU402</t>
  </si>
  <si>
    <t>Purba Dhechhuapalang Sikder Para</t>
  </si>
  <si>
    <t>পূর্ব ধেছুয়াপালং সিকদার পাড়া</t>
  </si>
  <si>
    <t>KHU403</t>
  </si>
  <si>
    <t>Purba Dhechhuapalang Jhumkata</t>
  </si>
  <si>
    <t>পূর্ব ধেছুয়াপালং জুমকাটা</t>
  </si>
  <si>
    <t>KHU404</t>
  </si>
  <si>
    <t>Purba Dhechhuapalang Abul Bandar</t>
  </si>
  <si>
    <t>পূর্ব ধেছুয়াপালং আবুল বন্দর</t>
  </si>
  <si>
    <t>KHU405</t>
  </si>
  <si>
    <t>Purba Dhechhuapalang</t>
  </si>
  <si>
    <t>পূর্ব ধেছুয়াপালং</t>
  </si>
  <si>
    <t>KHU406</t>
  </si>
  <si>
    <t>Uttar Kambonia</t>
  </si>
  <si>
    <t>উত্তর কম্বনিয়া</t>
  </si>
  <si>
    <t>KHU501</t>
  </si>
  <si>
    <t>Madhyam Kambonia</t>
  </si>
  <si>
    <t>মধ্য়ম কম্বনিয়া</t>
  </si>
  <si>
    <t>KHU502</t>
  </si>
  <si>
    <t>Madhyam Dhechhuapalang</t>
  </si>
  <si>
    <t>মধ্যম ধেছুয়াপালং</t>
  </si>
  <si>
    <t>KHU503</t>
  </si>
  <si>
    <t>Dakkhin Dhechhuapalang</t>
  </si>
  <si>
    <t>দক্ষিণ ধেছুয়াপালং</t>
  </si>
  <si>
    <t>KHU504</t>
  </si>
  <si>
    <t>Dakkhin Dhechhuapalang Hirar Dwip Barua Para</t>
  </si>
  <si>
    <t>দক্ষিণ ধেছুয়াপালং হীরার দ্বীপ বড়ুয়া পাড়া</t>
  </si>
  <si>
    <t>KHU505</t>
  </si>
  <si>
    <t>Chadirkata</t>
  </si>
  <si>
    <t>ছাদিরকাটা</t>
  </si>
  <si>
    <t>KHU506</t>
  </si>
  <si>
    <t>Dhoapalang Rabata Para</t>
  </si>
  <si>
    <t>ধোয়াপালং রাবাতা পাড়া</t>
  </si>
  <si>
    <t>KHU601</t>
  </si>
  <si>
    <t>Dhoapalang Office Para</t>
  </si>
  <si>
    <t>ধোয়াপালং অফিস পাড়া</t>
  </si>
  <si>
    <t>KHU602</t>
  </si>
  <si>
    <t>Dhoapalang Pashchim Para</t>
  </si>
  <si>
    <t>ধোয়াপালং পশ্চিম পাড়া</t>
  </si>
  <si>
    <t>KHU603</t>
  </si>
  <si>
    <t>Dhoapalang Nayapara</t>
  </si>
  <si>
    <t>ধোয়াপালং নয়াপাড়া</t>
  </si>
  <si>
    <t>KHU604</t>
  </si>
  <si>
    <t>Dhoapalang Ghonar Para</t>
  </si>
  <si>
    <t>ধোয়াপালং ঘোনার পাড়া</t>
  </si>
  <si>
    <t>KHU605</t>
  </si>
  <si>
    <t>Madhyam Dhoapalang Napit Para</t>
  </si>
  <si>
    <t>মধ্যম ধোয়াপালং নাপিত পাড়া</t>
  </si>
  <si>
    <t>KHU606</t>
  </si>
  <si>
    <t>Purba Dhoapalang Purba Para</t>
  </si>
  <si>
    <t>পূর্ব ধোয়াপালং পূর্ব পাড়া</t>
  </si>
  <si>
    <t>KHU607</t>
  </si>
  <si>
    <t>KHU608</t>
  </si>
  <si>
    <t>Purba Goaliapalang Pahar Para</t>
  </si>
  <si>
    <t>পূর্ব গোয়ালিয়াপালং পাহাড় পাড়া</t>
  </si>
  <si>
    <t>KHU701</t>
  </si>
  <si>
    <t>Purba Goaliapalang Lamar Para</t>
  </si>
  <si>
    <t>পূর্ব গোয়ালিয়াপালং লামার পাড়া</t>
  </si>
  <si>
    <t>KHU702</t>
  </si>
  <si>
    <t>Purba Goaliapalang Chaidarob Para</t>
  </si>
  <si>
    <t>পূর্ব গোয়ালিয়াপালং ছৈয়দারব পাড়া</t>
  </si>
  <si>
    <t>KHU703</t>
  </si>
  <si>
    <t>Purba Goaliapalang Godar Para</t>
  </si>
  <si>
    <t>পূর্ব গোয়ালিয়াপালং গোদার পাড়া</t>
  </si>
  <si>
    <t>KHU704</t>
  </si>
  <si>
    <t>Purba Goaliapalang Chaingaghona</t>
  </si>
  <si>
    <t>পূর্ব গোয়ালিয়াপালং চাইংগাঘোনা</t>
  </si>
  <si>
    <t>KHU705</t>
  </si>
  <si>
    <t>Dakkhin Goaliapalang Taingakata</t>
  </si>
  <si>
    <t>দক্ষিণ গোয়ালিয়াপালং টাইংগাকাটা</t>
  </si>
  <si>
    <t>KHU801</t>
  </si>
  <si>
    <t>Madhyam Goaliapalang Sikder Para</t>
  </si>
  <si>
    <t>মধ্যম গোয়ালিয়াপালং সিকদার পাড়া</t>
  </si>
  <si>
    <t>KHU802</t>
  </si>
  <si>
    <t>Pashchim Goaliapalang Jhugripara</t>
  </si>
  <si>
    <t>পশ্চিম গোয়ালিয়াপালং ঝুগড়িপাড়া</t>
  </si>
  <si>
    <t>KHU803</t>
  </si>
  <si>
    <t>Penchar Dwip Dakkhin Para</t>
  </si>
  <si>
    <t>পেঁচার দ্বীপ দক্ষিণ পাড়া</t>
  </si>
  <si>
    <t>KHU901</t>
  </si>
  <si>
    <t>Penchar Dwip Madhyam Para</t>
  </si>
  <si>
    <t>পেঁচার দ্বীপ মধ্যম পাড়া</t>
  </si>
  <si>
    <t>KHU902</t>
  </si>
  <si>
    <t>Penchar Dwip Karachi Para</t>
  </si>
  <si>
    <t>পেঁচার দ্বীপ করাচী পাড়া</t>
  </si>
  <si>
    <t>KHU903</t>
  </si>
  <si>
    <t>Penchar Dwip Himchhari Para</t>
  </si>
  <si>
    <t>পেঁচার দ্বীপ হিমছড়ি পাড়া</t>
  </si>
  <si>
    <t>KHU904</t>
  </si>
  <si>
    <t>Penchar Dwip Amtalir Chhara</t>
  </si>
  <si>
    <t>পেঁচার দ্বীপ আমতলীর ছড়া</t>
  </si>
  <si>
    <t>KHU905</t>
  </si>
  <si>
    <t>Himchhari Jhorna Bazar</t>
  </si>
  <si>
    <t>হিমছড়ি ঝর্না বাজার</t>
  </si>
  <si>
    <t>KHU906</t>
  </si>
  <si>
    <t>Himchhari Kainda Vanga Pahar Para</t>
  </si>
  <si>
    <t>হিমছড়ি কাইন্দা ভাঙ্গা পাহাড় পাড়া</t>
  </si>
  <si>
    <t>KHU907</t>
  </si>
  <si>
    <t>Himchhari Army Camp</t>
  </si>
  <si>
    <t>হিমছড়ি আর্মি ক্যাম্প</t>
  </si>
  <si>
    <t>KHU908</t>
  </si>
  <si>
    <t>KHU909</t>
  </si>
  <si>
    <t>পুলিশ ফাঁড়ি</t>
  </si>
  <si>
    <t>KHU910</t>
  </si>
  <si>
    <t>RAA101</t>
  </si>
  <si>
    <t>RAA102</t>
  </si>
  <si>
    <t>Dakkhin Dharpara</t>
  </si>
  <si>
    <t>দক্ষিণ ধরপাড়া</t>
  </si>
  <si>
    <t>RAA103</t>
  </si>
  <si>
    <t>Palpara</t>
  </si>
  <si>
    <t>পালপাড়া</t>
  </si>
  <si>
    <t>RAA104</t>
  </si>
  <si>
    <t>Pashchim Haldarkul</t>
  </si>
  <si>
    <t>পশ্চিম হালদারকুল</t>
  </si>
  <si>
    <t>RAA201</t>
  </si>
  <si>
    <t>Naya Palpara</t>
  </si>
  <si>
    <t>নয়া পালপাড়া</t>
  </si>
  <si>
    <t>RAA202</t>
  </si>
  <si>
    <t>Haldarkul</t>
  </si>
  <si>
    <t>হালদারকূল</t>
  </si>
  <si>
    <t>RAA203</t>
  </si>
  <si>
    <t>Purba Haldarkul</t>
  </si>
  <si>
    <t>পূর্ব হালদারকূল</t>
  </si>
  <si>
    <t>RAA204</t>
  </si>
  <si>
    <t>RAA205</t>
  </si>
  <si>
    <t>Pahartali</t>
  </si>
  <si>
    <t>পাহাড়তলি</t>
  </si>
  <si>
    <t>RAA206</t>
  </si>
  <si>
    <t>Pashchim Sikder Para</t>
  </si>
  <si>
    <t>পশ্চিম সিকদার পাড়া</t>
  </si>
  <si>
    <t>RAA301</t>
  </si>
  <si>
    <t>RAA302</t>
  </si>
  <si>
    <t>Sharma Para</t>
  </si>
  <si>
    <t>শর্মা পাড়া</t>
  </si>
  <si>
    <t>RAA303</t>
  </si>
  <si>
    <t>Dakkhin Sikder Para</t>
  </si>
  <si>
    <t>দক্ষিণ সিকদার পাড়া</t>
  </si>
  <si>
    <t>RAA304</t>
  </si>
  <si>
    <t>Pahartali Laijyakata</t>
  </si>
  <si>
    <t>পাহাড়তলী লইজ্যাকাটা</t>
  </si>
  <si>
    <t>RAA305</t>
  </si>
  <si>
    <t>Pashchim Nayapara</t>
  </si>
  <si>
    <t>পশ্চিম নয়াপাড়া</t>
  </si>
  <si>
    <t>RAA401</t>
  </si>
  <si>
    <t>Chowkidar Para</t>
  </si>
  <si>
    <t>চৌকিদার পাড়া</t>
  </si>
  <si>
    <t>RAA402</t>
  </si>
  <si>
    <t>Pashchim Ghonar Para</t>
  </si>
  <si>
    <t>পশ্চিম ঘোনার পাড়া</t>
  </si>
  <si>
    <t>RAA403</t>
  </si>
  <si>
    <t>Adarsha Gram</t>
  </si>
  <si>
    <t>আদর্শ গ্রাম</t>
  </si>
  <si>
    <t>RAA404</t>
  </si>
  <si>
    <t>Ramu Cantoment</t>
  </si>
  <si>
    <t>রামু সেনানিবাস</t>
  </si>
  <si>
    <t>RAA405</t>
  </si>
  <si>
    <t>Ramu Horitculture Center (Narikel Bagan)</t>
  </si>
  <si>
    <t>রামু হর্টিকালচার সেন্টার (নারিকেল বাগান)</t>
  </si>
  <si>
    <t>RAA406</t>
  </si>
  <si>
    <t>RAA501</t>
  </si>
  <si>
    <t>Purba Nayapara</t>
  </si>
  <si>
    <t>পূর্ব নয়াপাড়া</t>
  </si>
  <si>
    <t>RAA502</t>
  </si>
  <si>
    <t>Jaladash Para</t>
  </si>
  <si>
    <t>জলদাশ পাড়া</t>
  </si>
  <si>
    <t>RAA503</t>
  </si>
  <si>
    <t>Deyangpara</t>
  </si>
  <si>
    <t>দেয়াংপাড়া</t>
  </si>
  <si>
    <t>RAA504</t>
  </si>
  <si>
    <t>Kathaliapara</t>
  </si>
  <si>
    <t>কাঠালিয়াপাড়া</t>
  </si>
  <si>
    <t>RAA505</t>
  </si>
  <si>
    <t>Chagoliakata</t>
  </si>
  <si>
    <t>ছাগলিয়াকাটা</t>
  </si>
  <si>
    <t>RAA506</t>
  </si>
  <si>
    <t>RAA601</t>
  </si>
  <si>
    <t>Baidyarkhil</t>
  </si>
  <si>
    <t>বৈদ্যরখীল</t>
  </si>
  <si>
    <t>RAA602</t>
  </si>
  <si>
    <t>Nashirkul</t>
  </si>
  <si>
    <t>নাশিরকুল</t>
  </si>
  <si>
    <t>RAA701</t>
  </si>
  <si>
    <t>Uttar Ghonarpara</t>
  </si>
  <si>
    <t>উত্তর ঘোনারপাড়া</t>
  </si>
  <si>
    <t>RAA702</t>
  </si>
  <si>
    <t>Baharkacha</t>
  </si>
  <si>
    <t>বাহারকাচা</t>
  </si>
  <si>
    <t>RAA703</t>
  </si>
  <si>
    <t>Madhyam Ghonar Para</t>
  </si>
  <si>
    <t>মধ্যম ঘোনার পাড়া</t>
  </si>
  <si>
    <t>RAA704</t>
  </si>
  <si>
    <t>Mogghona</t>
  </si>
  <si>
    <t>মগঘোনা</t>
  </si>
  <si>
    <t>RAA705</t>
  </si>
  <si>
    <t>Panchegana</t>
  </si>
  <si>
    <t>পঞ্চেগানা</t>
  </si>
  <si>
    <t>RAA706</t>
  </si>
  <si>
    <t>Dhalarmukh</t>
  </si>
  <si>
    <t>ঢালারমুখ</t>
  </si>
  <si>
    <t>RAA707</t>
  </si>
  <si>
    <t>RAA708</t>
  </si>
  <si>
    <t>RAA709</t>
  </si>
  <si>
    <t>Purba Rajarkul Hajipara</t>
  </si>
  <si>
    <t>পূর্ব রাজারকুল হাজীপাড়া</t>
  </si>
  <si>
    <t>RAA801</t>
  </si>
  <si>
    <t>Purba Rajarkul Dakkhin Para</t>
  </si>
  <si>
    <t>পূর্ব রাজারকুল দক্ষিণ পাড়া</t>
  </si>
  <si>
    <t>RAA802</t>
  </si>
  <si>
    <t>Purba Rajarkul Pahar Para</t>
  </si>
  <si>
    <t>পূর্ব রাজারকুল পাহাড় পাড়া</t>
  </si>
  <si>
    <t>RAA803</t>
  </si>
  <si>
    <t>Shikolghat Nashirkul</t>
  </si>
  <si>
    <t>শিকলঘাট নাশিরকুল</t>
  </si>
  <si>
    <t>RAA804</t>
  </si>
  <si>
    <t>হাজী পাড়া</t>
  </si>
  <si>
    <t>RAA901</t>
  </si>
  <si>
    <t>Naiapara</t>
  </si>
  <si>
    <t>নাইয়াপাড়া</t>
  </si>
  <si>
    <t>RAA902</t>
  </si>
  <si>
    <t>Pashchim Charpara</t>
  </si>
  <si>
    <t>পশ্চিম চরপাড়া</t>
  </si>
  <si>
    <t>RAA903</t>
  </si>
  <si>
    <t>Pashchim Baruapara</t>
  </si>
  <si>
    <t>পশ্চিম বড়ুয়াপাড়া</t>
  </si>
  <si>
    <t>RAA904</t>
  </si>
  <si>
    <t>RAA905</t>
  </si>
  <si>
    <t>RAA906</t>
  </si>
  <si>
    <t>RAS101</t>
  </si>
  <si>
    <t>RAS102</t>
  </si>
  <si>
    <t>Kahatiapara</t>
  </si>
  <si>
    <t>কাহাতিয়াপাড়া</t>
  </si>
  <si>
    <t>RAS201</t>
  </si>
  <si>
    <t>RAS202</t>
  </si>
  <si>
    <t>Bara Dhalirchhara</t>
  </si>
  <si>
    <t>বড় ধলিরছড়া</t>
  </si>
  <si>
    <t>RAS301</t>
  </si>
  <si>
    <t>Uttar Kahatia Para</t>
  </si>
  <si>
    <t>উত্তর কাহাতিয়া পাড়া</t>
  </si>
  <si>
    <t>RAS401</t>
  </si>
  <si>
    <t>RAS402</t>
  </si>
  <si>
    <t>Kadmar Para</t>
  </si>
  <si>
    <t>কাদমর পাড়া</t>
  </si>
  <si>
    <t>RAS501</t>
  </si>
  <si>
    <t>Purba Kadmarpara</t>
  </si>
  <si>
    <t>পূর্ব কাদমরপাড়া</t>
  </si>
  <si>
    <t>RAS502</t>
  </si>
  <si>
    <t>Hamir Para</t>
  </si>
  <si>
    <t>হামির পাড়া</t>
  </si>
  <si>
    <t>RAS503</t>
  </si>
  <si>
    <t>Purba Hamir Para</t>
  </si>
  <si>
    <t>পূর্ব হামির পাড়া</t>
  </si>
  <si>
    <t>RAS504</t>
  </si>
  <si>
    <t>RAS505</t>
  </si>
  <si>
    <t>Thaliaghona</t>
  </si>
  <si>
    <t>থলিয়াঘোনা</t>
  </si>
  <si>
    <t>RAS601</t>
  </si>
  <si>
    <t>Uttar Nasira Para</t>
  </si>
  <si>
    <t>উত্তর নাছিরা পাড়া</t>
  </si>
  <si>
    <t>RAS602</t>
  </si>
  <si>
    <t>Dakkhin Nasira Para</t>
  </si>
  <si>
    <t>দক্ষিণ নাছিরা পাড়া</t>
  </si>
  <si>
    <t>RAS701</t>
  </si>
  <si>
    <t>Panirchhara (Lamar Para)</t>
  </si>
  <si>
    <t>পানিরছড়া (লামার পাড়া)</t>
  </si>
  <si>
    <t>RAS702</t>
  </si>
  <si>
    <t>Haritala</t>
  </si>
  <si>
    <t>হরিতলা</t>
  </si>
  <si>
    <t>RAS703</t>
  </si>
  <si>
    <t>Dhalirchhara Murapara</t>
  </si>
  <si>
    <t>ধলিরছড়া মুরাপাড়া</t>
  </si>
  <si>
    <t>RAS801</t>
  </si>
  <si>
    <t>Panirchhara Murapara</t>
  </si>
  <si>
    <t>পানিরছড়া মুরাপাড়া</t>
  </si>
  <si>
    <t>RAS802</t>
  </si>
  <si>
    <t>Jeti Para</t>
  </si>
  <si>
    <t>জেটি পাড়া</t>
  </si>
  <si>
    <t>RAS803</t>
  </si>
  <si>
    <t>Jeti Para Lambaghona</t>
  </si>
  <si>
    <t>জেটি পাড়া লম্বাঘোনা</t>
  </si>
  <si>
    <t>RAS804</t>
  </si>
  <si>
    <t>Lambaghona Balu Pahar</t>
  </si>
  <si>
    <t>লম্বাঘোনা বালু পাহাড়</t>
  </si>
  <si>
    <t>RAS805</t>
  </si>
  <si>
    <t>Ultakhali Sikder Para</t>
  </si>
  <si>
    <t>উল্টাখালী সিকদার পাড়া</t>
  </si>
  <si>
    <t>RAS901</t>
  </si>
  <si>
    <t>Ultakhali Murapara</t>
  </si>
  <si>
    <t>উল্টাখালী মুরাপাড়া</t>
  </si>
  <si>
    <t>RAS902</t>
  </si>
  <si>
    <t>Ultakhali Uttarpara</t>
  </si>
  <si>
    <t>উল্টাখালী উত্তরপাড়া</t>
  </si>
  <si>
    <t>RAS903</t>
  </si>
  <si>
    <t>Ukhia</t>
  </si>
  <si>
    <t>Haldia Palang</t>
  </si>
  <si>
    <t>Jalia Palang</t>
  </si>
  <si>
    <t>Palangkhali</t>
  </si>
  <si>
    <t>Rajapalang</t>
  </si>
  <si>
    <t>Ratnapalang</t>
  </si>
  <si>
    <t>Pashchim Marichya Goraiyar Dwip</t>
  </si>
  <si>
    <t>পশ্চিম মরিচ্যা গোরাইয়ার দ্বীপ</t>
  </si>
  <si>
    <t>HAL101</t>
  </si>
  <si>
    <t>Pashchim Marichya Barua Para</t>
  </si>
  <si>
    <t>পশ্চিম মরিচ্যা বড়ুয়া পাড়া</t>
  </si>
  <si>
    <t>HAL102</t>
  </si>
  <si>
    <t>Pashchim And Dakkhin Marichya Setuni Para</t>
  </si>
  <si>
    <t>পশ্চিম ও দক্ষিণ মরিচ্যা সেতুনি পাড়া</t>
  </si>
  <si>
    <t>HAL103</t>
  </si>
  <si>
    <t>Pashchim Marichya</t>
  </si>
  <si>
    <t>পশ্চিম মরিচ্যা</t>
  </si>
  <si>
    <t>HAL104</t>
  </si>
  <si>
    <t>Purba Marichya Madhu Ghona</t>
  </si>
  <si>
    <t>পূর্ব মরিচ্যা মধু ঘোনা</t>
  </si>
  <si>
    <t>HAL105</t>
  </si>
  <si>
    <t>Purba and Maddhyam Marichya</t>
  </si>
  <si>
    <t>পূর্ব ও মধ্যম মরিচ্যা</t>
  </si>
  <si>
    <t>HAL106</t>
  </si>
  <si>
    <t>Purba Marichya Kathaliya</t>
  </si>
  <si>
    <t>পূর্ব মরিচ্যা কাঠালিয়া</t>
  </si>
  <si>
    <t>HAL107</t>
  </si>
  <si>
    <t>Halukiya Para</t>
  </si>
  <si>
    <t>হালুকিয়া পাড়া</t>
  </si>
  <si>
    <t>HAL201</t>
  </si>
  <si>
    <t>Rubberdrem Para</t>
  </si>
  <si>
    <t>রাবারড্রেম পাড়া</t>
  </si>
  <si>
    <t>HAL202</t>
  </si>
  <si>
    <t>HAL203</t>
  </si>
  <si>
    <t>Pashchim Chayakhola</t>
  </si>
  <si>
    <t>পশ্চিম ছায়াখোলা</t>
  </si>
  <si>
    <t>HAL204</t>
  </si>
  <si>
    <t>Bandojya Para</t>
  </si>
  <si>
    <t>বান্দজ্যা পাড়া</t>
  </si>
  <si>
    <t>HAL205</t>
  </si>
  <si>
    <t>HAL206</t>
  </si>
  <si>
    <t>Pashchim Paglir Bil Para</t>
  </si>
  <si>
    <t>পশ্চিম পাগলির বিল পাড়া</t>
  </si>
  <si>
    <t>HAL207</t>
  </si>
  <si>
    <t>Bakta Tali</t>
  </si>
  <si>
    <t>বক্তা তলী</t>
  </si>
  <si>
    <t>HAL301</t>
  </si>
  <si>
    <t>Lengur Bil</t>
  </si>
  <si>
    <t>লেঙ্গুর বিল</t>
  </si>
  <si>
    <t>HAL302</t>
  </si>
  <si>
    <t>Uttar Boro Bil</t>
  </si>
  <si>
    <t>উত্তর বড় বিল</t>
  </si>
  <si>
    <t>HAL303</t>
  </si>
  <si>
    <t>Chayakhola</t>
  </si>
  <si>
    <t>ছায়াখোলা</t>
  </si>
  <si>
    <t>HAL304</t>
  </si>
  <si>
    <t>Bauddha Camp</t>
  </si>
  <si>
    <t>বৌদ্ধ ক্যাম্প</t>
  </si>
  <si>
    <t>HAL305</t>
  </si>
  <si>
    <t>Ashrayon Prokolpo</t>
  </si>
  <si>
    <t>আশ্রয়ন প্রকল্প</t>
  </si>
  <si>
    <t>HAL306</t>
  </si>
  <si>
    <t>Sattar Baper Para</t>
  </si>
  <si>
    <t>সাত্তার বাপের পাড়া</t>
  </si>
  <si>
    <t>HAL307</t>
  </si>
  <si>
    <t>Baluchhara Para</t>
  </si>
  <si>
    <t>বালুছড়া পাড়া</t>
  </si>
  <si>
    <t>HAL401</t>
  </si>
  <si>
    <t>Jahaliyamora Para</t>
  </si>
  <si>
    <t>জাহালিয়ামোরা পাড়া</t>
  </si>
  <si>
    <t>HAL402</t>
  </si>
  <si>
    <t>Uttarkul Noya Para</t>
  </si>
  <si>
    <t>উত্তরকুল নয়া পাড়া</t>
  </si>
  <si>
    <t>HAL403</t>
  </si>
  <si>
    <t>Patabari Para</t>
  </si>
  <si>
    <t>পাতাবাড়ী পাড়া</t>
  </si>
  <si>
    <t>HAL404</t>
  </si>
  <si>
    <t>HAL405</t>
  </si>
  <si>
    <t>Mohammadiya Para</t>
  </si>
  <si>
    <t>মোহাম্মদিয়া পাড়া</t>
  </si>
  <si>
    <t>HAL406</t>
  </si>
  <si>
    <t>Jharnakumar Para</t>
  </si>
  <si>
    <t>ঝর্ণারকুমার পাড়া</t>
  </si>
  <si>
    <t>HAL407</t>
  </si>
  <si>
    <t>Patabari Kheoachhari Lombabil</t>
  </si>
  <si>
    <t>পাতাবাড়ী খেওয়াছড়ি লম্বাবিল</t>
  </si>
  <si>
    <t>HAL408</t>
  </si>
  <si>
    <t>Patabari Kheoachhari Para</t>
  </si>
  <si>
    <t>পাতাবাড়ী খেওয়াছড়ি পাড়া</t>
  </si>
  <si>
    <t>HAL409</t>
  </si>
  <si>
    <t>Purba Kheoachhari Para</t>
  </si>
  <si>
    <t>পূর্ব খেওয়াছড়ি পাড়া</t>
  </si>
  <si>
    <t>HAL410</t>
  </si>
  <si>
    <t>Pashchim Patabari</t>
  </si>
  <si>
    <t>পশ্চিম পাতাবাড়ী</t>
  </si>
  <si>
    <t>HAL411</t>
  </si>
  <si>
    <t>Madhyam Haldia Maolana Para</t>
  </si>
  <si>
    <t>মধ্যম হলদিয়া মাওলানা পাড়া</t>
  </si>
  <si>
    <t>HAL501</t>
  </si>
  <si>
    <t>Madhyam Haldia Sikder Para</t>
  </si>
  <si>
    <t>মধ্যম হলদিয়া সিকদার পাড়া</t>
  </si>
  <si>
    <t>HAL502</t>
  </si>
  <si>
    <t>Haludbania Para</t>
  </si>
  <si>
    <t>হলুদবনিয়া পাড়া</t>
  </si>
  <si>
    <t>HAL503</t>
  </si>
  <si>
    <t>HAL504</t>
  </si>
  <si>
    <t>Nalbania Para (Part)</t>
  </si>
  <si>
    <t>আংশিক নলবনিয়া পাড়া</t>
  </si>
  <si>
    <t>HAL505</t>
  </si>
  <si>
    <t>Nalbania Mistri Baper Para</t>
  </si>
  <si>
    <t>নলবনিয়া মিস্ত্রি বাপের পাড়া</t>
  </si>
  <si>
    <t>HAL506</t>
  </si>
  <si>
    <t>Ghatir Para</t>
  </si>
  <si>
    <t>ঘাটির পাড়া</t>
  </si>
  <si>
    <t>HAL507</t>
  </si>
  <si>
    <t>Nasir Para</t>
  </si>
  <si>
    <t>নাসির পাড়া</t>
  </si>
  <si>
    <t>HAL508</t>
  </si>
  <si>
    <t>HAL509</t>
  </si>
  <si>
    <t>Madhyam Haldia Para (Part)</t>
  </si>
  <si>
    <t>মধ্যম হলদিয়া পাড়া (আংশিক)</t>
  </si>
  <si>
    <t>HAL601</t>
  </si>
  <si>
    <t>Pashchim Haldia Palong</t>
  </si>
  <si>
    <t>পশ্চিম হলদিয়া পালং</t>
  </si>
  <si>
    <t>HAL602</t>
  </si>
  <si>
    <t>Pashchim Haldia Dakua Para</t>
  </si>
  <si>
    <t>পশ্চিম হলদিয়া ডাকুয়া পাড়া</t>
  </si>
  <si>
    <t>HAL603</t>
  </si>
  <si>
    <t>HAL604</t>
  </si>
  <si>
    <t>Pallan Para</t>
  </si>
  <si>
    <t>পল্লান পাড়া</t>
  </si>
  <si>
    <t>HAL605</t>
  </si>
  <si>
    <t>Dakkhin Class Para</t>
  </si>
  <si>
    <t>দক্ষিণ ক্লাস পাড়া</t>
  </si>
  <si>
    <t>HAL701</t>
  </si>
  <si>
    <t>Maddhyam Class Para</t>
  </si>
  <si>
    <t>মধ্যম ক্লাস পাড়া</t>
  </si>
  <si>
    <t>HAL702</t>
  </si>
  <si>
    <t>Rumkha Maulovi Para</t>
  </si>
  <si>
    <t>রুঁমখা মৌলভী পাড়া</t>
  </si>
  <si>
    <t>HAL703</t>
  </si>
  <si>
    <t>Pashchim Boro Bil Para</t>
  </si>
  <si>
    <t>পশ্চিম বড় বিল পাড়া</t>
  </si>
  <si>
    <t>HAL704</t>
  </si>
  <si>
    <t>Madhyam Bara Bil Para</t>
  </si>
  <si>
    <t>মধ্যম বড় বিল পাড়া</t>
  </si>
  <si>
    <t>HAL705</t>
  </si>
  <si>
    <t>Hatir Ghona Para</t>
  </si>
  <si>
    <t>হাতির ঘোনা পাড়া</t>
  </si>
  <si>
    <t>HAL706</t>
  </si>
  <si>
    <t>Asot Alir Para</t>
  </si>
  <si>
    <t>আসত আলীর পাড়া</t>
  </si>
  <si>
    <t>HAL707</t>
  </si>
  <si>
    <t>Uttar Khondokar Para</t>
  </si>
  <si>
    <t>উত্তর খোন্দকার পাড়া</t>
  </si>
  <si>
    <t>HAL708</t>
  </si>
  <si>
    <t>Jonab Alir Para</t>
  </si>
  <si>
    <t>জনাব আলীর পাড়া</t>
  </si>
  <si>
    <t>HAL801</t>
  </si>
  <si>
    <t>Rumkha Hajir Para</t>
  </si>
  <si>
    <t>রুঁমখা হাজির পাড়া</t>
  </si>
  <si>
    <t>HAL802</t>
  </si>
  <si>
    <t>Rumkha Natun Para</t>
  </si>
  <si>
    <t>রুঁমখা নতুন পাড়া</t>
  </si>
  <si>
    <t>HAL803</t>
  </si>
  <si>
    <t>Mahajan Para</t>
  </si>
  <si>
    <t>মহাজন পাড়া</t>
  </si>
  <si>
    <t>HAL804</t>
  </si>
  <si>
    <t>Rumkha Napit Para</t>
  </si>
  <si>
    <t>রুঁমখা নাপিত পাড়া</t>
  </si>
  <si>
    <t>HAL805</t>
  </si>
  <si>
    <t>Rumkha Pashchim Barua Para</t>
  </si>
  <si>
    <t>রুঁমখা পশ্চিম বড়ুয়া পাড়া</t>
  </si>
  <si>
    <t>HAL806</t>
  </si>
  <si>
    <t>HAL901</t>
  </si>
  <si>
    <t>Gorachan Matbor Para</t>
  </si>
  <si>
    <t>গুরাচান মাতবর পাড়া</t>
  </si>
  <si>
    <t>HAL902</t>
  </si>
  <si>
    <t>HAL903</t>
  </si>
  <si>
    <t>Teli Para</t>
  </si>
  <si>
    <t>তেলী পাড়া</t>
  </si>
  <si>
    <t>HAL904</t>
  </si>
  <si>
    <t>HAL905</t>
  </si>
  <si>
    <t>HAL906</t>
  </si>
  <si>
    <t>Pashchim Painyashia Beat Office Para</t>
  </si>
  <si>
    <t>পশ্চিম পাইন্যাশিয়া বিট অফিস পাড়া</t>
  </si>
  <si>
    <t>JAL101</t>
  </si>
  <si>
    <t>Cakkata Kala Chandar Khola Para</t>
  </si>
  <si>
    <t>চাককাটা কালা চান্দার খুলা পাড়া</t>
  </si>
  <si>
    <t>JAL102</t>
  </si>
  <si>
    <t>Painyashiya Jumma Para</t>
  </si>
  <si>
    <t>পাইন্যাশিয়া জুম্মা পাড়া</t>
  </si>
  <si>
    <t>JAL103</t>
  </si>
  <si>
    <t>Dakkhin Painyashiya Para</t>
  </si>
  <si>
    <t>দক্ষিণ পাইন্যাশিয়া পাড়া</t>
  </si>
  <si>
    <t>JAL104</t>
  </si>
  <si>
    <t>Purba Painyashiya Miyaji Para</t>
  </si>
  <si>
    <t>পূর্ব পাইন্যাশিয়া মিয়াজী পাড়া</t>
  </si>
  <si>
    <t>JAL105</t>
  </si>
  <si>
    <t>Purba Painyashiya Barua Para</t>
  </si>
  <si>
    <t>পূর্ব পাইন্যাশিয়া বড়ুয়া পাড়া</t>
  </si>
  <si>
    <t>JAL106</t>
  </si>
  <si>
    <t>Purba Painyashiya Char Para</t>
  </si>
  <si>
    <t>পূর্ব পাইন্যাশিয়াচর পাড়া</t>
  </si>
  <si>
    <t>JAL107</t>
  </si>
  <si>
    <t>Purba Painyashiya Khiara Para</t>
  </si>
  <si>
    <t>পূর্ব পাইন্যাশিয়া খইরা পাড়া</t>
  </si>
  <si>
    <t>JAL108</t>
  </si>
  <si>
    <t>Madhyam Painnashiya Anair Para</t>
  </si>
  <si>
    <t>মধ্যম পাইন্যাশিয়া আনাইর পাড়া</t>
  </si>
  <si>
    <t>JAL109</t>
  </si>
  <si>
    <t>Dakkhin Jumma Para</t>
  </si>
  <si>
    <t>দক্ষিণ জুম্মা পাড়া</t>
  </si>
  <si>
    <t>JAL110</t>
  </si>
  <si>
    <t>Painyashiya Fakir Baper Para</t>
  </si>
  <si>
    <t>পাইন্যাশিয়া ফকির বাপের পাড়া </t>
  </si>
  <si>
    <t>JAL111</t>
  </si>
  <si>
    <t>JAL201</t>
  </si>
  <si>
    <t>Uttar Sonaichari Para</t>
  </si>
  <si>
    <t>উত্তর সোনাইছড়ি পাড়া</t>
  </si>
  <si>
    <t>JAL202</t>
  </si>
  <si>
    <t>Pashchim Sonaichari</t>
  </si>
  <si>
    <t>পশ্চিম সোনাইছড়ি</t>
  </si>
  <si>
    <t>JAL203</t>
  </si>
  <si>
    <t>Dakkhin Pashchim Sonaichari</t>
  </si>
  <si>
    <t>দক্ষিণ পশ্চিম সোনাইছড়ি</t>
  </si>
  <si>
    <t>JAL204</t>
  </si>
  <si>
    <t>Samiti Ghona Para</t>
  </si>
  <si>
    <t>সমিতি ঘোনা পাড়া</t>
  </si>
  <si>
    <t>JAL205</t>
  </si>
  <si>
    <t>Dakkhin Purba Sonaichari Beat Office Para</t>
  </si>
  <si>
    <t>দক্ষিণ পূর্ব সোনাইছড়ি বিট অফিস পাড়া</t>
  </si>
  <si>
    <t>JAL206</t>
  </si>
  <si>
    <t>Dighir Bil Para</t>
  </si>
  <si>
    <t>দীঘির বিল পাড়া</t>
  </si>
  <si>
    <t>JAL207</t>
  </si>
  <si>
    <t>JAL208</t>
  </si>
  <si>
    <t>Goraiyar Dwip Para</t>
  </si>
  <si>
    <t>গোরাইয়ার দ্বীপ পাড়া</t>
  </si>
  <si>
    <t>JAL209</t>
  </si>
  <si>
    <t>Dakkhin Sonaichari Para</t>
  </si>
  <si>
    <t>দক্ষিণ সোনাইছড়ি পাড়া</t>
  </si>
  <si>
    <t>JAL210</t>
  </si>
  <si>
    <t>Union Parishod Para</t>
  </si>
  <si>
    <t>ইউনিয়ন পরিষদ পাড়া</t>
  </si>
  <si>
    <t>JAL301</t>
  </si>
  <si>
    <t>JAL302</t>
  </si>
  <si>
    <t>Uttar Pashchim Sonar Para</t>
  </si>
  <si>
    <t>উত্তর পশ্চিম সোনার পাড়া</t>
  </si>
  <si>
    <t>JAL303</t>
  </si>
  <si>
    <t>Ghat Ghor Para</t>
  </si>
  <si>
    <t>ঘাট ঘর পাড়া</t>
  </si>
  <si>
    <t>JAL304</t>
  </si>
  <si>
    <t>Jhau Bagan (Char Para)</t>
  </si>
  <si>
    <t>ঝাউ বাগান (চর পাড়া)</t>
  </si>
  <si>
    <t>JAL305</t>
  </si>
  <si>
    <t>Purba Sonar Para</t>
  </si>
  <si>
    <t>পূর্ব সোনার পাড়া</t>
  </si>
  <si>
    <t>JAL306</t>
  </si>
  <si>
    <t>Dakkhin Pashchim Ghonar Para</t>
  </si>
  <si>
    <t>দক্ষিণ পশ্চিম ঘোনার পাড়া </t>
  </si>
  <si>
    <t>JAL307</t>
  </si>
  <si>
    <t>JAL308</t>
  </si>
  <si>
    <t>Purbo Sonar Para Moulovir Jum</t>
  </si>
  <si>
    <t>পূর্ব সোনারপাড়া মৌলভীর জুম</t>
  </si>
  <si>
    <t>JAL309</t>
  </si>
  <si>
    <t>Jagirar Tek</t>
  </si>
  <si>
    <t>জাগিরার টেক</t>
  </si>
  <si>
    <t>JAL401</t>
  </si>
  <si>
    <t>Purbo Dail Para</t>
  </si>
  <si>
    <t>পূর্ব ডেইল পাড়া</t>
  </si>
  <si>
    <t>JAL402</t>
  </si>
  <si>
    <t>Pashchim Dail Para</t>
  </si>
  <si>
    <t>পশ্চিম ডেইল পাড়া</t>
  </si>
  <si>
    <t>JAL403</t>
  </si>
  <si>
    <t>Tetoltala Pahar Kata</t>
  </si>
  <si>
    <t>তেঁতুলতলা পাহাড় কাটা</t>
  </si>
  <si>
    <t>JAL404</t>
  </si>
  <si>
    <t>Dail Para Asroyan Prokolpo</t>
  </si>
  <si>
    <t>ডেইল পাড়া আশ্রয়ন প্রকল্প</t>
  </si>
  <si>
    <t>JAL405</t>
  </si>
  <si>
    <t>JAL406</t>
  </si>
  <si>
    <t>Madhyam Nidania</t>
  </si>
  <si>
    <t>মধ্যম নিধানিয়া</t>
  </si>
  <si>
    <t>JAL407</t>
  </si>
  <si>
    <t>Uttar Nidania</t>
  </si>
  <si>
    <t>উত্তর নিধানিয়া</t>
  </si>
  <si>
    <t>JAL408</t>
  </si>
  <si>
    <t>Purba Nurar Dail Para</t>
  </si>
  <si>
    <t>পূর্ব নুরার ডেইল পাড়া</t>
  </si>
  <si>
    <t>JAL501</t>
  </si>
  <si>
    <t>Madhyam Nidania Para</t>
  </si>
  <si>
    <t>মধ্যম নিদানিয়া পাড়া</t>
  </si>
  <si>
    <t>JAL502</t>
  </si>
  <si>
    <t>Dakkhin Nidania Para</t>
  </si>
  <si>
    <t>দক্ষিণ নিদানিয়া পাড়া</t>
  </si>
  <si>
    <t>JAL503</t>
  </si>
  <si>
    <t>Bara Inani Battali Para</t>
  </si>
  <si>
    <t>বড় ইনানী বটতলী পাড়া</t>
  </si>
  <si>
    <t>JAL601</t>
  </si>
  <si>
    <t xml:space="preserve">Bara Inani </t>
  </si>
  <si>
    <t>বড় ইনানী</t>
  </si>
  <si>
    <t>JAL602</t>
  </si>
  <si>
    <t>Bara Inani Ghonar Mor</t>
  </si>
  <si>
    <t>বড় ইনানী ঘোনার মোড়</t>
  </si>
  <si>
    <t>JAL603</t>
  </si>
  <si>
    <t>Choto Inani Para</t>
  </si>
  <si>
    <t>ছোট ইনানী পাড়া</t>
  </si>
  <si>
    <t>JAL604</t>
  </si>
  <si>
    <t>Choto Inani Tek Para</t>
  </si>
  <si>
    <t>ছোট ইনানী টেক পাড়া </t>
  </si>
  <si>
    <t>JAL605</t>
  </si>
  <si>
    <t>Coast Guard</t>
  </si>
  <si>
    <t>কোস্ট গার্ড</t>
  </si>
  <si>
    <t>JAL606</t>
  </si>
  <si>
    <t>Md. Shofir Bill</t>
  </si>
  <si>
    <t>মোঃ শফির বিল</t>
  </si>
  <si>
    <t>JAL701</t>
  </si>
  <si>
    <t>Patuartek</t>
  </si>
  <si>
    <t>পাটুয়ারটেক</t>
  </si>
  <si>
    <t>JAL702</t>
  </si>
  <si>
    <t>চেংছড়ি পাড়া</t>
  </si>
  <si>
    <t>JAL703</t>
  </si>
  <si>
    <t>Ruppati</t>
  </si>
  <si>
    <t>রূপপতি</t>
  </si>
  <si>
    <t>JAL704</t>
  </si>
  <si>
    <t>Chengchari Chakma Para</t>
  </si>
  <si>
    <t>চেংছড়ি চাকমা পাড়া</t>
  </si>
  <si>
    <t>JAL705</t>
  </si>
  <si>
    <t>Bailla Khali</t>
  </si>
  <si>
    <t>বাইল্ল্যা খালি</t>
  </si>
  <si>
    <t>JAL706</t>
  </si>
  <si>
    <t>Imamer Dail</t>
  </si>
  <si>
    <t>ইমামের ডেইল</t>
  </si>
  <si>
    <t>JAL707</t>
  </si>
  <si>
    <t>Chepotkhali Purba Para</t>
  </si>
  <si>
    <t>ছেপটখালি পূর্ব পাড়া</t>
  </si>
  <si>
    <t>JAL801</t>
  </si>
  <si>
    <t>Chepotkhali Pashchim Para</t>
  </si>
  <si>
    <t>ছেপটখালি পশ্চিম পাড়া</t>
  </si>
  <si>
    <t>JAL802</t>
  </si>
  <si>
    <t>Madar Bonia Pashchim Para</t>
  </si>
  <si>
    <t>মাদার বনিয়া পশ্চিম পাড়া</t>
  </si>
  <si>
    <t>JAL803</t>
  </si>
  <si>
    <t>Choangkhali</t>
  </si>
  <si>
    <t>চোয়াংখালী</t>
  </si>
  <si>
    <t>JAL804</t>
  </si>
  <si>
    <t>Boyangkhali</t>
  </si>
  <si>
    <t>বোয়াংখালী</t>
  </si>
  <si>
    <t>JAL805</t>
  </si>
  <si>
    <t>Madar Bonia Chakma Para</t>
  </si>
  <si>
    <t>মাদার বনিয়া চাকমা পাড়া</t>
  </si>
  <si>
    <t>JAL806</t>
  </si>
  <si>
    <t>JAL901</t>
  </si>
  <si>
    <t>Chepotkhali Sikdar Para</t>
  </si>
  <si>
    <t>ছেপটখালি সিকদার পাড়া</t>
  </si>
  <si>
    <t>JAL902</t>
  </si>
  <si>
    <t>Monkhali</t>
  </si>
  <si>
    <t>মনখালি</t>
  </si>
  <si>
    <t>JAL903</t>
  </si>
  <si>
    <t>Monkhali Bottali</t>
  </si>
  <si>
    <t>মনখালি বটতলি</t>
  </si>
  <si>
    <t>JAL904</t>
  </si>
  <si>
    <t>Monkhali Konar Para</t>
  </si>
  <si>
    <t>মনখালি কোনার পাড়া</t>
  </si>
  <si>
    <t>JAL905</t>
  </si>
  <si>
    <t>Monkhali Jum Para</t>
  </si>
  <si>
    <t>মনখালি জুম পাড়া</t>
  </si>
  <si>
    <t>JAL906</t>
  </si>
  <si>
    <t>Chepotkhali Natun Cakma Para</t>
  </si>
  <si>
    <t>ছেপটখালি নতুন চাকমা পাড়া</t>
  </si>
  <si>
    <t>JAL907</t>
  </si>
  <si>
    <t>Monkhali Chakma Para</t>
  </si>
  <si>
    <t>মনখালি চাকমা পাড়া</t>
  </si>
  <si>
    <t>JAL908</t>
  </si>
  <si>
    <t>Balukhali Ukhiyar Ghat</t>
  </si>
  <si>
    <t>বালুখালি উখিয়ার ঘাট</t>
  </si>
  <si>
    <t>PAL101</t>
  </si>
  <si>
    <t>Purba Balukhali Puraton Bazar</t>
  </si>
  <si>
    <t>পূর্ব বালুখালি পুরাতন বাজার</t>
  </si>
  <si>
    <t>PAL102</t>
  </si>
  <si>
    <t>Bhanu Baper Khil</t>
  </si>
  <si>
    <t>বানু বাপের খীল</t>
  </si>
  <si>
    <t>PAL201</t>
  </si>
  <si>
    <t>Jomidar Para</t>
  </si>
  <si>
    <t>জমিদার পাড়া</t>
  </si>
  <si>
    <t>PAL202</t>
  </si>
  <si>
    <t>Shialia Para</t>
  </si>
  <si>
    <t>শিয়ালীয়া পাড়া</t>
  </si>
  <si>
    <t>PAL203</t>
  </si>
  <si>
    <t>Balukhalir Chara</t>
  </si>
  <si>
    <t>বালুখালির ছড়া</t>
  </si>
  <si>
    <t>PAL204</t>
  </si>
  <si>
    <t>Dhamonkhali</t>
  </si>
  <si>
    <t>ধামনখালী</t>
  </si>
  <si>
    <t>PAL205</t>
  </si>
  <si>
    <t>Uttar Rohmoter Bill</t>
  </si>
  <si>
    <t>উত্তর রহমতের বিল</t>
  </si>
  <si>
    <t>PAL301</t>
  </si>
  <si>
    <t>Dakkhin Rohmoter Bill</t>
  </si>
  <si>
    <t>দক্ষিণ রহমতের বিল</t>
  </si>
  <si>
    <t>PAL302</t>
  </si>
  <si>
    <t>Pashchim Rohmoter Bill Citakhola</t>
  </si>
  <si>
    <t>পশ্চিম রহমতের বিল চিতাখোলা</t>
  </si>
  <si>
    <t>PAL303</t>
  </si>
  <si>
    <t>Churakhola</t>
  </si>
  <si>
    <t>চুরাখোলা</t>
  </si>
  <si>
    <t>PAL401</t>
  </si>
  <si>
    <t>Tajnimar Khola</t>
  </si>
  <si>
    <t>তাজনিমার খোলা</t>
  </si>
  <si>
    <t>PAL402</t>
  </si>
  <si>
    <t>Pashchim Thaingkhali</t>
  </si>
  <si>
    <t>পশ্চিম থাইংখালী</t>
  </si>
  <si>
    <t>PAL404</t>
  </si>
  <si>
    <t>Gouwj Ghona Para</t>
  </si>
  <si>
    <t>গৌজ ঘোনা পাড়া</t>
  </si>
  <si>
    <t>PAL405</t>
  </si>
  <si>
    <t>Thaingkhali Pondit Para</t>
  </si>
  <si>
    <t>থাইংখালী পন্ডিত পাড়া</t>
  </si>
  <si>
    <t>PAL501</t>
  </si>
  <si>
    <t>Thaingkhali Asar Para</t>
  </si>
  <si>
    <t>থাইংখালী আসার পাড়া</t>
  </si>
  <si>
    <t>PAL502</t>
  </si>
  <si>
    <t>Dakkhin Thaingkhali Putibania</t>
  </si>
  <si>
    <t>দক্ষিণ থাইংখালী পুটিবনিয়া</t>
  </si>
  <si>
    <t>PAL503</t>
  </si>
  <si>
    <t>Thaingkhali Jamtoli</t>
  </si>
  <si>
    <t>থাইংখালী জামতলী</t>
  </si>
  <si>
    <t>PAL504</t>
  </si>
  <si>
    <t>Thaingkhali Hakim Para</t>
  </si>
  <si>
    <t>থাইংখালী হাকিম পাড়া</t>
  </si>
  <si>
    <t>PAL506</t>
  </si>
  <si>
    <t>Telkhola</t>
  </si>
  <si>
    <t>তেলখোলা</t>
  </si>
  <si>
    <t>PAL601</t>
  </si>
  <si>
    <t>Telkhola Battali</t>
  </si>
  <si>
    <t>তেলখোলা বটতলী</t>
  </si>
  <si>
    <t>PAL602</t>
  </si>
  <si>
    <t>Mochharkhola</t>
  </si>
  <si>
    <t>মোছারখোলা</t>
  </si>
  <si>
    <t>PAL603</t>
  </si>
  <si>
    <t>Mochharkhola Barotoli</t>
  </si>
  <si>
    <t>মোছারখোলা বড়তলী</t>
  </si>
  <si>
    <t>PAL604</t>
  </si>
  <si>
    <t>Jambonia Mosarkhola</t>
  </si>
  <si>
    <t>জাম্বুনিয়া মোছারখোলা</t>
  </si>
  <si>
    <t>PAL605</t>
  </si>
  <si>
    <t>Pashchim Palangkhali</t>
  </si>
  <si>
    <t>পশ্চিম পালংখালী</t>
  </si>
  <si>
    <t>PAL701</t>
  </si>
  <si>
    <t>Palangkhali Goiyalmara</t>
  </si>
  <si>
    <t>পালংখালী গয়ালমারা</t>
  </si>
  <si>
    <t>PAL702</t>
  </si>
  <si>
    <t>Purbo Palangkhali</t>
  </si>
  <si>
    <t>পূর্ব পালংখালী</t>
  </si>
  <si>
    <t>PAL703</t>
  </si>
  <si>
    <t>Chowkhali</t>
  </si>
  <si>
    <t>চৌখালী</t>
  </si>
  <si>
    <t>PAL704</t>
  </si>
  <si>
    <t>Palangkhali Kedar Khola</t>
  </si>
  <si>
    <t>পালংখালী কেদার খোলা</t>
  </si>
  <si>
    <t>PAL705</t>
  </si>
  <si>
    <t>Purbo Palangkhali Ghonar Para</t>
  </si>
  <si>
    <t>পূর্ব পালংখালী ঘোনার পাড়া</t>
  </si>
  <si>
    <t>PAL706</t>
  </si>
  <si>
    <t>Madhyam Farirbill</t>
  </si>
  <si>
    <t>মধ্যম ফারিরবিল</t>
  </si>
  <si>
    <t>PAL801</t>
  </si>
  <si>
    <t>Nalbania</t>
  </si>
  <si>
    <t>নলবনিয়া</t>
  </si>
  <si>
    <t>PAL802</t>
  </si>
  <si>
    <t>Pashchim Farirbill</t>
  </si>
  <si>
    <t>পশ্চিম ফারিরবিল</t>
  </si>
  <si>
    <t>PAL803</t>
  </si>
  <si>
    <t>Bochar Ghona</t>
  </si>
  <si>
    <t>বুচার ঘোনা</t>
  </si>
  <si>
    <t>PAL804</t>
  </si>
  <si>
    <t>Bhaditala</t>
  </si>
  <si>
    <t>ভাদীতলা</t>
  </si>
  <si>
    <t>PAL805</t>
  </si>
  <si>
    <t>Purbo Farirbill</t>
  </si>
  <si>
    <t>পূর্ব ফারিরবিল</t>
  </si>
  <si>
    <t>PAL901</t>
  </si>
  <si>
    <t>Purbo Farirbill Koraci Para</t>
  </si>
  <si>
    <t>পূর্ব ফারিরবিল করাচি পাড়া</t>
  </si>
  <si>
    <t>PAL902</t>
  </si>
  <si>
    <t>Purbo Farirbill Bakkol Ghona</t>
  </si>
  <si>
    <t>পূর্ব ফারিরবিল বাক্কল ঘোনা</t>
  </si>
  <si>
    <t>PAL903</t>
  </si>
  <si>
    <t>Purbo Farirbill Chowdhary Para</t>
  </si>
  <si>
    <t>পূর্ব ফারিরবিল চৌধুরী পাড়া</t>
  </si>
  <si>
    <t>PAL904</t>
  </si>
  <si>
    <t>Purbo Farirbill Yunus Baro Para</t>
  </si>
  <si>
    <t>পূর্ব ফারিরবিল ইউনুস বড় পাড়া</t>
  </si>
  <si>
    <t>PAL905</t>
  </si>
  <si>
    <t>Anjuman Para</t>
  </si>
  <si>
    <t>আনজুমান পাড়া</t>
  </si>
  <si>
    <t>PAL906</t>
  </si>
  <si>
    <t>Tuturbill Para</t>
  </si>
  <si>
    <t>তুতুরবিল পাড়া</t>
  </si>
  <si>
    <t>RAP101</t>
  </si>
  <si>
    <t>Rejurkul Para</t>
  </si>
  <si>
    <t>রেজুরকুল পাড়া</t>
  </si>
  <si>
    <t>RAP102</t>
  </si>
  <si>
    <t>Pingirkul Para</t>
  </si>
  <si>
    <t>পিঞ্জিরকুল পাড়া</t>
  </si>
  <si>
    <t>RAP103</t>
  </si>
  <si>
    <t>Kamarial Bill Para</t>
  </si>
  <si>
    <t>কামারিয়াল বিল পাড়া</t>
  </si>
  <si>
    <t>RAP201</t>
  </si>
  <si>
    <t>Uttar Pukuria</t>
  </si>
  <si>
    <t>উত্তর পুকুরিয়া</t>
  </si>
  <si>
    <t>RAP202</t>
  </si>
  <si>
    <t>Uttar Pukuria Teli Para</t>
  </si>
  <si>
    <t>উত্তর পুকুরিয়া তেলি পাড়া</t>
  </si>
  <si>
    <t>RAP203</t>
  </si>
  <si>
    <t>Madhya Rajapalang</t>
  </si>
  <si>
    <t>মধ্য রাজাপালং</t>
  </si>
  <si>
    <t>RAP204</t>
  </si>
  <si>
    <t>Kashiyar Bill</t>
  </si>
  <si>
    <t>কাশিয়ার বিল</t>
  </si>
  <si>
    <t>RAP205</t>
  </si>
  <si>
    <t>রাজাপালং</t>
  </si>
  <si>
    <t>RAP206</t>
  </si>
  <si>
    <t>Rajapalang Jadi Mora</t>
  </si>
  <si>
    <t>রাজাপালং জাদি মোরা</t>
  </si>
  <si>
    <t>RAP207</t>
  </si>
  <si>
    <t>Dakkhin Pukuria</t>
  </si>
  <si>
    <t>দক্ষিণ পুকুরিয়া</t>
  </si>
  <si>
    <t>RAP208</t>
  </si>
  <si>
    <t>Dakkhin Pukuria Gayalmara</t>
  </si>
  <si>
    <t>দক্ষিণ পুকুরিয়া গয়ালমারা</t>
  </si>
  <si>
    <t>RAP209</t>
  </si>
  <si>
    <t>Rajapalang Hizlia</t>
  </si>
  <si>
    <t>রাজাপালং হিজলিয়া</t>
  </si>
  <si>
    <t>RAP210</t>
  </si>
  <si>
    <t>Bagan Pahar Para</t>
  </si>
  <si>
    <t>বাগান পাহার পাড়া</t>
  </si>
  <si>
    <t>RAP301</t>
  </si>
  <si>
    <t>Harin Mara</t>
  </si>
  <si>
    <t>হরিণ মারা</t>
  </si>
  <si>
    <t>RAP302</t>
  </si>
  <si>
    <t>Harasiya</t>
  </si>
  <si>
    <t>হারাশিয়া</t>
  </si>
  <si>
    <t>RAP303</t>
  </si>
  <si>
    <t>Amin Para</t>
  </si>
  <si>
    <t>আমিন পাড়া</t>
  </si>
  <si>
    <t>RAP304</t>
  </si>
  <si>
    <t>Khairati Para</t>
  </si>
  <si>
    <t>খয়রাতি পাড়া</t>
  </si>
  <si>
    <t>RAP305</t>
  </si>
  <si>
    <t>Cengkhola</t>
  </si>
  <si>
    <t>চেংখোলা</t>
  </si>
  <si>
    <t>RAP306</t>
  </si>
  <si>
    <t xml:space="preserve">Dochhari  </t>
  </si>
  <si>
    <t>দোছড়ি</t>
  </si>
  <si>
    <t>RAP307</t>
  </si>
  <si>
    <t>Jarailtoli Narsary</t>
  </si>
  <si>
    <t>জারাইতলি নার্সারি</t>
  </si>
  <si>
    <t>RAP308</t>
  </si>
  <si>
    <t>Techori Para</t>
  </si>
  <si>
    <t>তেছরী পাড়া</t>
  </si>
  <si>
    <t>RAP309</t>
  </si>
  <si>
    <t>Pashchim Diglia</t>
  </si>
  <si>
    <t>পশ্চিম ডিগলিয়া</t>
  </si>
  <si>
    <t>RAP401</t>
  </si>
  <si>
    <t>Purbo Diglia</t>
  </si>
  <si>
    <t>পূর্ব ডিগলিয়া</t>
  </si>
  <si>
    <t>RAP402</t>
  </si>
  <si>
    <t>Chakboitha</t>
  </si>
  <si>
    <t>চাকবৈঠা</t>
  </si>
  <si>
    <t>RAP403</t>
  </si>
  <si>
    <t>Pashchim Sikdar Bill</t>
  </si>
  <si>
    <t>পশ্চিম সিকদার বিল</t>
  </si>
  <si>
    <t>RAP501</t>
  </si>
  <si>
    <t>Purbo Sikdar Bill</t>
  </si>
  <si>
    <t>পূর্ব সিকদার বিল</t>
  </si>
  <si>
    <t>RAP502</t>
  </si>
  <si>
    <t>Madhyam Sikdar Bill</t>
  </si>
  <si>
    <t>মধ্যম সিকদার বিল</t>
  </si>
  <si>
    <t>RAP503</t>
  </si>
  <si>
    <t>Pashchim Sikdar Bill Battoli</t>
  </si>
  <si>
    <t>পশ্চিম সিকদার বিল বটতলী</t>
  </si>
  <si>
    <t>RAP504</t>
  </si>
  <si>
    <t>Haspatal Sorok</t>
  </si>
  <si>
    <t>হাসপাতাল সড়ক</t>
  </si>
  <si>
    <t>RAP505</t>
  </si>
  <si>
    <t>Gilatoli</t>
  </si>
  <si>
    <t>ঘিলাতলী</t>
  </si>
  <si>
    <t>RAP506</t>
  </si>
  <si>
    <t>Patabari</t>
  </si>
  <si>
    <t>পাতাবাড়ী</t>
  </si>
  <si>
    <t>RAP507</t>
  </si>
  <si>
    <t>Sikdar Bill Moulovi Para</t>
  </si>
  <si>
    <t>সিকদার বিল মৌলভী পাড়া</t>
  </si>
  <si>
    <t>RAP508</t>
  </si>
  <si>
    <t>Bhuiyanpara</t>
  </si>
  <si>
    <t>ভূঁইয়াপাড়া</t>
  </si>
  <si>
    <t>RAP509</t>
  </si>
  <si>
    <t>Malvita</t>
  </si>
  <si>
    <t>মালভিটা</t>
  </si>
  <si>
    <t>RAP510</t>
  </si>
  <si>
    <t>Falia Para</t>
  </si>
  <si>
    <t>ফলিয়া পাড়া</t>
  </si>
  <si>
    <t>RAP601</t>
  </si>
  <si>
    <t>Madhur Chara</t>
  </si>
  <si>
    <t>মধুর ছড়া</t>
  </si>
  <si>
    <t>RAP602</t>
  </si>
  <si>
    <t>RAP603</t>
  </si>
  <si>
    <t>Muhuri Para</t>
  </si>
  <si>
    <t>মুহুরী পাড়া</t>
  </si>
  <si>
    <t>RAP604</t>
  </si>
  <si>
    <t>Ukhiya Sadar (Gilatoli)</t>
  </si>
  <si>
    <t>উখিয়া সদর (ঘিলাতলী)</t>
  </si>
  <si>
    <t>RAP605</t>
  </si>
  <si>
    <t>Shiler Chara</t>
  </si>
  <si>
    <t>শীলের ছড়া</t>
  </si>
  <si>
    <t>RAP606</t>
  </si>
  <si>
    <t>Maliarkul Para</t>
  </si>
  <si>
    <t>মালিয়ারকুল পাড়া</t>
  </si>
  <si>
    <t>RAP607</t>
  </si>
  <si>
    <t>Machkharia</t>
  </si>
  <si>
    <t>মাছকারিয়া</t>
  </si>
  <si>
    <t>RAP608</t>
  </si>
  <si>
    <t>RAP609</t>
  </si>
  <si>
    <t>Mohammad Ali Vita</t>
  </si>
  <si>
    <t>মোহাম্মদ আলী ভিটা</t>
  </si>
  <si>
    <t>RAP610</t>
  </si>
  <si>
    <t>RAP612</t>
  </si>
  <si>
    <t>Ukhiya Army Camp</t>
  </si>
  <si>
    <t>উখিয়া আর্মি ক্যাম্প</t>
  </si>
  <si>
    <t>RAP613</t>
  </si>
  <si>
    <t>Taipalang</t>
  </si>
  <si>
    <t>টাইপালং</t>
  </si>
  <si>
    <t>RAP701</t>
  </si>
  <si>
    <t>Purbo Taipalang</t>
  </si>
  <si>
    <t>পূর্ব টাইপালং</t>
  </si>
  <si>
    <t>RAP702</t>
  </si>
  <si>
    <t>RAP703</t>
  </si>
  <si>
    <t>Karaybaniya</t>
  </si>
  <si>
    <t>করইবনিয়া</t>
  </si>
  <si>
    <t>RAP704</t>
  </si>
  <si>
    <t>তুলাতলী পাড়া</t>
  </si>
  <si>
    <t>RAP705</t>
  </si>
  <si>
    <t>Purbo Dargahbill</t>
  </si>
  <si>
    <t>পূর্ব দরগাহবিল</t>
  </si>
  <si>
    <t>RAP801</t>
  </si>
  <si>
    <t>Pashchim Dargahbill</t>
  </si>
  <si>
    <t>পশ্চিম দরগাবিল</t>
  </si>
  <si>
    <t>RAP802</t>
  </si>
  <si>
    <t>Lombaghona</t>
  </si>
  <si>
    <t>লম্বাগোনা</t>
  </si>
  <si>
    <t>RAP803</t>
  </si>
  <si>
    <t>T&amp;T Lombaghona</t>
  </si>
  <si>
    <t>টি এন্ড টি লম্বাগোনা</t>
  </si>
  <si>
    <t>RAP804</t>
  </si>
  <si>
    <t>Shailer Deva</t>
  </si>
  <si>
    <t>শৈলের ডেবা</t>
  </si>
  <si>
    <t>RAP805</t>
  </si>
  <si>
    <t>RAP806</t>
  </si>
  <si>
    <t>Hazam Road Para</t>
  </si>
  <si>
    <t>হাজাম রোড পাড়া</t>
  </si>
  <si>
    <t>RAP807</t>
  </si>
  <si>
    <t>Kutupalang Purbo Para</t>
  </si>
  <si>
    <t>কুতুপালং পূর্ব পাড়া</t>
  </si>
  <si>
    <t>RAP901</t>
  </si>
  <si>
    <t>Kutupalang Pashchim Para</t>
  </si>
  <si>
    <t>কুতুপালং পশ্চিম পাড়া</t>
  </si>
  <si>
    <t>RAP902</t>
  </si>
  <si>
    <t>Dhoilla Ghona</t>
  </si>
  <si>
    <t>ধইল্ল্যা ঘোনা</t>
  </si>
  <si>
    <t>RAP903</t>
  </si>
  <si>
    <t>Hangar Ghona</t>
  </si>
  <si>
    <t>হাঙ্গার ঘোনা</t>
  </si>
  <si>
    <t>RAP904</t>
  </si>
  <si>
    <t>RAP905</t>
  </si>
  <si>
    <t>RAP906</t>
  </si>
  <si>
    <t>Court Bajar</t>
  </si>
  <si>
    <t>কোর্ট বাজার</t>
  </si>
  <si>
    <t>RAT101</t>
  </si>
  <si>
    <t>RAT102</t>
  </si>
  <si>
    <t>Madhya Ratna Palong</t>
  </si>
  <si>
    <t>মধ্য রত্না পালং</t>
  </si>
  <si>
    <t>RAT103</t>
  </si>
  <si>
    <t>Purba Ratnapalong</t>
  </si>
  <si>
    <t>পূর্ব রত্নাপালং</t>
  </si>
  <si>
    <t>RAT104</t>
  </si>
  <si>
    <t>Amir Jan Baper Para</t>
  </si>
  <si>
    <t>আমির জান বাপের পাড়া</t>
  </si>
  <si>
    <t>RAT105</t>
  </si>
  <si>
    <t>RAT106</t>
  </si>
  <si>
    <t>Hakim Ali Matobbor Para</t>
  </si>
  <si>
    <t>হাকিম আলী মাতবর পাড়া </t>
  </si>
  <si>
    <t>RAT107</t>
  </si>
  <si>
    <t>সর্দার পাড়া</t>
  </si>
  <si>
    <t>RAT108</t>
  </si>
  <si>
    <t>RAT201</t>
  </si>
  <si>
    <t>RAT202</t>
  </si>
  <si>
    <t>RAT203</t>
  </si>
  <si>
    <t>RAT204</t>
  </si>
  <si>
    <t>Absar Baper Para</t>
  </si>
  <si>
    <t>আবছার বাপের পাড়া</t>
  </si>
  <si>
    <t>RAT205</t>
  </si>
  <si>
    <t>Uttar Sardar Para</t>
  </si>
  <si>
    <t>উত্তর সর্দার পাড়া</t>
  </si>
  <si>
    <t>RAT206</t>
  </si>
  <si>
    <t>RAT207</t>
  </si>
  <si>
    <t>Kalar Para</t>
  </si>
  <si>
    <t>কালার পাড়া</t>
  </si>
  <si>
    <t>RAT208</t>
  </si>
  <si>
    <t>RAT301</t>
  </si>
  <si>
    <t>RAT302</t>
  </si>
  <si>
    <t>Khalur Baper Para</t>
  </si>
  <si>
    <t>খলুর বাপের পাড়া</t>
  </si>
  <si>
    <t>RAT303</t>
  </si>
  <si>
    <t>RAT304</t>
  </si>
  <si>
    <t>Tulatali Purbakul</t>
  </si>
  <si>
    <t>তুলাতলী পূর্বকূল</t>
  </si>
  <si>
    <t>RAT305</t>
  </si>
  <si>
    <t>Purba Thimchari Para</t>
  </si>
  <si>
    <t>পূর্ব থিমছড়ি পাড়া</t>
  </si>
  <si>
    <t>RAT306</t>
  </si>
  <si>
    <t>Faiza Baper Para</t>
  </si>
  <si>
    <t>ফৈজা বাপের পাড়া</t>
  </si>
  <si>
    <t>RAT401</t>
  </si>
  <si>
    <t>RAT402</t>
  </si>
  <si>
    <t>RAT403</t>
  </si>
  <si>
    <t>Haru Fakir Para</t>
  </si>
  <si>
    <t>হারু ফকির পাড়া</t>
  </si>
  <si>
    <t>RAT404</t>
  </si>
  <si>
    <t>RAT501</t>
  </si>
  <si>
    <t>Koroibonia Para</t>
  </si>
  <si>
    <t>করইবনিয়া পাড়া</t>
  </si>
  <si>
    <t>RAT502</t>
  </si>
  <si>
    <t>Chakboitha Natun Para</t>
  </si>
  <si>
    <t>চাকবৈঠা নতুন পাড়া</t>
  </si>
  <si>
    <t>RAT503</t>
  </si>
  <si>
    <t>Goyalmara</t>
  </si>
  <si>
    <t>গয়ালমারা</t>
  </si>
  <si>
    <t>RAT601</t>
  </si>
  <si>
    <t>Kamriyarbil</t>
  </si>
  <si>
    <t>কামরিয়ারবিল</t>
  </si>
  <si>
    <t>RAT602</t>
  </si>
  <si>
    <t>Jafar Fallan Para</t>
  </si>
  <si>
    <t>জাফর ফল্লান পাড়া</t>
  </si>
  <si>
    <t>RAT603</t>
  </si>
  <si>
    <t>RAT701</t>
  </si>
  <si>
    <t>Dakkhin Ruhullar Deba Para</t>
  </si>
  <si>
    <t>দক্ষিণ রুহুল্লার ডেবা পাড়া</t>
  </si>
  <si>
    <t>RAT702</t>
  </si>
  <si>
    <t>Tek Para</t>
  </si>
  <si>
    <t>টেক পাড়া</t>
  </si>
  <si>
    <t>RAT801</t>
  </si>
  <si>
    <t>Uttar Ruhullar Deba Para</t>
  </si>
  <si>
    <t>উত্তর রুহুল্লার ডেবা পাড়া</t>
  </si>
  <si>
    <t>RAT802</t>
  </si>
  <si>
    <t>Pashchim Ratnapalong</t>
  </si>
  <si>
    <t>পশ্চিম রত্নাপালং</t>
  </si>
  <si>
    <t>RAT901</t>
  </si>
  <si>
    <t>Sadrikata</t>
  </si>
  <si>
    <t>সাদৃকাটা</t>
  </si>
  <si>
    <t>RAT902</t>
  </si>
  <si>
    <t>Camp 1E</t>
  </si>
  <si>
    <t>Camp 1W</t>
  </si>
  <si>
    <t>Camp 2E</t>
  </si>
  <si>
    <t>Camp 2W</t>
  </si>
  <si>
    <t>Camp 3</t>
  </si>
  <si>
    <t>Camp 4</t>
  </si>
  <si>
    <t>Camp 4 Extension</t>
  </si>
  <si>
    <t>Camp 5</t>
  </si>
  <si>
    <t>Camp 6</t>
  </si>
  <si>
    <t>Kutupalong RC</t>
  </si>
  <si>
    <t>RAP907</t>
  </si>
  <si>
    <t>RAP908</t>
  </si>
  <si>
    <t>RAP909</t>
  </si>
  <si>
    <t>RAP910</t>
  </si>
  <si>
    <t>RAP911</t>
  </si>
  <si>
    <t>RAP912</t>
  </si>
  <si>
    <t>RAP913</t>
  </si>
  <si>
    <t>RAP914</t>
  </si>
  <si>
    <t>RAP915</t>
  </si>
  <si>
    <t>RAP916</t>
  </si>
  <si>
    <t>Camp 14</t>
  </si>
  <si>
    <t>Camp 15</t>
  </si>
  <si>
    <t>Camp 16</t>
  </si>
  <si>
    <t>PAL507</t>
  </si>
  <si>
    <t>PAL508</t>
  </si>
  <si>
    <t>PAL509</t>
  </si>
  <si>
    <t>Camp 11</t>
  </si>
  <si>
    <t>Camp 12</t>
  </si>
  <si>
    <t>Camp 13</t>
  </si>
  <si>
    <t>Camp 19</t>
  </si>
  <si>
    <t>PAL406</t>
  </si>
  <si>
    <t>PAL407</t>
  </si>
  <si>
    <t>PAL408</t>
  </si>
  <si>
    <t>PAL409</t>
  </si>
  <si>
    <t>Camp 10</t>
  </si>
  <si>
    <t>Camp 17</t>
  </si>
  <si>
    <t>Camp 18</t>
  </si>
  <si>
    <t>Camp 20</t>
  </si>
  <si>
    <t>Camp 20 Extension</t>
  </si>
  <si>
    <t>Camp 7</t>
  </si>
  <si>
    <t>Camp 8E</t>
  </si>
  <si>
    <t>Camp 8W</t>
  </si>
  <si>
    <t>Camp 9</t>
  </si>
  <si>
    <t>PAL103</t>
  </si>
  <si>
    <t>PAL104</t>
  </si>
  <si>
    <t>PAL105</t>
  </si>
  <si>
    <t>PAL106</t>
  </si>
  <si>
    <t>PAL107</t>
  </si>
  <si>
    <t>PAL108</t>
  </si>
  <si>
    <t>PAL109</t>
  </si>
  <si>
    <t>PAL110</t>
  </si>
  <si>
    <t>PAL111</t>
  </si>
  <si>
    <t>ক্যাম্প ১০</t>
  </si>
  <si>
    <t>ক্যাম্প ১১</t>
  </si>
  <si>
    <t>ক্যাম্প ১২</t>
  </si>
  <si>
    <t>ক্যাম্প ১৩</t>
  </si>
  <si>
    <t>ক্যাম্প ১৪</t>
  </si>
  <si>
    <t>ক্যাম্প ১৫</t>
  </si>
  <si>
    <t>ক্যাম্প ১৬</t>
  </si>
  <si>
    <t>ক্যাম্প ১৭</t>
  </si>
  <si>
    <t>ক্যাম্প ১৮</t>
  </si>
  <si>
    <t>ক্যাম্প ২০</t>
  </si>
  <si>
    <t>ক্যাম্প ৯</t>
  </si>
  <si>
    <t>ক্যাম্প ৮ডাব্লউ</t>
  </si>
  <si>
    <t>ক্যাম্প ৮ই</t>
  </si>
  <si>
    <t>ক্যাম্প ৭</t>
  </si>
  <si>
    <t>ক্যাম্প ২০ বর্ধিত</t>
  </si>
  <si>
    <t>ক্যাম্প ১ই</t>
  </si>
  <si>
    <t>ক্যাম্প ১ ডাব্লউ</t>
  </si>
  <si>
    <t>ক্যাম্প ২ই</t>
  </si>
  <si>
    <t>ক্যাম্প ২ ডাব্লউ</t>
  </si>
  <si>
    <t>ক্যাম্প ৩</t>
  </si>
  <si>
    <t>ক্যাম্প ৪</t>
  </si>
  <si>
    <t>ক্যাম্প ৫</t>
  </si>
  <si>
    <t>ক্যাম্প ৬</t>
  </si>
  <si>
    <t>কুটুপালং আরসি</t>
  </si>
  <si>
    <t>ক্যাম্প ৪ বর্ধিত</t>
  </si>
  <si>
    <t>ক্যাম্প ১৯</t>
  </si>
  <si>
    <t>Country</t>
  </si>
  <si>
    <t>Division</t>
  </si>
  <si>
    <t>Bangladesh</t>
  </si>
  <si>
    <t>Chattogram</t>
  </si>
  <si>
    <t>HH Number</t>
  </si>
  <si>
    <t>Ward No</t>
  </si>
  <si>
    <t>Chakaria</t>
  </si>
  <si>
    <t>Khutakhali</t>
  </si>
  <si>
    <t>Razia Begum</t>
  </si>
  <si>
    <t>Uttar Medhakacchapia</t>
  </si>
  <si>
    <t>Madyom Medhakacchapia</t>
  </si>
  <si>
    <t>Sathghar para</t>
  </si>
  <si>
    <t>Paglir bil</t>
  </si>
  <si>
    <t>Dakhin MedhaKacchapia</t>
  </si>
  <si>
    <t>Sharmin Sultana</t>
  </si>
  <si>
    <t>Hetalia para</t>
  </si>
  <si>
    <t>Haji para</t>
  </si>
  <si>
    <t>School para</t>
  </si>
  <si>
    <t>Kutubdia para</t>
  </si>
  <si>
    <t>Bakkum para</t>
  </si>
  <si>
    <t>Nalbunia</t>
  </si>
  <si>
    <t>Gorjontali</t>
  </si>
  <si>
    <t>Sharmin Sultana -2</t>
  </si>
  <si>
    <t>Uttar para</t>
  </si>
  <si>
    <t>Maij para</t>
  </si>
  <si>
    <t>Dhokkhin para</t>
  </si>
  <si>
    <t>Sufia Akter</t>
  </si>
  <si>
    <t>Kala para</t>
  </si>
  <si>
    <t>Asma-ul-husna</t>
  </si>
  <si>
    <t>Purbo para</t>
  </si>
  <si>
    <t>Joynagor para</t>
  </si>
  <si>
    <t>Dorga para</t>
  </si>
  <si>
    <t>Peajkata</t>
  </si>
  <si>
    <t>Goldhapa</t>
  </si>
  <si>
    <t>Horikhula</t>
  </si>
  <si>
    <t>Forest office para</t>
  </si>
  <si>
    <t>Segunbagicha</t>
  </si>
  <si>
    <t>Garuluitta para</t>
  </si>
  <si>
    <t xml:space="preserve">Kachari pahar </t>
  </si>
  <si>
    <t>Shia para</t>
  </si>
  <si>
    <t>Purno Gram</t>
  </si>
  <si>
    <t>Purbo Noya para</t>
  </si>
  <si>
    <t>Poschim Noya para</t>
  </si>
  <si>
    <t xml:space="preserve">Dulahajara </t>
  </si>
  <si>
    <t xml:space="preserve"> Jhinu Nath</t>
  </si>
  <si>
    <t>Ringvong</t>
  </si>
  <si>
    <t>Pur. Domkhali Rezerve para</t>
  </si>
  <si>
    <t>Domkhali</t>
  </si>
  <si>
    <t>Katakhali</t>
  </si>
  <si>
    <t>Cha bagan</t>
  </si>
  <si>
    <t>Moulobikata</t>
  </si>
  <si>
    <t>Jasmin Aktar</t>
  </si>
  <si>
    <t>Ulubunia</t>
  </si>
  <si>
    <t>Shantirghat</t>
  </si>
  <si>
    <t>Dakbangla</t>
  </si>
  <si>
    <t>Dulahajara</t>
  </si>
  <si>
    <t>Balur char</t>
  </si>
  <si>
    <t xml:space="preserve">Titu Pal </t>
  </si>
  <si>
    <t>Boiragirkhil</t>
  </si>
  <si>
    <t>Balurchar</t>
  </si>
  <si>
    <t>Poshchim Maij para</t>
  </si>
  <si>
    <t>Tania Sultana</t>
  </si>
  <si>
    <t>Mogchara jum</t>
  </si>
  <si>
    <t xml:space="preserve">Koiar Defa </t>
  </si>
  <si>
    <t>Safari Park</t>
  </si>
  <si>
    <t>Dokhin Maij para</t>
  </si>
  <si>
    <t>Villager para</t>
  </si>
  <si>
    <t>Natun para</t>
  </si>
  <si>
    <t>Paglirbil</t>
  </si>
  <si>
    <t>Rangmahol</t>
  </si>
  <si>
    <t>Olir jum</t>
  </si>
  <si>
    <t>Hati para</t>
  </si>
  <si>
    <t>Shah shujapur</t>
  </si>
  <si>
    <t>Fasiakhali</t>
  </si>
  <si>
    <t>Zannat Ara</t>
  </si>
  <si>
    <t xml:space="preserve"> Hajian</t>
  </si>
  <si>
    <t>Setara Begum</t>
  </si>
  <si>
    <t>Digorpankhali</t>
  </si>
  <si>
    <t>Santa Rudra</t>
  </si>
  <si>
    <t>Chairman para</t>
  </si>
  <si>
    <t>Atbar Para</t>
  </si>
  <si>
    <t>Uchitarbil</t>
  </si>
  <si>
    <t>Master para</t>
  </si>
  <si>
    <t>Uttar Ghuina</t>
  </si>
  <si>
    <t xml:space="preserve"> Pulaki Das</t>
  </si>
  <si>
    <t>Dokkhin Ghuina</t>
  </si>
  <si>
    <t>Dail para</t>
  </si>
  <si>
    <t>Rajarbill Noya para</t>
  </si>
  <si>
    <t>Nowa para pahar</t>
  </si>
  <si>
    <t>Morzina Begum</t>
  </si>
  <si>
    <t>Shikdar para</t>
  </si>
  <si>
    <t>Madrasha para</t>
  </si>
  <si>
    <t>Rudra para</t>
  </si>
  <si>
    <t>Aynamar para</t>
  </si>
  <si>
    <t>Muslim Nagor</t>
  </si>
  <si>
    <t>Khandokar para</t>
  </si>
  <si>
    <t>Chararkul</t>
  </si>
  <si>
    <t>Bhanga para</t>
  </si>
  <si>
    <t>Kachari para</t>
  </si>
  <si>
    <t>Ghunar para</t>
  </si>
  <si>
    <t>Haserdighee</t>
  </si>
  <si>
    <t>Sairakhali</t>
  </si>
  <si>
    <t>Jaladash para</t>
  </si>
  <si>
    <t>Municipal</t>
  </si>
  <si>
    <t>Jasna Ara</t>
  </si>
  <si>
    <t>Taroz para</t>
  </si>
  <si>
    <t>Aman para</t>
  </si>
  <si>
    <t>Abdul bari para</t>
  </si>
  <si>
    <t>Mat para</t>
  </si>
  <si>
    <t>Bazar para</t>
  </si>
  <si>
    <t>Kazir para</t>
  </si>
  <si>
    <t>Bappi Day</t>
  </si>
  <si>
    <t>Hindu para</t>
  </si>
  <si>
    <t>Janata Market</t>
  </si>
  <si>
    <t>Samser para</t>
  </si>
  <si>
    <t>Moulovirchar</t>
  </si>
  <si>
    <t>Halkakara</t>
  </si>
  <si>
    <t>Sawdagor para</t>
  </si>
  <si>
    <t>Jalia para</t>
  </si>
  <si>
    <t>Sikdar para</t>
  </si>
  <si>
    <t>Taroz Ghat  Para</t>
  </si>
  <si>
    <t>Dokhin Lakharchar</t>
  </si>
  <si>
    <t xml:space="preserve"> Batakhali </t>
  </si>
  <si>
    <t>Bera Para</t>
  </si>
  <si>
    <t>Toroz ghat jaladas para</t>
  </si>
  <si>
    <t>Noya para</t>
  </si>
  <si>
    <t>Pos jaladas para</t>
  </si>
  <si>
    <t>Nat para</t>
  </si>
  <si>
    <t>Bhara Mohuri</t>
  </si>
  <si>
    <t>Batakhali</t>
  </si>
  <si>
    <t>Sabujbag</t>
  </si>
  <si>
    <t>Haspatal para</t>
  </si>
  <si>
    <t xml:space="preserve">Kamrunnahar Bulu </t>
  </si>
  <si>
    <t>Kaharia ghona</t>
  </si>
  <si>
    <t>Karaya Ghona</t>
  </si>
  <si>
    <t>Binamara</t>
  </si>
  <si>
    <t>Nijpankhali</t>
  </si>
  <si>
    <t>Sayeda Sultana Tarin</t>
  </si>
  <si>
    <t xml:space="preserve">Binamara </t>
  </si>
  <si>
    <t xml:space="preserve"> Pala kata </t>
  </si>
  <si>
    <t>Parul Aktar</t>
  </si>
  <si>
    <t>Munshi para</t>
  </si>
  <si>
    <t>Khoaz nogor</t>
  </si>
  <si>
    <t>Koach para</t>
  </si>
  <si>
    <t>Coach para</t>
  </si>
  <si>
    <t>Nichpankhali</t>
  </si>
  <si>
    <t>Pukpukuria</t>
  </si>
  <si>
    <t xml:space="preserve">Kakara </t>
  </si>
  <si>
    <t>Jannatul Ferdus</t>
  </si>
  <si>
    <t>Muslim Para</t>
  </si>
  <si>
    <t>Baro Aulia Nogor</t>
  </si>
  <si>
    <t>Shah Omar Nagor</t>
  </si>
  <si>
    <t>Alir  pahar</t>
  </si>
  <si>
    <t>Monihar Jannata</t>
  </si>
  <si>
    <t>SM char / School Pahar</t>
  </si>
  <si>
    <t>Bulbul Jannata</t>
  </si>
  <si>
    <t>Lotoni</t>
  </si>
  <si>
    <t>Rehen Bulbul Minu</t>
  </si>
  <si>
    <t>Ali Mia Sikdar para</t>
  </si>
  <si>
    <t>Proper Kakara</t>
  </si>
  <si>
    <t>Jesmin Sultana</t>
  </si>
  <si>
    <t>Dokhin Kakara</t>
  </si>
  <si>
    <t xml:space="preserve"> Sabina Yesmin</t>
  </si>
  <si>
    <t>Bapari para</t>
  </si>
  <si>
    <t>Surajpur-Mankpur</t>
  </si>
  <si>
    <t>Hure Jannata Ruzina</t>
  </si>
  <si>
    <t>Habib member para</t>
  </si>
  <si>
    <t xml:space="preserve"> Nutun pahar</t>
  </si>
  <si>
    <t>Jamidar para</t>
  </si>
  <si>
    <t>Takya Sultana</t>
  </si>
  <si>
    <t>Kamal Member para</t>
  </si>
  <si>
    <t>Maddam manikpur</t>
  </si>
  <si>
    <t>Dokkhin Mankpur</t>
  </si>
  <si>
    <t xml:space="preserve"> Nur Taj</t>
  </si>
  <si>
    <t>Mogpararbil</t>
  </si>
  <si>
    <t>Loiamura</t>
  </si>
  <si>
    <t xml:space="preserve">Bashu Rani </t>
  </si>
  <si>
    <t>Surajpur</t>
  </si>
  <si>
    <t>Kayar Bill</t>
  </si>
  <si>
    <t>Rokshana Parvin</t>
  </si>
  <si>
    <t>Utar Khilsadok</t>
  </si>
  <si>
    <t>Dokhin Khilsadok</t>
  </si>
  <si>
    <t>Sitarkhil</t>
  </si>
  <si>
    <t>Vornyarchar</t>
  </si>
  <si>
    <t>Hamidullah sikdar para</t>
  </si>
  <si>
    <t>Bisna Rani</t>
  </si>
  <si>
    <t>Khuchakhali</t>
  </si>
  <si>
    <t>Hashimarkata</t>
  </si>
  <si>
    <t>Shiri Forhad</t>
  </si>
  <si>
    <t>Baniarkum</t>
  </si>
  <si>
    <t>Islam Nagor</t>
  </si>
  <si>
    <t>Tulu Sikdar para</t>
  </si>
  <si>
    <t>Soalia para</t>
  </si>
  <si>
    <t>Deepkul para</t>
  </si>
  <si>
    <t>Lakharchar</t>
  </si>
  <si>
    <t>Karimon Nesa Sharna</t>
  </si>
  <si>
    <t>Mondol para</t>
  </si>
  <si>
    <t>Chowdhury para</t>
  </si>
  <si>
    <t>Rustam ali Chow para</t>
  </si>
  <si>
    <t>Khaleda Akter</t>
  </si>
  <si>
    <t>Char para</t>
  </si>
  <si>
    <t>Majher para</t>
  </si>
  <si>
    <t>Chringa</t>
  </si>
  <si>
    <t>Monoara Beagum</t>
  </si>
  <si>
    <t>Palakata</t>
  </si>
  <si>
    <t>Moulovi Aktar para</t>
  </si>
  <si>
    <t>Buripukur</t>
  </si>
  <si>
    <t>Taslima Zannat</t>
  </si>
  <si>
    <t xml:space="preserve">Purba Sawdagarghuna </t>
  </si>
  <si>
    <t xml:space="preserve">Moddam  Sawdagarghuna </t>
  </si>
  <si>
    <t xml:space="preserve">Poshchim Sawdagarghuna </t>
  </si>
  <si>
    <t>Poshchim Charandip</t>
  </si>
  <si>
    <t>Purba Charandip</t>
  </si>
  <si>
    <t>Baritali</t>
  </si>
  <si>
    <t>Thamina Aktar</t>
  </si>
  <si>
    <t>Dengiakata</t>
  </si>
  <si>
    <t>Setu Day</t>
  </si>
  <si>
    <t xml:space="preserve"> Hindu para</t>
  </si>
  <si>
    <t>Khairati para</t>
  </si>
  <si>
    <t>Rasulabad</t>
  </si>
  <si>
    <t>Miskatul Junnata</t>
  </si>
  <si>
    <t>Gulshan Jannata</t>
  </si>
  <si>
    <t>Mohajer para</t>
  </si>
  <si>
    <t>Chanchuri para</t>
  </si>
  <si>
    <t>Telliakata</t>
  </si>
  <si>
    <t>Bangla para</t>
  </si>
  <si>
    <t>Alamnogor</t>
  </si>
  <si>
    <t>Chader baper para</t>
  </si>
  <si>
    <t>Mahamud Nogor</t>
  </si>
  <si>
    <t>Baniar chara</t>
  </si>
  <si>
    <t>Fokir para</t>
  </si>
  <si>
    <t>Madracha para</t>
  </si>
  <si>
    <t>Fatey Ali Sikdar para</t>
  </si>
  <si>
    <t>Miaji para</t>
  </si>
  <si>
    <t>Sorar purbokul</t>
  </si>
  <si>
    <t>Deboltali</t>
  </si>
  <si>
    <t>Mosniakata</t>
  </si>
  <si>
    <t>Dorgamura</t>
  </si>
  <si>
    <t>Bibirkhil</t>
  </si>
  <si>
    <t>Mura para</t>
  </si>
  <si>
    <t>Khajanogor</t>
  </si>
  <si>
    <t>Sabuj para</t>
  </si>
  <si>
    <t>Poschim para</t>
  </si>
  <si>
    <t>Sardar para</t>
  </si>
  <si>
    <t>Dokhin para</t>
  </si>
  <si>
    <t>Harbang</t>
  </si>
  <si>
    <t>Sumi Aktar</t>
  </si>
  <si>
    <t>Rakahin para</t>
  </si>
  <si>
    <t>Dokhin borua para</t>
  </si>
  <si>
    <t>Shahin parvin</t>
  </si>
  <si>
    <t>Nunachari</t>
  </si>
  <si>
    <t>Shanti Nagor</t>
  </si>
  <si>
    <t>Guchagram</t>
  </si>
  <si>
    <t>Baigya para</t>
  </si>
  <si>
    <t>Kala Sikdar para</t>
  </si>
  <si>
    <t>Rudro para</t>
  </si>
  <si>
    <t>Godar Para</t>
  </si>
  <si>
    <t>Jomidar para</t>
  </si>
  <si>
    <t>Iran Phakhi</t>
  </si>
  <si>
    <t>pahorchada</t>
  </si>
  <si>
    <t>Patakhula</t>
  </si>
  <si>
    <t>Asiakata</t>
  </si>
  <si>
    <t>Pal para</t>
  </si>
  <si>
    <t>Vaiakata</t>
  </si>
  <si>
    <t>Moson Sikdar para</t>
  </si>
  <si>
    <t>Rusainga para</t>
  </si>
  <si>
    <t>Rashida Begum Miru</t>
  </si>
  <si>
    <t>Nath para</t>
  </si>
  <si>
    <t>Muslim para</t>
  </si>
  <si>
    <t>Alipur</t>
  </si>
  <si>
    <t>Killar Purbo para</t>
  </si>
  <si>
    <t>Brindabonkhil</t>
  </si>
  <si>
    <t>Kor Mohori para</t>
  </si>
  <si>
    <t>Sabanghata</t>
  </si>
  <si>
    <t>Vandaridefa</t>
  </si>
  <si>
    <t>Shamajik Para</t>
  </si>
  <si>
    <t>Ali para</t>
  </si>
  <si>
    <t>Nasima Aktar</t>
  </si>
  <si>
    <t>Echachari</t>
  </si>
  <si>
    <t>Gainakata</t>
  </si>
  <si>
    <t>Kalatoli</t>
  </si>
  <si>
    <t>Kurbaniaghuna</t>
  </si>
  <si>
    <t>Shaharbill</t>
  </si>
  <si>
    <t xml:space="preserve"> Fajlu Aktar</t>
  </si>
  <si>
    <t>Shaharbill Purba Para</t>
  </si>
  <si>
    <t>Motoillya baper para</t>
  </si>
  <si>
    <t>Bolyar para</t>
  </si>
  <si>
    <t>Dakkhin Noya para</t>
  </si>
  <si>
    <t>Ali Boli para</t>
  </si>
  <si>
    <t>Arju Ara Begum</t>
  </si>
  <si>
    <t xml:space="preserve">Maijghona </t>
  </si>
  <si>
    <t>Mijeghona</t>
  </si>
  <si>
    <t>Rampur</t>
  </si>
  <si>
    <t>Om Khali</t>
  </si>
  <si>
    <t>Koralkhali</t>
  </si>
  <si>
    <t>Puro bora vewla</t>
  </si>
  <si>
    <t xml:space="preserve"> Jasmin Aktar</t>
  </si>
  <si>
    <t xml:space="preserve">Eidmoni </t>
  </si>
  <si>
    <t>Kaddachara</t>
  </si>
  <si>
    <t>Poshcim Sikdar para</t>
  </si>
  <si>
    <t>Wallar baper para</t>
  </si>
  <si>
    <t>Anis para</t>
  </si>
  <si>
    <t>Shihan moni</t>
  </si>
  <si>
    <t>Mahapiar baper para</t>
  </si>
  <si>
    <t>Sekendar para</t>
  </si>
  <si>
    <t>Fazlur Rahman Sikdar para</t>
  </si>
  <si>
    <t>Shaheb Khan para</t>
  </si>
  <si>
    <t>Burir para</t>
  </si>
  <si>
    <t>B.M Char</t>
  </si>
  <si>
    <t>Hosaina jannata</t>
  </si>
  <si>
    <t>Senammarghuna</t>
  </si>
  <si>
    <t>Mubin para</t>
  </si>
  <si>
    <t>Krishnapur</t>
  </si>
  <si>
    <t>Muslima Jannat</t>
  </si>
  <si>
    <t>Dokhin bohoddorkata</t>
  </si>
  <si>
    <t>Uttar Bohoddorkata</t>
  </si>
  <si>
    <t>Puchalia para</t>
  </si>
  <si>
    <t>Johar Yeasmin</t>
  </si>
  <si>
    <t>Diarchar</t>
  </si>
  <si>
    <t>Hashi Sikdar para</t>
  </si>
  <si>
    <t>Betuakul</t>
  </si>
  <si>
    <t>Paharia para</t>
  </si>
  <si>
    <t>Kunakhali</t>
  </si>
  <si>
    <t>Bangla bazar</t>
  </si>
  <si>
    <t>Notunghuna</t>
  </si>
  <si>
    <t>Lotabunia</t>
  </si>
  <si>
    <t>Samima Yesmin</t>
  </si>
  <si>
    <t>Moronghuna</t>
  </si>
  <si>
    <t>Purattakhali</t>
  </si>
  <si>
    <t>Dakkhin Konakhali</t>
  </si>
  <si>
    <t>Jangalkata</t>
  </si>
  <si>
    <t xml:space="preserve">Demushia </t>
  </si>
  <si>
    <t>Umme Salma</t>
  </si>
  <si>
    <t>Musa para</t>
  </si>
  <si>
    <t xml:space="preserve"> Setara Begum</t>
  </si>
  <si>
    <t>120 Tikka Para</t>
  </si>
  <si>
    <t>Tecssa para</t>
  </si>
  <si>
    <t>Gondi Para</t>
  </si>
  <si>
    <t>Khas para</t>
  </si>
  <si>
    <t>Daskhali para</t>
  </si>
  <si>
    <t>Ammar dera para</t>
  </si>
  <si>
    <t xml:space="preserve">Paschim Boro Vewla </t>
  </si>
  <si>
    <t>Jannatul Mawa</t>
  </si>
  <si>
    <t>Dorbesh Poshcim para</t>
  </si>
  <si>
    <t>Dorbeshkata Madyam  para</t>
  </si>
  <si>
    <t>Dorbeshkata Mosjid para</t>
  </si>
  <si>
    <t>Dorbeshkata Dokhin para</t>
  </si>
  <si>
    <t>Dorbeshkata Purbo para</t>
  </si>
  <si>
    <t>Dorbeshkata Uttar para</t>
  </si>
  <si>
    <t>Ilishia  para</t>
  </si>
  <si>
    <t>Teksira para</t>
  </si>
  <si>
    <t>Chuapfari</t>
  </si>
  <si>
    <t>Badarkhali</t>
  </si>
  <si>
    <t xml:space="preserve"> Selina Aktar</t>
  </si>
  <si>
    <t>Demushia para</t>
  </si>
  <si>
    <t>Tessa para</t>
  </si>
  <si>
    <t>Pukuria para</t>
  </si>
  <si>
    <t>Najma Sultana</t>
  </si>
  <si>
    <t>Tutiakhali para</t>
  </si>
  <si>
    <t>khalkhacha Para</t>
  </si>
  <si>
    <t>Uttar Mognama para</t>
  </si>
  <si>
    <t>Dotinankhali</t>
  </si>
  <si>
    <t>Lombakhali</t>
  </si>
  <si>
    <t>Mognamapara</t>
  </si>
  <si>
    <t>Mohoru jura para</t>
  </si>
  <si>
    <t>Ajom Nogor para</t>
  </si>
  <si>
    <t xml:space="preserve"> Jesmin Aktar</t>
  </si>
  <si>
    <t>Bherua Khali para</t>
  </si>
  <si>
    <t>Satdalia para</t>
  </si>
  <si>
    <t>Purbo Pukuria</t>
  </si>
  <si>
    <t>Senua para</t>
  </si>
  <si>
    <t>Napitkhali para</t>
  </si>
  <si>
    <t>Bomubilchari</t>
  </si>
  <si>
    <t>Raseda Begum</t>
  </si>
  <si>
    <t>Poshcim para</t>
  </si>
  <si>
    <t>Tanjina Aktar</t>
  </si>
  <si>
    <t>Matiatali</t>
  </si>
  <si>
    <t>Shahana Aktar</t>
  </si>
  <si>
    <t>Moulovi para</t>
  </si>
  <si>
    <t>Hapejia para</t>
  </si>
  <si>
    <t>Panisharbil</t>
  </si>
  <si>
    <t>Bomurkul Piya jiri</t>
  </si>
  <si>
    <t>Bomurkul</t>
  </si>
  <si>
    <t>Fahimida Jannata</t>
  </si>
  <si>
    <t>Pukuriakhula</t>
  </si>
  <si>
    <t>Fadukhula</t>
  </si>
  <si>
    <t>Nandirbil</t>
  </si>
  <si>
    <t>Pekua</t>
  </si>
  <si>
    <t>Pekua Sadar</t>
  </si>
  <si>
    <t>Jeasmin Sultana</t>
  </si>
  <si>
    <t>N/A</t>
  </si>
  <si>
    <t>Bokshu Chowkider para</t>
  </si>
  <si>
    <t>Kataphari</t>
  </si>
  <si>
    <t>Bot tolia para</t>
  </si>
  <si>
    <t>Mitha Bapari para</t>
  </si>
  <si>
    <t>Matbor para</t>
  </si>
  <si>
    <t>Guakhali</t>
  </si>
  <si>
    <t>Fatema Begum</t>
  </si>
  <si>
    <t>Bhulaiaghuna</t>
  </si>
  <si>
    <t>Purbo guakhali</t>
  </si>
  <si>
    <t>Kamrun Akter</t>
  </si>
  <si>
    <t>Tek para</t>
  </si>
  <si>
    <t>Poshcim Baimyakhali</t>
  </si>
  <si>
    <t>Sagor para</t>
  </si>
  <si>
    <t>Modhyam Baimyakhali</t>
  </si>
  <si>
    <t>Jaliakhali</t>
  </si>
  <si>
    <t>Mogkata</t>
  </si>
  <si>
    <t>Muiadia</t>
  </si>
  <si>
    <t>Siradia</t>
  </si>
  <si>
    <t>Bilaichari</t>
  </si>
  <si>
    <t>Mia para</t>
  </si>
  <si>
    <t>Sheel para</t>
  </si>
  <si>
    <t>Purbo Baimyakhali</t>
  </si>
  <si>
    <t>Yasmin Akter</t>
  </si>
  <si>
    <t>Horinaphari</t>
  </si>
  <si>
    <t>Shekerkilla Ghuna</t>
  </si>
  <si>
    <t>Mowlovi para</t>
  </si>
  <si>
    <t>Annar Ali Matbor para</t>
  </si>
  <si>
    <t>Suta Bapari para</t>
  </si>
  <si>
    <t>Sabek guldi</t>
  </si>
  <si>
    <t>Sarkarighuna</t>
  </si>
  <si>
    <t>Telya kata</t>
  </si>
  <si>
    <t>Uttar Mehernama</t>
  </si>
  <si>
    <t>Mosanyakata</t>
  </si>
  <si>
    <t>Adhakhali</t>
  </si>
  <si>
    <t>abdul Hamid Sikdar para</t>
  </si>
  <si>
    <t>Sara para</t>
  </si>
  <si>
    <t>Liz para</t>
  </si>
  <si>
    <t>Purbo Mehernama</t>
  </si>
  <si>
    <t>Ashroyon Kendro</t>
  </si>
  <si>
    <t>Murar para</t>
  </si>
  <si>
    <t>Shaikot para</t>
  </si>
  <si>
    <t>Nandir para</t>
  </si>
  <si>
    <t>Barobakia</t>
  </si>
  <si>
    <t>Farjina Jannat</t>
  </si>
  <si>
    <t>Rabbani para</t>
  </si>
  <si>
    <t>Nazir para</t>
  </si>
  <si>
    <t>Purbo Pahariakhali</t>
  </si>
  <si>
    <t>Rakhain para</t>
  </si>
  <si>
    <t>Katamura</t>
  </si>
  <si>
    <t>Lambaghuna</t>
  </si>
  <si>
    <t>Tamanna Begum</t>
  </si>
  <si>
    <t>Poshcim pahariakhali</t>
  </si>
  <si>
    <t>Kadimakata</t>
  </si>
  <si>
    <t>Ghunar aga</t>
  </si>
  <si>
    <t>Jobaida Begum</t>
  </si>
  <si>
    <t>Bariakata</t>
  </si>
  <si>
    <t>Sabjibon para</t>
  </si>
  <si>
    <t>Annar Ali para</t>
  </si>
  <si>
    <t>Baby Nasrin</t>
  </si>
  <si>
    <t>Mog Ghuna</t>
  </si>
  <si>
    <t>Fakira Ghuna</t>
  </si>
  <si>
    <t>Noakhali para</t>
  </si>
  <si>
    <t>Kutub para</t>
  </si>
  <si>
    <t>Rahat Ali para</t>
  </si>
  <si>
    <t>Jaliakata</t>
  </si>
  <si>
    <t>Budha Majhirghuna</t>
  </si>
  <si>
    <t>Toitong</t>
  </si>
  <si>
    <t>Shubaida Begum</t>
  </si>
  <si>
    <t>Malgara</t>
  </si>
  <si>
    <t>Jum para</t>
  </si>
  <si>
    <t>Habib para</t>
  </si>
  <si>
    <t>Modhyam Resarv para</t>
  </si>
  <si>
    <t>Bokshumura</t>
  </si>
  <si>
    <t>Naima Akter</t>
  </si>
  <si>
    <t>Bodu Mia Hajir para</t>
  </si>
  <si>
    <t>Nitantoghuna</t>
  </si>
  <si>
    <t>Alikhakata</t>
  </si>
  <si>
    <t>Pondit para</t>
  </si>
  <si>
    <t>Nurun Nahar</t>
  </si>
  <si>
    <t>Notun para</t>
  </si>
  <si>
    <t>Kachari pahar</t>
  </si>
  <si>
    <t>Godikata</t>
  </si>
  <si>
    <t>Kainyavita</t>
  </si>
  <si>
    <t>Moulovi Kamal Uddin para</t>
  </si>
  <si>
    <t>Waj Khatun para</t>
  </si>
  <si>
    <t>Reserve para</t>
  </si>
  <si>
    <t>Chaptamura</t>
  </si>
  <si>
    <t xml:space="preserve">Umme Kulsum </t>
  </si>
  <si>
    <t>Moulovi Hasuner jum</t>
  </si>
  <si>
    <t>Keronsorar jum</t>
  </si>
  <si>
    <t>Modhukhali</t>
  </si>
  <si>
    <t>Chowkider para</t>
  </si>
  <si>
    <t>Kata pahar</t>
  </si>
  <si>
    <t>Sonkhular jum</t>
  </si>
  <si>
    <t>shaheraj Sultana</t>
  </si>
  <si>
    <t>Jan Ali Mura</t>
  </si>
  <si>
    <t>Bor para</t>
  </si>
  <si>
    <t>Dorga Mura</t>
  </si>
  <si>
    <t>Puradia</t>
  </si>
  <si>
    <t>Gorjonia para</t>
  </si>
  <si>
    <t>Nasima Begum</t>
  </si>
  <si>
    <t>Napitkhali</t>
  </si>
  <si>
    <t>Borhana Yasmin</t>
  </si>
  <si>
    <t>Ramij para</t>
  </si>
  <si>
    <t>Hajhir para</t>
  </si>
  <si>
    <t>Minhajul Akter</t>
  </si>
  <si>
    <t>Kaidar para</t>
  </si>
  <si>
    <t>Hirabunia para</t>
  </si>
  <si>
    <t>Bheluar para</t>
  </si>
  <si>
    <t>Humayra Begum</t>
  </si>
  <si>
    <t>Abadi ghuna</t>
  </si>
  <si>
    <t>Abdullah para</t>
  </si>
  <si>
    <t>Dhoniakata</t>
  </si>
  <si>
    <t>School pahar</t>
  </si>
  <si>
    <t>Shilkhali</t>
  </si>
  <si>
    <t>Forida Yasmin</t>
  </si>
  <si>
    <t>Kachari Mura</t>
  </si>
  <si>
    <t>Sikdarghuna</t>
  </si>
  <si>
    <t>Shil para</t>
  </si>
  <si>
    <t>Banya Mura</t>
  </si>
  <si>
    <t>Sayed nagor</t>
  </si>
  <si>
    <t>Alekdia para</t>
  </si>
  <si>
    <t>Hedaytabad</t>
  </si>
  <si>
    <t>Lamba Mura</t>
  </si>
  <si>
    <t>Purbo Bharuakhali</t>
  </si>
  <si>
    <t>Reshmin Akter</t>
  </si>
  <si>
    <t>Senoara Begum</t>
  </si>
  <si>
    <t>Majheer Ghuna</t>
  </si>
  <si>
    <t>Husainabad</t>
  </si>
  <si>
    <t>Uttar jum</t>
  </si>
  <si>
    <t>Saper Gara</t>
  </si>
  <si>
    <t>Jarulbunia</t>
  </si>
  <si>
    <t>Segun Bagicha</t>
  </si>
  <si>
    <t>Vatveta para</t>
  </si>
  <si>
    <t>Alam para</t>
  </si>
  <si>
    <t>Alichan Matobbar para</t>
  </si>
  <si>
    <t>Hajir Ghuna</t>
  </si>
  <si>
    <t>Alekdiakata</t>
  </si>
  <si>
    <t>Patan Matobbar para</t>
  </si>
  <si>
    <t>Tarabunia para</t>
  </si>
  <si>
    <t>Mognama</t>
  </si>
  <si>
    <t>Nayan Akter</t>
  </si>
  <si>
    <t>Sharat Ghuna</t>
  </si>
  <si>
    <t>Dighir para</t>
  </si>
  <si>
    <t>Purbo Bazar para</t>
  </si>
  <si>
    <t>Poshcim Bazar para</t>
  </si>
  <si>
    <t>Harun Matbor para</t>
  </si>
  <si>
    <t>Moulvi para</t>
  </si>
  <si>
    <t>Puraton Bohoddor para</t>
  </si>
  <si>
    <t>Lal Mia para</t>
  </si>
  <si>
    <t>Korlia para</t>
  </si>
  <si>
    <t>Senet Ali para</t>
  </si>
  <si>
    <t>Mowlar para</t>
  </si>
  <si>
    <t>Bainna Ghuna</t>
  </si>
  <si>
    <t>Nunyar para</t>
  </si>
  <si>
    <t>Majhir para</t>
  </si>
  <si>
    <t>Bohoddor para</t>
  </si>
  <si>
    <t>Afjalia para</t>
  </si>
  <si>
    <t>Doshghar para</t>
  </si>
  <si>
    <t>Halima Begum</t>
  </si>
  <si>
    <t>Poshcimkul</t>
  </si>
  <si>
    <t>Haji Moulovi para</t>
  </si>
  <si>
    <t>Mohori para</t>
  </si>
  <si>
    <t>Mogghuna</t>
  </si>
  <si>
    <t>Dordori Ghuna</t>
  </si>
  <si>
    <t>Motka Bhanga</t>
  </si>
  <si>
    <t>Kum para</t>
  </si>
  <si>
    <t>Serang Ghuna</t>
  </si>
  <si>
    <t>Kudalyadia</t>
  </si>
  <si>
    <t>Rangin Khaler Purbo Kul</t>
  </si>
  <si>
    <t>Boding para</t>
  </si>
  <si>
    <t>Satghar para</t>
  </si>
  <si>
    <t>Morichardia</t>
  </si>
  <si>
    <t>Jaliar para</t>
  </si>
  <si>
    <t>Kak para</t>
  </si>
  <si>
    <t>Kalar para</t>
  </si>
  <si>
    <t>Shudyakhali</t>
  </si>
  <si>
    <t>Bolar para</t>
  </si>
  <si>
    <t>Bedarbil para</t>
  </si>
  <si>
    <t>Ebadullah para</t>
  </si>
  <si>
    <t>Notun Ghuna</t>
  </si>
  <si>
    <t>Rajakhali</t>
  </si>
  <si>
    <t>Dilshan para</t>
  </si>
  <si>
    <t>Kanchan para</t>
  </si>
  <si>
    <t>Hajir para</t>
  </si>
  <si>
    <t>Uludia para</t>
  </si>
  <si>
    <t>Roy Baper para</t>
  </si>
  <si>
    <t>Chaklader para</t>
  </si>
  <si>
    <t>Mosammat Nasima Akter</t>
  </si>
  <si>
    <t>Bamula para</t>
  </si>
  <si>
    <t>Laljan para</t>
  </si>
  <si>
    <t>Rogbot Ali para</t>
  </si>
  <si>
    <t>Uttar Sundari para</t>
  </si>
  <si>
    <t>Bokshia Ghuna</t>
  </si>
  <si>
    <t>Dokhin Sundori para</t>
  </si>
  <si>
    <t>Bodi Uddin para</t>
  </si>
  <si>
    <t>Chowri para</t>
  </si>
  <si>
    <t>Alima para</t>
  </si>
  <si>
    <t>Dosher Ghuna</t>
  </si>
  <si>
    <t>Ujantia</t>
  </si>
  <si>
    <t>Tastima Begum</t>
  </si>
  <si>
    <t>Ghoshal Para</t>
  </si>
  <si>
    <t>Pekuar Char</t>
  </si>
  <si>
    <t>Shat Duniar para</t>
  </si>
  <si>
    <t>Poshchim Ujantia</t>
  </si>
  <si>
    <t>Ferashinga para</t>
  </si>
  <si>
    <t>Miajir para</t>
  </si>
  <si>
    <t>Fakir para</t>
  </si>
  <si>
    <t>Jenu Uddin para</t>
  </si>
  <si>
    <t>Umme Ayeshatul Kobra</t>
  </si>
  <si>
    <t>Sunali Bazar</t>
  </si>
  <si>
    <t xml:space="preserve"> Notun Ghuna</t>
  </si>
  <si>
    <t>Ator Ali para</t>
  </si>
  <si>
    <t>Thandar para</t>
  </si>
  <si>
    <t>Nuri para</t>
  </si>
  <si>
    <t>Dokhin sutachura</t>
  </si>
  <si>
    <t>Aub Ali para</t>
  </si>
  <si>
    <t>malek para</t>
  </si>
  <si>
    <t>Sundori para</t>
  </si>
  <si>
    <t>Koriardia</t>
  </si>
  <si>
    <t>Teknaf</t>
  </si>
  <si>
    <t>Whykong</t>
  </si>
  <si>
    <t>Kohinur</t>
  </si>
  <si>
    <t>Keruntoli</t>
  </si>
  <si>
    <t>Ulubonia</t>
  </si>
  <si>
    <t>Balukhali</t>
  </si>
  <si>
    <t>Hajera Akter</t>
  </si>
  <si>
    <t>Amtali</t>
  </si>
  <si>
    <t>Unchiprang</t>
  </si>
  <si>
    <t>Raikong</t>
  </si>
  <si>
    <t>Lambabill</t>
  </si>
  <si>
    <t>Horikhola</t>
  </si>
  <si>
    <t>Laturikhola</t>
  </si>
  <si>
    <t>Doingakata</t>
  </si>
  <si>
    <t>Lambagona</t>
  </si>
  <si>
    <t>Ismotara</t>
  </si>
  <si>
    <t>Korachipara</t>
  </si>
  <si>
    <t>Kanjorpara</t>
  </si>
  <si>
    <t>Nayapara</t>
  </si>
  <si>
    <t>Aziza Akter-2</t>
  </si>
  <si>
    <t>Jhimongkhali</t>
  </si>
  <si>
    <t>Satghoriapara</t>
  </si>
  <si>
    <t>Aziza Akter-1</t>
  </si>
  <si>
    <t>Kharangkhali</t>
  </si>
  <si>
    <t>Nasorpara</t>
  </si>
  <si>
    <t>Rojargona</t>
  </si>
  <si>
    <t>Moheskhaliapara</t>
  </si>
  <si>
    <t>Comboniapara</t>
  </si>
  <si>
    <t>Nhilla</t>
  </si>
  <si>
    <t>Solima Khanom</t>
  </si>
  <si>
    <t>Aliakbarpara</t>
  </si>
  <si>
    <t>Rozarghona</t>
  </si>
  <si>
    <t>Marichya Ghona</t>
  </si>
  <si>
    <t>Naikongkhali</t>
  </si>
  <si>
    <t>Momtaz Begum</t>
  </si>
  <si>
    <t>Pankhali</t>
  </si>
  <si>
    <t>Hoakiapara</t>
  </si>
  <si>
    <t>Poschim Sikderpara</t>
  </si>
  <si>
    <t>Runalayla</t>
  </si>
  <si>
    <t>Hoabrang</t>
  </si>
  <si>
    <t>Purbo Sikderpara</t>
  </si>
  <si>
    <t>Bazarpara</t>
  </si>
  <si>
    <t>Fulerdail</t>
  </si>
  <si>
    <t>Mogpara</t>
  </si>
  <si>
    <t>Natmurapara</t>
  </si>
  <si>
    <t>Rehena Akter</t>
  </si>
  <si>
    <t>Uluchamuri</t>
  </si>
  <si>
    <t>Konapara</t>
  </si>
  <si>
    <t>Lechuaprang</t>
  </si>
  <si>
    <t>Poschim Rangikhali</t>
  </si>
  <si>
    <t>Purbo Rangikhali</t>
  </si>
  <si>
    <t>Alikhali</t>
  </si>
  <si>
    <t>Choudhuripara</t>
  </si>
  <si>
    <t>Jumma para</t>
  </si>
  <si>
    <t>Kulsuma Akter</t>
  </si>
  <si>
    <t>Alikhali (Part)</t>
  </si>
  <si>
    <t>Ledapara</t>
  </si>
  <si>
    <t>Mochonipara</t>
  </si>
  <si>
    <t>Zadimura</t>
  </si>
  <si>
    <t>Domdamia</t>
  </si>
  <si>
    <t>Pouroshava</t>
  </si>
  <si>
    <t>Sanoara Begum</t>
  </si>
  <si>
    <t>Naitongpara</t>
  </si>
  <si>
    <t>Puran Pallanpara</t>
  </si>
  <si>
    <t>Kaikkhalipara(part)</t>
  </si>
  <si>
    <t>Kaikkhalipara</t>
  </si>
  <si>
    <t>Islamabad</t>
  </si>
  <si>
    <t>Owliabad (Part)</t>
  </si>
  <si>
    <t xml:space="preserve">Owliabad </t>
  </si>
  <si>
    <t>Dailpara</t>
  </si>
  <si>
    <t>Kulalpara</t>
  </si>
  <si>
    <t>Chowdhuripara</t>
  </si>
  <si>
    <t>Uttar Jaliapara</t>
  </si>
  <si>
    <t>Madyam Jaliapara</t>
  </si>
  <si>
    <t>Hangarpara</t>
  </si>
  <si>
    <t>Kulalpara part</t>
  </si>
  <si>
    <t>Dakkin Jaliapara</t>
  </si>
  <si>
    <t>Teknaf Sadar</t>
  </si>
  <si>
    <t>Hasina Akter</t>
  </si>
  <si>
    <t>Habirchara</t>
  </si>
  <si>
    <t>Razarchara</t>
  </si>
  <si>
    <t>Mitapanir chara</t>
  </si>
  <si>
    <t>Dargachara</t>
  </si>
  <si>
    <t>Hatiar ghuna</t>
  </si>
  <si>
    <t>Jahaliapara</t>
  </si>
  <si>
    <t>Lambori</t>
  </si>
  <si>
    <t>Lengurbil</t>
  </si>
  <si>
    <t>Gomtoli</t>
  </si>
  <si>
    <t>Tula tuli</t>
  </si>
  <si>
    <t>Natun pollanpara/RF</t>
  </si>
  <si>
    <t>Rahima Begum</t>
  </si>
  <si>
    <t>Shilbuniapara</t>
  </si>
  <si>
    <t>Godarbil</t>
  </si>
  <si>
    <t>Hajompara</t>
  </si>
  <si>
    <t>Kachubunia</t>
  </si>
  <si>
    <t>Chotohabibpara</t>
  </si>
  <si>
    <t>Borohabibpara</t>
  </si>
  <si>
    <t>Nazirpara</t>
  </si>
  <si>
    <t>Moulovipara</t>
  </si>
  <si>
    <t>Khongkarpara</t>
  </si>
  <si>
    <t>Hankarpara Part</t>
  </si>
  <si>
    <t>Baraitali</t>
  </si>
  <si>
    <t>Sabrang</t>
  </si>
  <si>
    <t>Saleha Akter</t>
  </si>
  <si>
    <t>Uttar Nayapara</t>
  </si>
  <si>
    <t>Baharchara</t>
  </si>
  <si>
    <t>Chandulipara</t>
  </si>
  <si>
    <t>kyurabujja para</t>
  </si>
  <si>
    <t>Bangapara</t>
  </si>
  <si>
    <t>Munderdail</t>
  </si>
  <si>
    <t>Fateralipara</t>
  </si>
  <si>
    <t>Alirdail</t>
  </si>
  <si>
    <t>Karachipara</t>
  </si>
  <si>
    <t>Karachipara(Part)</t>
  </si>
  <si>
    <t>Hadurchara</t>
  </si>
  <si>
    <t>Guschagram</t>
  </si>
  <si>
    <t>Koeinshoripara</t>
  </si>
  <si>
    <t>Rahuler depa</t>
  </si>
  <si>
    <t>Kurermukh</t>
  </si>
  <si>
    <t>Mandal para</t>
  </si>
  <si>
    <t>Pancharipara</t>
  </si>
  <si>
    <t>Shikderpara</t>
  </si>
  <si>
    <t>Khairatipara</t>
  </si>
  <si>
    <t>Gulapara</t>
  </si>
  <si>
    <t>Pendalpara</t>
  </si>
  <si>
    <t>Lezirpara</t>
  </si>
  <si>
    <t>Acharbunia</t>
  </si>
  <si>
    <t>Degillarbil</t>
  </si>
  <si>
    <t>Dailpara(part)</t>
  </si>
  <si>
    <t>Somira Akter</t>
  </si>
  <si>
    <t>Katabunia</t>
  </si>
  <si>
    <t>Hariakhali</t>
  </si>
  <si>
    <t>Zinnahpara</t>
  </si>
  <si>
    <t>Puranpara</t>
  </si>
  <si>
    <t>Dakkin Nayapara</t>
  </si>
  <si>
    <t>Lafarguna</t>
  </si>
  <si>
    <t>Hazipara</t>
  </si>
  <si>
    <t>Majerpara</t>
  </si>
  <si>
    <t xml:space="preserve">Dakkinpara </t>
  </si>
  <si>
    <t>Purba Uttarpara/P.para</t>
  </si>
  <si>
    <t>Poschim Uttarpara</t>
  </si>
  <si>
    <t>Majerdail</t>
  </si>
  <si>
    <t>Dangorpara/Jaliagota</t>
  </si>
  <si>
    <t>Jaliapara</t>
  </si>
  <si>
    <t>Kamppara</t>
  </si>
  <si>
    <t>Mistripara</t>
  </si>
  <si>
    <t>Shamlapur</t>
  </si>
  <si>
    <t>Uttar shilkhali</t>
  </si>
  <si>
    <t>Dakkhin shilkhali</t>
  </si>
  <si>
    <t>Halbuniapara</t>
  </si>
  <si>
    <t>Jahajpura</t>
  </si>
  <si>
    <t>Mathavanga</t>
  </si>
  <si>
    <t>Marishbunia</t>
  </si>
  <si>
    <t>Barodail</t>
  </si>
  <si>
    <t>Koschapia</t>
  </si>
  <si>
    <t>Noakhalipara</t>
  </si>
  <si>
    <t>Saintmartin</t>
  </si>
  <si>
    <t>Fatema Khatun</t>
  </si>
  <si>
    <t>Poschimpara</t>
  </si>
  <si>
    <t>Uttarpara</t>
  </si>
  <si>
    <t>Zinzira</t>
  </si>
  <si>
    <t>Purbopara</t>
  </si>
  <si>
    <t>Nazrulpara</t>
  </si>
  <si>
    <t>Dakkhinpara</t>
  </si>
  <si>
    <t>Eidghoan</t>
  </si>
  <si>
    <t>Taslima Jannat Ranu</t>
  </si>
  <si>
    <t>Pashim Tech Para</t>
  </si>
  <si>
    <t xml:space="preserve">Uttar Pahashia Khali </t>
  </si>
  <si>
    <t>Daskin Pahashia Khalii</t>
  </si>
  <si>
    <t>Shikdar Para</t>
  </si>
  <si>
    <t>Char Para (Maij Para)</t>
  </si>
  <si>
    <t>Puni Para</t>
  </si>
  <si>
    <t>Satjola Kata</t>
  </si>
  <si>
    <t xml:space="preserve">Bualkhali </t>
  </si>
  <si>
    <t>Esa Khali</t>
  </si>
  <si>
    <t>Purbu Bualkhali Uttar Para</t>
  </si>
  <si>
    <t xml:space="preserve">Purbu Bualkhali </t>
  </si>
  <si>
    <t>Purbo Para</t>
  </si>
  <si>
    <t>Dokhin Para</t>
  </si>
  <si>
    <t xml:space="preserve">Uttar Para </t>
  </si>
  <si>
    <t>Hajee Para</t>
  </si>
  <si>
    <t>Boida Para</t>
  </si>
  <si>
    <t>Jaladas Para</t>
  </si>
  <si>
    <t>Refa Akter</t>
  </si>
  <si>
    <t>Purbu Yousuferkhil</t>
  </si>
  <si>
    <t>Yousufer Khil</t>
  </si>
  <si>
    <t>Raj Ghata</t>
  </si>
  <si>
    <t>Bansh Ghata</t>
  </si>
  <si>
    <t>Dakkin Para</t>
  </si>
  <si>
    <t>Khudai Bari</t>
  </si>
  <si>
    <t>Hori pur</t>
  </si>
  <si>
    <t>Oahadia Para</t>
  </si>
  <si>
    <t>Koraci Pahar</t>
  </si>
  <si>
    <t>Aowliabad</t>
  </si>
  <si>
    <t>Shia Para</t>
  </si>
  <si>
    <t>M. Gazalia</t>
  </si>
  <si>
    <t>Purba Gazalia</t>
  </si>
  <si>
    <t>Gazalia Rajghat</t>
  </si>
  <si>
    <t>Rasulpur Gram</t>
  </si>
  <si>
    <t>Pashim Gojalia</t>
  </si>
  <si>
    <t>Jalalabad</t>
  </si>
  <si>
    <t>Afreen Mokarroma</t>
  </si>
  <si>
    <t>Showdargor Para</t>
  </si>
  <si>
    <t>Khadimarchor</t>
  </si>
  <si>
    <t>Masua Para</t>
  </si>
  <si>
    <t>Bazar Alaka</t>
  </si>
  <si>
    <t>Shati Para</t>
  </si>
  <si>
    <t>Idrishpur</t>
  </si>
  <si>
    <t>Purba Larabag</t>
  </si>
  <si>
    <t>Dakkin Larabag</t>
  </si>
  <si>
    <t>Kamar Para</t>
  </si>
  <si>
    <t>Pacchim Miajee Para</t>
  </si>
  <si>
    <t>Kacho Para</t>
  </si>
  <si>
    <t>Miajee Para</t>
  </si>
  <si>
    <t>Purba Kamar Para</t>
  </si>
  <si>
    <t>Purba Miajee Para</t>
  </si>
  <si>
    <t>Lorabag</t>
  </si>
  <si>
    <t xml:space="preserve"> Farajee Para</t>
  </si>
  <si>
    <t>Purba Farajee Para</t>
  </si>
  <si>
    <t>Purbo Bahar Chora</t>
  </si>
  <si>
    <t>Dokkin Bahar Chora</t>
  </si>
  <si>
    <t>Pacchim Mohanvila</t>
  </si>
  <si>
    <t>Purba Mohanvila</t>
  </si>
  <si>
    <t>Pachar para</t>
  </si>
  <si>
    <t>Dokkin Palakata</t>
  </si>
  <si>
    <t>Maddhom Palakata</t>
  </si>
  <si>
    <t>Pecha Para</t>
  </si>
  <si>
    <t>Uttar Palakata</t>
  </si>
  <si>
    <t>Bot toli Para</t>
  </si>
  <si>
    <t>Gungachtola</t>
  </si>
  <si>
    <t>Purba Palakata</t>
  </si>
  <si>
    <t>Pook Khali</t>
  </si>
  <si>
    <t>Rima Sharma</t>
  </si>
  <si>
    <t>Ghona Para</t>
  </si>
  <si>
    <t>Pacchim Isakhali Chuddakhali Para</t>
  </si>
  <si>
    <t>Moddom Isakhali</t>
  </si>
  <si>
    <t>Pacchim Isakhali Pancch Ghona</t>
  </si>
  <si>
    <t>Pacchim Isakhali Bris Para</t>
  </si>
  <si>
    <t>Pansho Ghona</t>
  </si>
  <si>
    <t>Siyatto Ghona</t>
  </si>
  <si>
    <t>Pacchim Isakhali Dandi Bazar</t>
  </si>
  <si>
    <t>Isakhali Khonar Para</t>
  </si>
  <si>
    <t>Purba Pookkhali Dakkin Para</t>
  </si>
  <si>
    <t>Natun Bazar</t>
  </si>
  <si>
    <t>Haira Para</t>
  </si>
  <si>
    <t>Chauddokhali Para</t>
  </si>
  <si>
    <t>Ghodam Para</t>
  </si>
  <si>
    <t>Mia Para</t>
  </si>
  <si>
    <t>Sikanto Para</t>
  </si>
  <si>
    <t>Purba Pookkhali Uttar Para</t>
  </si>
  <si>
    <t>Purba Pookkhali Ghudam Para</t>
  </si>
  <si>
    <t>Purba Pookkhali Jom Shikaer  Para</t>
  </si>
  <si>
    <t>Purba Pookkhali Bara Shikder Para</t>
  </si>
  <si>
    <t>Maddum Pookkhali Fakir Para</t>
  </si>
  <si>
    <t>Maddum Pookkhali Bania Para</t>
  </si>
  <si>
    <t>Maddum Pookkhali Samiuddin Para</t>
  </si>
  <si>
    <t>Abul Fajal Para</t>
  </si>
  <si>
    <t>Char Kacha</t>
  </si>
  <si>
    <t>Maddum Pookkhali Uttar Para</t>
  </si>
  <si>
    <t>Kamala Para</t>
  </si>
  <si>
    <t>Shamiuddin Para</t>
  </si>
  <si>
    <t>Ateka Moni</t>
  </si>
  <si>
    <t xml:space="preserve"> Uttar Haji Para</t>
  </si>
  <si>
    <t>SulubanPara</t>
  </si>
  <si>
    <t>Aouliabad</t>
  </si>
  <si>
    <t>Maddum Para</t>
  </si>
  <si>
    <t>Malmura Para</t>
  </si>
  <si>
    <t>Naikkongdia Uttar Para</t>
  </si>
  <si>
    <t>Naikkongdia Dakkin Para</t>
  </si>
  <si>
    <t>Naikkongdia Pacchim Para</t>
  </si>
  <si>
    <t>Naikkongdia Purba Para</t>
  </si>
  <si>
    <t>Moddom Naikkongdia</t>
  </si>
  <si>
    <t>Naikkongdia</t>
  </si>
  <si>
    <t>Utar Naikkongdia</t>
  </si>
  <si>
    <t>Dilder Begum</t>
  </si>
  <si>
    <t>Gaitta Khali (Ghoma toli)</t>
  </si>
  <si>
    <t>Ashinnar Para</t>
  </si>
  <si>
    <t>Azim Para</t>
  </si>
  <si>
    <t>Jamai Para</t>
  </si>
  <si>
    <t>Raj Ghat</t>
  </si>
  <si>
    <t>Auilla Para</t>
  </si>
  <si>
    <t>Baish khali Para</t>
  </si>
  <si>
    <t>Saghor Para</t>
  </si>
  <si>
    <t>School Para</t>
  </si>
  <si>
    <t>Ayolla Para</t>
  </si>
  <si>
    <t>Mojaher Para</t>
  </si>
  <si>
    <t>Bara Aulia Para</t>
  </si>
  <si>
    <t>Barma Para</t>
  </si>
  <si>
    <t>Masjeed  Para</t>
  </si>
  <si>
    <t>Raja Khali Para</t>
  </si>
  <si>
    <t>Sonarbara Para</t>
  </si>
  <si>
    <t>Guma Toli</t>
  </si>
  <si>
    <t>Bazar Para(Banglabazar)</t>
  </si>
  <si>
    <t>Uttar Pashim Daskin Para</t>
  </si>
  <si>
    <t>Jhaodo Para</t>
  </si>
  <si>
    <t>Baboilla Para</t>
  </si>
  <si>
    <t>Showdagor Para</t>
  </si>
  <si>
    <t>Rahima Akter</t>
  </si>
  <si>
    <t>Jagir Para</t>
  </si>
  <si>
    <t>Uttar Maije Para</t>
  </si>
  <si>
    <t>Maddum Maije Para</t>
  </si>
  <si>
    <t>Dakkin Maije Para</t>
  </si>
  <si>
    <t>Sofura Akter</t>
  </si>
  <si>
    <t>Mahar Ghona</t>
  </si>
  <si>
    <t>Chandar Ghona</t>
  </si>
  <si>
    <t>Shat Goria Para</t>
  </si>
  <si>
    <t>Lal shori Para</t>
  </si>
  <si>
    <t>Uttar Para</t>
  </si>
  <si>
    <t>Chy. Para</t>
  </si>
  <si>
    <t>Purba para</t>
  </si>
  <si>
    <t>Shia Para-2</t>
  </si>
  <si>
    <t>Shia Para-1</t>
  </si>
  <si>
    <t>Office Mura</t>
  </si>
  <si>
    <t>Masua Khali</t>
  </si>
  <si>
    <t>Butia Para</t>
  </si>
  <si>
    <t>Shipra Dey</t>
  </si>
  <si>
    <t>Pacchim Vaditola</t>
  </si>
  <si>
    <t>Maddum Shia Para</t>
  </si>
  <si>
    <t>Purbo Vaditola</t>
  </si>
  <si>
    <t>Hasina Para</t>
  </si>
  <si>
    <t>Dhargha Para</t>
  </si>
  <si>
    <t>Mondol Para</t>
  </si>
  <si>
    <t>Ruddra Para</t>
  </si>
  <si>
    <t>Kaniar Chara</t>
  </si>
  <si>
    <t>Paul para</t>
  </si>
  <si>
    <t>Shibu Rani Rudra</t>
  </si>
  <si>
    <t>Duilla Chari</t>
  </si>
  <si>
    <t>Uttor Shia Para</t>
  </si>
  <si>
    <t>Purba Bomariaghona(Dhuillachory}</t>
  </si>
  <si>
    <t>Moddom Bomariaghona</t>
  </si>
  <si>
    <t>Shaheda Akter</t>
  </si>
  <si>
    <t>Bansh Khata</t>
  </si>
  <si>
    <t>Uttor Napit Khali</t>
  </si>
  <si>
    <t>Madrasa Para</t>
  </si>
  <si>
    <t>Koylash Ghona</t>
  </si>
  <si>
    <t>Risarve Para</t>
  </si>
  <si>
    <t>ACF Para</t>
  </si>
  <si>
    <t>Lomba Mura</t>
  </si>
  <si>
    <t>Nila Para</t>
  </si>
  <si>
    <t>Shondip Para</t>
  </si>
  <si>
    <t>Majar Mura</t>
  </si>
  <si>
    <t>Sobuj Saya</t>
  </si>
  <si>
    <t>Shomiti Para</t>
  </si>
  <si>
    <t xml:space="preserve">Jum Nagor </t>
  </si>
  <si>
    <t>Arol Toli</t>
  </si>
  <si>
    <t>Villager Para</t>
  </si>
  <si>
    <t>Purba Napith Khali</t>
  </si>
  <si>
    <t>Awaliabad</t>
  </si>
  <si>
    <t>Purba Bamonkhata</t>
  </si>
  <si>
    <t>Dudu miar Ghona</t>
  </si>
  <si>
    <t>BamonKhata</t>
  </si>
  <si>
    <t>Dharmar Chara</t>
  </si>
  <si>
    <t>Passhim Bamonkhata</t>
  </si>
  <si>
    <t>Dakkin Khan Ghona</t>
  </si>
  <si>
    <t>Dokkin Boiddha Para</t>
  </si>
  <si>
    <t>Pacchim Khan Ghona</t>
  </si>
  <si>
    <t>Majar Para</t>
  </si>
  <si>
    <t>Dokkin Bazar Para</t>
  </si>
  <si>
    <t>Uttar Khan Ghona</t>
  </si>
  <si>
    <t>Purba Khan Ghona</t>
  </si>
  <si>
    <t>Malaria Case-2026</t>
  </si>
  <si>
    <t>Moheshkhali</t>
  </si>
  <si>
    <t>Bara Moheshkhali</t>
  </si>
  <si>
    <t>Choto Moheshkhali</t>
  </si>
  <si>
    <t>Dhalghata</t>
  </si>
  <si>
    <t>Gorakghata (Powrasava)</t>
  </si>
  <si>
    <t>Hoanak</t>
  </si>
  <si>
    <t>Kalarmarchara</t>
  </si>
  <si>
    <t>Kutubjum</t>
  </si>
  <si>
    <t>Materbari</t>
  </si>
  <si>
    <t>Shaplapur</t>
  </si>
  <si>
    <t xml:space="preserve">Sukuria Para </t>
  </si>
  <si>
    <t xml:space="preserve">Fakirakata </t>
  </si>
  <si>
    <t xml:space="preserve">Mogoriakata </t>
  </si>
  <si>
    <t xml:space="preserve">Boro Dail </t>
  </si>
  <si>
    <t xml:space="preserve">Munsir Dail </t>
  </si>
  <si>
    <t xml:space="preserve">Mazer Dail </t>
  </si>
  <si>
    <t xml:space="preserve">Pahartali </t>
  </si>
  <si>
    <t xml:space="preserve">Mahara Para </t>
  </si>
  <si>
    <t xml:space="preserve">Miazir Para </t>
  </si>
  <si>
    <t>Monu Miar Para</t>
  </si>
  <si>
    <t xml:space="preserve">Moulovi Ansar Ali Para  </t>
  </si>
  <si>
    <t xml:space="preserve">Debanga Para </t>
  </si>
  <si>
    <t xml:space="preserve">Gulguliya Para </t>
  </si>
  <si>
    <t xml:space="preserve">Modhuar Dail </t>
  </si>
  <si>
    <t xml:space="preserve">Latuar Dail </t>
  </si>
  <si>
    <t xml:space="preserve">Mohorir Dail </t>
  </si>
  <si>
    <t>Siphair Para</t>
  </si>
  <si>
    <t>Gorostan Para</t>
  </si>
  <si>
    <t xml:space="preserve">Hindu Para </t>
  </si>
  <si>
    <t>Dhopa Para</t>
  </si>
  <si>
    <t xml:space="preserve">Choto Kulal Para </t>
  </si>
  <si>
    <t xml:space="preserve">Bara Kulal Para </t>
  </si>
  <si>
    <t xml:space="preserve">Satgoria Para </t>
  </si>
  <si>
    <t>Nijtaluk Para</t>
  </si>
  <si>
    <t xml:space="preserve">Jagira Ghona </t>
  </si>
  <si>
    <t>Fakira Ghona</t>
  </si>
  <si>
    <t>Uttur Sipahir Para</t>
  </si>
  <si>
    <t>Maddham Sipahir Para</t>
  </si>
  <si>
    <t>Purba Sipahir Para</t>
  </si>
  <si>
    <t>Dakkhin Sipahir Para</t>
  </si>
  <si>
    <t>Dakkhin Nolbila</t>
  </si>
  <si>
    <t>Umbaniya Para</t>
  </si>
  <si>
    <t>Uttur Kul</t>
  </si>
  <si>
    <t>Boshira Khola</t>
  </si>
  <si>
    <t>Lamba Ghona</t>
  </si>
  <si>
    <t>Dakkhin Kul</t>
  </si>
  <si>
    <t>Lamba Ghona Purba</t>
  </si>
  <si>
    <t>Mudir Chara</t>
  </si>
  <si>
    <t>Ahamadia Kata</t>
  </si>
  <si>
    <t>Poschim Thakur Tala</t>
  </si>
  <si>
    <t>Thakur Tala</t>
  </si>
  <si>
    <t xml:space="preserve">Uttar Mohorighona </t>
  </si>
  <si>
    <t xml:space="preserve">Nasir Mohammad Dail </t>
  </si>
  <si>
    <t>Panir Chara</t>
  </si>
  <si>
    <t>Dokkhain Mohorighuna</t>
  </si>
  <si>
    <t>Hamid Khali</t>
  </si>
  <si>
    <t>Bonjamira Ghona</t>
  </si>
  <si>
    <t>Saraitala</t>
  </si>
  <si>
    <t>Shikder Para</t>
  </si>
  <si>
    <t>Sutariya</t>
  </si>
  <si>
    <t>Khatur Para</t>
  </si>
  <si>
    <t>Ponditar Dail</t>
  </si>
  <si>
    <t>Bagunbuniya</t>
  </si>
  <si>
    <t>Shapmarar Dail</t>
  </si>
  <si>
    <t xml:space="preserve">Putibila </t>
  </si>
  <si>
    <t xml:space="preserve">Khussamar Para </t>
  </si>
  <si>
    <t xml:space="preserve">Pual Para </t>
  </si>
  <si>
    <t xml:space="preserve">Rakhine Para </t>
  </si>
  <si>
    <t xml:space="preserve">Sikdar Para </t>
  </si>
  <si>
    <t xml:space="preserve">Ghona para </t>
  </si>
  <si>
    <t xml:space="preserve">Jolodas Para </t>
  </si>
  <si>
    <t xml:space="preserve">Gorakghata </t>
  </si>
  <si>
    <t xml:space="preserve">Chor Para </t>
  </si>
  <si>
    <t>Chonkula  Para</t>
  </si>
  <si>
    <t>Daillaghuna</t>
  </si>
  <si>
    <t xml:space="preserve">Horiar Chora </t>
  </si>
  <si>
    <t xml:space="preserve">Kalagazir Para </t>
  </si>
  <si>
    <t>Kathaltali Para</t>
  </si>
  <si>
    <t>Padmapukur Para</t>
  </si>
  <si>
    <t>Fokirkhali Para</t>
  </si>
  <si>
    <t>Hamidur Rahaman Para</t>
  </si>
  <si>
    <t>Khursha Para</t>
  </si>
  <si>
    <t>Puichara</t>
  </si>
  <si>
    <t>Baniya Kata</t>
  </si>
  <si>
    <t>Jamal Para</t>
  </si>
  <si>
    <t>Barachara</t>
  </si>
  <si>
    <t>Algadia</t>
  </si>
  <si>
    <t>Rajuarghuna</t>
  </si>
  <si>
    <t>Karuntali</t>
  </si>
  <si>
    <t>Kadamtali</t>
  </si>
  <si>
    <t>Noya Para</t>
  </si>
  <si>
    <t>Addomula Para</t>
  </si>
  <si>
    <t>Kalaliakata</t>
  </si>
  <si>
    <t xml:space="preserve">Mohorakata </t>
  </si>
  <si>
    <t>Dhalghat Para</t>
  </si>
  <si>
    <t>Panirchara</t>
  </si>
  <si>
    <t>Baraghar Para</t>
  </si>
  <si>
    <t>Charar Agha</t>
  </si>
  <si>
    <t>Joiyar Kata</t>
  </si>
  <si>
    <t xml:space="preserve">Uttor Nolbila </t>
  </si>
  <si>
    <t>Zapua</t>
  </si>
  <si>
    <t>Chaliya Tali</t>
  </si>
  <si>
    <t>Akbar Hamid Para</t>
  </si>
  <si>
    <t xml:space="preserve">Majarapara </t>
  </si>
  <si>
    <t xml:space="preserve">Younas Khali </t>
  </si>
  <si>
    <t>Maijpara</t>
  </si>
  <si>
    <t>Uttur Zapua</t>
  </si>
  <si>
    <t>Marakkana Ghona</t>
  </si>
  <si>
    <t>Dakkhin Zapua</t>
  </si>
  <si>
    <t>Chikni Para</t>
  </si>
  <si>
    <t>Sonar Para</t>
  </si>
  <si>
    <t xml:space="preserve">Mohammad Saha Ghona </t>
  </si>
  <si>
    <t>Samira Ghona</t>
  </si>
  <si>
    <t>Fakirjum Para</t>
  </si>
  <si>
    <t>Office Para</t>
  </si>
  <si>
    <t>Nona Chari</t>
  </si>
  <si>
    <t>Adhar Ghona</t>
  </si>
  <si>
    <t xml:space="preserve">Chrar Lama </t>
  </si>
  <si>
    <t>Mijjir Para</t>
  </si>
  <si>
    <t>Ghotivanga Purba Para</t>
  </si>
  <si>
    <t>Ghotivanga Paschim Para</t>
  </si>
  <si>
    <t>Ghotivanga Abashan</t>
  </si>
  <si>
    <t>Ghotivanga Dainboni</t>
  </si>
  <si>
    <t>Purba Para</t>
  </si>
  <si>
    <t>Paschim Para</t>
  </si>
  <si>
    <t>Tajiyakata Dakkhin Para</t>
  </si>
  <si>
    <t>Tajiyakata Uttur Para</t>
  </si>
  <si>
    <t>Tajiyakata Char Para</t>
  </si>
  <si>
    <t>Horighona</t>
  </si>
  <si>
    <t>Kuat Para</t>
  </si>
  <si>
    <t>Tajiyakata Abashan</t>
  </si>
  <si>
    <t>Naya Para Charpara</t>
  </si>
  <si>
    <t>Battali Purba</t>
  </si>
  <si>
    <t>Chanda Kata</t>
  </si>
  <si>
    <t xml:space="preserve">Poschim Para </t>
  </si>
  <si>
    <t>Poschim Para CC</t>
  </si>
  <si>
    <t>Bilpara</t>
  </si>
  <si>
    <t xml:space="preserve">Doilar Para </t>
  </si>
  <si>
    <t>Adarsha School Para</t>
  </si>
  <si>
    <t xml:space="preserve">Fakkar Para </t>
  </si>
  <si>
    <t>Lal Mohammad Shikder Para</t>
  </si>
  <si>
    <t>Magkata</t>
  </si>
  <si>
    <t xml:space="preserve">Maddam Para </t>
  </si>
  <si>
    <t>Maddam Para Kutubjum</t>
  </si>
  <si>
    <t>Bujuruk Para</t>
  </si>
  <si>
    <t>Uttur Mahariya Para</t>
  </si>
  <si>
    <t>Mahariya Para</t>
  </si>
  <si>
    <t>Kamitar Para</t>
  </si>
  <si>
    <t>Dokkhin Kamitar Para</t>
  </si>
  <si>
    <t>Dokkhin Khandoker Para</t>
  </si>
  <si>
    <t>Khandoker Para</t>
  </si>
  <si>
    <t xml:space="preserve">Bandi Sikdar Para </t>
  </si>
  <si>
    <t>Wapda Para</t>
  </si>
  <si>
    <t xml:space="preserve">Satghar Para </t>
  </si>
  <si>
    <t xml:space="preserve">Monhazir Para </t>
  </si>
  <si>
    <t>Tita Majir Para</t>
  </si>
  <si>
    <t>Maijprar</t>
  </si>
  <si>
    <t>Mogdail</t>
  </si>
  <si>
    <t>Sairar Dail</t>
  </si>
  <si>
    <t>Shaitmara</t>
  </si>
  <si>
    <t xml:space="preserve">Jhamghat </t>
  </si>
  <si>
    <t xml:space="preserve">Jamirchori </t>
  </si>
  <si>
    <t>BariyaChai</t>
  </si>
  <si>
    <t xml:space="preserve">Mitachori </t>
  </si>
  <si>
    <t xml:space="preserve">muolovikata </t>
  </si>
  <si>
    <t xml:space="preserve">Paccim Para </t>
  </si>
  <si>
    <t xml:space="preserve">Ghudara Para </t>
  </si>
  <si>
    <t xml:space="preserve">Mukbeki </t>
  </si>
  <si>
    <t>Chadekerkata</t>
  </si>
  <si>
    <t xml:space="preserve">Kaydabad </t>
  </si>
  <si>
    <t xml:space="preserve">Dinajpur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</si>
</sst>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m\-d"/>
    <numFmt numFmtId="165" formatCode="0.000000"/>
    <numFmt numFmtId="166" formatCode="_(* #,##0.0_);_(* \(#,##0.0\);_(* &quot;-&quot;??_);_(@_)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theme="2" tint="-0.89999084444715716"/>
      <name val="Calibri"/>
      <family val="2"/>
    </font>
    <font>
      <sz val="11"/>
      <color theme="1" tint="4.9989318521683403E-2"/>
      <name val="Calibri"/>
      <family val="2"/>
    </font>
    <font>
      <sz val="11"/>
      <color rgb="FF0D0D0D"/>
      <name val="Calibri"/>
      <family val="2"/>
    </font>
    <font>
      <sz val="11"/>
      <color rgb="FF1F1F1F"/>
      <name val="Calibri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theme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rgb="FFB4C6E7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</cellStyleXfs>
  <cellXfs count="187">
    <xf numFmtId="0" fontId="0" fillId="0" borderId="0" xfId="0"/>
    <xf numFmtId="0" fontId="3" fillId="0" borderId="0" xfId="0" applyFont="1" applyAlignment="1"/>
    <xf numFmtId="0" fontId="4" fillId="0" borderId="0" xfId="0" applyFont="1" applyAlignment="1">
      <alignment horizontal="center"/>
    </xf>
    <xf numFmtId="1" fontId="0" fillId="0" borderId="0" xfId="0" applyNumberFormat="1" applyFont="1" applyAlignment="1">
      <alignment horizontal="right"/>
    </xf>
    <xf numFmtId="0" fontId="0" fillId="0" borderId="0" xfId="0" applyFont="1"/>
    <xf numFmtId="0" fontId="5" fillId="0" borderId="0" xfId="0" applyFont="1" applyFill="1" applyAlignment="1"/>
    <xf numFmtId="0" fontId="3" fillId="0" borderId="0" xfId="0" applyFont="1" applyAlignment="1">
      <alignment horizontal="left"/>
    </xf>
    <xf numFmtId="0" fontId="3" fillId="2" borderId="0" xfId="0" applyFont="1" applyFill="1" applyAlignment="1">
      <alignment horizontal="center"/>
    </xf>
    <xf numFmtId="0" fontId="3" fillId="0" borderId="0" xfId="0" applyFont="1" applyFill="1" applyBorder="1" applyAlignment="1"/>
    <xf numFmtId="0" fontId="4" fillId="0" borderId="0" xfId="0" applyFont="1" applyFill="1" applyBorder="1" applyAlignment="1"/>
    <xf numFmtId="1" fontId="0" fillId="0" borderId="0" xfId="0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horizontal="center"/>
    </xf>
    <xf numFmtId="1" fontId="3" fillId="0" borderId="0" xfId="0" applyNumberFormat="1" applyFont="1" applyFill="1" applyBorder="1" applyAlignment="1"/>
    <xf numFmtId="0" fontId="0" fillId="0" borderId="0" xfId="0" applyFont="1" applyFill="1" applyBorder="1"/>
    <xf numFmtId="0" fontId="0" fillId="0" borderId="0" xfId="0" applyFont="1" applyAlignment="1">
      <alignment wrapText="1"/>
    </xf>
    <xf numFmtId="0" fontId="5" fillId="2" borderId="0" xfId="0" applyFont="1" applyFill="1" applyBorder="1" applyAlignment="1"/>
    <xf numFmtId="0" fontId="3" fillId="0" borderId="5" xfId="0" applyFont="1" applyBorder="1" applyAlignment="1"/>
    <xf numFmtId="0" fontId="3" fillId="5" borderId="5" xfId="0" applyFont="1" applyFill="1" applyBorder="1" applyAlignment="1"/>
    <xf numFmtId="49" fontId="2" fillId="0" borderId="5" xfId="0" applyNumberFormat="1" applyFont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/>
    </xf>
    <xf numFmtId="0" fontId="9" fillId="5" borderId="5" xfId="0" applyFont="1" applyFill="1" applyBorder="1" applyAlignment="1">
      <alignment horizontal="center"/>
    </xf>
    <xf numFmtId="0" fontId="9" fillId="0" borderId="5" xfId="0" applyFont="1" applyBorder="1" applyAlignment="1"/>
    <xf numFmtId="0" fontId="3" fillId="5" borderId="5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9" fillId="0" borderId="5" xfId="0" applyFont="1" applyBorder="1" applyAlignment="1">
      <alignment horizontal="right"/>
    </xf>
    <xf numFmtId="0" fontId="10" fillId="5" borderId="5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164" fontId="1" fillId="2" borderId="5" xfId="0" applyNumberFormat="1" applyFont="1" applyFill="1" applyBorder="1" applyAlignment="1">
      <alignment horizontal="center"/>
    </xf>
    <xf numFmtId="164" fontId="4" fillId="2" borderId="5" xfId="0" applyNumberFormat="1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0" borderId="5" xfId="0" applyFont="1" applyBorder="1"/>
    <xf numFmtId="0" fontId="9" fillId="2" borderId="5" xfId="0" applyFont="1" applyFill="1" applyBorder="1" applyAlignment="1">
      <alignment horizontal="center"/>
    </xf>
    <xf numFmtId="0" fontId="11" fillId="5" borderId="5" xfId="0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/>
    </xf>
    <xf numFmtId="0" fontId="0" fillId="0" borderId="5" xfId="0" applyFont="1" applyBorder="1"/>
    <xf numFmtId="0" fontId="7" fillId="0" borderId="5" xfId="0" applyFont="1" applyBorder="1" applyAlignment="1">
      <alignment horizontal="center"/>
    </xf>
    <xf numFmtId="0" fontId="7" fillId="2" borderId="5" xfId="0" applyFont="1" applyFill="1" applyBorder="1"/>
    <xf numFmtId="0" fontId="4" fillId="0" borderId="5" xfId="0" applyFont="1" applyBorder="1" applyAlignment="1">
      <alignment horizontal="center"/>
    </xf>
    <xf numFmtId="0" fontId="0" fillId="0" borderId="5" xfId="0" applyFont="1" applyBorder="1" applyAlignment="1"/>
    <xf numFmtId="49" fontId="0" fillId="0" borderId="5" xfId="0" applyNumberFormat="1" applyBorder="1" applyAlignment="1">
      <alignment horizontal="left"/>
    </xf>
    <xf numFmtId="0" fontId="4" fillId="3" borderId="7" xfId="0" applyFont="1" applyFill="1" applyBorder="1" applyAlignment="1">
      <alignment horizontal="center" vertical="center" textRotation="90" wrapText="1"/>
    </xf>
    <xf numFmtId="0" fontId="4" fillId="3" borderId="8" xfId="0" applyFont="1" applyFill="1" applyBorder="1" applyAlignment="1">
      <alignment horizontal="center" vertical="center" textRotation="90" wrapText="1"/>
    </xf>
    <xf numFmtId="0" fontId="4" fillId="7" borderId="0" xfId="0" applyFont="1" applyFill="1" applyBorder="1" applyAlignment="1"/>
    <xf numFmtId="1" fontId="1" fillId="7" borderId="0" xfId="0" applyNumberFormat="1" applyFont="1" applyFill="1" applyBorder="1" applyAlignment="1">
      <alignment horizontal="right"/>
    </xf>
    <xf numFmtId="0" fontId="4" fillId="3" borderId="9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/>
    </xf>
    <xf numFmtId="0" fontId="3" fillId="0" borderId="0" xfId="0" applyFont="1" applyFill="1" applyBorder="1" applyAlignment="1" applyProtection="1"/>
    <xf numFmtId="0" fontId="4" fillId="0" borderId="0" xfId="0" applyFont="1" applyFill="1" applyBorder="1" applyAlignment="1" applyProtection="1">
      <alignment horizontal="right"/>
    </xf>
    <xf numFmtId="0" fontId="4" fillId="0" borderId="0" xfId="0" applyFont="1" applyFill="1" applyBorder="1" applyAlignment="1" applyProtection="1"/>
    <xf numFmtId="0" fontId="4" fillId="0" borderId="0" xfId="0" applyFont="1" applyFill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center"/>
    </xf>
    <xf numFmtId="0" fontId="4" fillId="3" borderId="2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3" borderId="5" xfId="0" applyFont="1" applyFill="1" applyBorder="1" applyAlignment="1" applyProtection="1">
      <alignment horizontal="center" vertical="center" wrapText="1"/>
    </xf>
    <xf numFmtId="0" fontId="4" fillId="5" borderId="3" xfId="0" applyFont="1" applyFill="1" applyBorder="1" applyAlignment="1" applyProtection="1">
      <alignment horizontal="right"/>
    </xf>
    <xf numFmtId="0" fontId="3" fillId="0" borderId="3" xfId="0" applyFont="1" applyBorder="1" applyAlignment="1" applyProtection="1"/>
    <xf numFmtId="0" fontId="0" fillId="0" borderId="0" xfId="0" applyFont="1" applyProtection="1"/>
    <xf numFmtId="0" fontId="4" fillId="0" borderId="4" xfId="0" applyFont="1" applyBorder="1" applyAlignment="1" applyProtection="1">
      <alignment horizontal="center"/>
    </xf>
    <xf numFmtId="165" fontId="0" fillId="0" borderId="5" xfId="0" applyNumberFormat="1" applyBorder="1"/>
    <xf numFmtId="49" fontId="12" fillId="0" borderId="5" xfId="0" applyNumberFormat="1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49" fontId="12" fillId="0" borderId="5" xfId="0" applyNumberFormat="1" applyFont="1" applyFill="1" applyBorder="1" applyAlignment="1">
      <alignment horizontal="left" vertical="center"/>
    </xf>
    <xf numFmtId="49" fontId="13" fillId="0" borderId="5" xfId="0" applyNumberFormat="1" applyFont="1" applyBorder="1" applyAlignment="1">
      <alignment horizontal="left" vertical="center"/>
    </xf>
    <xf numFmtId="49" fontId="12" fillId="0" borderId="2" xfId="0" applyNumberFormat="1" applyFont="1" applyBorder="1" applyAlignment="1">
      <alignment horizontal="left" vertical="center"/>
    </xf>
    <xf numFmtId="0" fontId="3" fillId="0" borderId="5" xfId="0" applyFont="1" applyBorder="1" applyAlignment="1" applyProtection="1"/>
    <xf numFmtId="0" fontId="12" fillId="0" borderId="5" xfId="0" applyNumberFormat="1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1" fontId="0" fillId="0" borderId="5" xfId="0" applyNumberFormat="1" applyBorder="1"/>
    <xf numFmtId="0" fontId="4" fillId="0" borderId="4" xfId="0" applyFont="1" applyBorder="1" applyAlignment="1" applyProtection="1">
      <alignment horizontal="center"/>
    </xf>
    <xf numFmtId="49" fontId="14" fillId="0" borderId="5" xfId="0" applyNumberFormat="1" applyFont="1" applyBorder="1" applyAlignment="1">
      <alignment horizontal="left" vertical="center"/>
    </xf>
    <xf numFmtId="0" fontId="4" fillId="5" borderId="12" xfId="0" applyFont="1" applyFill="1" applyBorder="1" applyAlignment="1" applyProtection="1">
      <alignment horizontal="right"/>
    </xf>
    <xf numFmtId="0" fontId="3" fillId="0" borderId="12" xfId="0" applyFont="1" applyBorder="1" applyAlignment="1" applyProtection="1"/>
    <xf numFmtId="0" fontId="4" fillId="3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 applyProtection="1">
      <alignment horizontal="right"/>
    </xf>
    <xf numFmtId="49" fontId="15" fillId="0" borderId="5" xfId="0" applyNumberFormat="1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49" fontId="12" fillId="0" borderId="0" xfId="0" applyNumberFormat="1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2" xfId="0" applyNumberFormat="1" applyFont="1" applyBorder="1" applyAlignment="1">
      <alignment horizontal="left" vertical="center"/>
    </xf>
    <xf numFmtId="49" fontId="12" fillId="0" borderId="11" xfId="0" applyNumberFormat="1" applyFont="1" applyBorder="1" applyAlignment="1">
      <alignment horizontal="left" vertical="center"/>
    </xf>
    <xf numFmtId="0" fontId="0" fillId="0" borderId="10" xfId="0" applyFont="1" applyBorder="1" applyAlignment="1"/>
    <xf numFmtId="49" fontId="12" fillId="0" borderId="13" xfId="0" applyNumberFormat="1" applyFont="1" applyBorder="1" applyAlignment="1">
      <alignment horizontal="left" vertical="center"/>
    </xf>
    <xf numFmtId="165" fontId="0" fillId="0" borderId="10" xfId="0" applyNumberFormat="1" applyBorder="1"/>
    <xf numFmtId="0" fontId="12" fillId="0" borderId="13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left" vertical="center"/>
    </xf>
    <xf numFmtId="0" fontId="7" fillId="0" borderId="10" xfId="0" applyFont="1" applyBorder="1"/>
    <xf numFmtId="0" fontId="7" fillId="0" borderId="10" xfId="0" applyFont="1" applyBorder="1" applyAlignment="1">
      <alignment horizontal="center"/>
    </xf>
    <xf numFmtId="0" fontId="7" fillId="2" borderId="10" xfId="0" applyFont="1" applyFill="1" applyBorder="1"/>
    <xf numFmtId="49" fontId="16" fillId="0" borderId="5" xfId="0" applyNumberFormat="1" applyFont="1" applyBorder="1" applyAlignment="1">
      <alignment horizontal="left" vertical="center"/>
    </xf>
    <xf numFmtId="49" fontId="17" fillId="0" borderId="5" xfId="0" applyNumberFormat="1" applyFont="1" applyBorder="1" applyAlignment="1">
      <alignment horizontal="left" vertical="center"/>
    </xf>
    <xf numFmtId="0" fontId="18" fillId="0" borderId="5" xfId="0" applyFont="1" applyBorder="1" applyAlignment="1">
      <alignment horizontal="left" vertical="center"/>
    </xf>
    <xf numFmtId="165" fontId="0" fillId="0" borderId="0" xfId="0" applyNumberFormat="1"/>
    <xf numFmtId="0" fontId="3" fillId="5" borderId="3" xfId="0" applyFont="1" applyFill="1" applyBorder="1" applyAlignment="1" applyProtection="1">
      <alignment horizontal="left"/>
    </xf>
    <xf numFmtId="0" fontId="4" fillId="0" borderId="4" xfId="0" applyFont="1" applyBorder="1" applyAlignment="1" applyProtection="1">
      <alignment horizontal="center"/>
    </xf>
    <xf numFmtId="0" fontId="12" fillId="0" borderId="0" xfId="0" applyNumberFormat="1" applyFont="1" applyBorder="1" applyAlignment="1">
      <alignment horizontal="left" vertical="center"/>
    </xf>
    <xf numFmtId="0" fontId="4" fillId="0" borderId="4" xfId="0" applyFont="1" applyBorder="1" applyAlignment="1" applyProtection="1">
      <alignment horizontal="center"/>
    </xf>
    <xf numFmtId="0" fontId="0" fillId="0" borderId="14" xfId="0" applyFont="1" applyBorder="1"/>
    <xf numFmtId="0" fontId="0" fillId="0" borderId="10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/>
    </xf>
    <xf numFmtId="0" fontId="0" fillId="0" borderId="15" xfId="0" applyFont="1" applyBorder="1" applyAlignment="1">
      <alignment horizontal="left" vertical="center"/>
    </xf>
    <xf numFmtId="0" fontId="0" fillId="0" borderId="5" xfId="0" applyFont="1" applyBorder="1" applyAlignment="1">
      <alignment horizontal="center" vertical="center" wrapText="1"/>
    </xf>
    <xf numFmtId="1" fontId="0" fillId="0" borderId="5" xfId="0" applyNumberFormat="1" applyFont="1" applyBorder="1" applyAlignment="1">
      <alignment horizontal="center" vertical="center" wrapText="1"/>
    </xf>
    <xf numFmtId="0" fontId="0" fillId="9" borderId="5" xfId="0" applyFont="1" applyFill="1" applyBorder="1" applyAlignment="1">
      <alignment horizontal="center"/>
    </xf>
    <xf numFmtId="0" fontId="0" fillId="9" borderId="16" xfId="0" applyFont="1" applyFill="1" applyBorder="1" applyAlignment="1">
      <alignment horizontal="center"/>
    </xf>
    <xf numFmtId="0" fontId="0" fillId="0" borderId="17" xfId="0" applyFont="1" applyBorder="1"/>
    <xf numFmtId="0" fontId="0" fillId="0" borderId="16" xfId="0" applyFont="1" applyBorder="1"/>
    <xf numFmtId="0" fontId="20" fillId="0" borderId="5" xfId="0" applyFont="1" applyBorder="1" applyAlignment="1">
      <alignment horizontal="center" vertical="center" wrapText="1"/>
    </xf>
    <xf numFmtId="0" fontId="1" fillId="9" borderId="16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0" fillId="9" borderId="5" xfId="0" applyFont="1" applyFill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1" fontId="0" fillId="0" borderId="5" xfId="0" applyNumberFormat="1" applyFont="1" applyBorder="1" applyAlignment="1">
      <alignment horizontal="center" vertical="center"/>
    </xf>
    <xf numFmtId="0" fontId="0" fillId="0" borderId="15" xfId="0" applyFont="1" applyBorder="1" applyAlignment="1">
      <alignment horizontal="left" vertical="center" wrapText="1"/>
    </xf>
    <xf numFmtId="0" fontId="0" fillId="0" borderId="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textRotation="90" wrapText="1"/>
    </xf>
    <xf numFmtId="0" fontId="19" fillId="0" borderId="5" xfId="2" applyNumberFormat="1" applyFont="1" applyBorder="1" applyAlignment="1">
      <alignment horizontal="center" vertical="center"/>
    </xf>
    <xf numFmtId="0" fontId="0" fillId="0" borderId="14" xfId="0" applyFont="1" applyBorder="1" applyAlignment="1">
      <alignment horizontal="center"/>
    </xf>
    <xf numFmtId="0" fontId="0" fillId="0" borderId="5" xfId="0" applyFont="1" applyFill="1" applyBorder="1" applyAlignment="1">
      <alignment horizontal="left" vertical="center"/>
    </xf>
    <xf numFmtId="0" fontId="0" fillId="0" borderId="5" xfId="0" applyBorder="1"/>
    <xf numFmtId="0" fontId="0" fillId="9" borderId="18" xfId="0" applyFont="1" applyFill="1" applyBorder="1" applyAlignment="1">
      <alignment horizontal="center"/>
    </xf>
    <xf numFmtId="0" fontId="0" fillId="0" borderId="5" xfId="0" applyFont="1" applyFill="1" applyBorder="1" applyAlignment="1">
      <alignment vertical="center"/>
    </xf>
    <xf numFmtId="0" fontId="19" fillId="0" borderId="5" xfId="2" quotePrefix="1" applyNumberFormat="1" applyFont="1" applyBorder="1" applyAlignment="1">
      <alignment horizontal="center" vertical="center" wrapText="1"/>
    </xf>
    <xf numFmtId="0" fontId="19" fillId="0" borderId="5" xfId="2" applyNumberFormat="1" applyFont="1" applyBorder="1" applyAlignment="1">
      <alignment horizontal="center" vertical="center" wrapText="1"/>
    </xf>
    <xf numFmtId="0" fontId="0" fillId="9" borderId="15" xfId="0" applyFont="1" applyFill="1" applyBorder="1" applyAlignment="1">
      <alignment horizontal="center"/>
    </xf>
    <xf numFmtId="0" fontId="0" fillId="0" borderId="5" xfId="0" applyFont="1" applyFill="1" applyBorder="1"/>
    <xf numFmtId="0" fontId="0" fillId="0" borderId="5" xfId="0" quotePrefix="1" applyFont="1" applyBorder="1" applyAlignment="1">
      <alignment horizontal="center" vertical="center"/>
    </xf>
    <xf numFmtId="0" fontId="0" fillId="0" borderId="14" xfId="0" quotePrefix="1" applyFont="1" applyBorder="1" applyAlignment="1">
      <alignment horizontal="center" vertical="center"/>
    </xf>
    <xf numFmtId="0" fontId="0" fillId="9" borderId="19" xfId="0" applyFont="1" applyFill="1" applyBorder="1" applyAlignment="1">
      <alignment horizontal="center"/>
    </xf>
    <xf numFmtId="0" fontId="0" fillId="0" borderId="20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0" fillId="0" borderId="10" xfId="0" applyFont="1" applyBorder="1"/>
    <xf numFmtId="0" fontId="0" fillId="0" borderId="20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20" xfId="0" applyFont="1" applyBorder="1"/>
    <xf numFmtId="0" fontId="3" fillId="5" borderId="12" xfId="0" applyFont="1" applyFill="1" applyBorder="1" applyAlignment="1" applyProtection="1">
      <alignment horizontal="left"/>
    </xf>
    <xf numFmtId="0" fontId="0" fillId="0" borderId="10" xfId="0" applyFont="1" applyFill="1" applyBorder="1"/>
    <xf numFmtId="0" fontId="0" fillId="0" borderId="10" xfId="0" applyBorder="1"/>
    <xf numFmtId="0" fontId="0" fillId="9" borderId="22" xfId="0" applyFont="1" applyFill="1" applyBorder="1" applyAlignment="1">
      <alignment horizontal="center"/>
    </xf>
    <xf numFmtId="0" fontId="3" fillId="5" borderId="10" xfId="0" applyFont="1" applyFill="1" applyBorder="1" applyAlignment="1"/>
    <xf numFmtId="0" fontId="3" fillId="2" borderId="10" xfId="0" applyFont="1" applyFill="1" applyBorder="1" applyAlignment="1">
      <alignment horizontal="center"/>
    </xf>
    <xf numFmtId="0" fontId="3" fillId="5" borderId="5" xfId="0" applyFont="1" applyFill="1" applyBorder="1" applyAlignment="1" applyProtection="1">
      <alignment horizontal="left"/>
    </xf>
    <xf numFmtId="0" fontId="0" fillId="9" borderId="14" xfId="0" applyFill="1" applyBorder="1" applyAlignment="1">
      <alignment horizontal="left"/>
    </xf>
    <xf numFmtId="0" fontId="0" fillId="9" borderId="5" xfId="0" applyFill="1" applyBorder="1" applyAlignment="1">
      <alignment horizontal="center" vertical="center"/>
    </xf>
    <xf numFmtId="166" fontId="21" fillId="9" borderId="5" xfId="1" applyNumberFormat="1" applyFont="1" applyFill="1" applyBorder="1" applyAlignment="1">
      <alignment horizontal="left" vertical="center"/>
    </xf>
    <xf numFmtId="0" fontId="0" fillId="9" borderId="14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/>
    </xf>
    <xf numFmtId="0" fontId="0" fillId="9" borderId="5" xfId="0" applyFill="1" applyBorder="1" applyAlignment="1">
      <alignment horizontal="left"/>
    </xf>
    <xf numFmtId="0" fontId="0" fillId="9" borderId="5" xfId="0" applyFill="1" applyBorder="1" applyAlignment="1">
      <alignment horizontal="center"/>
    </xf>
    <xf numFmtId="0" fontId="4" fillId="0" borderId="0" xfId="0" applyFont="1" applyFill="1" applyBorder="1" applyAlignment="1" applyProtection="1">
      <alignment horizontal="center" wrapText="1"/>
    </xf>
    <xf numFmtId="0" fontId="4" fillId="0" borderId="4" xfId="0" applyFont="1" applyBorder="1" applyAlignment="1" applyProtection="1">
      <alignment horizontal="center"/>
    </xf>
    <xf numFmtId="1" fontId="1" fillId="0" borderId="0" xfId="0" applyNumberFormat="1" applyFont="1" applyFill="1" applyBorder="1" applyAlignment="1">
      <alignment horizontal="right"/>
    </xf>
    <xf numFmtId="0" fontId="4" fillId="0" borderId="0" xfId="0" applyFont="1" applyFill="1" applyBorder="1" applyAlignment="1" applyProtection="1">
      <alignment horizontal="center" wrapText="1"/>
    </xf>
    <xf numFmtId="0" fontId="4" fillId="0" borderId="4" xfId="0" applyFont="1" applyBorder="1" applyAlignment="1" applyProtection="1">
      <alignment horizontal="center"/>
    </xf>
    <xf numFmtId="0" fontId="4" fillId="10" borderId="4" xfId="0" applyFont="1" applyFill="1" applyBorder="1" applyAlignment="1">
      <alignment horizontal="center"/>
    </xf>
    <xf numFmtId="0" fontId="3" fillId="10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7" fillId="0" borderId="14" xfId="0" applyFont="1" applyBorder="1" applyAlignment="1" applyProtection="1">
      <alignment vertical="center"/>
      <protection locked="0"/>
    </xf>
    <xf numFmtId="0" fontId="7" fillId="9" borderId="14" xfId="0" applyFont="1" applyFill="1" applyBorder="1" applyAlignment="1" applyProtection="1">
      <alignment vertical="center"/>
      <protection locked="0"/>
    </xf>
    <xf numFmtId="0" fontId="7" fillId="0" borderId="10" xfId="0" applyFont="1" applyBorder="1" applyAlignment="1" applyProtection="1">
      <alignment vertical="center"/>
      <protection locked="0"/>
    </xf>
    <xf numFmtId="0" fontId="7" fillId="9" borderId="5" xfId="0" applyFont="1" applyFill="1" applyBorder="1" applyAlignment="1" applyProtection="1">
      <alignment vertical="center"/>
      <protection locked="0"/>
    </xf>
    <xf numFmtId="0" fontId="7" fillId="0" borderId="5" xfId="0" applyFont="1" applyBorder="1" applyAlignment="1" applyProtection="1">
      <alignment vertical="center"/>
      <protection locked="0"/>
    </xf>
    <xf numFmtId="0" fontId="0" fillId="0" borderId="0" xfId="0" applyAlignment="1">
      <alignment wrapText="1"/>
    </xf>
    <xf numFmtId="0" fontId="4" fillId="0" borderId="0" xfId="0" applyFont="1" applyFill="1" applyBorder="1" applyAlignment="1" applyProtection="1">
      <alignment horizontal="center"/>
    </xf>
    <xf numFmtId="0" fontId="0" fillId="0" borderId="0" xfId="0" applyFont="1" applyFill="1" applyBorder="1" applyAlignment="1"/>
    <xf numFmtId="0" fontId="0" fillId="0" borderId="0" xfId="0" applyAlignment="1"/>
    <xf numFmtId="0" fontId="4" fillId="0" borderId="0" xfId="0" applyFont="1" applyFill="1" applyBorder="1" applyAlignment="1" applyProtection="1">
      <alignment horizontal="center"/>
    </xf>
    <xf numFmtId="0" fontId="0" fillId="0" borderId="0" xfId="0" applyBorder="1" applyAlignment="1"/>
    <xf numFmtId="0" fontId="0" fillId="0" borderId="14" xfId="0" applyFont="1" applyBorder="1" applyAlignment="1"/>
    <xf numFmtId="0" fontId="7" fillId="0" borderId="14" xfId="0" applyFont="1" applyBorder="1" applyAlignment="1" applyProtection="1">
      <protection locked="0"/>
    </xf>
    <xf numFmtId="0" fontId="0" fillId="0" borderId="5" xfId="0" applyBorder="1" applyAlignment="1"/>
    <xf numFmtId="0" fontId="7" fillId="0" borderId="5" xfId="0" applyFont="1" applyBorder="1" applyAlignment="1" applyProtection="1">
      <protection locked="0"/>
    </xf>
    <xf numFmtId="0" fontId="7" fillId="0" borderId="5" xfId="0" applyFont="1" applyBorder="1" applyAlignment="1"/>
    <xf numFmtId="0" fontId="0" fillId="0" borderId="5" xfId="0" applyFont="1" applyFill="1" applyBorder="1" applyAlignment="1"/>
  </cellXfs>
  <cellStyles count="3">
    <cellStyle name="Comma" xfId="1" builtinId="3"/>
    <cellStyle name="Comma 2" xfId="2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33</xdr:row>
      <xdr:rowOff>104775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1429BE3-3A2C-44D0-A354-D689CC077688}"/>
            </a:ext>
          </a:extLst>
        </xdr:cNvPr>
        <xdr:cNvSpPr txBox="1"/>
      </xdr:nvSpPr>
      <xdr:spPr>
        <a:xfrm>
          <a:off x="12595860" y="552259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83"/>
  <sheetViews>
    <sheetView workbookViewId="0">
      <pane xSplit="12" ySplit="6" topLeftCell="S7" activePane="bottomRight" state="frozen"/>
      <selection pane="topRight" activeCell="K1" sqref="K1"/>
      <selection pane="bottomLeft" activeCell="A6" sqref="A6"/>
      <selection pane="bottomRight" activeCell="U1" sqref="U1:U1048576"/>
    </sheetView>
  </sheetViews>
  <sheetFormatPr defaultRowHeight="14.4" x14ac:dyDescent="0.3"/>
  <cols>
    <col min="1" max="1" width="4.109375" style="65" customWidth="1"/>
    <col min="2" max="2" width="14" style="65" customWidth="1"/>
    <col min="3" max="3" width="13.109375" style="65" customWidth="1"/>
    <col min="4" max="4" width="12.21875" style="65" customWidth="1"/>
    <col min="5" max="5" width="17" style="65" customWidth="1"/>
    <col min="6" max="6" width="12.109375" style="65" customWidth="1"/>
    <col min="7" max="7" width="6.88671875" style="65" customWidth="1"/>
    <col min="8" max="8" width="19.6640625" style="4" customWidth="1"/>
    <col min="9" max="9" width="7.21875" style="4" customWidth="1"/>
    <col min="10" max="10" width="15.6640625" style="4" customWidth="1"/>
    <col min="11" max="11" width="23.44140625" style="4" customWidth="1"/>
    <col min="12" max="12" width="19.21875" style="4" customWidth="1"/>
    <col min="13" max="13" width="8.33203125" style="4" customWidth="1"/>
    <col min="14" max="14" width="9.6640625" style="4" customWidth="1"/>
    <col min="15" max="15" width="10.44140625" style="4" customWidth="1"/>
    <col min="16" max="17" width="8.6640625" style="4" customWidth="1"/>
    <col min="18" max="18" width="7.33203125" style="4" customWidth="1"/>
    <col min="19" max="19" width="7.44140625" style="4" customWidth="1"/>
    <col min="20" max="20" width="7.33203125" style="4" customWidth="1"/>
    <col min="21" max="32" width="4.77734375" style="4" customWidth="1"/>
    <col min="33" max="33" width="15" style="4" customWidth="1"/>
    <col min="34" max="16384" width="8.88671875" style="4"/>
  </cols>
  <sheetData>
    <row r="1" spans="1:36" s="13" customFormat="1" x14ac:dyDescent="0.3">
      <c r="A1" s="55"/>
      <c r="B1" s="55"/>
      <c r="C1" s="55"/>
      <c r="D1" s="55"/>
      <c r="E1" s="55"/>
      <c r="F1" s="55"/>
      <c r="G1" s="165" t="s">
        <v>23</v>
      </c>
      <c r="H1" s="46" t="s">
        <v>0</v>
      </c>
      <c r="I1" s="47">
        <f>COUNTIF(I7:I702,"SK(H)")</f>
        <v>0</v>
      </c>
      <c r="J1" s="46" t="s">
        <v>1</v>
      </c>
      <c r="K1" s="46">
        <f>COUNTA(J7:J718)</f>
        <v>0</v>
      </c>
      <c r="L1" s="9"/>
      <c r="M1" s="9"/>
      <c r="N1" s="9"/>
      <c r="O1" s="9"/>
      <c r="Z1" s="11"/>
      <c r="AA1" s="8"/>
      <c r="AB1" s="8"/>
      <c r="AC1" s="8"/>
      <c r="AD1" s="11"/>
      <c r="AE1" s="11"/>
      <c r="AF1" s="11" t="s">
        <v>2</v>
      </c>
      <c r="AG1" s="11"/>
      <c r="AH1" s="10"/>
      <c r="AI1" s="12"/>
      <c r="AJ1" s="8"/>
    </row>
    <row r="2" spans="1:36" s="13" customFormat="1" x14ac:dyDescent="0.3">
      <c r="A2" s="55"/>
      <c r="B2" s="55"/>
      <c r="C2" s="55"/>
      <c r="D2" s="56"/>
      <c r="E2" s="57"/>
      <c r="F2" s="57"/>
      <c r="G2" s="165"/>
      <c r="H2" s="46" t="s">
        <v>3</v>
      </c>
      <c r="I2" s="47">
        <f>COUNTIF(I7:I703,"SHW(H)")</f>
        <v>0</v>
      </c>
      <c r="J2" s="46" t="s">
        <v>5</v>
      </c>
      <c r="K2" s="46">
        <f>COUNTA(K7:K383)</f>
        <v>377</v>
      </c>
      <c r="L2" s="9"/>
      <c r="M2" s="9"/>
      <c r="N2" s="9"/>
      <c r="O2" s="9"/>
      <c r="Z2" s="11"/>
      <c r="AA2" s="8"/>
      <c r="AB2" s="8"/>
      <c r="AC2" s="8"/>
      <c r="AD2" s="11"/>
      <c r="AE2" s="11"/>
      <c r="AF2" s="11" t="s">
        <v>4</v>
      </c>
      <c r="AG2" s="11"/>
      <c r="AH2" s="10"/>
      <c r="AI2" s="8"/>
      <c r="AJ2" s="8"/>
    </row>
    <row r="3" spans="1:36" s="13" customFormat="1" x14ac:dyDescent="0.3">
      <c r="A3" s="55"/>
      <c r="B3" s="55"/>
      <c r="C3" s="55"/>
      <c r="D3" s="56"/>
      <c r="E3" s="57"/>
      <c r="F3" s="57"/>
      <c r="G3" s="162"/>
      <c r="H3" s="9"/>
      <c r="I3" s="164"/>
      <c r="J3" s="9"/>
      <c r="K3" s="9"/>
      <c r="L3" s="9"/>
      <c r="M3" s="9"/>
      <c r="N3" s="9"/>
      <c r="O3" s="9"/>
      <c r="Z3" s="11"/>
      <c r="AA3" s="8"/>
      <c r="AB3" s="8"/>
      <c r="AC3" s="8"/>
      <c r="AD3" s="11"/>
      <c r="AE3" s="11"/>
      <c r="AF3" s="11" t="s">
        <v>6</v>
      </c>
      <c r="AG3" s="11"/>
      <c r="AH3" s="10"/>
      <c r="AI3" s="8"/>
      <c r="AJ3" s="8"/>
    </row>
    <row r="4" spans="1:36" s="13" customFormat="1" x14ac:dyDescent="0.3">
      <c r="A4" s="55"/>
      <c r="B4" s="55"/>
      <c r="C4" s="55"/>
      <c r="D4" s="55"/>
      <c r="E4" s="58"/>
      <c r="F4" s="58"/>
      <c r="G4" s="55"/>
      <c r="H4" s="8"/>
      <c r="I4" s="8"/>
      <c r="K4" s="11"/>
      <c r="L4" s="11"/>
      <c r="M4" s="11"/>
      <c r="N4" s="11"/>
      <c r="O4" s="11"/>
      <c r="Z4" s="11"/>
      <c r="AA4" s="8"/>
      <c r="AB4" s="8"/>
      <c r="AC4" s="8"/>
      <c r="AD4" s="11"/>
      <c r="AE4" s="11"/>
      <c r="AG4" s="11"/>
      <c r="AH4" s="10"/>
    </row>
    <row r="5" spans="1:36" ht="19.8" customHeight="1" x14ac:dyDescent="0.3">
      <c r="A5" s="166" t="s">
        <v>7</v>
      </c>
      <c r="B5" s="166"/>
      <c r="C5" s="166"/>
      <c r="D5" s="166"/>
      <c r="E5" s="59" t="s">
        <v>120</v>
      </c>
      <c r="F5" s="59"/>
      <c r="G5" s="59"/>
      <c r="H5" s="2"/>
      <c r="I5" s="1"/>
      <c r="J5" s="1"/>
      <c r="K5" s="15"/>
      <c r="L5" s="15"/>
      <c r="M5" s="15"/>
      <c r="N5" s="15"/>
      <c r="O5" s="15"/>
      <c r="P5" s="5"/>
      <c r="Q5" s="5"/>
      <c r="R5" s="5"/>
      <c r="S5" s="5"/>
      <c r="T5" s="1"/>
      <c r="U5" s="167" t="s">
        <v>4489</v>
      </c>
      <c r="V5" s="167"/>
      <c r="W5" s="167"/>
      <c r="X5" s="167"/>
      <c r="Y5" s="167"/>
      <c r="Z5" s="167"/>
      <c r="AA5" s="167"/>
      <c r="AB5" s="167"/>
      <c r="AC5" s="167"/>
      <c r="AD5" s="167"/>
      <c r="AE5" s="167"/>
      <c r="AF5" s="167"/>
      <c r="AG5" s="6"/>
      <c r="AH5" s="3"/>
      <c r="AI5" s="7"/>
      <c r="AJ5" s="7"/>
    </row>
    <row r="6" spans="1:36" s="14" customFormat="1" ht="84.6" customHeight="1" x14ac:dyDescent="0.3">
      <c r="A6" s="60" t="s">
        <v>8</v>
      </c>
      <c r="B6" s="61" t="s">
        <v>3518</v>
      </c>
      <c r="C6" s="61" t="s">
        <v>3519</v>
      </c>
      <c r="D6" s="61" t="s">
        <v>9</v>
      </c>
      <c r="E6" s="61" t="s">
        <v>10</v>
      </c>
      <c r="F6" s="61" t="s">
        <v>11</v>
      </c>
      <c r="G6" s="62" t="s">
        <v>3523</v>
      </c>
      <c r="H6" s="19" t="s">
        <v>12</v>
      </c>
      <c r="I6" s="19" t="s">
        <v>13</v>
      </c>
      <c r="J6" s="48" t="s">
        <v>14</v>
      </c>
      <c r="K6" s="53" t="s">
        <v>34</v>
      </c>
      <c r="L6" s="81" t="s">
        <v>35</v>
      </c>
      <c r="M6" s="53" t="s">
        <v>40</v>
      </c>
      <c r="N6" s="53" t="s">
        <v>36</v>
      </c>
      <c r="O6" s="53" t="s">
        <v>37</v>
      </c>
      <c r="P6" s="19" t="s">
        <v>15</v>
      </c>
      <c r="Q6" s="19" t="s">
        <v>3522</v>
      </c>
      <c r="R6" s="19" t="s">
        <v>33</v>
      </c>
      <c r="S6" s="19" t="s">
        <v>38</v>
      </c>
      <c r="T6" s="19" t="s">
        <v>39</v>
      </c>
      <c r="U6" s="44" t="s">
        <v>26</v>
      </c>
      <c r="V6" s="45" t="s">
        <v>27</v>
      </c>
      <c r="W6" s="45" t="s">
        <v>16</v>
      </c>
      <c r="X6" s="45" t="s">
        <v>17</v>
      </c>
      <c r="Y6" s="45" t="s">
        <v>18</v>
      </c>
      <c r="Z6" s="45" t="s">
        <v>19</v>
      </c>
      <c r="AA6" s="45" t="s">
        <v>20</v>
      </c>
      <c r="AB6" s="45" t="s">
        <v>28</v>
      </c>
      <c r="AC6" s="45" t="s">
        <v>29</v>
      </c>
      <c r="AD6" s="45" t="s">
        <v>30</v>
      </c>
      <c r="AE6" s="45" t="s">
        <v>31</v>
      </c>
      <c r="AF6" s="45" t="s">
        <v>32</v>
      </c>
      <c r="AG6" s="49" t="s">
        <v>25</v>
      </c>
      <c r="AH6" s="50" t="s">
        <v>24</v>
      </c>
      <c r="AI6" s="51" t="s">
        <v>21</v>
      </c>
      <c r="AJ6" s="52" t="s">
        <v>22</v>
      </c>
    </row>
    <row r="7" spans="1:36" ht="15.6" x14ac:dyDescent="0.3">
      <c r="A7" s="63">
        <v>1</v>
      </c>
      <c r="B7" s="102" t="s">
        <v>3520</v>
      </c>
      <c r="C7" s="102" t="s">
        <v>3521</v>
      </c>
      <c r="D7" s="64" t="s">
        <v>119</v>
      </c>
      <c r="E7" s="71" t="s">
        <v>120</v>
      </c>
      <c r="F7" s="71" t="s">
        <v>121</v>
      </c>
      <c r="G7" s="71" t="s">
        <v>41</v>
      </c>
      <c r="H7" s="20"/>
      <c r="I7" s="20"/>
      <c r="J7" s="21"/>
      <c r="K7" s="75" t="s">
        <v>130</v>
      </c>
      <c r="L7" s="71" t="s">
        <v>131</v>
      </c>
      <c r="M7" s="68" t="s">
        <v>132</v>
      </c>
      <c r="N7" s="67">
        <v>21.500816</v>
      </c>
      <c r="O7" s="67">
        <v>92.031537999999998</v>
      </c>
      <c r="P7" s="71">
        <v>4500</v>
      </c>
      <c r="Q7" s="71"/>
      <c r="R7" s="18"/>
      <c r="S7" s="18"/>
      <c r="T7" s="22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16"/>
      <c r="AH7" s="24"/>
      <c r="AI7" s="25"/>
      <c r="AJ7" s="25"/>
    </row>
    <row r="8" spans="1:36" ht="15.6" x14ac:dyDescent="0.3">
      <c r="A8" s="63">
        <v>2</v>
      </c>
      <c r="B8" s="102" t="s">
        <v>3520</v>
      </c>
      <c r="C8" s="102" t="s">
        <v>3521</v>
      </c>
      <c r="D8" s="64" t="s">
        <v>119</v>
      </c>
      <c r="E8" s="71" t="s">
        <v>120</v>
      </c>
      <c r="F8" s="71" t="s">
        <v>121</v>
      </c>
      <c r="G8" s="71" t="s">
        <v>42</v>
      </c>
      <c r="H8" s="20"/>
      <c r="I8" s="20"/>
      <c r="J8" s="21"/>
      <c r="K8" s="75" t="s">
        <v>133</v>
      </c>
      <c r="L8" s="68" t="s">
        <v>134</v>
      </c>
      <c r="M8" s="68" t="s">
        <v>135</v>
      </c>
      <c r="N8" s="67">
        <v>21.501003000000001</v>
      </c>
      <c r="O8" s="67">
        <v>92.024630000000002</v>
      </c>
      <c r="P8" s="71">
        <v>5000</v>
      </c>
      <c r="Q8" s="71"/>
      <c r="R8" s="18"/>
      <c r="S8" s="18"/>
      <c r="T8" s="22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17"/>
      <c r="AH8" s="24"/>
      <c r="AI8" s="25"/>
      <c r="AJ8" s="25"/>
    </row>
    <row r="9" spans="1:36" ht="15.6" x14ac:dyDescent="0.3">
      <c r="A9" s="63">
        <v>3</v>
      </c>
      <c r="B9" s="102" t="s">
        <v>3520</v>
      </c>
      <c r="C9" s="102" t="s">
        <v>3521</v>
      </c>
      <c r="D9" s="64" t="s">
        <v>119</v>
      </c>
      <c r="E9" s="71" t="s">
        <v>120</v>
      </c>
      <c r="F9" s="71" t="s">
        <v>121</v>
      </c>
      <c r="G9" s="71" t="s">
        <v>42</v>
      </c>
      <c r="H9" s="20"/>
      <c r="I9" s="20"/>
      <c r="J9" s="21"/>
      <c r="K9" s="75" t="s">
        <v>136</v>
      </c>
      <c r="L9" s="71" t="s">
        <v>137</v>
      </c>
      <c r="M9" s="68" t="s">
        <v>138</v>
      </c>
      <c r="N9" s="67">
        <v>21.498151</v>
      </c>
      <c r="O9" s="67">
        <v>92.027493000000007</v>
      </c>
      <c r="P9" s="71">
        <v>2000</v>
      </c>
      <c r="Q9" s="71"/>
      <c r="R9" s="18"/>
      <c r="S9" s="18"/>
      <c r="T9" s="22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17"/>
      <c r="AH9" s="24"/>
      <c r="AI9" s="25"/>
      <c r="AJ9" s="25"/>
    </row>
    <row r="10" spans="1:36" ht="15.6" x14ac:dyDescent="0.3">
      <c r="A10" s="63">
        <v>4</v>
      </c>
      <c r="B10" s="102" t="s">
        <v>3520</v>
      </c>
      <c r="C10" s="102" t="s">
        <v>3521</v>
      </c>
      <c r="D10" s="64" t="s">
        <v>119</v>
      </c>
      <c r="E10" s="71" t="s">
        <v>120</v>
      </c>
      <c r="F10" s="71" t="s">
        <v>121</v>
      </c>
      <c r="G10" s="71" t="s">
        <v>43</v>
      </c>
      <c r="H10" s="20"/>
      <c r="I10" s="20"/>
      <c r="J10" s="21"/>
      <c r="K10" s="68" t="s">
        <v>139</v>
      </c>
      <c r="L10" s="71" t="s">
        <v>140</v>
      </c>
      <c r="M10" s="68" t="s">
        <v>141</v>
      </c>
      <c r="N10" s="67">
        <v>21.501702000000002</v>
      </c>
      <c r="O10" s="67">
        <v>92.021454000000006</v>
      </c>
      <c r="P10" s="71">
        <v>4000</v>
      </c>
      <c r="Q10" s="71"/>
      <c r="R10" s="18"/>
      <c r="S10" s="18"/>
      <c r="T10" s="22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17"/>
      <c r="AH10" s="24"/>
      <c r="AI10" s="25"/>
      <c r="AJ10" s="25"/>
    </row>
    <row r="11" spans="1:36" ht="15.6" x14ac:dyDescent="0.3">
      <c r="A11" s="63">
        <v>5</v>
      </c>
      <c r="B11" s="102" t="s">
        <v>3520</v>
      </c>
      <c r="C11" s="102" t="s">
        <v>3521</v>
      </c>
      <c r="D11" s="64" t="s">
        <v>119</v>
      </c>
      <c r="E11" s="71" t="s">
        <v>120</v>
      </c>
      <c r="F11" s="71" t="s">
        <v>121</v>
      </c>
      <c r="G11" s="71" t="s">
        <v>44</v>
      </c>
      <c r="H11" s="20"/>
      <c r="I11" s="20"/>
      <c r="J11" s="21"/>
      <c r="K11" s="75" t="s">
        <v>142</v>
      </c>
      <c r="L11" s="71" t="s">
        <v>143</v>
      </c>
      <c r="M11" s="68" t="s">
        <v>144</v>
      </c>
      <c r="N11" s="67">
        <v>21.500665999999999</v>
      </c>
      <c r="O11" s="67">
        <v>92.039035999999996</v>
      </c>
      <c r="P11" s="71">
        <v>700</v>
      </c>
      <c r="Q11" s="71"/>
      <c r="R11" s="18"/>
      <c r="S11" s="18"/>
      <c r="T11" s="22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16"/>
      <c r="AH11" s="24"/>
      <c r="AI11" s="25"/>
      <c r="AJ11" s="25"/>
    </row>
    <row r="12" spans="1:36" ht="15.6" x14ac:dyDescent="0.3">
      <c r="A12" s="63">
        <v>6</v>
      </c>
      <c r="B12" s="102" t="s">
        <v>3520</v>
      </c>
      <c r="C12" s="102" t="s">
        <v>3521</v>
      </c>
      <c r="D12" s="64" t="s">
        <v>119</v>
      </c>
      <c r="E12" s="71" t="s">
        <v>120</v>
      </c>
      <c r="F12" s="71" t="s">
        <v>121</v>
      </c>
      <c r="G12" s="71" t="s">
        <v>44</v>
      </c>
      <c r="H12" s="20"/>
      <c r="I12" s="20"/>
      <c r="J12" s="21"/>
      <c r="K12" s="75" t="s">
        <v>145</v>
      </c>
      <c r="L12" s="71" t="s">
        <v>146</v>
      </c>
      <c r="M12" s="68" t="s">
        <v>147</v>
      </c>
      <c r="N12" s="67">
        <v>21.503741999999999</v>
      </c>
      <c r="O12" s="67">
        <v>92.038376</v>
      </c>
      <c r="P12" s="71">
        <v>4000</v>
      </c>
      <c r="Q12" s="71"/>
      <c r="R12" s="18"/>
      <c r="S12" s="18"/>
      <c r="T12" s="22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17"/>
      <c r="AH12" s="24"/>
      <c r="AI12" s="25"/>
      <c r="AJ12" s="25"/>
    </row>
    <row r="13" spans="1:36" ht="15.6" x14ac:dyDescent="0.3">
      <c r="A13" s="63">
        <v>7</v>
      </c>
      <c r="B13" s="102" t="s">
        <v>3520</v>
      </c>
      <c r="C13" s="102" t="s">
        <v>3521</v>
      </c>
      <c r="D13" s="64" t="s">
        <v>119</v>
      </c>
      <c r="E13" s="71" t="s">
        <v>120</v>
      </c>
      <c r="F13" s="71" t="s">
        <v>121</v>
      </c>
      <c r="G13" s="71" t="s">
        <v>44</v>
      </c>
      <c r="H13" s="20"/>
      <c r="I13" s="20"/>
      <c r="J13" s="21"/>
      <c r="K13" s="75" t="s">
        <v>148</v>
      </c>
      <c r="L13" s="71" t="s">
        <v>149</v>
      </c>
      <c r="M13" s="68" t="s">
        <v>150</v>
      </c>
      <c r="N13" s="67">
        <v>21.497764</v>
      </c>
      <c r="O13" s="67">
        <v>92.035150999999999</v>
      </c>
      <c r="P13" s="71">
        <v>5500</v>
      </c>
      <c r="Q13" s="71"/>
      <c r="R13" s="18"/>
      <c r="S13" s="18"/>
      <c r="T13" s="22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17"/>
      <c r="AH13" s="24"/>
      <c r="AI13" s="25"/>
      <c r="AJ13" s="25"/>
    </row>
    <row r="14" spans="1:36" ht="15.6" x14ac:dyDescent="0.3">
      <c r="A14" s="63">
        <v>8</v>
      </c>
      <c r="B14" s="102" t="s">
        <v>3520</v>
      </c>
      <c r="C14" s="102" t="s">
        <v>3521</v>
      </c>
      <c r="D14" s="64" t="s">
        <v>119</v>
      </c>
      <c r="E14" s="71" t="s">
        <v>120</v>
      </c>
      <c r="F14" s="71" t="s">
        <v>121</v>
      </c>
      <c r="G14" s="71" t="s">
        <v>45</v>
      </c>
      <c r="H14" s="26"/>
      <c r="I14" s="20"/>
      <c r="J14" s="21"/>
      <c r="K14" s="75" t="s">
        <v>151</v>
      </c>
      <c r="L14" s="71" t="s">
        <v>152</v>
      </c>
      <c r="M14" s="68" t="s">
        <v>153</v>
      </c>
      <c r="N14" s="67">
        <v>21.500477</v>
      </c>
      <c r="O14" s="67">
        <v>92.042551000000003</v>
      </c>
      <c r="P14" s="71">
        <v>1500</v>
      </c>
      <c r="Q14" s="71"/>
      <c r="R14" s="18"/>
      <c r="S14" s="18"/>
      <c r="T14" s="27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16"/>
      <c r="AH14" s="24"/>
      <c r="AI14" s="25"/>
      <c r="AJ14" s="25"/>
    </row>
    <row r="15" spans="1:36" ht="15.6" x14ac:dyDescent="0.3">
      <c r="A15" s="63">
        <v>9</v>
      </c>
      <c r="B15" s="102" t="s">
        <v>3520</v>
      </c>
      <c r="C15" s="102" t="s">
        <v>3521</v>
      </c>
      <c r="D15" s="64" t="s">
        <v>119</v>
      </c>
      <c r="E15" s="71" t="s">
        <v>120</v>
      </c>
      <c r="F15" s="71" t="s">
        <v>121</v>
      </c>
      <c r="G15" s="71" t="s">
        <v>45</v>
      </c>
      <c r="H15" s="26"/>
      <c r="I15" s="20"/>
      <c r="J15" s="21"/>
      <c r="K15" s="75" t="s">
        <v>154</v>
      </c>
      <c r="L15" s="71" t="s">
        <v>155</v>
      </c>
      <c r="M15" s="68" t="s">
        <v>156</v>
      </c>
      <c r="N15" s="67">
        <v>21.499244000000001</v>
      </c>
      <c r="O15" s="67">
        <v>92.044794999999993</v>
      </c>
      <c r="P15" s="71">
        <v>150</v>
      </c>
      <c r="Q15" s="71"/>
      <c r="R15" s="18"/>
      <c r="S15" s="18"/>
      <c r="T15" s="27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17"/>
      <c r="AH15" s="24"/>
      <c r="AI15" s="25"/>
      <c r="AJ15" s="25"/>
    </row>
    <row r="16" spans="1:36" ht="15.6" x14ac:dyDescent="0.3">
      <c r="A16" s="63">
        <v>10</v>
      </c>
      <c r="B16" s="102" t="s">
        <v>3520</v>
      </c>
      <c r="C16" s="102" t="s">
        <v>3521</v>
      </c>
      <c r="D16" s="64" t="s">
        <v>119</v>
      </c>
      <c r="E16" s="71" t="s">
        <v>120</v>
      </c>
      <c r="F16" s="71" t="s">
        <v>121</v>
      </c>
      <c r="G16" s="71" t="s">
        <v>45</v>
      </c>
      <c r="H16" s="26"/>
      <c r="I16" s="20"/>
      <c r="J16" s="21"/>
      <c r="K16" s="75" t="s">
        <v>157</v>
      </c>
      <c r="L16" s="71" t="s">
        <v>158</v>
      </c>
      <c r="M16" s="68" t="s">
        <v>159</v>
      </c>
      <c r="N16" s="67">
        <v>21.504321000000001</v>
      </c>
      <c r="O16" s="67">
        <v>92.047475000000006</v>
      </c>
      <c r="P16" s="71">
        <v>900</v>
      </c>
      <c r="Q16" s="71"/>
      <c r="R16" s="18"/>
      <c r="S16" s="18"/>
      <c r="T16" s="27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17"/>
      <c r="AH16" s="24"/>
      <c r="AI16" s="25"/>
      <c r="AJ16" s="25"/>
    </row>
    <row r="17" spans="1:36" ht="15.6" x14ac:dyDescent="0.3">
      <c r="A17" s="63">
        <v>11</v>
      </c>
      <c r="B17" s="102" t="s">
        <v>3520</v>
      </c>
      <c r="C17" s="102" t="s">
        <v>3521</v>
      </c>
      <c r="D17" s="64" t="s">
        <v>119</v>
      </c>
      <c r="E17" s="71" t="s">
        <v>120</v>
      </c>
      <c r="F17" s="71" t="s">
        <v>121</v>
      </c>
      <c r="G17" s="71" t="s">
        <v>45</v>
      </c>
      <c r="H17" s="26"/>
      <c r="I17" s="20"/>
      <c r="J17" s="28"/>
      <c r="K17" s="75" t="s">
        <v>160</v>
      </c>
      <c r="L17" s="68" t="s">
        <v>161</v>
      </c>
      <c r="M17" s="68" t="s">
        <v>162</v>
      </c>
      <c r="N17" s="67">
        <v>21.500404</v>
      </c>
      <c r="O17" s="67">
        <v>92.048492999999993</v>
      </c>
      <c r="P17" s="71">
        <v>800</v>
      </c>
      <c r="Q17" s="71"/>
      <c r="R17" s="18"/>
      <c r="S17" s="18"/>
      <c r="T17" s="27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17"/>
      <c r="AH17" s="24"/>
      <c r="AI17" s="25"/>
      <c r="AJ17" s="25"/>
    </row>
    <row r="18" spans="1:36" ht="15.6" x14ac:dyDescent="0.3">
      <c r="A18" s="63">
        <v>12</v>
      </c>
      <c r="B18" s="102" t="s">
        <v>3520</v>
      </c>
      <c r="C18" s="102" t="s">
        <v>3521</v>
      </c>
      <c r="D18" s="64" t="s">
        <v>119</v>
      </c>
      <c r="E18" s="71" t="s">
        <v>120</v>
      </c>
      <c r="F18" s="71" t="s">
        <v>121</v>
      </c>
      <c r="G18" s="71" t="s">
        <v>45</v>
      </c>
      <c r="H18" s="26"/>
      <c r="I18" s="20"/>
      <c r="J18" s="21"/>
      <c r="K18" s="75" t="s">
        <v>57</v>
      </c>
      <c r="L18" s="71" t="s">
        <v>58</v>
      </c>
      <c r="M18" s="68" t="s">
        <v>163</v>
      </c>
      <c r="N18" s="67">
        <v>21.502129</v>
      </c>
      <c r="O18" s="67">
        <v>92.053676999999993</v>
      </c>
      <c r="P18" s="71">
        <v>1500</v>
      </c>
      <c r="Q18" s="71"/>
      <c r="R18" s="18"/>
      <c r="S18" s="18"/>
      <c r="T18" s="27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17"/>
      <c r="AH18" s="24"/>
      <c r="AI18" s="25"/>
      <c r="AJ18" s="25"/>
    </row>
    <row r="19" spans="1:36" ht="15.6" x14ac:dyDescent="0.3">
      <c r="A19" s="63">
        <v>13</v>
      </c>
      <c r="B19" s="102" t="s">
        <v>3520</v>
      </c>
      <c r="C19" s="102" t="s">
        <v>3521</v>
      </c>
      <c r="D19" s="64" t="s">
        <v>119</v>
      </c>
      <c r="E19" s="71" t="s">
        <v>120</v>
      </c>
      <c r="F19" s="71" t="s">
        <v>121</v>
      </c>
      <c r="G19" s="71" t="s">
        <v>46</v>
      </c>
      <c r="H19" s="26"/>
      <c r="I19" s="20"/>
      <c r="J19" s="21"/>
      <c r="K19" s="75" t="s">
        <v>164</v>
      </c>
      <c r="L19" s="71" t="s">
        <v>165</v>
      </c>
      <c r="M19" s="68" t="s">
        <v>166</v>
      </c>
      <c r="N19" s="67">
        <v>21.497730000000001</v>
      </c>
      <c r="O19" s="67">
        <v>92.045597999999998</v>
      </c>
      <c r="P19" s="71">
        <v>1200</v>
      </c>
      <c r="Q19" s="71"/>
      <c r="R19" s="18"/>
      <c r="S19" s="18"/>
      <c r="T19" s="27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17"/>
      <c r="AH19" s="24"/>
      <c r="AI19" s="25"/>
      <c r="AJ19" s="25"/>
    </row>
    <row r="20" spans="1:36" ht="15.6" x14ac:dyDescent="0.3">
      <c r="A20" s="63">
        <v>14</v>
      </c>
      <c r="B20" s="102" t="s">
        <v>3520</v>
      </c>
      <c r="C20" s="102" t="s">
        <v>3521</v>
      </c>
      <c r="D20" s="64" t="s">
        <v>119</v>
      </c>
      <c r="E20" s="71" t="s">
        <v>120</v>
      </c>
      <c r="F20" s="71" t="s">
        <v>121</v>
      </c>
      <c r="G20" s="71" t="s">
        <v>46</v>
      </c>
      <c r="H20" s="26"/>
      <c r="I20" s="20"/>
      <c r="J20" s="21"/>
      <c r="K20" s="75" t="s">
        <v>167</v>
      </c>
      <c r="L20" s="71" t="s">
        <v>168</v>
      </c>
      <c r="M20" s="68" t="s">
        <v>169</v>
      </c>
      <c r="N20" s="67">
        <v>21.495106</v>
      </c>
      <c r="O20" s="67">
        <v>92.04495</v>
      </c>
      <c r="P20" s="71">
        <v>3000</v>
      </c>
      <c r="Q20" s="71"/>
      <c r="R20" s="18"/>
      <c r="S20" s="18"/>
      <c r="T20" s="27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17"/>
      <c r="AH20" s="24"/>
      <c r="AI20" s="25"/>
      <c r="AJ20" s="25"/>
    </row>
    <row r="21" spans="1:36" ht="15.6" x14ac:dyDescent="0.3">
      <c r="A21" s="63">
        <v>15</v>
      </c>
      <c r="B21" s="102" t="s">
        <v>3520</v>
      </c>
      <c r="C21" s="102" t="s">
        <v>3521</v>
      </c>
      <c r="D21" s="64" t="s">
        <v>119</v>
      </c>
      <c r="E21" s="71" t="s">
        <v>120</v>
      </c>
      <c r="F21" s="71" t="s">
        <v>121</v>
      </c>
      <c r="G21" s="71" t="s">
        <v>46</v>
      </c>
      <c r="H21" s="26"/>
      <c r="I21" s="20"/>
      <c r="J21" s="21"/>
      <c r="K21" s="75" t="s">
        <v>170</v>
      </c>
      <c r="L21" s="71" t="s">
        <v>171</v>
      </c>
      <c r="M21" s="68" t="s">
        <v>172</v>
      </c>
      <c r="N21" s="67">
        <v>21.497558000000001</v>
      </c>
      <c r="O21" s="67">
        <v>92.049473000000006</v>
      </c>
      <c r="P21" s="71">
        <v>1500</v>
      </c>
      <c r="Q21" s="71"/>
      <c r="R21" s="18"/>
      <c r="S21" s="18"/>
      <c r="T21" s="22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17"/>
      <c r="AH21" s="24"/>
      <c r="AI21" s="25"/>
      <c r="AJ21" s="25"/>
    </row>
    <row r="22" spans="1:36" ht="15.6" x14ac:dyDescent="0.3">
      <c r="A22" s="63">
        <v>16</v>
      </c>
      <c r="B22" s="102" t="s">
        <v>3520</v>
      </c>
      <c r="C22" s="102" t="s">
        <v>3521</v>
      </c>
      <c r="D22" s="64" t="s">
        <v>119</v>
      </c>
      <c r="E22" s="71" t="s">
        <v>120</v>
      </c>
      <c r="F22" s="71" t="s">
        <v>121</v>
      </c>
      <c r="G22" s="71" t="s">
        <v>47</v>
      </c>
      <c r="H22" s="26"/>
      <c r="I22" s="20"/>
      <c r="J22" s="21"/>
      <c r="K22" s="75" t="s">
        <v>173</v>
      </c>
      <c r="L22" s="71" t="s">
        <v>174</v>
      </c>
      <c r="M22" s="68" t="s">
        <v>175</v>
      </c>
      <c r="N22" s="67">
        <v>21.495141</v>
      </c>
      <c r="O22" s="67">
        <v>92.050674000000001</v>
      </c>
      <c r="P22" s="71">
        <v>2000</v>
      </c>
      <c r="Q22" s="71"/>
      <c r="R22" s="18"/>
      <c r="S22" s="18"/>
      <c r="T22" s="27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17"/>
      <c r="AH22" s="24"/>
      <c r="AI22" s="25"/>
      <c r="AJ22" s="25"/>
    </row>
    <row r="23" spans="1:36" ht="15.6" x14ac:dyDescent="0.3">
      <c r="A23" s="63">
        <v>17</v>
      </c>
      <c r="B23" s="102" t="s">
        <v>3520</v>
      </c>
      <c r="C23" s="102" t="s">
        <v>3521</v>
      </c>
      <c r="D23" s="64" t="s">
        <v>119</v>
      </c>
      <c r="E23" s="71" t="s">
        <v>120</v>
      </c>
      <c r="F23" s="71" t="s">
        <v>121</v>
      </c>
      <c r="G23" s="71" t="s">
        <v>47</v>
      </c>
      <c r="H23" s="20"/>
      <c r="I23" s="20"/>
      <c r="J23" s="21"/>
      <c r="K23" s="75" t="s">
        <v>176</v>
      </c>
      <c r="L23" s="78" t="s">
        <v>177</v>
      </c>
      <c r="M23" s="68" t="s">
        <v>178</v>
      </c>
      <c r="N23" s="67">
        <v>21.49212</v>
      </c>
      <c r="O23" s="67">
        <v>92.059895999999995</v>
      </c>
      <c r="P23" s="71">
        <v>3000</v>
      </c>
      <c r="Q23" s="71"/>
      <c r="R23" s="18"/>
      <c r="S23" s="18"/>
      <c r="T23" s="27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17"/>
      <c r="AH23" s="24"/>
      <c r="AI23" s="25"/>
      <c r="AJ23" s="25"/>
    </row>
    <row r="24" spans="1:36" ht="15.6" x14ac:dyDescent="0.3">
      <c r="A24" s="63">
        <v>18</v>
      </c>
      <c r="B24" s="102" t="s">
        <v>3520</v>
      </c>
      <c r="C24" s="102" t="s">
        <v>3521</v>
      </c>
      <c r="D24" s="64" t="s">
        <v>119</v>
      </c>
      <c r="E24" s="71" t="s">
        <v>120</v>
      </c>
      <c r="F24" s="71" t="s">
        <v>121</v>
      </c>
      <c r="G24" s="71" t="s">
        <v>47</v>
      </c>
      <c r="H24" s="20"/>
      <c r="I24" s="20"/>
      <c r="J24" s="21"/>
      <c r="K24" s="75" t="s">
        <v>179</v>
      </c>
      <c r="L24" s="71" t="s">
        <v>180</v>
      </c>
      <c r="M24" s="68" t="s">
        <v>181</v>
      </c>
      <c r="N24" s="67">
        <v>21.495657000000001</v>
      </c>
      <c r="O24" s="67">
        <v>92.054919999999996</v>
      </c>
      <c r="P24" s="71">
        <v>1000</v>
      </c>
      <c r="Q24" s="71"/>
      <c r="R24" s="18"/>
      <c r="S24" s="18"/>
      <c r="T24" s="27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17"/>
      <c r="AH24" s="24"/>
      <c r="AI24" s="25"/>
      <c r="AJ24" s="25"/>
    </row>
    <row r="25" spans="1:36" ht="15.6" x14ac:dyDescent="0.3">
      <c r="A25" s="63">
        <v>19</v>
      </c>
      <c r="B25" s="102" t="s">
        <v>3520</v>
      </c>
      <c r="C25" s="102" t="s">
        <v>3521</v>
      </c>
      <c r="D25" s="64" t="s">
        <v>119</v>
      </c>
      <c r="E25" s="71" t="s">
        <v>120</v>
      </c>
      <c r="F25" s="71" t="s">
        <v>121</v>
      </c>
      <c r="G25" s="71" t="s">
        <v>48</v>
      </c>
      <c r="H25" s="20"/>
      <c r="I25" s="20"/>
      <c r="J25" s="21"/>
      <c r="K25" s="75" t="s">
        <v>182</v>
      </c>
      <c r="L25" s="71" t="s">
        <v>183</v>
      </c>
      <c r="M25" s="68" t="s">
        <v>184</v>
      </c>
      <c r="N25" s="67">
        <v>21.487535000000001</v>
      </c>
      <c r="O25" s="67">
        <v>92.042428999999998</v>
      </c>
      <c r="P25" s="71">
        <v>2200</v>
      </c>
      <c r="Q25" s="71"/>
      <c r="R25" s="18"/>
      <c r="S25" s="18"/>
      <c r="T25" s="27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17"/>
      <c r="AH25" s="24"/>
      <c r="AI25" s="25"/>
      <c r="AJ25" s="25"/>
    </row>
    <row r="26" spans="1:36" ht="15.6" x14ac:dyDescent="0.3">
      <c r="A26" s="63">
        <v>20</v>
      </c>
      <c r="B26" s="102" t="s">
        <v>3520</v>
      </c>
      <c r="C26" s="102" t="s">
        <v>3521</v>
      </c>
      <c r="D26" s="64" t="s">
        <v>119</v>
      </c>
      <c r="E26" s="71" t="s">
        <v>120</v>
      </c>
      <c r="F26" s="71" t="s">
        <v>121</v>
      </c>
      <c r="G26" s="71" t="s">
        <v>48</v>
      </c>
      <c r="H26" s="20"/>
      <c r="I26" s="20"/>
      <c r="J26" s="21"/>
      <c r="K26" s="75" t="s">
        <v>185</v>
      </c>
      <c r="L26" s="71" t="s">
        <v>186</v>
      </c>
      <c r="M26" s="68" t="s">
        <v>187</v>
      </c>
      <c r="N26" s="67">
        <v>21.486646</v>
      </c>
      <c r="O26" s="67">
        <v>92.050009000000003</v>
      </c>
      <c r="P26" s="71">
        <v>1200</v>
      </c>
      <c r="Q26" s="71"/>
      <c r="R26" s="18"/>
      <c r="S26" s="18"/>
      <c r="T26" s="27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17"/>
      <c r="AH26" s="24"/>
      <c r="AI26" s="25"/>
      <c r="AJ26" s="25"/>
    </row>
    <row r="27" spans="1:36" ht="15.6" x14ac:dyDescent="0.3">
      <c r="A27" s="63">
        <v>21</v>
      </c>
      <c r="B27" s="102" t="s">
        <v>3520</v>
      </c>
      <c r="C27" s="102" t="s">
        <v>3521</v>
      </c>
      <c r="D27" s="64" t="s">
        <v>119</v>
      </c>
      <c r="E27" s="71" t="s">
        <v>120</v>
      </c>
      <c r="F27" s="71" t="s">
        <v>121</v>
      </c>
      <c r="G27" s="71" t="s">
        <v>48</v>
      </c>
      <c r="H27" s="20"/>
      <c r="I27" s="20"/>
      <c r="J27" s="21"/>
      <c r="K27" s="75" t="s">
        <v>188</v>
      </c>
      <c r="L27" s="71" t="s">
        <v>189</v>
      </c>
      <c r="M27" s="68" t="s">
        <v>190</v>
      </c>
      <c r="N27" s="67">
        <v>21.481024999999999</v>
      </c>
      <c r="O27" s="67">
        <v>92.046531999999999</v>
      </c>
      <c r="P27" s="71">
        <v>600</v>
      </c>
      <c r="Q27" s="71"/>
      <c r="R27" s="18"/>
      <c r="S27" s="18"/>
      <c r="T27" s="22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17"/>
      <c r="AH27" s="24"/>
      <c r="AI27" s="25"/>
      <c r="AJ27" s="25"/>
    </row>
    <row r="28" spans="1:36" ht="15.6" x14ac:dyDescent="0.3">
      <c r="A28" s="63">
        <v>22</v>
      </c>
      <c r="B28" s="102" t="s">
        <v>3520</v>
      </c>
      <c r="C28" s="102" t="s">
        <v>3521</v>
      </c>
      <c r="D28" s="64" t="s">
        <v>119</v>
      </c>
      <c r="E28" s="71" t="s">
        <v>120</v>
      </c>
      <c r="F28" s="71" t="s">
        <v>121</v>
      </c>
      <c r="G28" s="71" t="s">
        <v>49</v>
      </c>
      <c r="H28" s="20"/>
      <c r="I28" s="20"/>
      <c r="J28" s="21"/>
      <c r="K28" s="75" t="s">
        <v>191</v>
      </c>
      <c r="L28" s="71" t="s">
        <v>192</v>
      </c>
      <c r="M28" s="68" t="s">
        <v>193</v>
      </c>
      <c r="N28" s="67">
        <v>21.481121000000002</v>
      </c>
      <c r="O28" s="67">
        <v>92.051741000000007</v>
      </c>
      <c r="P28" s="71">
        <v>2400</v>
      </c>
      <c r="Q28" s="71"/>
      <c r="R28" s="18"/>
      <c r="S28" s="18"/>
      <c r="T28" s="27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17"/>
      <c r="AH28" s="24"/>
      <c r="AI28" s="25"/>
      <c r="AJ28" s="25"/>
    </row>
    <row r="29" spans="1:36" ht="15.6" x14ac:dyDescent="0.3">
      <c r="A29" s="63">
        <v>23</v>
      </c>
      <c r="B29" s="102" t="s">
        <v>3520</v>
      </c>
      <c r="C29" s="102" t="s">
        <v>3521</v>
      </c>
      <c r="D29" s="64" t="s">
        <v>119</v>
      </c>
      <c r="E29" s="71" t="s">
        <v>120</v>
      </c>
      <c r="F29" s="71" t="s">
        <v>121</v>
      </c>
      <c r="G29" s="71" t="s">
        <v>49</v>
      </c>
      <c r="H29" s="20"/>
      <c r="I29" s="20"/>
      <c r="J29" s="21"/>
      <c r="K29" s="75" t="s">
        <v>194</v>
      </c>
      <c r="L29" s="71" t="s">
        <v>195</v>
      </c>
      <c r="M29" s="68" t="s">
        <v>196</v>
      </c>
      <c r="N29" s="67">
        <v>21.486129999999999</v>
      </c>
      <c r="O29" s="67">
        <v>92.063102999999998</v>
      </c>
      <c r="P29" s="71">
        <v>2200</v>
      </c>
      <c r="Q29" s="71"/>
      <c r="R29" s="18"/>
      <c r="S29" s="18"/>
      <c r="T29" s="27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17"/>
      <c r="AH29" s="24"/>
      <c r="AI29" s="25"/>
      <c r="AJ29" s="25"/>
    </row>
    <row r="30" spans="1:36" ht="15.6" x14ac:dyDescent="0.3">
      <c r="A30" s="63">
        <v>24</v>
      </c>
      <c r="B30" s="102" t="s">
        <v>3520</v>
      </c>
      <c r="C30" s="102" t="s">
        <v>3521</v>
      </c>
      <c r="D30" s="64" t="s">
        <v>119</v>
      </c>
      <c r="E30" s="71" t="s">
        <v>120</v>
      </c>
      <c r="F30" s="71" t="s">
        <v>121</v>
      </c>
      <c r="G30" s="71" t="s">
        <v>49</v>
      </c>
      <c r="H30" s="20"/>
      <c r="I30" s="20"/>
      <c r="J30" s="21"/>
      <c r="K30" s="68" t="s">
        <v>197</v>
      </c>
      <c r="L30" s="68" t="s">
        <v>198</v>
      </c>
      <c r="M30" s="68" t="s">
        <v>199</v>
      </c>
      <c r="N30" s="67">
        <v>21.485402000000001</v>
      </c>
      <c r="O30" s="67">
        <v>92.072913</v>
      </c>
      <c r="P30" s="71">
        <v>500</v>
      </c>
      <c r="Q30" s="71"/>
      <c r="R30" s="18"/>
      <c r="S30" s="18"/>
      <c r="T30" s="27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17"/>
      <c r="AH30" s="24"/>
      <c r="AI30" s="25"/>
      <c r="AJ30" s="25"/>
    </row>
    <row r="31" spans="1:36" ht="15.6" x14ac:dyDescent="0.3">
      <c r="A31" s="63">
        <v>25</v>
      </c>
      <c r="B31" s="102" t="s">
        <v>3520</v>
      </c>
      <c r="C31" s="102" t="s">
        <v>3521</v>
      </c>
      <c r="D31" s="64" t="s">
        <v>119</v>
      </c>
      <c r="E31" s="71" t="s">
        <v>120</v>
      </c>
      <c r="F31" s="71" t="s">
        <v>121</v>
      </c>
      <c r="G31" s="71" t="s">
        <v>49</v>
      </c>
      <c r="H31" s="20"/>
      <c r="I31" s="20"/>
      <c r="J31" s="21"/>
      <c r="K31" s="75" t="s">
        <v>200</v>
      </c>
      <c r="L31" s="71" t="s">
        <v>201</v>
      </c>
      <c r="M31" s="68" t="s">
        <v>202</v>
      </c>
      <c r="N31" s="67">
        <v>21.48592</v>
      </c>
      <c r="O31" s="67">
        <v>92.076775999999995</v>
      </c>
      <c r="P31" s="71">
        <v>700</v>
      </c>
      <c r="Q31" s="71"/>
      <c r="R31" s="18"/>
      <c r="S31" s="18"/>
      <c r="T31" s="27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17"/>
      <c r="AH31" s="24"/>
      <c r="AI31" s="25"/>
      <c r="AJ31" s="25"/>
    </row>
    <row r="32" spans="1:36" ht="15.6" x14ac:dyDescent="0.3">
      <c r="A32" s="63">
        <v>26</v>
      </c>
      <c r="B32" s="102" t="s">
        <v>3520</v>
      </c>
      <c r="C32" s="102" t="s">
        <v>3521</v>
      </c>
      <c r="D32" s="64" t="s">
        <v>119</v>
      </c>
      <c r="E32" s="71" t="s">
        <v>120</v>
      </c>
      <c r="F32" s="71" t="s">
        <v>121</v>
      </c>
      <c r="G32" s="71" t="s">
        <v>49</v>
      </c>
      <c r="H32" s="20"/>
      <c r="I32" s="20"/>
      <c r="J32" s="21"/>
      <c r="K32" s="75" t="s">
        <v>112</v>
      </c>
      <c r="L32" s="68" t="s">
        <v>113</v>
      </c>
      <c r="M32" s="68" t="s">
        <v>203</v>
      </c>
      <c r="N32" s="67">
        <v>21.489485999999999</v>
      </c>
      <c r="O32" s="67">
        <v>92.070301000000001</v>
      </c>
      <c r="P32" s="71">
        <v>50</v>
      </c>
      <c r="Q32" s="71"/>
      <c r="R32" s="18"/>
      <c r="S32" s="18"/>
      <c r="T32" s="27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17"/>
      <c r="AH32" s="24"/>
      <c r="AI32" s="25"/>
      <c r="AJ32" s="25"/>
    </row>
    <row r="33" spans="1:36" ht="15.6" x14ac:dyDescent="0.3">
      <c r="A33" s="63">
        <v>27</v>
      </c>
      <c r="B33" s="102" t="s">
        <v>3520</v>
      </c>
      <c r="C33" s="102" t="s">
        <v>3521</v>
      </c>
      <c r="D33" s="64" t="s">
        <v>119</v>
      </c>
      <c r="E33" s="68" t="s">
        <v>120</v>
      </c>
      <c r="F33" s="68" t="s">
        <v>122</v>
      </c>
      <c r="G33" s="71" t="s">
        <v>41</v>
      </c>
      <c r="H33" s="20"/>
      <c r="I33" s="20"/>
      <c r="J33" s="21"/>
      <c r="K33" s="75" t="s">
        <v>204</v>
      </c>
      <c r="L33" s="68" t="s">
        <v>205</v>
      </c>
      <c r="M33" s="68" t="s">
        <v>206</v>
      </c>
      <c r="N33" s="67">
        <v>21.513759</v>
      </c>
      <c r="O33" s="67">
        <v>92.010114000000002</v>
      </c>
      <c r="P33" s="68">
        <v>2800</v>
      </c>
      <c r="Q33" s="68"/>
      <c r="R33" s="18"/>
      <c r="S33" s="18"/>
      <c r="T33" s="27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17"/>
      <c r="AH33" s="24"/>
      <c r="AI33" s="25"/>
      <c r="AJ33" s="25"/>
    </row>
    <row r="34" spans="1:36" ht="15.6" x14ac:dyDescent="0.3">
      <c r="A34" s="63">
        <v>28</v>
      </c>
      <c r="B34" s="102" t="s">
        <v>3520</v>
      </c>
      <c r="C34" s="102" t="s">
        <v>3521</v>
      </c>
      <c r="D34" s="64" t="s">
        <v>119</v>
      </c>
      <c r="E34" s="68" t="s">
        <v>120</v>
      </c>
      <c r="F34" s="68" t="s">
        <v>122</v>
      </c>
      <c r="G34" s="71" t="s">
        <v>41</v>
      </c>
      <c r="H34" s="20"/>
      <c r="I34" s="23"/>
      <c r="J34" s="21"/>
      <c r="K34" s="75" t="s">
        <v>207</v>
      </c>
      <c r="L34" s="68" t="s">
        <v>208</v>
      </c>
      <c r="M34" s="68" t="s">
        <v>209</v>
      </c>
      <c r="N34" s="67">
        <v>21.519397000000001</v>
      </c>
      <c r="O34" s="67">
        <v>92.008082000000002</v>
      </c>
      <c r="P34" s="68">
        <v>2400</v>
      </c>
      <c r="Q34" s="68"/>
      <c r="R34" s="18"/>
      <c r="S34" s="18"/>
      <c r="T34" s="27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17"/>
      <c r="AH34" s="24"/>
      <c r="AI34" s="25"/>
      <c r="AJ34" s="25"/>
    </row>
    <row r="35" spans="1:36" ht="15.6" x14ac:dyDescent="0.3">
      <c r="A35" s="63">
        <v>29</v>
      </c>
      <c r="B35" s="102" t="s">
        <v>3520</v>
      </c>
      <c r="C35" s="102" t="s">
        <v>3521</v>
      </c>
      <c r="D35" s="64" t="s">
        <v>119</v>
      </c>
      <c r="E35" s="68" t="s">
        <v>120</v>
      </c>
      <c r="F35" s="68" t="s">
        <v>122</v>
      </c>
      <c r="G35" s="71" t="s">
        <v>41</v>
      </c>
      <c r="H35" s="20"/>
      <c r="I35" s="23"/>
      <c r="J35" s="21"/>
      <c r="K35" s="75" t="s">
        <v>210</v>
      </c>
      <c r="L35" s="68" t="s">
        <v>211</v>
      </c>
      <c r="M35" s="68" t="s">
        <v>212</v>
      </c>
      <c r="N35" s="67">
        <v>21.525451</v>
      </c>
      <c r="O35" s="67">
        <v>92.007940000000005</v>
      </c>
      <c r="P35" s="68">
        <v>1600</v>
      </c>
      <c r="Q35" s="68"/>
      <c r="R35" s="18"/>
      <c r="S35" s="18"/>
      <c r="T35" s="27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17"/>
      <c r="AH35" s="24"/>
      <c r="AI35" s="29"/>
      <c r="AJ35" s="29"/>
    </row>
    <row r="36" spans="1:36" ht="15.6" x14ac:dyDescent="0.3">
      <c r="A36" s="63">
        <v>30</v>
      </c>
      <c r="B36" s="102" t="s">
        <v>3520</v>
      </c>
      <c r="C36" s="102" t="s">
        <v>3521</v>
      </c>
      <c r="D36" s="64" t="s">
        <v>119</v>
      </c>
      <c r="E36" s="68" t="s">
        <v>120</v>
      </c>
      <c r="F36" s="68" t="s">
        <v>122</v>
      </c>
      <c r="G36" s="71" t="s">
        <v>42</v>
      </c>
      <c r="H36" s="20"/>
      <c r="I36" s="23"/>
      <c r="J36" s="21"/>
      <c r="K36" s="75" t="s">
        <v>213</v>
      </c>
      <c r="L36" s="68" t="s">
        <v>214</v>
      </c>
      <c r="M36" s="68" t="s">
        <v>215</v>
      </c>
      <c r="N36" s="67">
        <v>21.515347999999999</v>
      </c>
      <c r="O36" s="67">
        <v>92.015311999999994</v>
      </c>
      <c r="P36" s="68">
        <v>1000</v>
      </c>
      <c r="Q36" s="68"/>
      <c r="R36" s="18"/>
      <c r="S36" s="18"/>
      <c r="T36" s="27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17"/>
      <c r="AH36" s="24"/>
      <c r="AI36" s="30"/>
      <c r="AJ36" s="30"/>
    </row>
    <row r="37" spans="1:36" ht="15.6" x14ac:dyDescent="0.3">
      <c r="A37" s="63">
        <v>31</v>
      </c>
      <c r="B37" s="102" t="s">
        <v>3520</v>
      </c>
      <c r="C37" s="102" t="s">
        <v>3521</v>
      </c>
      <c r="D37" s="64" t="s">
        <v>119</v>
      </c>
      <c r="E37" s="68" t="s">
        <v>120</v>
      </c>
      <c r="F37" s="68" t="s">
        <v>122</v>
      </c>
      <c r="G37" s="71" t="s">
        <v>42</v>
      </c>
      <c r="H37" s="20"/>
      <c r="I37" s="23"/>
      <c r="J37" s="21"/>
      <c r="K37" s="75" t="s">
        <v>216</v>
      </c>
      <c r="L37" s="68" t="s">
        <v>217</v>
      </c>
      <c r="M37" s="68" t="s">
        <v>218</v>
      </c>
      <c r="N37" s="67">
        <v>21.515640999999999</v>
      </c>
      <c r="O37" s="67">
        <v>92.012260999999995</v>
      </c>
      <c r="P37" s="68">
        <v>4500</v>
      </c>
      <c r="Q37" s="68"/>
      <c r="R37" s="18"/>
      <c r="S37" s="18"/>
      <c r="T37" s="27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17"/>
      <c r="AH37" s="24"/>
      <c r="AI37" s="31"/>
      <c r="AJ37" s="31"/>
    </row>
    <row r="38" spans="1:36" ht="15.6" x14ac:dyDescent="0.3">
      <c r="A38" s="63">
        <v>32</v>
      </c>
      <c r="B38" s="102" t="s">
        <v>3520</v>
      </c>
      <c r="C38" s="102" t="s">
        <v>3521</v>
      </c>
      <c r="D38" s="64" t="s">
        <v>119</v>
      </c>
      <c r="E38" s="68" t="s">
        <v>120</v>
      </c>
      <c r="F38" s="68" t="s">
        <v>122</v>
      </c>
      <c r="G38" s="71" t="s">
        <v>43</v>
      </c>
      <c r="H38" s="20"/>
      <c r="I38" s="23"/>
      <c r="J38" s="21"/>
      <c r="K38" s="75" t="s">
        <v>219</v>
      </c>
      <c r="L38" s="68" t="s">
        <v>220</v>
      </c>
      <c r="M38" s="68" t="s">
        <v>221</v>
      </c>
      <c r="N38" s="67">
        <v>21.517992</v>
      </c>
      <c r="O38" s="67">
        <v>92.01146</v>
      </c>
      <c r="P38" s="68">
        <v>5000</v>
      </c>
      <c r="Q38" s="68"/>
      <c r="R38" s="18"/>
      <c r="S38" s="18"/>
      <c r="T38" s="22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17"/>
      <c r="AH38" s="24"/>
      <c r="AI38" s="31"/>
      <c r="AJ38" s="31"/>
    </row>
    <row r="39" spans="1:36" ht="15.6" x14ac:dyDescent="0.3">
      <c r="A39" s="63">
        <v>33</v>
      </c>
      <c r="B39" s="102" t="s">
        <v>3520</v>
      </c>
      <c r="C39" s="102" t="s">
        <v>3521</v>
      </c>
      <c r="D39" s="64" t="s">
        <v>119</v>
      </c>
      <c r="E39" s="68" t="s">
        <v>120</v>
      </c>
      <c r="F39" s="68" t="s">
        <v>122</v>
      </c>
      <c r="G39" s="71" t="s">
        <v>43</v>
      </c>
      <c r="H39" s="20"/>
      <c r="I39" s="23"/>
      <c r="J39" s="21"/>
      <c r="K39" s="75" t="s">
        <v>222</v>
      </c>
      <c r="L39" s="68" t="s">
        <v>223</v>
      </c>
      <c r="M39" s="68" t="s">
        <v>224</v>
      </c>
      <c r="N39" s="67">
        <v>21.517084000000001</v>
      </c>
      <c r="O39" s="67">
        <v>92.008111999999997</v>
      </c>
      <c r="P39" s="68">
        <v>1200</v>
      </c>
      <c r="Q39" s="68"/>
      <c r="R39" s="18"/>
      <c r="S39" s="18"/>
      <c r="T39" s="22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17"/>
      <c r="AH39" s="24"/>
      <c r="AI39" s="29"/>
      <c r="AJ39" s="29"/>
    </row>
    <row r="40" spans="1:36" ht="15.6" x14ac:dyDescent="0.3">
      <c r="A40" s="63">
        <v>34</v>
      </c>
      <c r="B40" s="102" t="s">
        <v>3520</v>
      </c>
      <c r="C40" s="102" t="s">
        <v>3521</v>
      </c>
      <c r="D40" s="64" t="s">
        <v>119</v>
      </c>
      <c r="E40" s="68" t="s">
        <v>120</v>
      </c>
      <c r="F40" s="68" t="s">
        <v>122</v>
      </c>
      <c r="G40" s="71" t="s">
        <v>43</v>
      </c>
      <c r="H40" s="20"/>
      <c r="I40" s="23"/>
      <c r="J40" s="21"/>
      <c r="K40" s="75" t="s">
        <v>225</v>
      </c>
      <c r="L40" s="68" t="s">
        <v>226</v>
      </c>
      <c r="M40" s="68" t="s">
        <v>227</v>
      </c>
      <c r="N40" s="67">
        <v>21.520374</v>
      </c>
      <c r="O40" s="67">
        <v>92.009197</v>
      </c>
      <c r="P40" s="68">
        <v>600</v>
      </c>
      <c r="Q40" s="68"/>
      <c r="R40" s="43"/>
      <c r="S40" s="43"/>
      <c r="T40" s="22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17"/>
      <c r="AH40" s="24"/>
      <c r="AI40" s="29"/>
      <c r="AJ40" s="29"/>
    </row>
    <row r="41" spans="1:36" ht="15.6" x14ac:dyDescent="0.3">
      <c r="A41" s="63">
        <v>35</v>
      </c>
      <c r="B41" s="102" t="s">
        <v>3520</v>
      </c>
      <c r="C41" s="102" t="s">
        <v>3521</v>
      </c>
      <c r="D41" s="64" t="s">
        <v>119</v>
      </c>
      <c r="E41" s="68" t="s">
        <v>120</v>
      </c>
      <c r="F41" s="68" t="s">
        <v>122</v>
      </c>
      <c r="G41" s="71" t="s">
        <v>43</v>
      </c>
      <c r="H41" s="20"/>
      <c r="I41" s="23"/>
      <c r="J41" s="21"/>
      <c r="K41" s="75" t="s">
        <v>75</v>
      </c>
      <c r="L41" s="68" t="s">
        <v>228</v>
      </c>
      <c r="M41" s="68" t="s">
        <v>229</v>
      </c>
      <c r="N41" s="67">
        <v>21.520555999999999</v>
      </c>
      <c r="O41" s="67">
        <v>92.010296999999994</v>
      </c>
      <c r="P41" s="68">
        <v>500</v>
      </c>
      <c r="Q41" s="68"/>
      <c r="R41" s="18"/>
      <c r="S41" s="18"/>
      <c r="T41" s="22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17"/>
      <c r="AH41" s="24"/>
      <c r="AI41" s="25"/>
      <c r="AJ41" s="25"/>
    </row>
    <row r="42" spans="1:36" ht="15.6" x14ac:dyDescent="0.3">
      <c r="A42" s="63">
        <v>36</v>
      </c>
      <c r="B42" s="102" t="s">
        <v>3520</v>
      </c>
      <c r="C42" s="102" t="s">
        <v>3521</v>
      </c>
      <c r="D42" s="64" t="s">
        <v>119</v>
      </c>
      <c r="E42" s="68" t="s">
        <v>120</v>
      </c>
      <c r="F42" s="68" t="s">
        <v>122</v>
      </c>
      <c r="G42" s="71" t="s">
        <v>43</v>
      </c>
      <c r="H42" s="20"/>
      <c r="I42" s="23"/>
      <c r="J42" s="21"/>
      <c r="K42" s="75" t="s">
        <v>230</v>
      </c>
      <c r="L42" s="68" t="s">
        <v>231</v>
      </c>
      <c r="M42" s="68" t="s">
        <v>232</v>
      </c>
      <c r="N42" s="67">
        <v>21.521294000000001</v>
      </c>
      <c r="O42" s="67">
        <v>92.012440999999995</v>
      </c>
      <c r="P42" s="68">
        <v>1000</v>
      </c>
      <c r="Q42" s="68"/>
      <c r="R42" s="18"/>
      <c r="S42" s="18"/>
      <c r="T42" s="22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17"/>
      <c r="AH42" s="24"/>
      <c r="AI42" s="25"/>
      <c r="AJ42" s="25"/>
    </row>
    <row r="43" spans="1:36" ht="15.6" x14ac:dyDescent="0.3">
      <c r="A43" s="63">
        <v>37</v>
      </c>
      <c r="B43" s="102" t="s">
        <v>3520</v>
      </c>
      <c r="C43" s="102" t="s">
        <v>3521</v>
      </c>
      <c r="D43" s="64" t="s">
        <v>119</v>
      </c>
      <c r="E43" s="68" t="s">
        <v>120</v>
      </c>
      <c r="F43" s="68" t="s">
        <v>122</v>
      </c>
      <c r="G43" s="71" t="s">
        <v>43</v>
      </c>
      <c r="H43" s="20"/>
      <c r="I43" s="23"/>
      <c r="J43" s="20"/>
      <c r="K43" s="75" t="s">
        <v>233</v>
      </c>
      <c r="L43" s="71" t="s">
        <v>234</v>
      </c>
      <c r="M43" s="68" t="s">
        <v>235</v>
      </c>
      <c r="N43" s="67">
        <v>21.519076999999999</v>
      </c>
      <c r="O43" s="67">
        <v>92.013540000000006</v>
      </c>
      <c r="P43" s="68">
        <v>400</v>
      </c>
      <c r="Q43" s="68"/>
      <c r="R43" s="18"/>
      <c r="S43" s="18"/>
      <c r="T43" s="22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17"/>
      <c r="AH43" s="24"/>
      <c r="AI43" s="25"/>
      <c r="AJ43" s="25"/>
    </row>
    <row r="44" spans="1:36" ht="15.6" x14ac:dyDescent="0.3">
      <c r="A44" s="63">
        <v>38</v>
      </c>
      <c r="B44" s="102" t="s">
        <v>3520</v>
      </c>
      <c r="C44" s="102" t="s">
        <v>3521</v>
      </c>
      <c r="D44" s="64" t="s">
        <v>119</v>
      </c>
      <c r="E44" s="68" t="s">
        <v>120</v>
      </c>
      <c r="F44" s="68" t="s">
        <v>122</v>
      </c>
      <c r="G44" s="71" t="s">
        <v>43</v>
      </c>
      <c r="H44" s="20"/>
      <c r="I44" s="23"/>
      <c r="J44" s="21"/>
      <c r="K44" s="69" t="s">
        <v>236</v>
      </c>
      <c r="L44" s="69" t="s">
        <v>237</v>
      </c>
      <c r="M44" s="68" t="s">
        <v>238</v>
      </c>
      <c r="N44" s="67">
        <v>21.522960999999999</v>
      </c>
      <c r="O44" s="67">
        <v>92.011471999999998</v>
      </c>
      <c r="P44" s="68">
        <v>400</v>
      </c>
      <c r="Q44" s="68"/>
      <c r="R44" s="18"/>
      <c r="S44" s="18"/>
      <c r="T44" s="22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17"/>
      <c r="AH44" s="24"/>
      <c r="AI44" s="32"/>
      <c r="AJ44" s="32"/>
    </row>
    <row r="45" spans="1:36" ht="15.6" x14ac:dyDescent="0.3">
      <c r="A45" s="63">
        <v>39</v>
      </c>
      <c r="B45" s="102" t="s">
        <v>3520</v>
      </c>
      <c r="C45" s="102" t="s">
        <v>3521</v>
      </c>
      <c r="D45" s="64" t="s">
        <v>119</v>
      </c>
      <c r="E45" s="68" t="s">
        <v>120</v>
      </c>
      <c r="F45" s="68" t="s">
        <v>122</v>
      </c>
      <c r="G45" s="71" t="s">
        <v>44</v>
      </c>
      <c r="H45" s="20"/>
      <c r="I45" s="23"/>
      <c r="J45" s="21"/>
      <c r="K45" s="75" t="s">
        <v>239</v>
      </c>
      <c r="L45" s="68" t="s">
        <v>240</v>
      </c>
      <c r="M45" s="68" t="s">
        <v>241</v>
      </c>
      <c r="N45" s="67">
        <v>21.523394</v>
      </c>
      <c r="O45" s="67">
        <v>92.009349</v>
      </c>
      <c r="P45" s="68">
        <v>7000</v>
      </c>
      <c r="Q45" s="68"/>
      <c r="R45" s="18"/>
      <c r="S45" s="18"/>
      <c r="T45" s="22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17"/>
      <c r="AH45" s="24"/>
      <c r="AI45" s="33"/>
      <c r="AJ45" s="33"/>
    </row>
    <row r="46" spans="1:36" ht="15.6" x14ac:dyDescent="0.3">
      <c r="A46" s="63">
        <v>40</v>
      </c>
      <c r="B46" s="102" t="s">
        <v>3520</v>
      </c>
      <c r="C46" s="102" t="s">
        <v>3521</v>
      </c>
      <c r="D46" s="64" t="s">
        <v>119</v>
      </c>
      <c r="E46" s="68" t="s">
        <v>120</v>
      </c>
      <c r="F46" s="68" t="s">
        <v>122</v>
      </c>
      <c r="G46" s="71" t="s">
        <v>44</v>
      </c>
      <c r="H46" s="20"/>
      <c r="I46" s="23"/>
      <c r="J46" s="21"/>
      <c r="K46" s="69" t="s">
        <v>94</v>
      </c>
      <c r="L46" s="71" t="s">
        <v>242</v>
      </c>
      <c r="M46" s="68" t="s">
        <v>243</v>
      </c>
      <c r="N46" s="67">
        <v>21.526018000000001</v>
      </c>
      <c r="O46" s="67">
        <v>92.011842999999999</v>
      </c>
      <c r="P46" s="68">
        <v>2000</v>
      </c>
      <c r="Q46" s="68"/>
      <c r="R46" s="18"/>
      <c r="S46" s="18"/>
      <c r="T46" s="22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17"/>
      <c r="AH46" s="24"/>
      <c r="AI46" s="33"/>
      <c r="AJ46" s="33"/>
    </row>
    <row r="47" spans="1:36" ht="15.6" x14ac:dyDescent="0.3">
      <c r="A47" s="63">
        <v>41</v>
      </c>
      <c r="B47" s="102" t="s">
        <v>3520</v>
      </c>
      <c r="C47" s="102" t="s">
        <v>3521</v>
      </c>
      <c r="D47" s="64" t="s">
        <v>119</v>
      </c>
      <c r="E47" s="68" t="s">
        <v>120</v>
      </c>
      <c r="F47" s="68" t="s">
        <v>122</v>
      </c>
      <c r="G47" s="71" t="s">
        <v>44</v>
      </c>
      <c r="H47" s="20"/>
      <c r="I47" s="23"/>
      <c r="J47" s="21"/>
      <c r="K47" s="75" t="s">
        <v>244</v>
      </c>
      <c r="L47" s="68" t="s">
        <v>245</v>
      </c>
      <c r="M47" s="68" t="s">
        <v>246</v>
      </c>
      <c r="N47" s="67">
        <v>21.532516000000001</v>
      </c>
      <c r="O47" s="67">
        <v>92.007170000000002</v>
      </c>
      <c r="P47" s="68">
        <v>500</v>
      </c>
      <c r="Q47" s="68"/>
      <c r="R47" s="18"/>
      <c r="S47" s="18"/>
      <c r="T47" s="22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17"/>
      <c r="AH47" s="24"/>
      <c r="AI47" s="33"/>
      <c r="AJ47" s="33"/>
    </row>
    <row r="48" spans="1:36" ht="15.6" x14ac:dyDescent="0.3">
      <c r="A48" s="63">
        <v>42</v>
      </c>
      <c r="B48" s="102" t="s">
        <v>3520</v>
      </c>
      <c r="C48" s="102" t="s">
        <v>3521</v>
      </c>
      <c r="D48" s="64" t="s">
        <v>119</v>
      </c>
      <c r="E48" s="68" t="s">
        <v>120</v>
      </c>
      <c r="F48" s="68" t="s">
        <v>122</v>
      </c>
      <c r="G48" s="71" t="s">
        <v>45</v>
      </c>
      <c r="H48" s="20"/>
      <c r="I48" s="23"/>
      <c r="J48" s="21"/>
      <c r="K48" s="75" t="s">
        <v>247</v>
      </c>
      <c r="L48" s="68" t="s">
        <v>248</v>
      </c>
      <c r="M48" s="68" t="s">
        <v>249</v>
      </c>
      <c r="N48" s="67">
        <v>21.519375</v>
      </c>
      <c r="O48" s="67">
        <v>92.015637999999996</v>
      </c>
      <c r="P48" s="68">
        <v>700</v>
      </c>
      <c r="Q48" s="68"/>
      <c r="R48" s="18"/>
      <c r="S48" s="18"/>
      <c r="T48" s="22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34"/>
      <c r="AH48" s="24"/>
      <c r="AI48" s="35"/>
      <c r="AJ48" s="35"/>
    </row>
    <row r="49" spans="1:36" ht="15.6" x14ac:dyDescent="0.3">
      <c r="A49" s="63">
        <v>43</v>
      </c>
      <c r="B49" s="102" t="s">
        <v>3520</v>
      </c>
      <c r="C49" s="102" t="s">
        <v>3521</v>
      </c>
      <c r="D49" s="64" t="s">
        <v>119</v>
      </c>
      <c r="E49" s="68" t="s">
        <v>120</v>
      </c>
      <c r="F49" s="68" t="s">
        <v>122</v>
      </c>
      <c r="G49" s="71" t="s">
        <v>45</v>
      </c>
      <c r="H49" s="20"/>
      <c r="I49" s="23"/>
      <c r="J49" s="21"/>
      <c r="K49" s="75" t="s">
        <v>250</v>
      </c>
      <c r="L49" s="68" t="s">
        <v>251</v>
      </c>
      <c r="M49" s="68" t="s">
        <v>252</v>
      </c>
      <c r="N49" s="67">
        <v>21.522193999999999</v>
      </c>
      <c r="O49" s="67">
        <v>92.014437999999998</v>
      </c>
      <c r="P49" s="68">
        <v>2000</v>
      </c>
      <c r="Q49" s="68"/>
      <c r="R49" s="18"/>
      <c r="S49" s="18"/>
      <c r="T49" s="27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17"/>
      <c r="AH49" s="24"/>
      <c r="AI49" s="33"/>
      <c r="AJ49" s="33"/>
    </row>
    <row r="50" spans="1:36" ht="15.6" x14ac:dyDescent="0.3">
      <c r="A50" s="63">
        <v>44</v>
      </c>
      <c r="B50" s="102" t="s">
        <v>3520</v>
      </c>
      <c r="C50" s="102" t="s">
        <v>3521</v>
      </c>
      <c r="D50" s="64" t="s">
        <v>119</v>
      </c>
      <c r="E50" s="68" t="s">
        <v>120</v>
      </c>
      <c r="F50" s="68" t="s">
        <v>122</v>
      </c>
      <c r="G50" s="71" t="s">
        <v>45</v>
      </c>
      <c r="H50" s="20"/>
      <c r="I50" s="23"/>
      <c r="J50" s="26"/>
      <c r="K50" s="75" t="s">
        <v>253</v>
      </c>
      <c r="L50" s="68" t="s">
        <v>254</v>
      </c>
      <c r="M50" s="68" t="s">
        <v>255</v>
      </c>
      <c r="N50" s="67">
        <v>21.524941999999999</v>
      </c>
      <c r="O50" s="67">
        <v>92.013777000000005</v>
      </c>
      <c r="P50" s="68">
        <v>1000</v>
      </c>
      <c r="Q50" s="68"/>
      <c r="R50" s="18"/>
      <c r="S50" s="18"/>
      <c r="T50" s="27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17"/>
      <c r="AH50" s="24"/>
      <c r="AI50" s="33"/>
      <c r="AJ50" s="33"/>
    </row>
    <row r="51" spans="1:36" ht="15.6" x14ac:dyDescent="0.3">
      <c r="A51" s="63">
        <v>45</v>
      </c>
      <c r="B51" s="102" t="s">
        <v>3520</v>
      </c>
      <c r="C51" s="102" t="s">
        <v>3521</v>
      </c>
      <c r="D51" s="64" t="s">
        <v>119</v>
      </c>
      <c r="E51" s="68" t="s">
        <v>120</v>
      </c>
      <c r="F51" s="68" t="s">
        <v>122</v>
      </c>
      <c r="G51" s="71" t="s">
        <v>45</v>
      </c>
      <c r="H51" s="20"/>
      <c r="I51" s="23"/>
      <c r="J51" s="26"/>
      <c r="K51" s="75" t="s">
        <v>256</v>
      </c>
      <c r="L51" s="68" t="s">
        <v>257</v>
      </c>
      <c r="M51" s="68" t="s">
        <v>258</v>
      </c>
      <c r="N51" s="67">
        <v>21.519396</v>
      </c>
      <c r="O51" s="67">
        <v>92.018293</v>
      </c>
      <c r="P51" s="68">
        <v>800</v>
      </c>
      <c r="Q51" s="68"/>
      <c r="R51" s="18"/>
      <c r="S51" s="18"/>
      <c r="T51" s="27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17"/>
      <c r="AH51" s="24"/>
      <c r="AI51" s="25"/>
      <c r="AJ51" s="25"/>
    </row>
    <row r="52" spans="1:36" ht="15.6" x14ac:dyDescent="0.3">
      <c r="A52" s="63">
        <v>46</v>
      </c>
      <c r="B52" s="102" t="s">
        <v>3520</v>
      </c>
      <c r="C52" s="102" t="s">
        <v>3521</v>
      </c>
      <c r="D52" s="64" t="s">
        <v>119</v>
      </c>
      <c r="E52" s="68" t="s">
        <v>120</v>
      </c>
      <c r="F52" s="68" t="s">
        <v>122</v>
      </c>
      <c r="G52" s="71" t="s">
        <v>45</v>
      </c>
      <c r="H52" s="20"/>
      <c r="I52" s="23"/>
      <c r="J52" s="26"/>
      <c r="K52" s="75" t="s">
        <v>259</v>
      </c>
      <c r="L52" s="68" t="s">
        <v>260</v>
      </c>
      <c r="M52" s="68" t="s">
        <v>261</v>
      </c>
      <c r="N52" s="67">
        <v>21.522625999999999</v>
      </c>
      <c r="O52" s="67">
        <v>92.019648000000004</v>
      </c>
      <c r="P52" s="68">
        <v>1000</v>
      </c>
      <c r="Q52" s="68"/>
      <c r="R52" s="18"/>
      <c r="S52" s="18"/>
      <c r="T52" s="27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17"/>
      <c r="AH52" s="24"/>
      <c r="AI52" s="25"/>
      <c r="AJ52" s="25"/>
    </row>
    <row r="53" spans="1:36" ht="15.6" x14ac:dyDescent="0.3">
      <c r="A53" s="63">
        <v>47</v>
      </c>
      <c r="B53" s="102" t="s">
        <v>3520</v>
      </c>
      <c r="C53" s="102" t="s">
        <v>3521</v>
      </c>
      <c r="D53" s="64" t="s">
        <v>119</v>
      </c>
      <c r="E53" s="68" t="s">
        <v>120</v>
      </c>
      <c r="F53" s="68" t="s">
        <v>122</v>
      </c>
      <c r="G53" s="71" t="s">
        <v>45</v>
      </c>
      <c r="H53" s="20"/>
      <c r="I53" s="23"/>
      <c r="J53" s="26"/>
      <c r="K53" s="68" t="s">
        <v>262</v>
      </c>
      <c r="L53" s="69" t="s">
        <v>263</v>
      </c>
      <c r="M53" s="68" t="s">
        <v>264</v>
      </c>
      <c r="N53" s="67">
        <v>21.522493000000001</v>
      </c>
      <c r="O53" s="67">
        <v>92.021585000000002</v>
      </c>
      <c r="P53" s="68">
        <v>600</v>
      </c>
      <c r="Q53" s="68"/>
      <c r="R53" s="18"/>
      <c r="S53" s="18"/>
      <c r="T53" s="27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17"/>
      <c r="AH53" s="24"/>
      <c r="AI53" s="25"/>
      <c r="AJ53" s="25"/>
    </row>
    <row r="54" spans="1:36" ht="15.6" x14ac:dyDescent="0.3">
      <c r="A54" s="63">
        <v>48</v>
      </c>
      <c r="B54" s="102" t="s">
        <v>3520</v>
      </c>
      <c r="C54" s="102" t="s">
        <v>3521</v>
      </c>
      <c r="D54" s="64" t="s">
        <v>119</v>
      </c>
      <c r="E54" s="68" t="s">
        <v>120</v>
      </c>
      <c r="F54" s="68" t="s">
        <v>122</v>
      </c>
      <c r="G54" s="71" t="s">
        <v>46</v>
      </c>
      <c r="H54" s="36"/>
      <c r="I54" s="20"/>
      <c r="J54" s="26"/>
      <c r="K54" s="69" t="s">
        <v>265</v>
      </c>
      <c r="L54" s="68" t="s">
        <v>266</v>
      </c>
      <c r="M54" s="68" t="s">
        <v>267</v>
      </c>
      <c r="N54" s="67">
        <v>21.518878000000001</v>
      </c>
      <c r="O54" s="67">
        <v>92.029041000000007</v>
      </c>
      <c r="P54" s="68">
        <v>4000</v>
      </c>
      <c r="Q54" s="68"/>
      <c r="R54" s="18"/>
      <c r="S54" s="18"/>
      <c r="T54" s="22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17"/>
      <c r="AH54" s="24"/>
      <c r="AI54" s="25"/>
      <c r="AJ54" s="25"/>
    </row>
    <row r="55" spans="1:36" ht="15.6" x14ac:dyDescent="0.3">
      <c r="A55" s="63">
        <v>49</v>
      </c>
      <c r="B55" s="102" t="s">
        <v>3520</v>
      </c>
      <c r="C55" s="102" t="s">
        <v>3521</v>
      </c>
      <c r="D55" s="64" t="s">
        <v>119</v>
      </c>
      <c r="E55" s="68" t="s">
        <v>120</v>
      </c>
      <c r="F55" s="68" t="s">
        <v>122</v>
      </c>
      <c r="G55" s="71" t="s">
        <v>46</v>
      </c>
      <c r="H55" s="20"/>
      <c r="I55" s="20"/>
      <c r="J55" s="26"/>
      <c r="K55" s="75" t="s">
        <v>268</v>
      </c>
      <c r="L55" s="68" t="s">
        <v>269</v>
      </c>
      <c r="M55" s="68" t="s">
        <v>270</v>
      </c>
      <c r="N55" s="67">
        <v>21.525497000000001</v>
      </c>
      <c r="O55" s="67">
        <v>92.022835999999998</v>
      </c>
      <c r="P55" s="68">
        <v>2000</v>
      </c>
      <c r="Q55" s="68"/>
      <c r="R55" s="18"/>
      <c r="S55" s="18"/>
      <c r="T55" s="22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17"/>
      <c r="AH55" s="24"/>
      <c r="AI55" s="25"/>
      <c r="AJ55" s="25"/>
    </row>
    <row r="56" spans="1:36" ht="15.6" x14ac:dyDescent="0.3">
      <c r="A56" s="63">
        <v>50</v>
      </c>
      <c r="B56" s="102" t="s">
        <v>3520</v>
      </c>
      <c r="C56" s="102" t="s">
        <v>3521</v>
      </c>
      <c r="D56" s="64" t="s">
        <v>119</v>
      </c>
      <c r="E56" s="68" t="s">
        <v>120</v>
      </c>
      <c r="F56" s="68" t="s">
        <v>122</v>
      </c>
      <c r="G56" s="71" t="s">
        <v>47</v>
      </c>
      <c r="H56" s="20"/>
      <c r="I56" s="20"/>
      <c r="J56" s="26"/>
      <c r="K56" s="75" t="s">
        <v>271</v>
      </c>
      <c r="L56" s="68" t="s">
        <v>272</v>
      </c>
      <c r="M56" s="68" t="s">
        <v>273</v>
      </c>
      <c r="N56" s="67">
        <v>21.529582000000001</v>
      </c>
      <c r="O56" s="67">
        <v>92.035820999999999</v>
      </c>
      <c r="P56" s="68">
        <v>3000</v>
      </c>
      <c r="Q56" s="68"/>
      <c r="R56" s="18"/>
      <c r="S56" s="18"/>
      <c r="T56" s="22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17"/>
      <c r="AH56" s="24"/>
      <c r="AI56" s="25"/>
      <c r="AJ56" s="25"/>
    </row>
    <row r="57" spans="1:36" ht="15.6" x14ac:dyDescent="0.3">
      <c r="A57" s="63">
        <v>51</v>
      </c>
      <c r="B57" s="102" t="s">
        <v>3520</v>
      </c>
      <c r="C57" s="102" t="s">
        <v>3521</v>
      </c>
      <c r="D57" s="64" t="s">
        <v>119</v>
      </c>
      <c r="E57" s="68" t="s">
        <v>120</v>
      </c>
      <c r="F57" s="68" t="s">
        <v>122</v>
      </c>
      <c r="G57" s="71" t="s">
        <v>47</v>
      </c>
      <c r="H57" s="20"/>
      <c r="I57" s="20"/>
      <c r="J57" s="26"/>
      <c r="K57" s="75" t="s">
        <v>274</v>
      </c>
      <c r="L57" s="68" t="s">
        <v>275</v>
      </c>
      <c r="M57" s="68" t="s">
        <v>276</v>
      </c>
      <c r="N57" s="67">
        <v>21.523371999999998</v>
      </c>
      <c r="O57" s="67">
        <v>92.030936999999994</v>
      </c>
      <c r="P57" s="68">
        <v>3000</v>
      </c>
      <c r="Q57" s="68"/>
      <c r="R57" s="18"/>
      <c r="S57" s="18"/>
      <c r="T57" s="22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17"/>
      <c r="AH57" s="24"/>
      <c r="AI57" s="25"/>
      <c r="AJ57" s="25"/>
    </row>
    <row r="58" spans="1:36" ht="15.6" x14ac:dyDescent="0.3">
      <c r="A58" s="63">
        <v>52</v>
      </c>
      <c r="B58" s="102" t="s">
        <v>3520</v>
      </c>
      <c r="C58" s="102" t="s">
        <v>3521</v>
      </c>
      <c r="D58" s="64" t="s">
        <v>119</v>
      </c>
      <c r="E58" s="68" t="s">
        <v>120</v>
      </c>
      <c r="F58" s="68" t="s">
        <v>122</v>
      </c>
      <c r="G58" s="71" t="s">
        <v>47</v>
      </c>
      <c r="H58" s="20"/>
      <c r="I58" s="20"/>
      <c r="J58" s="26"/>
      <c r="K58" s="75" t="s">
        <v>233</v>
      </c>
      <c r="L58" s="68" t="s">
        <v>277</v>
      </c>
      <c r="M58" s="68" t="s">
        <v>278</v>
      </c>
      <c r="N58" s="67">
        <v>21.525801999999999</v>
      </c>
      <c r="O58" s="67">
        <v>92.035490999999993</v>
      </c>
      <c r="P58" s="68">
        <v>400</v>
      </c>
      <c r="Q58" s="68"/>
      <c r="R58" s="18"/>
      <c r="S58" s="18"/>
      <c r="T58" s="22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17"/>
      <c r="AH58" s="24"/>
      <c r="AI58" s="25"/>
      <c r="AJ58" s="25"/>
    </row>
    <row r="59" spans="1:36" ht="15.6" x14ac:dyDescent="0.3">
      <c r="A59" s="63">
        <v>53</v>
      </c>
      <c r="B59" s="102" t="s">
        <v>3520</v>
      </c>
      <c r="C59" s="102" t="s">
        <v>3521</v>
      </c>
      <c r="D59" s="64" t="s">
        <v>119</v>
      </c>
      <c r="E59" s="68" t="s">
        <v>120</v>
      </c>
      <c r="F59" s="68" t="s">
        <v>122</v>
      </c>
      <c r="G59" s="71" t="s">
        <v>48</v>
      </c>
      <c r="H59" s="20"/>
      <c r="I59" s="20"/>
      <c r="J59" s="26"/>
      <c r="K59" s="75" t="s">
        <v>279</v>
      </c>
      <c r="L59" s="68" t="s">
        <v>280</v>
      </c>
      <c r="M59" s="68" t="s">
        <v>281</v>
      </c>
      <c r="N59" s="67">
        <v>21.530246999999999</v>
      </c>
      <c r="O59" s="67">
        <v>92.039164</v>
      </c>
      <c r="P59" s="68">
        <v>1000</v>
      </c>
      <c r="Q59" s="68"/>
      <c r="R59" s="18"/>
      <c r="S59" s="18"/>
      <c r="T59" s="22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17"/>
      <c r="AH59" s="24"/>
      <c r="AI59" s="25"/>
      <c r="AJ59" s="25"/>
    </row>
    <row r="60" spans="1:36" ht="15.6" x14ac:dyDescent="0.3">
      <c r="A60" s="63">
        <v>54</v>
      </c>
      <c r="B60" s="102" t="s">
        <v>3520</v>
      </c>
      <c r="C60" s="102" t="s">
        <v>3521</v>
      </c>
      <c r="D60" s="64" t="s">
        <v>119</v>
      </c>
      <c r="E60" s="68" t="s">
        <v>120</v>
      </c>
      <c r="F60" s="68" t="s">
        <v>122</v>
      </c>
      <c r="G60" s="71" t="s">
        <v>48</v>
      </c>
      <c r="H60" s="20"/>
      <c r="I60" s="20"/>
      <c r="J60" s="26"/>
      <c r="K60" s="75" t="s">
        <v>282</v>
      </c>
      <c r="L60" s="68" t="s">
        <v>283</v>
      </c>
      <c r="M60" s="68" t="s">
        <v>284</v>
      </c>
      <c r="N60" s="67">
        <v>21.530756</v>
      </c>
      <c r="O60" s="67">
        <v>92.040826999999993</v>
      </c>
      <c r="P60" s="68">
        <v>1700</v>
      </c>
      <c r="Q60" s="68"/>
      <c r="R60" s="18"/>
      <c r="S60" s="18"/>
      <c r="T60" s="22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17"/>
      <c r="AH60" s="24"/>
      <c r="AI60" s="25"/>
      <c r="AJ60" s="25"/>
    </row>
    <row r="61" spans="1:36" ht="15.6" x14ac:dyDescent="0.3">
      <c r="A61" s="63">
        <v>55</v>
      </c>
      <c r="B61" s="102" t="s">
        <v>3520</v>
      </c>
      <c r="C61" s="102" t="s">
        <v>3521</v>
      </c>
      <c r="D61" s="64" t="s">
        <v>119</v>
      </c>
      <c r="E61" s="68" t="s">
        <v>120</v>
      </c>
      <c r="F61" s="68" t="s">
        <v>122</v>
      </c>
      <c r="G61" s="71" t="s">
        <v>48</v>
      </c>
      <c r="H61" s="20"/>
      <c r="I61" s="20"/>
      <c r="J61" s="26"/>
      <c r="K61" s="75" t="s">
        <v>285</v>
      </c>
      <c r="L61" s="68" t="s">
        <v>286</v>
      </c>
      <c r="M61" s="68" t="s">
        <v>287</v>
      </c>
      <c r="N61" s="67">
        <v>21.531521000000001</v>
      </c>
      <c r="O61" s="67">
        <v>92.043434000000005</v>
      </c>
      <c r="P61" s="68">
        <v>1000</v>
      </c>
      <c r="Q61" s="68"/>
      <c r="R61" s="18"/>
      <c r="S61" s="18"/>
      <c r="T61" s="22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17"/>
      <c r="AH61" s="24"/>
      <c r="AI61" s="25"/>
      <c r="AJ61" s="25"/>
    </row>
    <row r="62" spans="1:36" ht="15.6" x14ac:dyDescent="0.3">
      <c r="A62" s="63">
        <v>56</v>
      </c>
      <c r="B62" s="102" t="s">
        <v>3520</v>
      </c>
      <c r="C62" s="102" t="s">
        <v>3521</v>
      </c>
      <c r="D62" s="64" t="s">
        <v>119</v>
      </c>
      <c r="E62" s="68" t="s">
        <v>120</v>
      </c>
      <c r="F62" s="68" t="s">
        <v>122</v>
      </c>
      <c r="G62" s="71" t="s">
        <v>48</v>
      </c>
      <c r="H62" s="20"/>
      <c r="I62" s="20"/>
      <c r="J62" s="26"/>
      <c r="K62" s="75" t="s">
        <v>288</v>
      </c>
      <c r="L62" s="68" t="s">
        <v>289</v>
      </c>
      <c r="M62" s="68" t="s">
        <v>290</v>
      </c>
      <c r="N62" s="67">
        <v>21.532371999999999</v>
      </c>
      <c r="O62" s="67">
        <v>92.046075999999999</v>
      </c>
      <c r="P62" s="68">
        <v>1300</v>
      </c>
      <c r="Q62" s="68"/>
      <c r="R62" s="18"/>
      <c r="S62" s="18"/>
      <c r="T62" s="27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17"/>
      <c r="AH62" s="24"/>
      <c r="AI62" s="25"/>
      <c r="AJ62" s="25"/>
    </row>
    <row r="63" spans="1:36" ht="15.6" x14ac:dyDescent="0.3">
      <c r="A63" s="63">
        <v>57</v>
      </c>
      <c r="B63" s="102" t="s">
        <v>3520</v>
      </c>
      <c r="C63" s="102" t="s">
        <v>3521</v>
      </c>
      <c r="D63" s="64" t="s">
        <v>119</v>
      </c>
      <c r="E63" s="68" t="s">
        <v>120</v>
      </c>
      <c r="F63" s="68" t="s">
        <v>122</v>
      </c>
      <c r="G63" s="71" t="s">
        <v>48</v>
      </c>
      <c r="H63" s="20"/>
      <c r="I63" s="20"/>
      <c r="J63" s="26"/>
      <c r="K63" s="75" t="s">
        <v>291</v>
      </c>
      <c r="L63" s="68" t="s">
        <v>292</v>
      </c>
      <c r="M63" s="68" t="s">
        <v>293</v>
      </c>
      <c r="N63" s="67">
        <v>21.534994000000001</v>
      </c>
      <c r="O63" s="67">
        <v>92.039668000000006</v>
      </c>
      <c r="P63" s="68">
        <v>550</v>
      </c>
      <c r="Q63" s="68"/>
      <c r="R63" s="18"/>
      <c r="S63" s="18"/>
      <c r="T63" s="22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17"/>
      <c r="AH63" s="24"/>
      <c r="AI63" s="25"/>
      <c r="AJ63" s="25"/>
    </row>
    <row r="64" spans="1:36" ht="15.6" x14ac:dyDescent="0.3">
      <c r="A64" s="63">
        <v>58</v>
      </c>
      <c r="B64" s="102" t="s">
        <v>3520</v>
      </c>
      <c r="C64" s="102" t="s">
        <v>3521</v>
      </c>
      <c r="D64" s="64" t="s">
        <v>119</v>
      </c>
      <c r="E64" s="68" t="s">
        <v>120</v>
      </c>
      <c r="F64" s="68" t="s">
        <v>122</v>
      </c>
      <c r="G64" s="71" t="s">
        <v>49</v>
      </c>
      <c r="H64" s="20"/>
      <c r="I64" s="20"/>
      <c r="J64" s="26"/>
      <c r="K64" s="69" t="s">
        <v>294</v>
      </c>
      <c r="L64" s="71" t="s">
        <v>295</v>
      </c>
      <c r="M64" s="68" t="s">
        <v>296</v>
      </c>
      <c r="N64" s="67">
        <v>21.537590999999999</v>
      </c>
      <c r="O64" s="67">
        <v>92.043153000000004</v>
      </c>
      <c r="P64" s="68">
        <v>800</v>
      </c>
      <c r="Q64" s="68"/>
      <c r="R64" s="18"/>
      <c r="S64" s="18"/>
      <c r="T64" s="22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17"/>
      <c r="AH64" s="24"/>
      <c r="AI64" s="25"/>
      <c r="AJ64" s="25"/>
    </row>
    <row r="65" spans="1:36" ht="15.6" x14ac:dyDescent="0.3">
      <c r="A65" s="63">
        <v>59</v>
      </c>
      <c r="B65" s="102" t="s">
        <v>3520</v>
      </c>
      <c r="C65" s="102" t="s">
        <v>3521</v>
      </c>
      <c r="D65" s="64" t="s">
        <v>119</v>
      </c>
      <c r="E65" s="68" t="s">
        <v>120</v>
      </c>
      <c r="F65" s="68" t="s">
        <v>122</v>
      </c>
      <c r="G65" s="71" t="s">
        <v>49</v>
      </c>
      <c r="H65" s="20"/>
      <c r="I65" s="20"/>
      <c r="J65" s="26"/>
      <c r="K65" s="75" t="s">
        <v>297</v>
      </c>
      <c r="L65" s="71" t="s">
        <v>298</v>
      </c>
      <c r="M65" s="68" t="s">
        <v>299</v>
      </c>
      <c r="N65" s="67">
        <v>21.535392999999999</v>
      </c>
      <c r="O65" s="67">
        <v>92.048344999999998</v>
      </c>
      <c r="P65" s="68">
        <v>2400</v>
      </c>
      <c r="Q65" s="68"/>
      <c r="R65" s="18"/>
      <c r="S65" s="18"/>
      <c r="T65" s="22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17"/>
      <c r="AH65" s="24"/>
      <c r="AI65" s="25"/>
      <c r="AJ65" s="25"/>
    </row>
    <row r="66" spans="1:36" ht="15.6" x14ac:dyDescent="0.3">
      <c r="A66" s="63">
        <v>60</v>
      </c>
      <c r="B66" s="102" t="s">
        <v>3520</v>
      </c>
      <c r="C66" s="102" t="s">
        <v>3521</v>
      </c>
      <c r="D66" s="64" t="s">
        <v>119</v>
      </c>
      <c r="E66" s="68" t="s">
        <v>120</v>
      </c>
      <c r="F66" s="68" t="s">
        <v>122</v>
      </c>
      <c r="G66" s="71" t="s">
        <v>49</v>
      </c>
      <c r="H66" s="20"/>
      <c r="I66" s="20"/>
      <c r="J66" s="26"/>
      <c r="K66" s="75" t="s">
        <v>300</v>
      </c>
      <c r="L66" s="68" t="s">
        <v>301</v>
      </c>
      <c r="M66" s="68" t="s">
        <v>302</v>
      </c>
      <c r="N66" s="67">
        <v>21.529264000000001</v>
      </c>
      <c r="O66" s="67">
        <v>92.050135999999995</v>
      </c>
      <c r="P66" s="68">
        <v>1600</v>
      </c>
      <c r="Q66" s="68"/>
      <c r="R66" s="18"/>
      <c r="S66" s="18"/>
      <c r="T66" s="22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17"/>
      <c r="AH66" s="24"/>
      <c r="AI66" s="25"/>
      <c r="AJ66" s="25"/>
    </row>
    <row r="67" spans="1:36" ht="15.6" x14ac:dyDescent="0.3">
      <c r="A67" s="63">
        <v>61</v>
      </c>
      <c r="B67" s="102" t="s">
        <v>3520</v>
      </c>
      <c r="C67" s="102" t="s">
        <v>3521</v>
      </c>
      <c r="D67" s="64" t="s">
        <v>119</v>
      </c>
      <c r="E67" s="68" t="s">
        <v>120</v>
      </c>
      <c r="F67" s="68" t="s">
        <v>122</v>
      </c>
      <c r="G67" s="71" t="s">
        <v>49</v>
      </c>
      <c r="H67" s="20"/>
      <c r="I67" s="20"/>
      <c r="J67" s="26"/>
      <c r="K67" s="75" t="s">
        <v>303</v>
      </c>
      <c r="L67" s="68" t="s">
        <v>304</v>
      </c>
      <c r="M67" s="68" t="s">
        <v>305</v>
      </c>
      <c r="N67" s="67">
        <v>21.533117000000001</v>
      </c>
      <c r="O67" s="67">
        <v>92.052440000000004</v>
      </c>
      <c r="P67" s="68">
        <v>2000</v>
      </c>
      <c r="Q67" s="68"/>
      <c r="R67" s="18"/>
      <c r="S67" s="18"/>
      <c r="T67" s="22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17"/>
      <c r="AH67" s="24"/>
      <c r="AI67" s="25"/>
      <c r="AJ67" s="25"/>
    </row>
    <row r="68" spans="1:36" ht="15.6" x14ac:dyDescent="0.3">
      <c r="A68" s="63">
        <v>62</v>
      </c>
      <c r="B68" s="102" t="s">
        <v>3520</v>
      </c>
      <c r="C68" s="102" t="s">
        <v>3521</v>
      </c>
      <c r="D68" s="64" t="s">
        <v>119</v>
      </c>
      <c r="E68" s="71" t="s">
        <v>120</v>
      </c>
      <c r="F68" s="68" t="s">
        <v>123</v>
      </c>
      <c r="G68" s="71" t="s">
        <v>124</v>
      </c>
      <c r="H68" s="20"/>
      <c r="I68" s="20"/>
      <c r="J68" s="26"/>
      <c r="K68" s="75" t="s">
        <v>306</v>
      </c>
      <c r="L68" s="71" t="s">
        <v>307</v>
      </c>
      <c r="M68" s="68" t="s">
        <v>308</v>
      </c>
      <c r="N68" s="67">
        <v>21.435549000000002</v>
      </c>
      <c r="O68" s="67">
        <v>91.977204999999998</v>
      </c>
      <c r="P68" s="71">
        <v>4000</v>
      </c>
      <c r="Q68" s="71"/>
      <c r="R68" s="18"/>
      <c r="S68" s="18"/>
      <c r="T68" s="22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17"/>
      <c r="AH68" s="24"/>
      <c r="AI68" s="25"/>
      <c r="AJ68" s="25"/>
    </row>
    <row r="69" spans="1:36" ht="15.6" x14ac:dyDescent="0.3">
      <c r="A69" s="63">
        <v>63</v>
      </c>
      <c r="B69" s="102" t="s">
        <v>3520</v>
      </c>
      <c r="C69" s="102" t="s">
        <v>3521</v>
      </c>
      <c r="D69" s="64" t="s">
        <v>119</v>
      </c>
      <c r="E69" s="71" t="s">
        <v>120</v>
      </c>
      <c r="F69" s="68" t="s">
        <v>123</v>
      </c>
      <c r="G69" s="71" t="s">
        <v>124</v>
      </c>
      <c r="H69" s="20"/>
      <c r="I69" s="20"/>
      <c r="J69" s="26"/>
      <c r="K69" s="75" t="s">
        <v>309</v>
      </c>
      <c r="L69" s="71" t="s">
        <v>310</v>
      </c>
      <c r="M69" s="68" t="s">
        <v>311</v>
      </c>
      <c r="N69" s="67">
        <v>21.438849999999999</v>
      </c>
      <c r="O69" s="67">
        <v>91.976166000000006</v>
      </c>
      <c r="P69" s="71">
        <v>400</v>
      </c>
      <c r="Q69" s="71"/>
      <c r="R69" s="18"/>
      <c r="S69" s="18"/>
      <c r="T69" s="22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17"/>
      <c r="AH69" s="24"/>
      <c r="AI69" s="25"/>
      <c r="AJ69" s="25"/>
    </row>
    <row r="70" spans="1:36" ht="15.6" x14ac:dyDescent="0.3">
      <c r="A70" s="63">
        <v>64</v>
      </c>
      <c r="B70" s="102" t="s">
        <v>3520</v>
      </c>
      <c r="C70" s="102" t="s">
        <v>3521</v>
      </c>
      <c r="D70" s="64" t="s">
        <v>119</v>
      </c>
      <c r="E70" s="71" t="s">
        <v>120</v>
      </c>
      <c r="F70" s="68" t="s">
        <v>123</v>
      </c>
      <c r="G70" s="71" t="s">
        <v>124</v>
      </c>
      <c r="H70" s="20"/>
      <c r="I70" s="20"/>
      <c r="J70" s="26"/>
      <c r="K70" s="75" t="s">
        <v>312</v>
      </c>
      <c r="L70" s="71" t="s">
        <v>313</v>
      </c>
      <c r="M70" s="68" t="s">
        <v>314</v>
      </c>
      <c r="N70" s="67">
        <v>21.442012999999999</v>
      </c>
      <c r="O70" s="67">
        <v>91.976571000000007</v>
      </c>
      <c r="P70" s="71">
        <v>600</v>
      </c>
      <c r="Q70" s="71"/>
      <c r="R70" s="18"/>
      <c r="S70" s="18"/>
      <c r="T70" s="22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17"/>
      <c r="AH70" s="24"/>
      <c r="AI70" s="25"/>
      <c r="AJ70" s="25"/>
    </row>
    <row r="71" spans="1:36" ht="15.6" x14ac:dyDescent="0.3">
      <c r="A71" s="63">
        <v>65</v>
      </c>
      <c r="B71" s="102" t="s">
        <v>3520</v>
      </c>
      <c r="C71" s="102" t="s">
        <v>3521</v>
      </c>
      <c r="D71" s="64" t="s">
        <v>119</v>
      </c>
      <c r="E71" s="71" t="s">
        <v>120</v>
      </c>
      <c r="F71" s="68" t="s">
        <v>123</v>
      </c>
      <c r="G71" s="71" t="s">
        <v>124</v>
      </c>
      <c r="H71" s="20"/>
      <c r="I71" s="20"/>
      <c r="J71" s="26"/>
      <c r="K71" s="75" t="s">
        <v>315</v>
      </c>
      <c r="L71" s="71" t="s">
        <v>316</v>
      </c>
      <c r="M71" s="68" t="s">
        <v>317</v>
      </c>
      <c r="N71" s="67">
        <v>21.442505000000001</v>
      </c>
      <c r="O71" s="67">
        <v>91.977715000000003</v>
      </c>
      <c r="P71" s="71">
        <v>300</v>
      </c>
      <c r="Q71" s="71"/>
      <c r="R71" s="18"/>
      <c r="S71" s="18"/>
      <c r="T71" s="22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17"/>
      <c r="AH71" s="24"/>
      <c r="AI71" s="25"/>
      <c r="AJ71" s="25"/>
    </row>
    <row r="72" spans="1:36" ht="15.6" x14ac:dyDescent="0.3">
      <c r="A72" s="63">
        <v>66</v>
      </c>
      <c r="B72" s="102" t="s">
        <v>3520</v>
      </c>
      <c r="C72" s="102" t="s">
        <v>3521</v>
      </c>
      <c r="D72" s="64" t="s">
        <v>119</v>
      </c>
      <c r="E72" s="71" t="s">
        <v>120</v>
      </c>
      <c r="F72" s="68" t="s">
        <v>123</v>
      </c>
      <c r="G72" s="71" t="s">
        <v>124</v>
      </c>
      <c r="H72" s="20"/>
      <c r="I72" s="20"/>
      <c r="J72" s="26"/>
      <c r="K72" s="75" t="s">
        <v>318</v>
      </c>
      <c r="L72" s="71" t="s">
        <v>319</v>
      </c>
      <c r="M72" s="68" t="s">
        <v>320</v>
      </c>
      <c r="N72" s="67">
        <v>21.442844999999998</v>
      </c>
      <c r="O72" s="67">
        <v>91.974822000000003</v>
      </c>
      <c r="P72" s="71">
        <v>500</v>
      </c>
      <c r="Q72" s="71"/>
      <c r="R72" s="18"/>
      <c r="S72" s="18"/>
      <c r="T72" s="27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17"/>
      <c r="AH72" s="24"/>
      <c r="AI72" s="25"/>
      <c r="AJ72" s="25"/>
    </row>
    <row r="73" spans="1:36" ht="15.6" x14ac:dyDescent="0.3">
      <c r="A73" s="63">
        <v>67</v>
      </c>
      <c r="B73" s="102" t="s">
        <v>3520</v>
      </c>
      <c r="C73" s="102" t="s">
        <v>3521</v>
      </c>
      <c r="D73" s="64" t="s">
        <v>119</v>
      </c>
      <c r="E73" s="71" t="s">
        <v>120</v>
      </c>
      <c r="F73" s="68" t="s">
        <v>123</v>
      </c>
      <c r="G73" s="71" t="s">
        <v>124</v>
      </c>
      <c r="H73" s="20"/>
      <c r="I73" s="20"/>
      <c r="J73" s="26"/>
      <c r="K73" s="75" t="s">
        <v>321</v>
      </c>
      <c r="L73" s="71" t="s">
        <v>322</v>
      </c>
      <c r="M73" s="68" t="s">
        <v>323</v>
      </c>
      <c r="N73" s="67">
        <v>21.442025999999998</v>
      </c>
      <c r="O73" s="67">
        <v>91.972153000000006</v>
      </c>
      <c r="P73" s="71">
        <v>2000</v>
      </c>
      <c r="Q73" s="71"/>
      <c r="R73" s="18"/>
      <c r="S73" s="18"/>
      <c r="T73" s="22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17"/>
      <c r="AH73" s="24"/>
      <c r="AI73" s="25"/>
      <c r="AJ73" s="25"/>
    </row>
    <row r="74" spans="1:36" ht="15.6" x14ac:dyDescent="0.3">
      <c r="A74" s="63">
        <v>68</v>
      </c>
      <c r="B74" s="102" t="s">
        <v>3520</v>
      </c>
      <c r="C74" s="102" t="s">
        <v>3521</v>
      </c>
      <c r="D74" s="64" t="s">
        <v>119</v>
      </c>
      <c r="E74" s="71" t="s">
        <v>120</v>
      </c>
      <c r="F74" s="68" t="s">
        <v>123</v>
      </c>
      <c r="G74" s="71" t="s">
        <v>124</v>
      </c>
      <c r="H74" s="20"/>
      <c r="I74" s="20"/>
      <c r="J74" s="26"/>
      <c r="K74" s="75" t="s">
        <v>324</v>
      </c>
      <c r="L74" s="71" t="s">
        <v>325</v>
      </c>
      <c r="M74" s="68" t="s">
        <v>326</v>
      </c>
      <c r="N74" s="67">
        <v>21.439115999999999</v>
      </c>
      <c r="O74" s="67">
        <v>91.973057999999995</v>
      </c>
      <c r="P74" s="71">
        <v>3000</v>
      </c>
      <c r="Q74" s="71"/>
      <c r="R74" s="18"/>
      <c r="S74" s="18"/>
      <c r="T74" s="22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17"/>
      <c r="AH74" s="24"/>
      <c r="AI74" s="25"/>
      <c r="AJ74" s="25"/>
    </row>
    <row r="75" spans="1:36" ht="15.6" x14ac:dyDescent="0.3">
      <c r="A75" s="63">
        <v>69</v>
      </c>
      <c r="B75" s="102" t="s">
        <v>3520</v>
      </c>
      <c r="C75" s="102" t="s">
        <v>3521</v>
      </c>
      <c r="D75" s="64" t="s">
        <v>119</v>
      </c>
      <c r="E75" s="71" t="s">
        <v>120</v>
      </c>
      <c r="F75" s="68" t="s">
        <v>123</v>
      </c>
      <c r="G75" s="71" t="s">
        <v>124</v>
      </c>
      <c r="H75" s="37"/>
      <c r="I75" s="23"/>
      <c r="J75" s="26"/>
      <c r="K75" s="75" t="s">
        <v>327</v>
      </c>
      <c r="L75" s="71" t="s">
        <v>328</v>
      </c>
      <c r="M75" s="68" t="s">
        <v>329</v>
      </c>
      <c r="N75" s="67">
        <v>21.439910000000001</v>
      </c>
      <c r="O75" s="67">
        <v>91.974778999999998</v>
      </c>
      <c r="P75" s="71">
        <v>200</v>
      </c>
      <c r="Q75" s="71"/>
      <c r="R75" s="18"/>
      <c r="S75" s="18"/>
      <c r="T75" s="22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17"/>
      <c r="AH75" s="24"/>
      <c r="AI75" s="25"/>
      <c r="AJ75" s="25"/>
    </row>
    <row r="76" spans="1:36" ht="15.6" x14ac:dyDescent="0.3">
      <c r="A76" s="63">
        <v>70</v>
      </c>
      <c r="B76" s="102" t="s">
        <v>3520</v>
      </c>
      <c r="C76" s="102" t="s">
        <v>3521</v>
      </c>
      <c r="D76" s="64" t="s">
        <v>119</v>
      </c>
      <c r="E76" s="71" t="s">
        <v>120</v>
      </c>
      <c r="F76" s="68" t="s">
        <v>123</v>
      </c>
      <c r="G76" s="71" t="s">
        <v>41</v>
      </c>
      <c r="H76" s="20"/>
      <c r="I76" s="20"/>
      <c r="J76" s="26"/>
      <c r="K76" s="75" t="s">
        <v>330</v>
      </c>
      <c r="L76" s="71" t="s">
        <v>331</v>
      </c>
      <c r="M76" s="68" t="s">
        <v>332</v>
      </c>
      <c r="N76" s="67">
        <v>21.463697</v>
      </c>
      <c r="O76" s="67">
        <v>91.958843999999999</v>
      </c>
      <c r="P76" s="71">
        <v>3000</v>
      </c>
      <c r="Q76" s="71"/>
      <c r="R76" s="18"/>
      <c r="S76" s="18"/>
      <c r="T76" s="22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17"/>
      <c r="AH76" s="24"/>
      <c r="AI76" s="25"/>
      <c r="AJ76" s="25"/>
    </row>
    <row r="77" spans="1:36" ht="15.6" x14ac:dyDescent="0.3">
      <c r="A77" s="63">
        <v>71</v>
      </c>
      <c r="B77" s="102" t="s">
        <v>3520</v>
      </c>
      <c r="C77" s="102" t="s">
        <v>3521</v>
      </c>
      <c r="D77" s="64" t="s">
        <v>119</v>
      </c>
      <c r="E77" s="71" t="s">
        <v>120</v>
      </c>
      <c r="F77" s="68" t="s">
        <v>123</v>
      </c>
      <c r="G77" s="71" t="s">
        <v>41</v>
      </c>
      <c r="H77" s="20"/>
      <c r="I77" s="23"/>
      <c r="J77" s="26"/>
      <c r="K77" s="75" t="s">
        <v>333</v>
      </c>
      <c r="L77" s="71" t="s">
        <v>334</v>
      </c>
      <c r="M77" s="68" t="s">
        <v>335</v>
      </c>
      <c r="N77" s="67">
        <v>21.458971999999999</v>
      </c>
      <c r="O77" s="67">
        <v>91.956811999999999</v>
      </c>
      <c r="P77" s="71">
        <v>4000</v>
      </c>
      <c r="Q77" s="71"/>
      <c r="R77" s="18"/>
      <c r="S77" s="18"/>
      <c r="T77" s="27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17"/>
      <c r="AH77" s="24"/>
      <c r="AI77" s="25"/>
      <c r="AJ77" s="25"/>
    </row>
    <row r="78" spans="1:36" ht="15.6" x14ac:dyDescent="0.3">
      <c r="A78" s="63">
        <v>72</v>
      </c>
      <c r="B78" s="102" t="s">
        <v>3520</v>
      </c>
      <c r="C78" s="102" t="s">
        <v>3521</v>
      </c>
      <c r="D78" s="64" t="s">
        <v>119</v>
      </c>
      <c r="E78" s="71" t="s">
        <v>120</v>
      </c>
      <c r="F78" s="68" t="s">
        <v>123</v>
      </c>
      <c r="G78" s="71" t="s">
        <v>41</v>
      </c>
      <c r="H78" s="20"/>
      <c r="I78" s="23"/>
      <c r="J78" s="26"/>
      <c r="K78" s="75" t="s">
        <v>336</v>
      </c>
      <c r="L78" s="71" t="s">
        <v>337</v>
      </c>
      <c r="M78" s="68" t="s">
        <v>338</v>
      </c>
      <c r="N78" s="67">
        <v>21.454229999999999</v>
      </c>
      <c r="O78" s="67">
        <v>91.958055000000002</v>
      </c>
      <c r="P78" s="71">
        <v>3500</v>
      </c>
      <c r="Q78" s="71"/>
      <c r="R78" s="18"/>
      <c r="S78" s="18"/>
      <c r="T78" s="27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17"/>
      <c r="AH78" s="24"/>
      <c r="AI78" s="25"/>
      <c r="AJ78" s="25"/>
    </row>
    <row r="79" spans="1:36" ht="15.6" x14ac:dyDescent="0.3">
      <c r="A79" s="63">
        <v>73</v>
      </c>
      <c r="B79" s="102" t="s">
        <v>3520</v>
      </c>
      <c r="C79" s="102" t="s">
        <v>3521</v>
      </c>
      <c r="D79" s="64" t="s">
        <v>119</v>
      </c>
      <c r="E79" s="71" t="s">
        <v>120</v>
      </c>
      <c r="F79" s="68" t="s">
        <v>123</v>
      </c>
      <c r="G79" s="71" t="s">
        <v>41</v>
      </c>
      <c r="H79" s="20"/>
      <c r="I79" s="23"/>
      <c r="J79" s="26"/>
      <c r="K79" s="75" t="s">
        <v>339</v>
      </c>
      <c r="L79" s="71" t="s">
        <v>340</v>
      </c>
      <c r="M79" s="68" t="s">
        <v>341</v>
      </c>
      <c r="N79" s="67">
        <v>21.450911999999999</v>
      </c>
      <c r="O79" s="67">
        <v>91.960089999999994</v>
      </c>
      <c r="P79" s="71">
        <v>3500</v>
      </c>
      <c r="Q79" s="71"/>
      <c r="R79" s="18"/>
      <c r="S79" s="18"/>
      <c r="T79" s="27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17"/>
      <c r="AH79" s="24"/>
      <c r="AI79" s="25"/>
      <c r="AJ79" s="25"/>
    </row>
    <row r="80" spans="1:36" ht="15.6" x14ac:dyDescent="0.3">
      <c r="A80" s="63">
        <v>74</v>
      </c>
      <c r="B80" s="102" t="s">
        <v>3520</v>
      </c>
      <c r="C80" s="102" t="s">
        <v>3521</v>
      </c>
      <c r="D80" s="64" t="s">
        <v>119</v>
      </c>
      <c r="E80" s="71" t="s">
        <v>120</v>
      </c>
      <c r="F80" s="68" t="s">
        <v>123</v>
      </c>
      <c r="G80" s="71" t="s">
        <v>41</v>
      </c>
      <c r="H80" s="20"/>
      <c r="I80" s="23"/>
      <c r="J80" s="26"/>
      <c r="K80" s="75" t="s">
        <v>342</v>
      </c>
      <c r="L80" s="71" t="s">
        <v>343</v>
      </c>
      <c r="M80" s="68" t="s">
        <v>344</v>
      </c>
      <c r="N80" s="67">
        <v>21.449469000000001</v>
      </c>
      <c r="O80" s="67">
        <v>91.962543999999994</v>
      </c>
      <c r="P80" s="71">
        <v>1000</v>
      </c>
      <c r="Q80" s="71"/>
      <c r="R80" s="18"/>
      <c r="S80" s="18"/>
      <c r="T80" s="27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17"/>
      <c r="AH80" s="24"/>
      <c r="AI80" s="25"/>
      <c r="AJ80" s="25"/>
    </row>
    <row r="81" spans="1:36" ht="15.6" x14ac:dyDescent="0.3">
      <c r="A81" s="63">
        <v>75</v>
      </c>
      <c r="B81" s="102" t="s">
        <v>3520</v>
      </c>
      <c r="C81" s="102" t="s">
        <v>3521</v>
      </c>
      <c r="D81" s="64" t="s">
        <v>119</v>
      </c>
      <c r="E81" s="71" t="s">
        <v>120</v>
      </c>
      <c r="F81" s="68" t="s">
        <v>123</v>
      </c>
      <c r="G81" s="71" t="s">
        <v>41</v>
      </c>
      <c r="H81" s="20"/>
      <c r="I81" s="23"/>
      <c r="J81" s="26"/>
      <c r="K81" s="75" t="s">
        <v>345</v>
      </c>
      <c r="L81" s="71" t="s">
        <v>346</v>
      </c>
      <c r="M81" s="68" t="s">
        <v>347</v>
      </c>
      <c r="N81" s="67">
        <v>21.451339999999998</v>
      </c>
      <c r="O81" s="67">
        <v>91.961797000000004</v>
      </c>
      <c r="P81" s="71">
        <v>2000</v>
      </c>
      <c r="Q81" s="71"/>
      <c r="R81" s="18"/>
      <c r="S81" s="18"/>
      <c r="T81" s="27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17"/>
      <c r="AH81" s="24"/>
      <c r="AI81" s="25"/>
      <c r="AJ81" s="25"/>
    </row>
    <row r="82" spans="1:36" ht="15.6" x14ac:dyDescent="0.3">
      <c r="A82" s="63">
        <v>76</v>
      </c>
      <c r="B82" s="102" t="s">
        <v>3520</v>
      </c>
      <c r="C82" s="102" t="s">
        <v>3521</v>
      </c>
      <c r="D82" s="64" t="s">
        <v>119</v>
      </c>
      <c r="E82" s="71" t="s">
        <v>120</v>
      </c>
      <c r="F82" s="68" t="s">
        <v>123</v>
      </c>
      <c r="G82" s="71" t="s">
        <v>41</v>
      </c>
      <c r="H82" s="20"/>
      <c r="I82" s="23"/>
      <c r="J82" s="26"/>
      <c r="K82" s="75" t="s">
        <v>348</v>
      </c>
      <c r="L82" s="71" t="s">
        <v>349</v>
      </c>
      <c r="M82" s="68" t="s">
        <v>350</v>
      </c>
      <c r="N82" s="67">
        <v>21.453129000000001</v>
      </c>
      <c r="O82" s="67">
        <v>91.961046999999994</v>
      </c>
      <c r="P82" s="71">
        <v>2000</v>
      </c>
      <c r="Q82" s="71"/>
      <c r="R82" s="18"/>
      <c r="S82" s="18"/>
      <c r="T82" s="27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17"/>
      <c r="AH82" s="24"/>
      <c r="AI82" s="25"/>
      <c r="AJ82" s="25"/>
    </row>
    <row r="83" spans="1:36" ht="15.6" x14ac:dyDescent="0.3">
      <c r="A83" s="63">
        <v>77</v>
      </c>
      <c r="B83" s="102" t="s">
        <v>3520</v>
      </c>
      <c r="C83" s="102" t="s">
        <v>3521</v>
      </c>
      <c r="D83" s="64" t="s">
        <v>119</v>
      </c>
      <c r="E83" s="71" t="s">
        <v>120</v>
      </c>
      <c r="F83" s="68" t="s">
        <v>123</v>
      </c>
      <c r="G83" s="71" t="s">
        <v>41</v>
      </c>
      <c r="H83" s="20"/>
      <c r="I83" s="23"/>
      <c r="J83" s="26"/>
      <c r="K83" s="75" t="s">
        <v>351</v>
      </c>
      <c r="L83" s="71" t="s">
        <v>352</v>
      </c>
      <c r="M83" s="68" t="s">
        <v>353</v>
      </c>
      <c r="N83" s="67">
        <v>21.455503</v>
      </c>
      <c r="O83" s="67">
        <v>91.960954000000001</v>
      </c>
      <c r="P83" s="71">
        <v>2000</v>
      </c>
      <c r="Q83" s="71"/>
      <c r="R83" s="18"/>
      <c r="S83" s="18"/>
      <c r="T83" s="27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17"/>
      <c r="AH83" s="24"/>
      <c r="AI83" s="25"/>
      <c r="AJ83" s="25"/>
    </row>
    <row r="84" spans="1:36" ht="15.6" x14ac:dyDescent="0.3">
      <c r="A84" s="63">
        <v>78</v>
      </c>
      <c r="B84" s="102" t="s">
        <v>3520</v>
      </c>
      <c r="C84" s="102" t="s">
        <v>3521</v>
      </c>
      <c r="D84" s="64" t="s">
        <v>119</v>
      </c>
      <c r="E84" s="71" t="s">
        <v>120</v>
      </c>
      <c r="F84" s="68" t="s">
        <v>123</v>
      </c>
      <c r="G84" s="71" t="s">
        <v>41</v>
      </c>
      <c r="H84" s="20"/>
      <c r="I84" s="23"/>
      <c r="J84" s="26"/>
      <c r="K84" s="75" t="s">
        <v>354</v>
      </c>
      <c r="L84" s="71" t="s">
        <v>355</v>
      </c>
      <c r="M84" s="68" t="s">
        <v>356</v>
      </c>
      <c r="N84" s="67">
        <v>21.448471000000001</v>
      </c>
      <c r="O84" s="67">
        <v>91.956435999999997</v>
      </c>
      <c r="P84" s="71">
        <v>2500</v>
      </c>
      <c r="Q84" s="71"/>
      <c r="R84" s="18"/>
      <c r="S84" s="18"/>
      <c r="T84" s="27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17"/>
      <c r="AH84" s="24"/>
      <c r="AI84" s="25"/>
      <c r="AJ84" s="25"/>
    </row>
    <row r="85" spans="1:36" ht="15.6" x14ac:dyDescent="0.3">
      <c r="A85" s="63">
        <v>79</v>
      </c>
      <c r="B85" s="102" t="s">
        <v>3520</v>
      </c>
      <c r="C85" s="102" t="s">
        <v>3521</v>
      </c>
      <c r="D85" s="64" t="s">
        <v>119</v>
      </c>
      <c r="E85" s="71" t="s">
        <v>120</v>
      </c>
      <c r="F85" s="68" t="s">
        <v>123</v>
      </c>
      <c r="G85" s="71" t="s">
        <v>41</v>
      </c>
      <c r="H85" s="20"/>
      <c r="I85" s="23"/>
      <c r="J85" s="26"/>
      <c r="K85" s="75" t="s">
        <v>357</v>
      </c>
      <c r="L85" s="71" t="s">
        <v>358</v>
      </c>
      <c r="M85" s="68" t="s">
        <v>359</v>
      </c>
      <c r="N85" s="67">
        <v>21.451571000000001</v>
      </c>
      <c r="O85" s="67">
        <v>91.955438000000001</v>
      </c>
      <c r="P85" s="71">
        <v>4000</v>
      </c>
      <c r="Q85" s="71"/>
      <c r="R85" s="18"/>
      <c r="S85" s="18"/>
      <c r="T85" s="27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17"/>
      <c r="AH85" s="24"/>
      <c r="AI85" s="25"/>
      <c r="AJ85" s="25"/>
    </row>
    <row r="86" spans="1:36" ht="15.6" x14ac:dyDescent="0.3">
      <c r="A86" s="63">
        <v>80</v>
      </c>
      <c r="B86" s="102" t="s">
        <v>3520</v>
      </c>
      <c r="C86" s="102" t="s">
        <v>3521</v>
      </c>
      <c r="D86" s="64" t="s">
        <v>119</v>
      </c>
      <c r="E86" s="71" t="s">
        <v>120</v>
      </c>
      <c r="F86" s="68" t="s">
        <v>123</v>
      </c>
      <c r="G86" s="71" t="s">
        <v>125</v>
      </c>
      <c r="H86" s="20"/>
      <c r="I86" s="23"/>
      <c r="J86" s="26"/>
      <c r="K86" s="75" t="s">
        <v>360</v>
      </c>
      <c r="L86" s="71" t="s">
        <v>361</v>
      </c>
      <c r="M86" s="68" t="s">
        <v>362</v>
      </c>
      <c r="N86" s="67">
        <v>21.444735000000001</v>
      </c>
      <c r="O86" s="67">
        <v>91.968845000000002</v>
      </c>
      <c r="P86" s="71">
        <v>4000</v>
      </c>
      <c r="Q86" s="71"/>
      <c r="R86" s="18"/>
      <c r="S86" s="18"/>
      <c r="T86" s="27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17"/>
      <c r="AH86" s="24"/>
      <c r="AI86" s="25"/>
      <c r="AJ86" s="25"/>
    </row>
    <row r="87" spans="1:36" ht="15.6" x14ac:dyDescent="0.3">
      <c r="A87" s="63">
        <v>81</v>
      </c>
      <c r="B87" s="102" t="s">
        <v>3520</v>
      </c>
      <c r="C87" s="102" t="s">
        <v>3521</v>
      </c>
      <c r="D87" s="64" t="s">
        <v>119</v>
      </c>
      <c r="E87" s="71" t="s">
        <v>120</v>
      </c>
      <c r="F87" s="68" t="s">
        <v>123</v>
      </c>
      <c r="G87" s="71" t="s">
        <v>125</v>
      </c>
      <c r="H87" s="20"/>
      <c r="I87" s="23"/>
      <c r="J87" s="26"/>
      <c r="K87" s="75" t="s">
        <v>363</v>
      </c>
      <c r="L87" s="71" t="s">
        <v>364</v>
      </c>
      <c r="M87" s="68" t="s">
        <v>365</v>
      </c>
      <c r="N87" s="67">
        <v>21.440733000000002</v>
      </c>
      <c r="O87" s="67">
        <v>91.970158999999995</v>
      </c>
      <c r="P87" s="71">
        <v>1000</v>
      </c>
      <c r="Q87" s="71"/>
      <c r="R87" s="43"/>
      <c r="S87" s="43"/>
      <c r="T87" s="27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17"/>
      <c r="AH87" s="24"/>
      <c r="AI87" s="25"/>
      <c r="AJ87" s="25"/>
    </row>
    <row r="88" spans="1:36" ht="15.6" x14ac:dyDescent="0.3">
      <c r="A88" s="63">
        <v>82</v>
      </c>
      <c r="B88" s="102" t="s">
        <v>3520</v>
      </c>
      <c r="C88" s="102" t="s">
        <v>3521</v>
      </c>
      <c r="D88" s="64" t="s">
        <v>119</v>
      </c>
      <c r="E88" s="71" t="s">
        <v>120</v>
      </c>
      <c r="F88" s="68" t="s">
        <v>123</v>
      </c>
      <c r="G88" s="71" t="s">
        <v>125</v>
      </c>
      <c r="H88" s="20"/>
      <c r="I88" s="20"/>
      <c r="J88" s="26"/>
      <c r="K88" s="75" t="s">
        <v>366</v>
      </c>
      <c r="L88" s="71" t="s">
        <v>367</v>
      </c>
      <c r="M88" s="68" t="s">
        <v>368</v>
      </c>
      <c r="N88" s="67">
        <v>21.436730000000001</v>
      </c>
      <c r="O88" s="67">
        <v>91.973551</v>
      </c>
      <c r="P88" s="71">
        <v>2500</v>
      </c>
      <c r="Q88" s="71"/>
      <c r="R88" s="18"/>
      <c r="S88" s="18"/>
      <c r="T88" s="22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16"/>
      <c r="AH88" s="24"/>
      <c r="AI88" s="25"/>
      <c r="AJ88" s="25"/>
    </row>
    <row r="89" spans="1:36" ht="15.6" x14ac:dyDescent="0.3">
      <c r="A89" s="63">
        <v>83</v>
      </c>
      <c r="B89" s="102" t="s">
        <v>3520</v>
      </c>
      <c r="C89" s="102" t="s">
        <v>3521</v>
      </c>
      <c r="D89" s="64" t="s">
        <v>119</v>
      </c>
      <c r="E89" s="71" t="s">
        <v>120</v>
      </c>
      <c r="F89" s="68" t="s">
        <v>123</v>
      </c>
      <c r="G89" s="71" t="s">
        <v>125</v>
      </c>
      <c r="H89" s="20"/>
      <c r="I89" s="20"/>
      <c r="J89" s="26"/>
      <c r="K89" s="75" t="s">
        <v>369</v>
      </c>
      <c r="L89" s="71" t="s">
        <v>370</v>
      </c>
      <c r="M89" s="68" t="s">
        <v>371</v>
      </c>
      <c r="N89" s="67">
        <v>21.436997999999999</v>
      </c>
      <c r="O89" s="67">
        <v>91.971673999999993</v>
      </c>
      <c r="P89" s="71">
        <v>7000</v>
      </c>
      <c r="Q89" s="71"/>
      <c r="R89" s="18"/>
      <c r="S89" s="18"/>
      <c r="T89" s="27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17"/>
      <c r="AH89" s="24"/>
      <c r="AI89" s="25"/>
      <c r="AJ89" s="25"/>
    </row>
    <row r="90" spans="1:36" ht="15.6" x14ac:dyDescent="0.3">
      <c r="A90" s="63">
        <v>84</v>
      </c>
      <c r="B90" s="102" t="s">
        <v>3520</v>
      </c>
      <c r="C90" s="102" t="s">
        <v>3521</v>
      </c>
      <c r="D90" s="64" t="s">
        <v>119</v>
      </c>
      <c r="E90" s="71" t="s">
        <v>120</v>
      </c>
      <c r="F90" s="68" t="s">
        <v>123</v>
      </c>
      <c r="G90" s="71" t="s">
        <v>125</v>
      </c>
      <c r="H90" s="20"/>
      <c r="I90" s="20"/>
      <c r="J90" s="26"/>
      <c r="K90" s="75" t="s">
        <v>372</v>
      </c>
      <c r="L90" s="71" t="s">
        <v>373</v>
      </c>
      <c r="M90" s="68" t="s">
        <v>374</v>
      </c>
      <c r="N90" s="67">
        <v>21.433295999999999</v>
      </c>
      <c r="O90" s="67">
        <v>91.975611999999998</v>
      </c>
      <c r="P90" s="71">
        <v>1000</v>
      </c>
      <c r="Q90" s="71"/>
      <c r="R90" s="18"/>
      <c r="S90" s="18"/>
      <c r="T90" s="27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17"/>
      <c r="AH90" s="24"/>
      <c r="AI90" s="25"/>
      <c r="AJ90" s="25"/>
    </row>
    <row r="91" spans="1:36" ht="15.6" x14ac:dyDescent="0.3">
      <c r="A91" s="63">
        <v>85</v>
      </c>
      <c r="B91" s="102" t="s">
        <v>3520</v>
      </c>
      <c r="C91" s="102" t="s">
        <v>3521</v>
      </c>
      <c r="D91" s="64" t="s">
        <v>119</v>
      </c>
      <c r="E91" s="71" t="s">
        <v>120</v>
      </c>
      <c r="F91" s="68" t="s">
        <v>123</v>
      </c>
      <c r="G91" s="71" t="s">
        <v>125</v>
      </c>
      <c r="H91" s="20"/>
      <c r="I91" s="20"/>
      <c r="J91" s="26"/>
      <c r="K91" s="75" t="s">
        <v>375</v>
      </c>
      <c r="L91" s="71" t="s">
        <v>376</v>
      </c>
      <c r="M91" s="68" t="s">
        <v>377</v>
      </c>
      <c r="N91" s="67">
        <v>21.443584000000001</v>
      </c>
      <c r="O91" s="67">
        <v>91.969977</v>
      </c>
      <c r="P91" s="71">
        <v>2000</v>
      </c>
      <c r="Q91" s="71"/>
      <c r="R91" s="18"/>
      <c r="S91" s="18"/>
      <c r="T91" s="27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17"/>
      <c r="AH91" s="24"/>
      <c r="AI91" s="25"/>
      <c r="AJ91" s="25"/>
    </row>
    <row r="92" spans="1:36" ht="15.6" x14ac:dyDescent="0.3">
      <c r="A92" s="63">
        <v>86</v>
      </c>
      <c r="B92" s="102" t="s">
        <v>3520</v>
      </c>
      <c r="C92" s="102" t="s">
        <v>3521</v>
      </c>
      <c r="D92" s="64" t="s">
        <v>119</v>
      </c>
      <c r="E92" s="71" t="s">
        <v>120</v>
      </c>
      <c r="F92" s="68" t="s">
        <v>123</v>
      </c>
      <c r="G92" s="71" t="s">
        <v>41</v>
      </c>
      <c r="H92" s="20"/>
      <c r="I92" s="20"/>
      <c r="J92" s="26"/>
      <c r="K92" s="75" t="s">
        <v>378</v>
      </c>
      <c r="L92" s="71" t="s">
        <v>379</v>
      </c>
      <c r="M92" s="68" t="s">
        <v>380</v>
      </c>
      <c r="N92" s="67">
        <v>21.449394000000002</v>
      </c>
      <c r="O92" s="67">
        <v>91.95823</v>
      </c>
      <c r="P92" s="71">
        <v>2000</v>
      </c>
      <c r="Q92" s="71"/>
      <c r="R92" s="18"/>
      <c r="S92" s="18"/>
      <c r="T92" s="27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17"/>
      <c r="AH92" s="24"/>
      <c r="AI92" s="25"/>
      <c r="AJ92" s="25"/>
    </row>
    <row r="93" spans="1:36" ht="15.6" x14ac:dyDescent="0.3">
      <c r="A93" s="63">
        <v>87</v>
      </c>
      <c r="B93" s="102" t="s">
        <v>3520</v>
      </c>
      <c r="C93" s="102" t="s">
        <v>3521</v>
      </c>
      <c r="D93" s="64" t="s">
        <v>119</v>
      </c>
      <c r="E93" s="71" t="s">
        <v>120</v>
      </c>
      <c r="F93" s="68" t="s">
        <v>123</v>
      </c>
      <c r="G93" s="71" t="s">
        <v>41</v>
      </c>
      <c r="H93" s="20"/>
      <c r="I93" s="20"/>
      <c r="J93" s="26"/>
      <c r="K93" s="75" t="s">
        <v>381</v>
      </c>
      <c r="L93" s="71" t="s">
        <v>382</v>
      </c>
      <c r="M93" s="68" t="s">
        <v>383</v>
      </c>
      <c r="N93" s="67">
        <v>21.454414</v>
      </c>
      <c r="O93" s="67">
        <v>91.954230999999993</v>
      </c>
      <c r="P93" s="71">
        <v>3000</v>
      </c>
      <c r="Q93" s="71"/>
      <c r="R93" s="18"/>
      <c r="S93" s="18"/>
      <c r="T93" s="27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17"/>
      <c r="AH93" s="24"/>
      <c r="AI93" s="25"/>
      <c r="AJ93" s="25"/>
    </row>
    <row r="94" spans="1:36" ht="15.6" x14ac:dyDescent="0.3">
      <c r="A94" s="63">
        <v>88</v>
      </c>
      <c r="B94" s="102" t="s">
        <v>3520</v>
      </c>
      <c r="C94" s="102" t="s">
        <v>3521</v>
      </c>
      <c r="D94" s="64" t="s">
        <v>119</v>
      </c>
      <c r="E94" s="71" t="s">
        <v>120</v>
      </c>
      <c r="F94" s="68" t="s">
        <v>123</v>
      </c>
      <c r="G94" s="71" t="s">
        <v>41</v>
      </c>
      <c r="H94" s="20"/>
      <c r="I94" s="20"/>
      <c r="J94" s="26"/>
      <c r="K94" s="75" t="s">
        <v>384</v>
      </c>
      <c r="L94" s="71" t="s">
        <v>385</v>
      </c>
      <c r="M94" s="68" t="s">
        <v>386</v>
      </c>
      <c r="N94" s="67">
        <v>21.457630999999999</v>
      </c>
      <c r="O94" s="67">
        <v>91.953552999999999</v>
      </c>
      <c r="P94" s="71">
        <v>3000</v>
      </c>
      <c r="Q94" s="71"/>
      <c r="R94" s="18"/>
      <c r="S94" s="18"/>
      <c r="T94" s="27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17"/>
      <c r="AH94" s="24"/>
      <c r="AI94" s="25"/>
      <c r="AJ94" s="25"/>
    </row>
    <row r="95" spans="1:36" ht="15.6" x14ac:dyDescent="0.3">
      <c r="A95" s="63">
        <v>89</v>
      </c>
      <c r="B95" s="102" t="s">
        <v>3520</v>
      </c>
      <c r="C95" s="102" t="s">
        <v>3521</v>
      </c>
      <c r="D95" s="64" t="s">
        <v>119</v>
      </c>
      <c r="E95" s="71" t="s">
        <v>120</v>
      </c>
      <c r="F95" s="68" t="s">
        <v>123</v>
      </c>
      <c r="G95" s="71" t="s">
        <v>41</v>
      </c>
      <c r="H95" s="20"/>
      <c r="I95" s="20"/>
      <c r="J95" s="26"/>
      <c r="K95" s="75" t="s">
        <v>387</v>
      </c>
      <c r="L95" s="71" t="s">
        <v>388</v>
      </c>
      <c r="M95" s="68" t="s">
        <v>389</v>
      </c>
      <c r="N95" s="67">
        <v>21.461010000000002</v>
      </c>
      <c r="O95" s="67">
        <v>91.951695999999998</v>
      </c>
      <c r="P95" s="71">
        <v>1500</v>
      </c>
      <c r="Q95" s="71"/>
      <c r="R95" s="18"/>
      <c r="S95" s="18"/>
      <c r="T95" s="27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17"/>
      <c r="AH95" s="24"/>
      <c r="AI95" s="25"/>
      <c r="AJ95" s="25"/>
    </row>
    <row r="96" spans="1:36" ht="15.6" x14ac:dyDescent="0.3">
      <c r="A96" s="63">
        <v>90</v>
      </c>
      <c r="B96" s="102" t="s">
        <v>3520</v>
      </c>
      <c r="C96" s="102" t="s">
        <v>3521</v>
      </c>
      <c r="D96" s="64" t="s">
        <v>119</v>
      </c>
      <c r="E96" s="71" t="s">
        <v>120</v>
      </c>
      <c r="F96" s="68" t="s">
        <v>123</v>
      </c>
      <c r="G96" s="71" t="s">
        <v>41</v>
      </c>
      <c r="H96" s="20"/>
      <c r="I96" s="20"/>
      <c r="J96" s="26"/>
      <c r="K96" s="75" t="s">
        <v>390</v>
      </c>
      <c r="L96" s="71" t="s">
        <v>391</v>
      </c>
      <c r="M96" s="68" t="s">
        <v>392</v>
      </c>
      <c r="N96" s="67">
        <v>21.461741</v>
      </c>
      <c r="O96" s="67">
        <v>91.948339000000004</v>
      </c>
      <c r="P96" s="71">
        <v>1500</v>
      </c>
      <c r="Q96" s="71"/>
      <c r="R96" s="18"/>
      <c r="S96" s="18"/>
      <c r="T96" s="22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17"/>
      <c r="AH96" s="24"/>
      <c r="AI96" s="25"/>
      <c r="AJ96" s="25"/>
    </row>
    <row r="97" spans="1:36" ht="15.6" x14ac:dyDescent="0.3">
      <c r="A97" s="63">
        <v>91</v>
      </c>
      <c r="B97" s="102" t="s">
        <v>3520</v>
      </c>
      <c r="C97" s="102" t="s">
        <v>3521</v>
      </c>
      <c r="D97" s="64" t="s">
        <v>119</v>
      </c>
      <c r="E97" s="71" t="s">
        <v>120</v>
      </c>
      <c r="F97" s="68" t="s">
        <v>123</v>
      </c>
      <c r="G97" s="71" t="s">
        <v>41</v>
      </c>
      <c r="H97" s="20"/>
      <c r="I97" s="20"/>
      <c r="J97" s="26"/>
      <c r="K97" s="75" t="s">
        <v>393</v>
      </c>
      <c r="L97" s="71" t="s">
        <v>394</v>
      </c>
      <c r="M97" s="68" t="s">
        <v>395</v>
      </c>
      <c r="N97" s="67">
        <v>21.463933999999998</v>
      </c>
      <c r="O97" s="67">
        <v>91.948175000000006</v>
      </c>
      <c r="P97" s="71">
        <v>2000</v>
      </c>
      <c r="Q97" s="71"/>
      <c r="R97" s="18"/>
      <c r="S97" s="18"/>
      <c r="T97" s="27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17"/>
      <c r="AH97" s="24"/>
      <c r="AI97" s="25"/>
      <c r="AJ97" s="25"/>
    </row>
    <row r="98" spans="1:36" ht="15.6" x14ac:dyDescent="0.3">
      <c r="A98" s="63">
        <v>92</v>
      </c>
      <c r="B98" s="102" t="s">
        <v>3520</v>
      </c>
      <c r="C98" s="102" t="s">
        <v>3521</v>
      </c>
      <c r="D98" s="64" t="s">
        <v>119</v>
      </c>
      <c r="E98" s="71" t="s">
        <v>120</v>
      </c>
      <c r="F98" s="68" t="s">
        <v>123</v>
      </c>
      <c r="G98" s="71" t="s">
        <v>41</v>
      </c>
      <c r="H98" s="20"/>
      <c r="I98" s="20"/>
      <c r="J98" s="26"/>
      <c r="K98" s="75" t="s">
        <v>396</v>
      </c>
      <c r="L98" s="71" t="s">
        <v>397</v>
      </c>
      <c r="M98" s="68" t="s">
        <v>398</v>
      </c>
      <c r="N98" s="67">
        <v>21.462123999999999</v>
      </c>
      <c r="O98" s="67">
        <v>91.952713000000003</v>
      </c>
      <c r="P98" s="71">
        <v>2500</v>
      </c>
      <c r="Q98" s="71"/>
      <c r="R98" s="18"/>
      <c r="S98" s="18"/>
      <c r="T98" s="22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17"/>
      <c r="AH98" s="24"/>
      <c r="AI98" s="25"/>
      <c r="AJ98" s="25"/>
    </row>
    <row r="99" spans="1:36" ht="15.6" x14ac:dyDescent="0.3">
      <c r="A99" s="63">
        <v>93</v>
      </c>
      <c r="B99" s="102" t="s">
        <v>3520</v>
      </c>
      <c r="C99" s="102" t="s">
        <v>3521</v>
      </c>
      <c r="D99" s="64" t="s">
        <v>119</v>
      </c>
      <c r="E99" s="71" t="s">
        <v>120</v>
      </c>
      <c r="F99" s="68" t="s">
        <v>123</v>
      </c>
      <c r="G99" s="71" t="s">
        <v>41</v>
      </c>
      <c r="H99" s="20"/>
      <c r="I99" s="20"/>
      <c r="J99" s="26"/>
      <c r="K99" s="75" t="s">
        <v>399</v>
      </c>
      <c r="L99" s="71" t="s">
        <v>400</v>
      </c>
      <c r="M99" s="68" t="s">
        <v>401</v>
      </c>
      <c r="N99" s="67">
        <v>21.444635999999999</v>
      </c>
      <c r="O99" s="67">
        <v>91.961642999999995</v>
      </c>
      <c r="P99" s="71">
        <v>600</v>
      </c>
      <c r="Q99" s="71"/>
      <c r="R99" s="18"/>
      <c r="S99" s="18"/>
      <c r="T99" s="22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17"/>
      <c r="AH99" s="24"/>
      <c r="AI99" s="25"/>
      <c r="AJ99" s="25"/>
    </row>
    <row r="100" spans="1:36" ht="15.6" x14ac:dyDescent="0.3">
      <c r="A100" s="63">
        <v>94</v>
      </c>
      <c r="B100" s="102" t="s">
        <v>3520</v>
      </c>
      <c r="C100" s="102" t="s">
        <v>3521</v>
      </c>
      <c r="D100" s="64" t="s">
        <v>119</v>
      </c>
      <c r="E100" s="71" t="s">
        <v>120</v>
      </c>
      <c r="F100" s="68" t="s">
        <v>123</v>
      </c>
      <c r="G100" s="71" t="s">
        <v>126</v>
      </c>
      <c r="H100" s="20"/>
      <c r="I100" s="20"/>
      <c r="J100" s="21"/>
      <c r="K100" s="75" t="s">
        <v>402</v>
      </c>
      <c r="L100" s="71" t="s">
        <v>403</v>
      </c>
      <c r="M100" s="68" t="s">
        <v>404</v>
      </c>
      <c r="N100" s="67">
        <v>21.400473999999999</v>
      </c>
      <c r="O100" s="67">
        <v>91.994366999999997</v>
      </c>
      <c r="P100" s="71">
        <v>500</v>
      </c>
      <c r="Q100" s="71"/>
      <c r="R100" s="18"/>
      <c r="S100" s="18"/>
      <c r="T100" s="22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17"/>
      <c r="AH100" s="24"/>
      <c r="AI100" s="25"/>
      <c r="AJ100" s="25"/>
    </row>
    <row r="101" spans="1:36" ht="15.6" x14ac:dyDescent="0.3">
      <c r="A101" s="63">
        <v>95</v>
      </c>
      <c r="B101" s="102" t="s">
        <v>3520</v>
      </c>
      <c r="C101" s="102" t="s">
        <v>3521</v>
      </c>
      <c r="D101" s="64" t="s">
        <v>119</v>
      </c>
      <c r="E101" s="71" t="s">
        <v>120</v>
      </c>
      <c r="F101" s="68" t="s">
        <v>123</v>
      </c>
      <c r="G101" s="71" t="s">
        <v>126</v>
      </c>
      <c r="H101" s="20"/>
      <c r="I101" s="20"/>
      <c r="J101" s="26"/>
      <c r="K101" s="75" t="s">
        <v>405</v>
      </c>
      <c r="L101" s="71" t="s">
        <v>406</v>
      </c>
      <c r="M101" s="68" t="s">
        <v>407</v>
      </c>
      <c r="N101" s="67">
        <v>21.404999</v>
      </c>
      <c r="O101" s="67">
        <v>91.992470999999995</v>
      </c>
      <c r="P101" s="71">
        <v>400</v>
      </c>
      <c r="Q101" s="71"/>
      <c r="R101" s="18"/>
      <c r="S101" s="18"/>
      <c r="T101" s="22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17"/>
      <c r="AH101" s="24"/>
      <c r="AI101" s="25"/>
      <c r="AJ101" s="25"/>
    </row>
    <row r="102" spans="1:36" ht="15.6" x14ac:dyDescent="0.3">
      <c r="A102" s="63">
        <v>96</v>
      </c>
      <c r="B102" s="102" t="s">
        <v>3520</v>
      </c>
      <c r="C102" s="102" t="s">
        <v>3521</v>
      </c>
      <c r="D102" s="64" t="s">
        <v>119</v>
      </c>
      <c r="E102" s="71" t="s">
        <v>120</v>
      </c>
      <c r="F102" s="68" t="s">
        <v>123</v>
      </c>
      <c r="G102" s="71" t="s">
        <v>126</v>
      </c>
      <c r="H102" s="20"/>
      <c r="I102" s="20"/>
      <c r="J102" s="26"/>
      <c r="K102" s="75" t="s">
        <v>408</v>
      </c>
      <c r="L102" s="71" t="s">
        <v>409</v>
      </c>
      <c r="M102" s="68" t="s">
        <v>410</v>
      </c>
      <c r="N102" s="67">
        <v>21.410515</v>
      </c>
      <c r="O102" s="67">
        <v>91.988159999999993</v>
      </c>
      <c r="P102" s="71">
        <v>5000</v>
      </c>
      <c r="Q102" s="71"/>
      <c r="R102" s="18"/>
      <c r="S102" s="18"/>
      <c r="T102" s="22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17"/>
      <c r="AH102" s="24"/>
      <c r="AI102" s="25"/>
      <c r="AJ102" s="25"/>
    </row>
    <row r="103" spans="1:36" ht="15.6" x14ac:dyDescent="0.3">
      <c r="A103" s="63">
        <v>97</v>
      </c>
      <c r="B103" s="102" t="s">
        <v>3520</v>
      </c>
      <c r="C103" s="102" t="s">
        <v>3521</v>
      </c>
      <c r="D103" s="64" t="s">
        <v>119</v>
      </c>
      <c r="E103" s="71" t="s">
        <v>120</v>
      </c>
      <c r="F103" s="68" t="s">
        <v>123</v>
      </c>
      <c r="G103" s="71" t="s">
        <v>126</v>
      </c>
      <c r="H103" s="20"/>
      <c r="I103" s="20"/>
      <c r="J103" s="26"/>
      <c r="K103" s="75" t="s">
        <v>411</v>
      </c>
      <c r="L103" s="71" t="s">
        <v>412</v>
      </c>
      <c r="M103" s="68" t="s">
        <v>413</v>
      </c>
      <c r="N103" s="67">
        <v>21.419523999999999</v>
      </c>
      <c r="O103" s="67">
        <v>91.987700000000004</v>
      </c>
      <c r="P103" s="71">
        <v>500</v>
      </c>
      <c r="Q103" s="71"/>
      <c r="R103" s="18"/>
      <c r="S103" s="18"/>
      <c r="T103" s="22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17"/>
      <c r="AH103" s="24"/>
      <c r="AI103" s="25"/>
      <c r="AJ103" s="25"/>
    </row>
    <row r="104" spans="1:36" ht="15.6" x14ac:dyDescent="0.3">
      <c r="A104" s="63">
        <v>98</v>
      </c>
      <c r="B104" s="102" t="s">
        <v>3520</v>
      </c>
      <c r="C104" s="102" t="s">
        <v>3521</v>
      </c>
      <c r="D104" s="64" t="s">
        <v>119</v>
      </c>
      <c r="E104" s="71" t="s">
        <v>120</v>
      </c>
      <c r="F104" s="68" t="s">
        <v>123</v>
      </c>
      <c r="G104" s="71" t="s">
        <v>126</v>
      </c>
      <c r="H104" s="20"/>
      <c r="I104" s="20"/>
      <c r="J104" s="26"/>
      <c r="K104" s="75" t="s">
        <v>414</v>
      </c>
      <c r="L104" s="71" t="s">
        <v>415</v>
      </c>
      <c r="M104" s="68" t="s">
        <v>416</v>
      </c>
      <c r="N104" s="67">
        <v>21.417663999999998</v>
      </c>
      <c r="O104" s="67">
        <v>91.985682999999995</v>
      </c>
      <c r="P104" s="71">
        <v>200</v>
      </c>
      <c r="Q104" s="71"/>
      <c r="R104" s="18"/>
      <c r="S104" s="18"/>
      <c r="T104" s="27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17"/>
      <c r="AH104" s="24"/>
      <c r="AI104" s="25"/>
      <c r="AJ104" s="25"/>
    </row>
    <row r="105" spans="1:36" ht="15.6" x14ac:dyDescent="0.3">
      <c r="A105" s="63">
        <v>99</v>
      </c>
      <c r="B105" s="102" t="s">
        <v>3520</v>
      </c>
      <c r="C105" s="102" t="s">
        <v>3521</v>
      </c>
      <c r="D105" s="64" t="s">
        <v>119</v>
      </c>
      <c r="E105" s="71" t="s">
        <v>120</v>
      </c>
      <c r="F105" s="68" t="s">
        <v>123</v>
      </c>
      <c r="G105" s="71" t="s">
        <v>126</v>
      </c>
      <c r="H105" s="20"/>
      <c r="I105" s="20"/>
      <c r="J105" s="26"/>
      <c r="K105" s="75" t="s">
        <v>77</v>
      </c>
      <c r="L105" s="71" t="s">
        <v>78</v>
      </c>
      <c r="M105" s="68" t="s">
        <v>417</v>
      </c>
      <c r="N105" s="67">
        <v>21.422464000000002</v>
      </c>
      <c r="O105" s="67">
        <v>91.982594000000006</v>
      </c>
      <c r="P105" s="71">
        <v>2500</v>
      </c>
      <c r="Q105" s="71"/>
      <c r="R105" s="18"/>
      <c r="S105" s="18"/>
      <c r="T105" s="22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17"/>
      <c r="AH105" s="24"/>
      <c r="AI105" s="25"/>
      <c r="AJ105" s="25"/>
    </row>
    <row r="106" spans="1:36" ht="15.6" x14ac:dyDescent="0.3">
      <c r="A106" s="63">
        <v>100</v>
      </c>
      <c r="B106" s="102" t="s">
        <v>3520</v>
      </c>
      <c r="C106" s="102" t="s">
        <v>3521</v>
      </c>
      <c r="D106" s="64" t="s">
        <v>119</v>
      </c>
      <c r="E106" s="71" t="s">
        <v>120</v>
      </c>
      <c r="F106" s="68" t="s">
        <v>123</v>
      </c>
      <c r="G106" s="71" t="s">
        <v>126</v>
      </c>
      <c r="H106" s="20"/>
      <c r="I106" s="20"/>
      <c r="J106" s="26"/>
      <c r="K106" s="75" t="s">
        <v>418</v>
      </c>
      <c r="L106" s="71" t="s">
        <v>419</v>
      </c>
      <c r="M106" s="68" t="s">
        <v>420</v>
      </c>
      <c r="N106" s="67">
        <v>21.427474</v>
      </c>
      <c r="O106" s="67">
        <v>91.982579000000001</v>
      </c>
      <c r="P106" s="71">
        <v>7000</v>
      </c>
      <c r="Q106" s="71"/>
      <c r="R106" s="18"/>
      <c r="S106" s="18"/>
      <c r="T106" s="22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17"/>
      <c r="AH106" s="24"/>
      <c r="AI106" s="25"/>
      <c r="AJ106" s="25"/>
    </row>
    <row r="107" spans="1:36" ht="15.6" x14ac:dyDescent="0.3">
      <c r="A107" s="63">
        <v>101</v>
      </c>
      <c r="B107" s="102" t="s">
        <v>3520</v>
      </c>
      <c r="C107" s="102" t="s">
        <v>3521</v>
      </c>
      <c r="D107" s="64" t="s">
        <v>119</v>
      </c>
      <c r="E107" s="71" t="s">
        <v>120</v>
      </c>
      <c r="F107" s="68" t="s">
        <v>123</v>
      </c>
      <c r="G107" s="71" t="s">
        <v>126</v>
      </c>
      <c r="H107" s="20"/>
      <c r="I107" s="20"/>
      <c r="J107" s="26"/>
      <c r="K107" s="75" t="s">
        <v>421</v>
      </c>
      <c r="L107" s="71" t="s">
        <v>422</v>
      </c>
      <c r="M107" s="68" t="s">
        <v>423</v>
      </c>
      <c r="N107" s="67">
        <v>21.425408999999998</v>
      </c>
      <c r="O107" s="67">
        <v>91.983710000000002</v>
      </c>
      <c r="P107" s="71">
        <v>400</v>
      </c>
      <c r="Q107" s="71"/>
      <c r="R107" s="18"/>
      <c r="S107" s="18"/>
      <c r="T107" s="27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17"/>
      <c r="AH107" s="24"/>
      <c r="AI107" s="25"/>
      <c r="AJ107" s="25"/>
    </row>
    <row r="108" spans="1:36" ht="15.6" x14ac:dyDescent="0.3">
      <c r="A108" s="63">
        <v>102</v>
      </c>
      <c r="B108" s="102" t="s">
        <v>3520</v>
      </c>
      <c r="C108" s="102" t="s">
        <v>3521</v>
      </c>
      <c r="D108" s="64" t="s">
        <v>119</v>
      </c>
      <c r="E108" s="71" t="s">
        <v>120</v>
      </c>
      <c r="F108" s="68" t="s">
        <v>123</v>
      </c>
      <c r="G108" s="71" t="s">
        <v>126</v>
      </c>
      <c r="H108" s="20"/>
      <c r="I108" s="20"/>
      <c r="J108" s="26"/>
      <c r="K108" s="75" t="s">
        <v>424</v>
      </c>
      <c r="L108" s="71" t="s">
        <v>425</v>
      </c>
      <c r="M108" s="68" t="s">
        <v>426</v>
      </c>
      <c r="N108" s="67">
        <v>21.430513000000001</v>
      </c>
      <c r="O108" s="67">
        <v>91.982448000000005</v>
      </c>
      <c r="P108" s="71">
        <v>1000</v>
      </c>
      <c r="Q108" s="71"/>
      <c r="R108" s="18"/>
      <c r="S108" s="18"/>
      <c r="T108" s="22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17"/>
      <c r="AH108" s="24"/>
      <c r="AI108" s="25"/>
      <c r="AJ108" s="25"/>
    </row>
    <row r="109" spans="1:36" ht="15.6" x14ac:dyDescent="0.3">
      <c r="A109" s="63">
        <v>103</v>
      </c>
      <c r="B109" s="102" t="s">
        <v>3520</v>
      </c>
      <c r="C109" s="102" t="s">
        <v>3521</v>
      </c>
      <c r="D109" s="64" t="s">
        <v>119</v>
      </c>
      <c r="E109" s="71" t="s">
        <v>120</v>
      </c>
      <c r="F109" s="68" t="s">
        <v>123</v>
      </c>
      <c r="G109" s="71" t="s">
        <v>126</v>
      </c>
      <c r="H109" s="20"/>
      <c r="I109" s="20"/>
      <c r="J109" s="26"/>
      <c r="K109" s="75" t="s">
        <v>427</v>
      </c>
      <c r="L109" s="71" t="s">
        <v>428</v>
      </c>
      <c r="M109" s="68" t="s">
        <v>429</v>
      </c>
      <c r="N109" s="67">
        <v>21.422740999999998</v>
      </c>
      <c r="O109" s="67">
        <v>91.979224000000002</v>
      </c>
      <c r="P109" s="71">
        <v>20000</v>
      </c>
      <c r="Q109" s="71"/>
      <c r="R109" s="18"/>
      <c r="S109" s="18"/>
      <c r="T109" s="22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17"/>
      <c r="AH109" s="24"/>
      <c r="AI109" s="25"/>
      <c r="AJ109" s="25"/>
    </row>
    <row r="110" spans="1:36" ht="15.6" x14ac:dyDescent="0.3">
      <c r="A110" s="63">
        <v>104</v>
      </c>
      <c r="B110" s="102" t="s">
        <v>3520</v>
      </c>
      <c r="C110" s="102" t="s">
        <v>3521</v>
      </c>
      <c r="D110" s="64" t="s">
        <v>119</v>
      </c>
      <c r="E110" s="71" t="s">
        <v>120</v>
      </c>
      <c r="F110" s="68" t="s">
        <v>123</v>
      </c>
      <c r="G110" s="71" t="s">
        <v>126</v>
      </c>
      <c r="H110" s="20"/>
      <c r="I110" s="20"/>
      <c r="J110" s="26"/>
      <c r="K110" s="75" t="s">
        <v>430</v>
      </c>
      <c r="L110" s="71" t="s">
        <v>431</v>
      </c>
      <c r="M110" s="68" t="s">
        <v>432</v>
      </c>
      <c r="N110" s="67">
        <v>21.422077000000002</v>
      </c>
      <c r="O110" s="67">
        <v>91.985454000000004</v>
      </c>
      <c r="P110" s="71">
        <v>200</v>
      </c>
      <c r="Q110" s="71"/>
      <c r="R110" s="18"/>
      <c r="S110" s="18"/>
      <c r="T110" s="22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17"/>
      <c r="AH110" s="24"/>
      <c r="AI110" s="25"/>
      <c r="AJ110" s="25"/>
    </row>
    <row r="111" spans="1:36" ht="15.6" x14ac:dyDescent="0.3">
      <c r="A111" s="63">
        <v>105</v>
      </c>
      <c r="B111" s="102" t="s">
        <v>3520</v>
      </c>
      <c r="C111" s="102" t="s">
        <v>3521</v>
      </c>
      <c r="D111" s="64" t="s">
        <v>119</v>
      </c>
      <c r="E111" s="71" t="s">
        <v>120</v>
      </c>
      <c r="F111" s="68" t="s">
        <v>123</v>
      </c>
      <c r="G111" s="71" t="s">
        <v>42</v>
      </c>
      <c r="H111" s="20"/>
      <c r="I111" s="20"/>
      <c r="J111" s="26"/>
      <c r="K111" s="75" t="s">
        <v>433</v>
      </c>
      <c r="L111" s="71" t="s">
        <v>434</v>
      </c>
      <c r="M111" s="68" t="s">
        <v>435</v>
      </c>
      <c r="N111" s="67">
        <v>21.445709000000001</v>
      </c>
      <c r="O111" s="67">
        <v>91.968357999999995</v>
      </c>
      <c r="P111" s="71">
        <v>3000</v>
      </c>
      <c r="Q111" s="71"/>
      <c r="R111" s="18"/>
      <c r="S111" s="18"/>
      <c r="T111" s="22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17"/>
      <c r="AH111" s="24"/>
      <c r="AI111" s="25"/>
      <c r="AJ111" s="25"/>
    </row>
    <row r="112" spans="1:36" ht="15.6" x14ac:dyDescent="0.3">
      <c r="A112" s="63">
        <v>106</v>
      </c>
      <c r="B112" s="102" t="s">
        <v>3520</v>
      </c>
      <c r="C112" s="102" t="s">
        <v>3521</v>
      </c>
      <c r="D112" s="64" t="s">
        <v>119</v>
      </c>
      <c r="E112" s="71" t="s">
        <v>120</v>
      </c>
      <c r="F112" s="68" t="s">
        <v>123</v>
      </c>
      <c r="G112" s="71" t="s">
        <v>42</v>
      </c>
      <c r="H112" s="20"/>
      <c r="I112" s="20"/>
      <c r="J112" s="26"/>
      <c r="K112" s="75" t="s">
        <v>436</v>
      </c>
      <c r="L112" s="71" t="s">
        <v>437</v>
      </c>
      <c r="M112" s="68" t="s">
        <v>438</v>
      </c>
      <c r="N112" s="67">
        <v>21.448198000000001</v>
      </c>
      <c r="O112" s="67">
        <v>91.969728000000003</v>
      </c>
      <c r="P112" s="71">
        <v>2000</v>
      </c>
      <c r="Q112" s="71"/>
      <c r="R112" s="18"/>
      <c r="S112" s="18"/>
      <c r="T112" s="22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17"/>
      <c r="AH112" s="24"/>
      <c r="AI112" s="25"/>
      <c r="AJ112" s="25"/>
    </row>
    <row r="113" spans="1:36" ht="15.6" x14ac:dyDescent="0.3">
      <c r="A113" s="63">
        <v>107</v>
      </c>
      <c r="B113" s="102" t="s">
        <v>3520</v>
      </c>
      <c r="C113" s="102" t="s">
        <v>3521</v>
      </c>
      <c r="D113" s="64" t="s">
        <v>119</v>
      </c>
      <c r="E113" s="71" t="s">
        <v>120</v>
      </c>
      <c r="F113" s="68" t="s">
        <v>123</v>
      </c>
      <c r="G113" s="71" t="s">
        <v>42</v>
      </c>
      <c r="H113" s="20"/>
      <c r="I113" s="20"/>
      <c r="J113" s="26"/>
      <c r="K113" s="75" t="s">
        <v>439</v>
      </c>
      <c r="L113" s="71" t="s">
        <v>440</v>
      </c>
      <c r="M113" s="68" t="s">
        <v>441</v>
      </c>
      <c r="N113" s="67">
        <v>21.447610000000001</v>
      </c>
      <c r="O113" s="67">
        <v>91.968023000000002</v>
      </c>
      <c r="P113" s="71">
        <v>1500</v>
      </c>
      <c r="Q113" s="71"/>
      <c r="R113" s="18"/>
      <c r="S113" s="18"/>
      <c r="T113" s="22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17"/>
      <c r="AH113" s="24"/>
      <c r="AI113" s="25"/>
      <c r="AJ113" s="25"/>
    </row>
    <row r="114" spans="1:36" ht="15.6" x14ac:dyDescent="0.3">
      <c r="A114" s="63">
        <v>108</v>
      </c>
      <c r="B114" s="102" t="s">
        <v>3520</v>
      </c>
      <c r="C114" s="102" t="s">
        <v>3521</v>
      </c>
      <c r="D114" s="64" t="s">
        <v>119</v>
      </c>
      <c r="E114" s="71" t="s">
        <v>120</v>
      </c>
      <c r="F114" s="68" t="s">
        <v>123</v>
      </c>
      <c r="G114" s="71" t="s">
        <v>42</v>
      </c>
      <c r="H114" s="20"/>
      <c r="I114" s="20"/>
      <c r="J114" s="26"/>
      <c r="K114" s="75" t="s">
        <v>442</v>
      </c>
      <c r="L114" s="71" t="s">
        <v>443</v>
      </c>
      <c r="M114" s="68" t="s">
        <v>444</v>
      </c>
      <c r="N114" s="67">
        <v>21.450322</v>
      </c>
      <c r="O114" s="67">
        <v>91.968738000000002</v>
      </c>
      <c r="P114" s="71">
        <v>1500</v>
      </c>
      <c r="Q114" s="71"/>
      <c r="R114" s="18"/>
      <c r="S114" s="18"/>
      <c r="T114" s="22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17"/>
      <c r="AH114" s="24"/>
      <c r="AI114" s="25"/>
      <c r="AJ114" s="25"/>
    </row>
    <row r="115" spans="1:36" ht="15.6" x14ac:dyDescent="0.3">
      <c r="A115" s="63">
        <v>109</v>
      </c>
      <c r="B115" s="102" t="s">
        <v>3520</v>
      </c>
      <c r="C115" s="102" t="s">
        <v>3521</v>
      </c>
      <c r="D115" s="64" t="s">
        <v>119</v>
      </c>
      <c r="E115" s="71" t="s">
        <v>120</v>
      </c>
      <c r="F115" s="68" t="s">
        <v>123</v>
      </c>
      <c r="G115" s="71" t="s">
        <v>42</v>
      </c>
      <c r="H115" s="20"/>
      <c r="I115" s="20"/>
      <c r="J115" s="26"/>
      <c r="K115" s="75" t="s">
        <v>445</v>
      </c>
      <c r="L115" s="71" t="s">
        <v>446</v>
      </c>
      <c r="M115" s="68" t="s">
        <v>447</v>
      </c>
      <c r="N115" s="67">
        <v>21.453232</v>
      </c>
      <c r="O115" s="67">
        <v>91.967319000000003</v>
      </c>
      <c r="P115" s="71">
        <v>5000</v>
      </c>
      <c r="Q115" s="71"/>
      <c r="R115" s="18"/>
      <c r="S115" s="18"/>
      <c r="T115" s="22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17"/>
      <c r="AH115" s="24"/>
      <c r="AI115" s="25"/>
      <c r="AJ115" s="25"/>
    </row>
    <row r="116" spans="1:36" ht="15.6" x14ac:dyDescent="0.3">
      <c r="A116" s="63">
        <v>110</v>
      </c>
      <c r="B116" s="102" t="s">
        <v>3520</v>
      </c>
      <c r="C116" s="102" t="s">
        <v>3521</v>
      </c>
      <c r="D116" s="64" t="s">
        <v>119</v>
      </c>
      <c r="E116" s="71" t="s">
        <v>120</v>
      </c>
      <c r="F116" s="68" t="s">
        <v>123</v>
      </c>
      <c r="G116" s="71" t="s">
        <v>42</v>
      </c>
      <c r="H116" s="20"/>
      <c r="I116" s="20"/>
      <c r="J116" s="26"/>
      <c r="K116" s="75" t="s">
        <v>448</v>
      </c>
      <c r="L116" s="71" t="s">
        <v>449</v>
      </c>
      <c r="M116" s="68" t="s">
        <v>450</v>
      </c>
      <c r="N116" s="67">
        <v>21.456014</v>
      </c>
      <c r="O116" s="67">
        <v>91.967102999999994</v>
      </c>
      <c r="P116" s="71">
        <v>2000</v>
      </c>
      <c r="Q116" s="71"/>
      <c r="R116" s="18"/>
      <c r="S116" s="18"/>
      <c r="T116" s="22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17"/>
      <c r="AH116" s="24"/>
      <c r="AI116" s="25"/>
      <c r="AJ116" s="25"/>
    </row>
    <row r="117" spans="1:36" ht="15.6" x14ac:dyDescent="0.3">
      <c r="A117" s="63">
        <v>111</v>
      </c>
      <c r="B117" s="102" t="s">
        <v>3520</v>
      </c>
      <c r="C117" s="102" t="s">
        <v>3521</v>
      </c>
      <c r="D117" s="64" t="s">
        <v>119</v>
      </c>
      <c r="E117" s="71" t="s">
        <v>120</v>
      </c>
      <c r="F117" s="68" t="s">
        <v>123</v>
      </c>
      <c r="G117" s="71" t="s">
        <v>42</v>
      </c>
      <c r="H117" s="20"/>
      <c r="I117" s="20"/>
      <c r="J117" s="26"/>
      <c r="K117" s="75" t="s">
        <v>451</v>
      </c>
      <c r="L117" s="71" t="s">
        <v>452</v>
      </c>
      <c r="M117" s="68" t="s">
        <v>453</v>
      </c>
      <c r="N117" s="67">
        <v>21.459613999999998</v>
      </c>
      <c r="O117" s="67">
        <v>91.967053000000007</v>
      </c>
      <c r="P117" s="71">
        <v>4000</v>
      </c>
      <c r="Q117" s="71"/>
      <c r="R117" s="18"/>
      <c r="S117" s="18"/>
      <c r="T117" s="22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17"/>
      <c r="AH117" s="24"/>
      <c r="AI117" s="25"/>
      <c r="AJ117" s="25"/>
    </row>
    <row r="118" spans="1:36" ht="15.6" x14ac:dyDescent="0.3">
      <c r="A118" s="63">
        <v>112</v>
      </c>
      <c r="B118" s="102" t="s">
        <v>3520</v>
      </c>
      <c r="C118" s="102" t="s">
        <v>3521</v>
      </c>
      <c r="D118" s="64" t="s">
        <v>119</v>
      </c>
      <c r="E118" s="71" t="s">
        <v>120</v>
      </c>
      <c r="F118" s="68" t="s">
        <v>123</v>
      </c>
      <c r="G118" s="71" t="s">
        <v>42</v>
      </c>
      <c r="H118" s="20"/>
      <c r="I118" s="20"/>
      <c r="J118" s="26"/>
      <c r="K118" s="75" t="s">
        <v>454</v>
      </c>
      <c r="L118" s="71" t="s">
        <v>455</v>
      </c>
      <c r="M118" s="68" t="s">
        <v>456</v>
      </c>
      <c r="N118" s="67">
        <v>21.462009999999999</v>
      </c>
      <c r="O118" s="67">
        <v>91.967089000000001</v>
      </c>
      <c r="P118" s="71">
        <v>2500</v>
      </c>
      <c r="Q118" s="71"/>
      <c r="R118" s="18"/>
      <c r="S118" s="18"/>
      <c r="T118" s="22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17"/>
      <c r="AH118" s="24"/>
      <c r="AI118" s="25"/>
      <c r="AJ118" s="25"/>
    </row>
    <row r="119" spans="1:36" ht="15.6" x14ac:dyDescent="0.3">
      <c r="A119" s="63">
        <v>113</v>
      </c>
      <c r="B119" s="102" t="s">
        <v>3520</v>
      </c>
      <c r="C119" s="102" t="s">
        <v>3521</v>
      </c>
      <c r="D119" s="64" t="s">
        <v>119</v>
      </c>
      <c r="E119" s="71" t="s">
        <v>120</v>
      </c>
      <c r="F119" s="68" t="s">
        <v>123</v>
      </c>
      <c r="G119" s="71" t="s">
        <v>42</v>
      </c>
      <c r="H119" s="20"/>
      <c r="I119" s="20"/>
      <c r="J119" s="26"/>
      <c r="K119" s="75" t="s">
        <v>457</v>
      </c>
      <c r="L119" s="71" t="s">
        <v>458</v>
      </c>
      <c r="M119" s="68" t="s">
        <v>459</v>
      </c>
      <c r="N119" s="67">
        <v>21.465782999999998</v>
      </c>
      <c r="O119" s="67">
        <v>91.967037000000005</v>
      </c>
      <c r="P119" s="71">
        <v>3000</v>
      </c>
      <c r="Q119" s="71"/>
      <c r="R119" s="18"/>
      <c r="S119" s="18"/>
      <c r="T119" s="22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17"/>
      <c r="AH119" s="24"/>
      <c r="AI119" s="25"/>
      <c r="AJ119" s="25"/>
    </row>
    <row r="120" spans="1:36" ht="15.6" x14ac:dyDescent="0.3">
      <c r="A120" s="63">
        <v>114</v>
      </c>
      <c r="B120" s="102" t="s">
        <v>3520</v>
      </c>
      <c r="C120" s="102" t="s">
        <v>3521</v>
      </c>
      <c r="D120" s="64" t="s">
        <v>119</v>
      </c>
      <c r="E120" s="71" t="s">
        <v>120</v>
      </c>
      <c r="F120" s="68" t="s">
        <v>123</v>
      </c>
      <c r="G120" s="71" t="s">
        <v>42</v>
      </c>
      <c r="H120" s="20"/>
      <c r="I120" s="20"/>
      <c r="J120" s="26"/>
      <c r="K120" s="75" t="s">
        <v>460</v>
      </c>
      <c r="L120" s="71" t="s">
        <v>461</v>
      </c>
      <c r="M120" s="68" t="s">
        <v>462</v>
      </c>
      <c r="N120" s="67">
        <v>21.466628</v>
      </c>
      <c r="O120" s="67">
        <v>91.964230999999998</v>
      </c>
      <c r="P120" s="71">
        <v>9000</v>
      </c>
      <c r="Q120" s="71"/>
      <c r="R120" s="18"/>
      <c r="S120" s="18"/>
      <c r="T120" s="22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17"/>
      <c r="AH120" s="24"/>
      <c r="AI120" s="25"/>
      <c r="AJ120" s="25"/>
    </row>
    <row r="121" spans="1:36" ht="15.6" x14ac:dyDescent="0.3">
      <c r="A121" s="63">
        <v>115</v>
      </c>
      <c r="B121" s="102" t="s">
        <v>3520</v>
      </c>
      <c r="C121" s="102" t="s">
        <v>3521</v>
      </c>
      <c r="D121" s="64" t="s">
        <v>119</v>
      </c>
      <c r="E121" s="71" t="s">
        <v>120</v>
      </c>
      <c r="F121" s="68" t="s">
        <v>123</v>
      </c>
      <c r="G121" s="71" t="s">
        <v>42</v>
      </c>
      <c r="H121" s="20"/>
      <c r="I121" s="20"/>
      <c r="J121" s="26"/>
      <c r="K121" s="75" t="s">
        <v>463</v>
      </c>
      <c r="L121" s="71" t="s">
        <v>464</v>
      </c>
      <c r="M121" s="68" t="s">
        <v>465</v>
      </c>
      <c r="N121" s="67">
        <v>21.446515999999999</v>
      </c>
      <c r="O121" s="67">
        <v>91.968734999999995</v>
      </c>
      <c r="P121" s="71">
        <v>100</v>
      </c>
      <c r="Q121" s="71"/>
      <c r="R121" s="18"/>
      <c r="S121" s="18"/>
      <c r="T121" s="27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17"/>
      <c r="AH121" s="24"/>
      <c r="AI121" s="25"/>
      <c r="AJ121" s="25"/>
    </row>
    <row r="122" spans="1:36" ht="15.6" x14ac:dyDescent="0.3">
      <c r="A122" s="63">
        <v>116</v>
      </c>
      <c r="B122" s="102" t="s">
        <v>3520</v>
      </c>
      <c r="C122" s="102" t="s">
        <v>3521</v>
      </c>
      <c r="D122" s="64" t="s">
        <v>119</v>
      </c>
      <c r="E122" s="71" t="s">
        <v>120</v>
      </c>
      <c r="F122" s="68" t="s">
        <v>123</v>
      </c>
      <c r="G122" s="71" t="s">
        <v>42</v>
      </c>
      <c r="H122" s="20"/>
      <c r="I122" s="20"/>
      <c r="J122" s="26"/>
      <c r="K122" s="75" t="s">
        <v>466</v>
      </c>
      <c r="L122" s="71" t="s">
        <v>467</v>
      </c>
      <c r="M122" s="68" t="s">
        <v>468</v>
      </c>
      <c r="N122" s="67">
        <v>21.454837999999999</v>
      </c>
      <c r="O122" s="67">
        <v>91.965737000000004</v>
      </c>
      <c r="P122" s="71">
        <v>70</v>
      </c>
      <c r="Q122" s="71"/>
      <c r="R122" s="18"/>
      <c r="S122" s="18"/>
      <c r="T122" s="27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17"/>
      <c r="AH122" s="24"/>
      <c r="AI122" s="25"/>
      <c r="AJ122" s="25"/>
    </row>
    <row r="123" spans="1:36" ht="15.6" x14ac:dyDescent="0.3">
      <c r="A123" s="63">
        <v>117</v>
      </c>
      <c r="B123" s="102" t="s">
        <v>3520</v>
      </c>
      <c r="C123" s="102" t="s">
        <v>3521</v>
      </c>
      <c r="D123" s="64" t="s">
        <v>119</v>
      </c>
      <c r="E123" s="71" t="s">
        <v>120</v>
      </c>
      <c r="F123" s="68" t="s">
        <v>123</v>
      </c>
      <c r="G123" s="71" t="s">
        <v>42</v>
      </c>
      <c r="H123" s="20"/>
      <c r="I123" s="20"/>
      <c r="J123" s="26"/>
      <c r="K123" s="75" t="s">
        <v>469</v>
      </c>
      <c r="L123" s="71" t="s">
        <v>470</v>
      </c>
      <c r="M123" s="68" t="s">
        <v>471</v>
      </c>
      <c r="N123" s="67">
        <v>21.458317000000001</v>
      </c>
      <c r="O123" s="67">
        <v>91.967522000000002</v>
      </c>
      <c r="P123" s="71">
        <v>50</v>
      </c>
      <c r="Q123" s="71"/>
      <c r="R123" s="18"/>
      <c r="S123" s="18"/>
      <c r="T123" s="22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17"/>
      <c r="AH123" s="24"/>
      <c r="AI123" s="25"/>
      <c r="AJ123" s="25"/>
    </row>
    <row r="124" spans="1:36" ht="15.6" x14ac:dyDescent="0.3">
      <c r="A124" s="63">
        <v>118</v>
      </c>
      <c r="B124" s="102" t="s">
        <v>3520</v>
      </c>
      <c r="C124" s="102" t="s">
        <v>3521</v>
      </c>
      <c r="D124" s="64" t="s">
        <v>119</v>
      </c>
      <c r="E124" s="71" t="s">
        <v>120</v>
      </c>
      <c r="F124" s="68" t="s">
        <v>123</v>
      </c>
      <c r="G124" s="71" t="s">
        <v>42</v>
      </c>
      <c r="H124" s="20"/>
      <c r="I124" s="20"/>
      <c r="J124" s="26"/>
      <c r="K124" s="75" t="s">
        <v>472</v>
      </c>
      <c r="L124" s="71" t="s">
        <v>473</v>
      </c>
      <c r="M124" s="68" t="s">
        <v>474</v>
      </c>
      <c r="N124" s="67">
        <v>21.464673999999999</v>
      </c>
      <c r="O124" s="67">
        <v>91.963937999999999</v>
      </c>
      <c r="P124" s="71">
        <v>150</v>
      </c>
      <c r="Q124" s="71"/>
      <c r="R124" s="18"/>
      <c r="S124" s="18"/>
      <c r="T124" s="27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17"/>
      <c r="AH124" s="24"/>
      <c r="AI124" s="25"/>
      <c r="AJ124" s="25"/>
    </row>
    <row r="125" spans="1:36" ht="15.6" x14ac:dyDescent="0.3">
      <c r="A125" s="63">
        <v>119</v>
      </c>
      <c r="B125" s="102" t="s">
        <v>3520</v>
      </c>
      <c r="C125" s="102" t="s">
        <v>3521</v>
      </c>
      <c r="D125" s="64" t="s">
        <v>119</v>
      </c>
      <c r="E125" s="71" t="s">
        <v>120</v>
      </c>
      <c r="F125" s="68" t="s">
        <v>123</v>
      </c>
      <c r="G125" s="71" t="s">
        <v>43</v>
      </c>
      <c r="H125" s="20"/>
      <c r="I125" s="20"/>
      <c r="J125" s="26"/>
      <c r="K125" s="75" t="s">
        <v>475</v>
      </c>
      <c r="L125" s="71" t="s">
        <v>476</v>
      </c>
      <c r="M125" s="68" t="s">
        <v>477</v>
      </c>
      <c r="N125" s="67">
        <v>21.44303</v>
      </c>
      <c r="O125" s="67">
        <v>91.981556999999995</v>
      </c>
      <c r="P125" s="71">
        <v>7000</v>
      </c>
      <c r="Q125" s="71"/>
      <c r="R125" s="18"/>
      <c r="S125" s="18"/>
      <c r="T125" s="27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17"/>
      <c r="AH125" s="24"/>
      <c r="AI125" s="25"/>
      <c r="AJ125" s="25"/>
    </row>
    <row r="126" spans="1:36" ht="15.6" x14ac:dyDescent="0.3">
      <c r="A126" s="63">
        <v>120</v>
      </c>
      <c r="B126" s="102" t="s">
        <v>3520</v>
      </c>
      <c r="C126" s="102" t="s">
        <v>3521</v>
      </c>
      <c r="D126" s="64" t="s">
        <v>119</v>
      </c>
      <c r="E126" s="71" t="s">
        <v>120</v>
      </c>
      <c r="F126" s="68" t="s">
        <v>123</v>
      </c>
      <c r="G126" s="71" t="s">
        <v>43</v>
      </c>
      <c r="H126" s="20"/>
      <c r="I126" s="20"/>
      <c r="J126" s="26"/>
      <c r="K126" s="75" t="s">
        <v>478</v>
      </c>
      <c r="L126" s="71" t="s">
        <v>479</v>
      </c>
      <c r="M126" s="68" t="s">
        <v>480</v>
      </c>
      <c r="N126" s="67">
        <v>21.443701999999998</v>
      </c>
      <c r="O126" s="67">
        <v>91.979876000000004</v>
      </c>
      <c r="P126" s="71">
        <v>8500</v>
      </c>
      <c r="Q126" s="71"/>
      <c r="R126" s="18"/>
      <c r="S126" s="18"/>
      <c r="T126" s="27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17"/>
      <c r="AH126" s="24"/>
      <c r="AI126" s="25"/>
      <c r="AJ126" s="25"/>
    </row>
    <row r="127" spans="1:36" ht="15.6" x14ac:dyDescent="0.3">
      <c r="A127" s="63">
        <v>121</v>
      </c>
      <c r="B127" s="102" t="s">
        <v>3520</v>
      </c>
      <c r="C127" s="102" t="s">
        <v>3521</v>
      </c>
      <c r="D127" s="64" t="s">
        <v>119</v>
      </c>
      <c r="E127" s="71" t="s">
        <v>120</v>
      </c>
      <c r="F127" s="68" t="s">
        <v>123</v>
      </c>
      <c r="G127" s="71" t="s">
        <v>43</v>
      </c>
      <c r="H127" s="20"/>
      <c r="I127" s="20"/>
      <c r="J127" s="26"/>
      <c r="K127" s="75" t="s">
        <v>481</v>
      </c>
      <c r="L127" s="71" t="s">
        <v>482</v>
      </c>
      <c r="M127" s="68" t="s">
        <v>483</v>
      </c>
      <c r="N127" s="67">
        <v>21.443652</v>
      </c>
      <c r="O127" s="67">
        <v>91.977601000000007</v>
      </c>
      <c r="P127" s="71">
        <v>5000</v>
      </c>
      <c r="Q127" s="71"/>
      <c r="R127" s="18"/>
      <c r="S127" s="18"/>
      <c r="T127" s="27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17"/>
      <c r="AH127" s="24"/>
      <c r="AI127" s="25"/>
      <c r="AJ127" s="25"/>
    </row>
    <row r="128" spans="1:36" ht="15.6" x14ac:dyDescent="0.3">
      <c r="A128" s="63">
        <v>122</v>
      </c>
      <c r="B128" s="102" t="s">
        <v>3520</v>
      </c>
      <c r="C128" s="102" t="s">
        <v>3521</v>
      </c>
      <c r="D128" s="64" t="s">
        <v>119</v>
      </c>
      <c r="E128" s="71" t="s">
        <v>120</v>
      </c>
      <c r="F128" s="68" t="s">
        <v>123</v>
      </c>
      <c r="G128" s="71" t="s">
        <v>43</v>
      </c>
      <c r="H128" s="20"/>
      <c r="I128" s="20"/>
      <c r="J128" s="26"/>
      <c r="K128" s="75" t="s">
        <v>484</v>
      </c>
      <c r="L128" s="71" t="s">
        <v>485</v>
      </c>
      <c r="M128" s="68" t="s">
        <v>486</v>
      </c>
      <c r="N128" s="67">
        <v>21.444545999999999</v>
      </c>
      <c r="O128" s="67">
        <v>91.978960999999998</v>
      </c>
      <c r="P128" s="71">
        <v>500</v>
      </c>
      <c r="Q128" s="71"/>
      <c r="R128" s="18"/>
      <c r="S128" s="18"/>
      <c r="T128" s="27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16"/>
      <c r="AH128" s="24"/>
      <c r="AI128" s="25"/>
      <c r="AJ128" s="25"/>
    </row>
    <row r="129" spans="1:36" ht="15.6" x14ac:dyDescent="0.3">
      <c r="A129" s="63">
        <v>123</v>
      </c>
      <c r="B129" s="102" t="s">
        <v>3520</v>
      </c>
      <c r="C129" s="102" t="s">
        <v>3521</v>
      </c>
      <c r="D129" s="64" t="s">
        <v>119</v>
      </c>
      <c r="E129" s="71" t="s">
        <v>120</v>
      </c>
      <c r="F129" s="68" t="s">
        <v>123</v>
      </c>
      <c r="G129" s="71" t="s">
        <v>43</v>
      </c>
      <c r="H129" s="20"/>
      <c r="I129" s="20"/>
      <c r="J129" s="26"/>
      <c r="K129" s="75" t="s">
        <v>487</v>
      </c>
      <c r="L129" s="71" t="s">
        <v>488</v>
      </c>
      <c r="M129" s="68" t="s">
        <v>489</v>
      </c>
      <c r="N129" s="67">
        <v>21.445060999999999</v>
      </c>
      <c r="O129" s="67">
        <v>91.977965999999995</v>
      </c>
      <c r="P129" s="71">
        <v>1200</v>
      </c>
      <c r="Q129" s="71"/>
      <c r="R129" s="18"/>
      <c r="S129" s="18"/>
      <c r="T129" s="27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17"/>
      <c r="AH129" s="24"/>
      <c r="AI129" s="25"/>
      <c r="AJ129" s="25"/>
    </row>
    <row r="130" spans="1:36" ht="15.6" x14ac:dyDescent="0.3">
      <c r="A130" s="63">
        <v>124</v>
      </c>
      <c r="B130" s="102" t="s">
        <v>3520</v>
      </c>
      <c r="C130" s="102" t="s">
        <v>3521</v>
      </c>
      <c r="D130" s="64" t="s">
        <v>119</v>
      </c>
      <c r="E130" s="71" t="s">
        <v>120</v>
      </c>
      <c r="F130" s="68" t="s">
        <v>123</v>
      </c>
      <c r="G130" s="71" t="s">
        <v>43</v>
      </c>
      <c r="H130" s="20"/>
      <c r="I130" s="20"/>
      <c r="J130" s="26"/>
      <c r="K130" s="75" t="s">
        <v>490</v>
      </c>
      <c r="L130" s="71" t="s">
        <v>491</v>
      </c>
      <c r="M130" s="68" t="s">
        <v>492</v>
      </c>
      <c r="N130" s="67">
        <v>21.445125000000001</v>
      </c>
      <c r="O130" s="67">
        <v>91.975931000000003</v>
      </c>
      <c r="P130" s="71">
        <v>4500</v>
      </c>
      <c r="Q130" s="71"/>
      <c r="R130" s="18"/>
      <c r="S130" s="18"/>
      <c r="T130" s="27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17"/>
      <c r="AH130" s="24"/>
      <c r="AI130" s="25"/>
      <c r="AJ130" s="25"/>
    </row>
    <row r="131" spans="1:36" ht="15.6" x14ac:dyDescent="0.3">
      <c r="A131" s="63">
        <v>125</v>
      </c>
      <c r="B131" s="102" t="s">
        <v>3520</v>
      </c>
      <c r="C131" s="102" t="s">
        <v>3521</v>
      </c>
      <c r="D131" s="64" t="s">
        <v>119</v>
      </c>
      <c r="E131" s="71" t="s">
        <v>120</v>
      </c>
      <c r="F131" s="68" t="s">
        <v>123</v>
      </c>
      <c r="G131" s="71" t="s">
        <v>43</v>
      </c>
      <c r="H131" s="20"/>
      <c r="I131" s="20"/>
      <c r="J131" s="26"/>
      <c r="K131" s="75" t="s">
        <v>493</v>
      </c>
      <c r="L131" s="71" t="s">
        <v>494</v>
      </c>
      <c r="M131" s="68" t="s">
        <v>495</v>
      </c>
      <c r="N131" s="67">
        <v>21.445183</v>
      </c>
      <c r="O131" s="67">
        <v>91.972921999999997</v>
      </c>
      <c r="P131" s="71">
        <v>1500</v>
      </c>
      <c r="Q131" s="71"/>
      <c r="R131" s="18"/>
      <c r="S131" s="18"/>
      <c r="T131" s="22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17"/>
      <c r="AH131" s="24"/>
      <c r="AI131" s="25"/>
      <c r="AJ131" s="25"/>
    </row>
    <row r="132" spans="1:36" ht="15.6" x14ac:dyDescent="0.3">
      <c r="A132" s="63">
        <v>126</v>
      </c>
      <c r="B132" s="102" t="s">
        <v>3520</v>
      </c>
      <c r="C132" s="102" t="s">
        <v>3521</v>
      </c>
      <c r="D132" s="64" t="s">
        <v>119</v>
      </c>
      <c r="E132" s="71" t="s">
        <v>120</v>
      </c>
      <c r="F132" s="68" t="s">
        <v>123</v>
      </c>
      <c r="G132" s="71" t="s">
        <v>43</v>
      </c>
      <c r="H132" s="20"/>
      <c r="I132" s="20"/>
      <c r="J132" s="26"/>
      <c r="K132" s="75" t="s">
        <v>496</v>
      </c>
      <c r="L132" s="71" t="s">
        <v>497</v>
      </c>
      <c r="M132" s="68" t="s">
        <v>498</v>
      </c>
      <c r="N132" s="67">
        <v>21.444264</v>
      </c>
      <c r="O132" s="67">
        <v>91.974849000000006</v>
      </c>
      <c r="P132" s="71">
        <v>800</v>
      </c>
      <c r="Q132" s="71"/>
      <c r="R132" s="18"/>
      <c r="S132" s="18"/>
      <c r="T132" s="22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17"/>
      <c r="AH132" s="24"/>
      <c r="AI132" s="25"/>
      <c r="AJ132" s="25"/>
    </row>
    <row r="133" spans="1:36" ht="15.6" x14ac:dyDescent="0.3">
      <c r="A133" s="63">
        <v>127</v>
      </c>
      <c r="B133" s="102" t="s">
        <v>3520</v>
      </c>
      <c r="C133" s="102" t="s">
        <v>3521</v>
      </c>
      <c r="D133" s="64" t="s">
        <v>119</v>
      </c>
      <c r="E133" s="71" t="s">
        <v>120</v>
      </c>
      <c r="F133" s="68" t="s">
        <v>123</v>
      </c>
      <c r="G133" s="71" t="s">
        <v>43</v>
      </c>
      <c r="H133" s="20"/>
      <c r="I133" s="20"/>
      <c r="J133" s="26"/>
      <c r="K133" s="75" t="s">
        <v>499</v>
      </c>
      <c r="L133" s="71" t="s">
        <v>500</v>
      </c>
      <c r="M133" s="68" t="s">
        <v>501</v>
      </c>
      <c r="N133" s="67">
        <v>21.445716000000001</v>
      </c>
      <c r="O133" s="67">
        <v>91.971034000000003</v>
      </c>
      <c r="P133" s="71">
        <v>3000</v>
      </c>
      <c r="Q133" s="71"/>
      <c r="R133" s="18"/>
      <c r="S133" s="18"/>
      <c r="T133" s="22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17"/>
      <c r="AH133" s="24"/>
      <c r="AI133" s="25"/>
      <c r="AJ133" s="25"/>
    </row>
    <row r="134" spans="1:36" ht="15.6" x14ac:dyDescent="0.3">
      <c r="A134" s="63">
        <v>128</v>
      </c>
      <c r="B134" s="102" t="s">
        <v>3520</v>
      </c>
      <c r="C134" s="102" t="s">
        <v>3521</v>
      </c>
      <c r="D134" s="64" t="s">
        <v>119</v>
      </c>
      <c r="E134" s="71" t="s">
        <v>120</v>
      </c>
      <c r="F134" s="68" t="s">
        <v>123</v>
      </c>
      <c r="G134" s="71" t="s">
        <v>44</v>
      </c>
      <c r="H134" s="20"/>
      <c r="I134" s="23"/>
      <c r="J134" s="26"/>
      <c r="K134" s="75" t="s">
        <v>502</v>
      </c>
      <c r="L134" s="71" t="s">
        <v>503</v>
      </c>
      <c r="M134" s="68" t="s">
        <v>504</v>
      </c>
      <c r="N134" s="67">
        <v>21.443719999999999</v>
      </c>
      <c r="O134" s="67">
        <v>91.986616999999995</v>
      </c>
      <c r="P134" s="68">
        <v>1355</v>
      </c>
      <c r="Q134" s="68"/>
      <c r="R134" s="18"/>
      <c r="S134" s="18"/>
      <c r="T134" s="27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17"/>
      <c r="AH134" s="24"/>
      <c r="AI134" s="25"/>
      <c r="AJ134" s="25"/>
    </row>
    <row r="135" spans="1:36" ht="15.6" x14ac:dyDescent="0.3">
      <c r="A135" s="63">
        <v>129</v>
      </c>
      <c r="B135" s="102" t="s">
        <v>3520</v>
      </c>
      <c r="C135" s="102" t="s">
        <v>3521</v>
      </c>
      <c r="D135" s="64" t="s">
        <v>119</v>
      </c>
      <c r="E135" s="71" t="s">
        <v>120</v>
      </c>
      <c r="F135" s="68" t="s">
        <v>123</v>
      </c>
      <c r="G135" s="71" t="s">
        <v>44</v>
      </c>
      <c r="H135" s="20"/>
      <c r="I135" s="23"/>
      <c r="J135" s="26"/>
      <c r="K135" s="75" t="s">
        <v>505</v>
      </c>
      <c r="L135" s="71" t="s">
        <v>506</v>
      </c>
      <c r="M135" s="68" t="s">
        <v>507</v>
      </c>
      <c r="N135" s="67">
        <v>21.443100999999999</v>
      </c>
      <c r="O135" s="67">
        <v>91.985380000000006</v>
      </c>
      <c r="P135" s="68">
        <v>584</v>
      </c>
      <c r="Q135" s="68"/>
      <c r="R135" s="18"/>
      <c r="S135" s="18"/>
      <c r="T135" s="22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17"/>
      <c r="AH135" s="24"/>
      <c r="AI135" s="25"/>
      <c r="AJ135" s="25"/>
    </row>
    <row r="136" spans="1:36" ht="15.6" x14ac:dyDescent="0.3">
      <c r="A136" s="63">
        <v>130</v>
      </c>
      <c r="B136" s="102" t="s">
        <v>3520</v>
      </c>
      <c r="C136" s="102" t="s">
        <v>3521</v>
      </c>
      <c r="D136" s="64" t="s">
        <v>119</v>
      </c>
      <c r="E136" s="71" t="s">
        <v>120</v>
      </c>
      <c r="F136" s="68" t="s">
        <v>123</v>
      </c>
      <c r="G136" s="71" t="s">
        <v>44</v>
      </c>
      <c r="H136" s="20"/>
      <c r="I136" s="23"/>
      <c r="J136" s="26"/>
      <c r="K136" s="75" t="s">
        <v>508</v>
      </c>
      <c r="L136" s="71" t="s">
        <v>509</v>
      </c>
      <c r="M136" s="68" t="s">
        <v>510</v>
      </c>
      <c r="N136" s="67">
        <v>21.442807999999999</v>
      </c>
      <c r="O136" s="67">
        <v>91.983618000000007</v>
      </c>
      <c r="P136" s="68">
        <v>897</v>
      </c>
      <c r="Q136" s="68"/>
      <c r="R136" s="18"/>
      <c r="S136" s="18"/>
      <c r="T136" s="22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17"/>
      <c r="AH136" s="24"/>
      <c r="AI136" s="25"/>
      <c r="AJ136" s="25"/>
    </row>
    <row r="137" spans="1:36" ht="15.6" x14ac:dyDescent="0.3">
      <c r="A137" s="63">
        <v>131</v>
      </c>
      <c r="B137" s="102" t="s">
        <v>3520</v>
      </c>
      <c r="C137" s="102" t="s">
        <v>3521</v>
      </c>
      <c r="D137" s="64" t="s">
        <v>119</v>
      </c>
      <c r="E137" s="71" t="s">
        <v>120</v>
      </c>
      <c r="F137" s="68" t="s">
        <v>123</v>
      </c>
      <c r="G137" s="71" t="s">
        <v>44</v>
      </c>
      <c r="H137" s="20"/>
      <c r="I137" s="23"/>
      <c r="J137" s="26"/>
      <c r="K137" s="75" t="s">
        <v>511</v>
      </c>
      <c r="L137" s="71" t="s">
        <v>512</v>
      </c>
      <c r="M137" s="68" t="s">
        <v>513</v>
      </c>
      <c r="N137" s="67">
        <v>21.445568999999999</v>
      </c>
      <c r="O137" s="67">
        <v>91.985732999999996</v>
      </c>
      <c r="P137" s="68">
        <v>1076</v>
      </c>
      <c r="Q137" s="68"/>
      <c r="R137" s="18"/>
      <c r="S137" s="18"/>
      <c r="T137" s="22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17"/>
      <c r="AH137" s="24"/>
      <c r="AI137" s="25"/>
      <c r="AJ137" s="25"/>
    </row>
    <row r="138" spans="1:36" ht="15.6" x14ac:dyDescent="0.3">
      <c r="A138" s="63">
        <v>132</v>
      </c>
      <c r="B138" s="102" t="s">
        <v>3520</v>
      </c>
      <c r="C138" s="102" t="s">
        <v>3521</v>
      </c>
      <c r="D138" s="64" t="s">
        <v>119</v>
      </c>
      <c r="E138" s="71" t="s">
        <v>120</v>
      </c>
      <c r="F138" s="68" t="s">
        <v>123</v>
      </c>
      <c r="G138" s="71" t="s">
        <v>44</v>
      </c>
      <c r="H138" s="20"/>
      <c r="I138" s="23"/>
      <c r="J138" s="26"/>
      <c r="K138" s="75" t="s">
        <v>514</v>
      </c>
      <c r="L138" s="71" t="s">
        <v>515</v>
      </c>
      <c r="M138" s="68" t="s">
        <v>516</v>
      </c>
      <c r="N138" s="67">
        <v>21.446625999999998</v>
      </c>
      <c r="O138" s="67">
        <v>91.984634999999997</v>
      </c>
      <c r="P138" s="68"/>
      <c r="Q138" s="68"/>
      <c r="R138" s="18"/>
      <c r="S138" s="18"/>
      <c r="T138" s="27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17"/>
      <c r="AH138" s="24"/>
      <c r="AI138" s="25"/>
      <c r="AJ138" s="25"/>
    </row>
    <row r="139" spans="1:36" ht="15.6" x14ac:dyDescent="0.3">
      <c r="A139" s="63">
        <v>133</v>
      </c>
      <c r="B139" s="102" t="s">
        <v>3520</v>
      </c>
      <c r="C139" s="102" t="s">
        <v>3521</v>
      </c>
      <c r="D139" s="64" t="s">
        <v>119</v>
      </c>
      <c r="E139" s="71" t="s">
        <v>120</v>
      </c>
      <c r="F139" s="68" t="s">
        <v>123</v>
      </c>
      <c r="G139" s="71" t="s">
        <v>44</v>
      </c>
      <c r="H139" s="20"/>
      <c r="I139" s="23"/>
      <c r="J139" s="26"/>
      <c r="K139" s="75" t="s">
        <v>517</v>
      </c>
      <c r="L139" s="71" t="s">
        <v>518</v>
      </c>
      <c r="M139" s="68" t="s">
        <v>519</v>
      </c>
      <c r="N139" s="67">
        <v>21.444787000000002</v>
      </c>
      <c r="O139" s="67">
        <v>91.984037000000001</v>
      </c>
      <c r="P139" s="68">
        <v>425</v>
      </c>
      <c r="Q139" s="68"/>
      <c r="R139" s="18"/>
      <c r="S139" s="18"/>
      <c r="T139" s="27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17"/>
      <c r="AH139" s="24"/>
      <c r="AI139" s="25"/>
      <c r="AJ139" s="25"/>
    </row>
    <row r="140" spans="1:36" ht="15.6" x14ac:dyDescent="0.3">
      <c r="A140" s="63">
        <v>134</v>
      </c>
      <c r="B140" s="102" t="s">
        <v>3520</v>
      </c>
      <c r="C140" s="102" t="s">
        <v>3521</v>
      </c>
      <c r="D140" s="64" t="s">
        <v>119</v>
      </c>
      <c r="E140" s="71" t="s">
        <v>120</v>
      </c>
      <c r="F140" s="68" t="s">
        <v>123</v>
      </c>
      <c r="G140" s="71" t="s">
        <v>44</v>
      </c>
      <c r="H140" s="20"/>
      <c r="I140" s="23"/>
      <c r="J140" s="26"/>
      <c r="K140" s="75" t="s">
        <v>520</v>
      </c>
      <c r="L140" s="71" t="s">
        <v>521</v>
      </c>
      <c r="M140" s="68" t="s">
        <v>522</v>
      </c>
      <c r="N140" s="67">
        <v>21.443743999999999</v>
      </c>
      <c r="O140" s="67">
        <v>91.982915000000006</v>
      </c>
      <c r="P140" s="68">
        <v>348</v>
      </c>
      <c r="Q140" s="68"/>
      <c r="R140" s="18"/>
      <c r="S140" s="18"/>
      <c r="T140" s="27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17"/>
      <c r="AH140" s="24"/>
      <c r="AI140" s="25"/>
      <c r="AJ140" s="25"/>
    </row>
    <row r="141" spans="1:36" ht="15.6" x14ac:dyDescent="0.3">
      <c r="A141" s="63">
        <v>135</v>
      </c>
      <c r="B141" s="102" t="s">
        <v>3520</v>
      </c>
      <c r="C141" s="102" t="s">
        <v>3521</v>
      </c>
      <c r="D141" s="64" t="s">
        <v>119</v>
      </c>
      <c r="E141" s="71" t="s">
        <v>120</v>
      </c>
      <c r="F141" s="68" t="s">
        <v>123</v>
      </c>
      <c r="G141" s="71" t="s">
        <v>44</v>
      </c>
      <c r="H141" s="20"/>
      <c r="I141" s="23"/>
      <c r="J141" s="26"/>
      <c r="K141" s="75" t="s">
        <v>523</v>
      </c>
      <c r="L141" s="71" t="s">
        <v>524</v>
      </c>
      <c r="M141" s="68" t="s">
        <v>525</v>
      </c>
      <c r="N141" s="67">
        <v>21.444153</v>
      </c>
      <c r="O141" s="67">
        <v>91.981999000000002</v>
      </c>
      <c r="P141" s="68"/>
      <c r="Q141" s="68"/>
      <c r="R141" s="18"/>
      <c r="S141" s="18"/>
      <c r="T141" s="22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17"/>
      <c r="AH141" s="24"/>
      <c r="AI141" s="25"/>
      <c r="AJ141" s="25"/>
    </row>
    <row r="142" spans="1:36" ht="15.6" x14ac:dyDescent="0.3">
      <c r="A142" s="63">
        <v>136</v>
      </c>
      <c r="B142" s="102" t="s">
        <v>3520</v>
      </c>
      <c r="C142" s="102" t="s">
        <v>3521</v>
      </c>
      <c r="D142" s="64" t="s">
        <v>119</v>
      </c>
      <c r="E142" s="71" t="s">
        <v>120</v>
      </c>
      <c r="F142" s="68" t="s">
        <v>123</v>
      </c>
      <c r="G142" s="71" t="s">
        <v>44</v>
      </c>
      <c r="H142" s="20"/>
      <c r="I142" s="23"/>
      <c r="J142" s="26"/>
      <c r="K142" s="75" t="s">
        <v>526</v>
      </c>
      <c r="L142" s="71" t="s">
        <v>527</v>
      </c>
      <c r="M142" s="68" t="s">
        <v>528</v>
      </c>
      <c r="N142" s="67">
        <v>21.445906999999998</v>
      </c>
      <c r="O142" s="67">
        <v>91.981545999999994</v>
      </c>
      <c r="P142" s="68">
        <v>838</v>
      </c>
      <c r="Q142" s="68"/>
      <c r="R142" s="18"/>
      <c r="S142" s="18"/>
      <c r="T142" s="27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17"/>
      <c r="AH142" s="24"/>
      <c r="AI142" s="25"/>
      <c r="AJ142" s="25"/>
    </row>
    <row r="143" spans="1:36" ht="15.6" x14ac:dyDescent="0.3">
      <c r="A143" s="63">
        <v>137</v>
      </c>
      <c r="B143" s="102" t="s">
        <v>3520</v>
      </c>
      <c r="C143" s="102" t="s">
        <v>3521</v>
      </c>
      <c r="D143" s="64" t="s">
        <v>119</v>
      </c>
      <c r="E143" s="71" t="s">
        <v>120</v>
      </c>
      <c r="F143" s="68" t="s">
        <v>123</v>
      </c>
      <c r="G143" s="71" t="s">
        <v>44</v>
      </c>
      <c r="H143" s="20"/>
      <c r="I143" s="23"/>
      <c r="J143" s="26"/>
      <c r="K143" s="75" t="s">
        <v>529</v>
      </c>
      <c r="L143" s="71" t="s">
        <v>530</v>
      </c>
      <c r="M143" s="68" t="s">
        <v>531</v>
      </c>
      <c r="N143" s="67">
        <v>21.446037</v>
      </c>
      <c r="O143" s="67">
        <v>91.979248999999996</v>
      </c>
      <c r="P143" s="68"/>
      <c r="Q143" s="68"/>
      <c r="R143" s="18"/>
      <c r="S143" s="18"/>
      <c r="T143" s="27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17"/>
      <c r="AH143" s="24"/>
      <c r="AI143" s="25"/>
      <c r="AJ143" s="25"/>
    </row>
    <row r="144" spans="1:36" ht="15.6" x14ac:dyDescent="0.3">
      <c r="A144" s="63">
        <v>138</v>
      </c>
      <c r="B144" s="102" t="s">
        <v>3520</v>
      </c>
      <c r="C144" s="102" t="s">
        <v>3521</v>
      </c>
      <c r="D144" s="64" t="s">
        <v>119</v>
      </c>
      <c r="E144" s="71" t="s">
        <v>120</v>
      </c>
      <c r="F144" s="68" t="s">
        <v>123</v>
      </c>
      <c r="G144" s="71" t="s">
        <v>44</v>
      </c>
      <c r="H144" s="20"/>
      <c r="I144" s="23"/>
      <c r="J144" s="26"/>
      <c r="K144" s="75" t="s">
        <v>532</v>
      </c>
      <c r="L144" s="71" t="s">
        <v>533</v>
      </c>
      <c r="M144" s="68" t="s">
        <v>534</v>
      </c>
      <c r="N144" s="67">
        <v>21.447792</v>
      </c>
      <c r="O144" s="67">
        <v>91.981218999999996</v>
      </c>
      <c r="P144" s="68"/>
      <c r="Q144" s="68"/>
      <c r="R144" s="18"/>
      <c r="S144" s="18"/>
      <c r="T144" s="27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17"/>
      <c r="AH144" s="24"/>
      <c r="AI144" s="25"/>
      <c r="AJ144" s="25"/>
    </row>
    <row r="145" spans="1:36" ht="15.6" x14ac:dyDescent="0.3">
      <c r="A145" s="63">
        <v>139</v>
      </c>
      <c r="B145" s="102" t="s">
        <v>3520</v>
      </c>
      <c r="C145" s="102" t="s">
        <v>3521</v>
      </c>
      <c r="D145" s="64" t="s">
        <v>119</v>
      </c>
      <c r="E145" s="71" t="s">
        <v>120</v>
      </c>
      <c r="F145" s="68" t="s">
        <v>123</v>
      </c>
      <c r="G145" s="71" t="s">
        <v>44</v>
      </c>
      <c r="H145" s="20"/>
      <c r="I145" s="23"/>
      <c r="J145" s="26"/>
      <c r="K145" s="75" t="s">
        <v>535</v>
      </c>
      <c r="L145" s="71" t="s">
        <v>536</v>
      </c>
      <c r="M145" s="68" t="s">
        <v>537</v>
      </c>
      <c r="N145" s="67">
        <v>21.447828999999999</v>
      </c>
      <c r="O145" s="67">
        <v>91.978892000000002</v>
      </c>
      <c r="P145" s="68"/>
      <c r="Q145" s="68"/>
      <c r="R145" s="18"/>
      <c r="S145" s="18"/>
      <c r="T145" s="22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17"/>
      <c r="AH145" s="24"/>
      <c r="AI145" s="25"/>
      <c r="AJ145" s="25"/>
    </row>
    <row r="146" spans="1:36" ht="15.6" x14ac:dyDescent="0.3">
      <c r="A146" s="63">
        <v>140</v>
      </c>
      <c r="B146" s="102" t="s">
        <v>3520</v>
      </c>
      <c r="C146" s="102" t="s">
        <v>3521</v>
      </c>
      <c r="D146" s="64" t="s">
        <v>119</v>
      </c>
      <c r="E146" s="71" t="s">
        <v>120</v>
      </c>
      <c r="F146" s="68" t="s">
        <v>123</v>
      </c>
      <c r="G146" s="71" t="s">
        <v>45</v>
      </c>
      <c r="H146" s="20"/>
      <c r="I146" s="23"/>
      <c r="J146" s="26"/>
      <c r="K146" s="75" t="s">
        <v>538</v>
      </c>
      <c r="L146" s="71" t="s">
        <v>539</v>
      </c>
      <c r="M146" s="68" t="s">
        <v>540</v>
      </c>
      <c r="N146" s="67">
        <v>21.442412999999998</v>
      </c>
      <c r="O146" s="67">
        <v>91.993751000000003</v>
      </c>
      <c r="P146" s="71">
        <v>4500</v>
      </c>
      <c r="Q146" s="71"/>
      <c r="R146" s="18"/>
      <c r="S146" s="18"/>
      <c r="T146" s="22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17"/>
      <c r="AH146" s="24"/>
      <c r="AI146" s="25"/>
      <c r="AJ146" s="25"/>
    </row>
    <row r="147" spans="1:36" ht="15.6" x14ac:dyDescent="0.3">
      <c r="A147" s="63">
        <v>141</v>
      </c>
      <c r="B147" s="102" t="s">
        <v>3520</v>
      </c>
      <c r="C147" s="102" t="s">
        <v>3521</v>
      </c>
      <c r="D147" s="64" t="s">
        <v>119</v>
      </c>
      <c r="E147" s="71" t="s">
        <v>120</v>
      </c>
      <c r="F147" s="68" t="s">
        <v>123</v>
      </c>
      <c r="G147" s="71" t="s">
        <v>45</v>
      </c>
      <c r="H147" s="20"/>
      <c r="I147" s="23"/>
      <c r="J147" s="26"/>
      <c r="K147" s="75" t="s">
        <v>541</v>
      </c>
      <c r="L147" s="71" t="s">
        <v>542</v>
      </c>
      <c r="M147" s="68" t="s">
        <v>543</v>
      </c>
      <c r="N147" s="67">
        <v>21.442959999999999</v>
      </c>
      <c r="O147" s="67">
        <v>92.002373000000006</v>
      </c>
      <c r="P147" s="71">
        <v>8000</v>
      </c>
      <c r="Q147" s="71"/>
      <c r="R147" s="18"/>
      <c r="S147" s="18"/>
      <c r="T147" s="27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17"/>
      <c r="AH147" s="24"/>
      <c r="AI147" s="25"/>
      <c r="AJ147" s="25"/>
    </row>
    <row r="148" spans="1:36" ht="15.6" x14ac:dyDescent="0.3">
      <c r="A148" s="63">
        <v>142</v>
      </c>
      <c r="B148" s="102" t="s">
        <v>3520</v>
      </c>
      <c r="C148" s="102" t="s">
        <v>3521</v>
      </c>
      <c r="D148" s="64" t="s">
        <v>119</v>
      </c>
      <c r="E148" s="71" t="s">
        <v>120</v>
      </c>
      <c r="F148" s="68" t="s">
        <v>123</v>
      </c>
      <c r="G148" s="71" t="s">
        <v>45</v>
      </c>
      <c r="H148" s="20"/>
      <c r="I148" s="23"/>
      <c r="J148" s="26"/>
      <c r="K148" s="75" t="s">
        <v>544</v>
      </c>
      <c r="L148" s="71" t="s">
        <v>545</v>
      </c>
      <c r="M148" s="68" t="s">
        <v>546</v>
      </c>
      <c r="N148" s="67">
        <v>21.439668000000001</v>
      </c>
      <c r="O148" s="67">
        <v>91.995587</v>
      </c>
      <c r="P148" s="71">
        <v>7000</v>
      </c>
      <c r="Q148" s="71"/>
      <c r="R148" s="18"/>
      <c r="S148" s="18"/>
      <c r="T148" s="27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17"/>
      <c r="AH148" s="24"/>
      <c r="AI148" s="25"/>
      <c r="AJ148" s="25"/>
    </row>
    <row r="149" spans="1:36" ht="15.6" x14ac:dyDescent="0.3">
      <c r="A149" s="63">
        <v>143</v>
      </c>
      <c r="B149" s="102" t="s">
        <v>3520</v>
      </c>
      <c r="C149" s="102" t="s">
        <v>3521</v>
      </c>
      <c r="D149" s="64" t="s">
        <v>119</v>
      </c>
      <c r="E149" s="71" t="s">
        <v>120</v>
      </c>
      <c r="F149" s="68" t="s">
        <v>123</v>
      </c>
      <c r="G149" s="71" t="s">
        <v>45</v>
      </c>
      <c r="H149" s="20"/>
      <c r="I149" s="23"/>
      <c r="J149" s="26"/>
      <c r="K149" s="75" t="s">
        <v>547</v>
      </c>
      <c r="L149" s="71" t="s">
        <v>548</v>
      </c>
      <c r="M149" s="68" t="s">
        <v>549</v>
      </c>
      <c r="N149" s="67">
        <v>21.435203999999999</v>
      </c>
      <c r="O149" s="67">
        <v>92.000956000000002</v>
      </c>
      <c r="P149" s="71">
        <v>5000</v>
      </c>
      <c r="Q149" s="71"/>
      <c r="R149" s="18"/>
      <c r="S149" s="18"/>
      <c r="T149" s="27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17"/>
      <c r="AH149" s="24"/>
      <c r="AI149" s="25"/>
      <c r="AJ149" s="25"/>
    </row>
    <row r="150" spans="1:36" ht="15.6" x14ac:dyDescent="0.3">
      <c r="A150" s="63">
        <v>144</v>
      </c>
      <c r="B150" s="102" t="s">
        <v>3520</v>
      </c>
      <c r="C150" s="102" t="s">
        <v>3521</v>
      </c>
      <c r="D150" s="64" t="s">
        <v>119</v>
      </c>
      <c r="E150" s="71" t="s">
        <v>120</v>
      </c>
      <c r="F150" s="68" t="s">
        <v>123</v>
      </c>
      <c r="G150" s="71" t="s">
        <v>45</v>
      </c>
      <c r="H150" s="20"/>
      <c r="I150" s="23"/>
      <c r="J150" s="26"/>
      <c r="K150" s="75" t="s">
        <v>550</v>
      </c>
      <c r="L150" s="71" t="s">
        <v>551</v>
      </c>
      <c r="M150" s="68" t="s">
        <v>552</v>
      </c>
      <c r="N150" s="67">
        <v>21.428585000000002</v>
      </c>
      <c r="O150" s="67">
        <v>92.000739999999993</v>
      </c>
      <c r="P150" s="71">
        <v>2000</v>
      </c>
      <c r="Q150" s="71"/>
      <c r="R150" s="18"/>
      <c r="S150" s="18"/>
      <c r="T150" s="27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17"/>
      <c r="AH150" s="24"/>
      <c r="AI150" s="25"/>
      <c r="AJ150" s="25"/>
    </row>
    <row r="151" spans="1:36" ht="15.6" x14ac:dyDescent="0.3">
      <c r="A151" s="63">
        <v>145</v>
      </c>
      <c r="B151" s="102" t="s">
        <v>3520</v>
      </c>
      <c r="C151" s="102" t="s">
        <v>3521</v>
      </c>
      <c r="D151" s="64" t="s">
        <v>119</v>
      </c>
      <c r="E151" s="71" t="s">
        <v>120</v>
      </c>
      <c r="F151" s="68" t="s">
        <v>123</v>
      </c>
      <c r="G151" s="71" t="s">
        <v>45</v>
      </c>
      <c r="H151" s="20"/>
      <c r="I151" s="23"/>
      <c r="J151" s="26"/>
      <c r="K151" s="75" t="s">
        <v>553</v>
      </c>
      <c r="L151" s="71" t="s">
        <v>554</v>
      </c>
      <c r="M151" s="68" t="s">
        <v>555</v>
      </c>
      <c r="N151" s="67">
        <v>21.442202000000002</v>
      </c>
      <c r="O151" s="67">
        <v>91.990667999999999</v>
      </c>
      <c r="P151" s="71">
        <v>6500</v>
      </c>
      <c r="Q151" s="71"/>
      <c r="R151" s="18"/>
      <c r="S151" s="18"/>
      <c r="T151" s="22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17"/>
      <c r="AH151" s="24"/>
      <c r="AI151" s="25"/>
      <c r="AJ151" s="25"/>
    </row>
    <row r="152" spans="1:36" ht="15.6" x14ac:dyDescent="0.3">
      <c r="A152" s="63">
        <v>146</v>
      </c>
      <c r="B152" s="102" t="s">
        <v>3520</v>
      </c>
      <c r="C152" s="102" t="s">
        <v>3521</v>
      </c>
      <c r="D152" s="64" t="s">
        <v>119</v>
      </c>
      <c r="E152" s="71" t="s">
        <v>120</v>
      </c>
      <c r="F152" s="68" t="s">
        <v>123</v>
      </c>
      <c r="G152" s="71" t="s">
        <v>45</v>
      </c>
      <c r="H152" s="20"/>
      <c r="I152" s="23"/>
      <c r="J152" s="21"/>
      <c r="K152" s="75" t="s">
        <v>556</v>
      </c>
      <c r="L152" s="71" t="s">
        <v>557</v>
      </c>
      <c r="M152" s="68" t="s">
        <v>558</v>
      </c>
      <c r="N152" s="67">
        <v>21.442779000000002</v>
      </c>
      <c r="O152" s="67">
        <v>91.987944999999996</v>
      </c>
      <c r="P152" s="71">
        <v>8000</v>
      </c>
      <c r="Q152" s="71"/>
      <c r="R152" s="18"/>
      <c r="S152" s="18"/>
      <c r="T152" s="27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17"/>
      <c r="AH152" s="24"/>
      <c r="AI152" s="25"/>
      <c r="AJ152" s="25"/>
    </row>
    <row r="153" spans="1:36" ht="15.6" x14ac:dyDescent="0.3">
      <c r="A153" s="63">
        <v>147</v>
      </c>
      <c r="B153" s="102" t="s">
        <v>3520</v>
      </c>
      <c r="C153" s="102" t="s">
        <v>3521</v>
      </c>
      <c r="D153" s="64" t="s">
        <v>119</v>
      </c>
      <c r="E153" s="71" t="s">
        <v>120</v>
      </c>
      <c r="F153" s="68" t="s">
        <v>123</v>
      </c>
      <c r="G153" s="71" t="s">
        <v>46</v>
      </c>
      <c r="H153" s="20"/>
      <c r="I153" s="20"/>
      <c r="J153" s="21"/>
      <c r="K153" s="75" t="s">
        <v>559</v>
      </c>
      <c r="L153" s="71" t="s">
        <v>560</v>
      </c>
      <c r="M153" s="68" t="s">
        <v>561</v>
      </c>
      <c r="N153" s="67">
        <v>21.427152</v>
      </c>
      <c r="O153" s="67">
        <v>92.009448000000006</v>
      </c>
      <c r="P153" s="71">
        <v>500</v>
      </c>
      <c r="Q153" s="71"/>
      <c r="R153" s="18"/>
      <c r="S153" s="18"/>
      <c r="T153" s="27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17"/>
      <c r="AH153" s="24"/>
      <c r="AI153" s="25"/>
      <c r="AJ153" s="25"/>
    </row>
    <row r="154" spans="1:36" ht="15.6" x14ac:dyDescent="0.3">
      <c r="A154" s="63">
        <v>148</v>
      </c>
      <c r="B154" s="102" t="s">
        <v>3520</v>
      </c>
      <c r="C154" s="102" t="s">
        <v>3521</v>
      </c>
      <c r="D154" s="64" t="s">
        <v>119</v>
      </c>
      <c r="E154" s="71" t="s">
        <v>120</v>
      </c>
      <c r="F154" s="68" t="s">
        <v>123</v>
      </c>
      <c r="G154" s="71" t="s">
        <v>46</v>
      </c>
      <c r="H154" s="20"/>
      <c r="I154" s="20"/>
      <c r="J154" s="21"/>
      <c r="K154" s="75" t="s">
        <v>562</v>
      </c>
      <c r="L154" s="71" t="s">
        <v>563</v>
      </c>
      <c r="M154" s="68" t="s">
        <v>564</v>
      </c>
      <c r="N154" s="67">
        <v>21.431681000000001</v>
      </c>
      <c r="O154" s="67">
        <v>92.009375000000006</v>
      </c>
      <c r="P154" s="71">
        <v>8000</v>
      </c>
      <c r="Q154" s="71"/>
      <c r="R154" s="18"/>
      <c r="S154" s="18"/>
      <c r="T154" s="22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17"/>
      <c r="AH154" s="24"/>
      <c r="AI154" s="25"/>
      <c r="AJ154" s="25"/>
    </row>
    <row r="155" spans="1:36" ht="15.6" x14ac:dyDescent="0.3">
      <c r="A155" s="63">
        <v>149</v>
      </c>
      <c r="B155" s="102" t="s">
        <v>3520</v>
      </c>
      <c r="C155" s="102" t="s">
        <v>3521</v>
      </c>
      <c r="D155" s="64" t="s">
        <v>119</v>
      </c>
      <c r="E155" s="71" t="s">
        <v>120</v>
      </c>
      <c r="F155" s="68" t="s">
        <v>123</v>
      </c>
      <c r="G155" s="71" t="s">
        <v>46</v>
      </c>
      <c r="H155" s="20"/>
      <c r="I155" s="20"/>
      <c r="J155" s="21"/>
      <c r="K155" s="75" t="s">
        <v>565</v>
      </c>
      <c r="L155" s="71" t="s">
        <v>566</v>
      </c>
      <c r="M155" s="68" t="s">
        <v>567</v>
      </c>
      <c r="N155" s="67">
        <v>21.435487999999999</v>
      </c>
      <c r="O155" s="67">
        <v>92.010553000000002</v>
      </c>
      <c r="P155" s="71">
        <v>1000</v>
      </c>
      <c r="Q155" s="71"/>
      <c r="R155" s="18"/>
      <c r="S155" s="18"/>
      <c r="T155" s="27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17"/>
      <c r="AH155" s="24"/>
      <c r="AI155" s="25"/>
      <c r="AJ155" s="25"/>
    </row>
    <row r="156" spans="1:36" ht="15.6" x14ac:dyDescent="0.3">
      <c r="A156" s="63">
        <v>150</v>
      </c>
      <c r="B156" s="102" t="s">
        <v>3520</v>
      </c>
      <c r="C156" s="102" t="s">
        <v>3521</v>
      </c>
      <c r="D156" s="64" t="s">
        <v>119</v>
      </c>
      <c r="E156" s="71" t="s">
        <v>120</v>
      </c>
      <c r="F156" s="68" t="s">
        <v>123</v>
      </c>
      <c r="G156" s="71" t="s">
        <v>46</v>
      </c>
      <c r="H156" s="20"/>
      <c r="I156" s="20"/>
      <c r="J156" s="21"/>
      <c r="K156" s="75" t="s">
        <v>568</v>
      </c>
      <c r="L156" s="71" t="s">
        <v>569</v>
      </c>
      <c r="M156" s="68" t="s">
        <v>570</v>
      </c>
      <c r="N156" s="67">
        <v>21.436135</v>
      </c>
      <c r="O156" s="67">
        <v>92.010510999999994</v>
      </c>
      <c r="P156" s="71">
        <v>600</v>
      </c>
      <c r="Q156" s="71"/>
      <c r="R156" s="18"/>
      <c r="S156" s="18"/>
      <c r="T156" s="22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17"/>
      <c r="AH156" s="24"/>
      <c r="AI156" s="25"/>
      <c r="AJ156" s="25"/>
    </row>
    <row r="157" spans="1:36" ht="15.6" x14ac:dyDescent="0.3">
      <c r="A157" s="63">
        <v>151</v>
      </c>
      <c r="B157" s="102" t="s">
        <v>3520</v>
      </c>
      <c r="C157" s="102" t="s">
        <v>3521</v>
      </c>
      <c r="D157" s="64" t="s">
        <v>119</v>
      </c>
      <c r="E157" s="71" t="s">
        <v>120</v>
      </c>
      <c r="F157" s="68" t="s">
        <v>123</v>
      </c>
      <c r="G157" s="71" t="s">
        <v>46</v>
      </c>
      <c r="H157" s="20"/>
      <c r="I157" s="20"/>
      <c r="J157" s="21"/>
      <c r="K157" s="75" t="s">
        <v>571</v>
      </c>
      <c r="L157" s="69" t="s">
        <v>572</v>
      </c>
      <c r="M157" s="68" t="s">
        <v>573</v>
      </c>
      <c r="N157" s="67">
        <v>21.436333999999999</v>
      </c>
      <c r="O157" s="67">
        <v>92.009185000000002</v>
      </c>
      <c r="P157" s="71">
        <v>700</v>
      </c>
      <c r="Q157" s="71"/>
      <c r="R157" s="18"/>
      <c r="S157" s="18"/>
      <c r="T157" s="22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17"/>
      <c r="AH157" s="24"/>
      <c r="AI157" s="25"/>
      <c r="AJ157" s="25"/>
    </row>
    <row r="158" spans="1:36" ht="15.6" x14ac:dyDescent="0.3">
      <c r="A158" s="63">
        <v>152</v>
      </c>
      <c r="B158" s="102" t="s">
        <v>3520</v>
      </c>
      <c r="C158" s="102" t="s">
        <v>3521</v>
      </c>
      <c r="D158" s="64" t="s">
        <v>119</v>
      </c>
      <c r="E158" s="71" t="s">
        <v>120</v>
      </c>
      <c r="F158" s="68" t="s">
        <v>123</v>
      </c>
      <c r="G158" s="71" t="s">
        <v>46</v>
      </c>
      <c r="H158" s="20"/>
      <c r="I158" s="20"/>
      <c r="J158" s="21"/>
      <c r="K158" s="75" t="s">
        <v>574</v>
      </c>
      <c r="L158" s="71" t="s">
        <v>575</v>
      </c>
      <c r="M158" s="68" t="s">
        <v>576</v>
      </c>
      <c r="N158" s="67">
        <v>21.437660000000001</v>
      </c>
      <c r="O158" s="67">
        <v>92.009842000000006</v>
      </c>
      <c r="P158" s="71">
        <v>3000</v>
      </c>
      <c r="Q158" s="71"/>
      <c r="R158" s="18"/>
      <c r="S158" s="18"/>
      <c r="T158" s="27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17"/>
      <c r="AH158" s="24"/>
      <c r="AI158" s="25"/>
      <c r="AJ158" s="25"/>
    </row>
    <row r="159" spans="1:36" ht="15.6" x14ac:dyDescent="0.3">
      <c r="A159" s="63">
        <v>153</v>
      </c>
      <c r="B159" s="102" t="s">
        <v>3520</v>
      </c>
      <c r="C159" s="102" t="s">
        <v>3521</v>
      </c>
      <c r="D159" s="64" t="s">
        <v>119</v>
      </c>
      <c r="E159" s="71" t="s">
        <v>120</v>
      </c>
      <c r="F159" s="68" t="s">
        <v>123</v>
      </c>
      <c r="G159" s="71" t="s">
        <v>46</v>
      </c>
      <c r="H159" s="20"/>
      <c r="I159" s="20"/>
      <c r="J159" s="21"/>
      <c r="K159" s="75" t="s">
        <v>577</v>
      </c>
      <c r="L159" s="71" t="s">
        <v>578</v>
      </c>
      <c r="M159" s="68" t="s">
        <v>579</v>
      </c>
      <c r="N159" s="67">
        <v>21.440069999999999</v>
      </c>
      <c r="O159" s="67">
        <v>92.007630000000006</v>
      </c>
      <c r="P159" s="71">
        <v>800</v>
      </c>
      <c r="Q159" s="71"/>
      <c r="R159" s="18"/>
      <c r="S159" s="18"/>
      <c r="T159" s="27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17"/>
      <c r="AH159" s="24"/>
      <c r="AI159" s="25"/>
      <c r="AJ159" s="25"/>
    </row>
    <row r="160" spans="1:36" ht="15.6" x14ac:dyDescent="0.3">
      <c r="A160" s="63">
        <v>154</v>
      </c>
      <c r="B160" s="102" t="s">
        <v>3520</v>
      </c>
      <c r="C160" s="102" t="s">
        <v>3521</v>
      </c>
      <c r="D160" s="64" t="s">
        <v>119</v>
      </c>
      <c r="E160" s="71" t="s">
        <v>120</v>
      </c>
      <c r="F160" s="68" t="s">
        <v>123</v>
      </c>
      <c r="G160" s="71" t="s">
        <v>46</v>
      </c>
      <c r="H160" s="20"/>
      <c r="I160" s="23"/>
      <c r="J160" s="21"/>
      <c r="K160" s="75" t="s">
        <v>580</v>
      </c>
      <c r="L160" s="71" t="s">
        <v>581</v>
      </c>
      <c r="M160" s="68" t="s">
        <v>582</v>
      </c>
      <c r="N160" s="67">
        <v>21.439314</v>
      </c>
      <c r="O160" s="67">
        <v>92.004570000000001</v>
      </c>
      <c r="P160" s="71">
        <v>1500</v>
      </c>
      <c r="Q160" s="71"/>
      <c r="R160" s="18"/>
      <c r="S160" s="18"/>
      <c r="T160" s="22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17"/>
      <c r="AH160" s="24"/>
      <c r="AI160" s="25"/>
      <c r="AJ160" s="25"/>
    </row>
    <row r="161" spans="1:36" ht="15.6" x14ac:dyDescent="0.3">
      <c r="A161" s="63">
        <v>155</v>
      </c>
      <c r="B161" s="102" t="s">
        <v>3520</v>
      </c>
      <c r="C161" s="102" t="s">
        <v>3521</v>
      </c>
      <c r="D161" s="64" t="s">
        <v>119</v>
      </c>
      <c r="E161" s="71" t="s">
        <v>120</v>
      </c>
      <c r="F161" s="68" t="s">
        <v>123</v>
      </c>
      <c r="G161" s="71" t="s">
        <v>46</v>
      </c>
      <c r="H161" s="20"/>
      <c r="I161" s="23"/>
      <c r="J161" s="21"/>
      <c r="K161" s="75" t="s">
        <v>62</v>
      </c>
      <c r="L161" s="71" t="s">
        <v>63</v>
      </c>
      <c r="M161" s="68" t="s">
        <v>583</v>
      </c>
      <c r="N161" s="67">
        <v>21.437014999999999</v>
      </c>
      <c r="O161" s="67">
        <v>92.004115999999996</v>
      </c>
      <c r="P161" s="71">
        <v>3000</v>
      </c>
      <c r="Q161" s="71"/>
      <c r="R161" s="18"/>
      <c r="S161" s="18"/>
      <c r="T161" s="22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17"/>
      <c r="AH161" s="24"/>
      <c r="AI161" s="25"/>
      <c r="AJ161" s="25"/>
    </row>
    <row r="162" spans="1:36" ht="15.6" x14ac:dyDescent="0.3">
      <c r="A162" s="63">
        <v>156</v>
      </c>
      <c r="B162" s="102" t="s">
        <v>3520</v>
      </c>
      <c r="C162" s="102" t="s">
        <v>3521</v>
      </c>
      <c r="D162" s="64" t="s">
        <v>119</v>
      </c>
      <c r="E162" s="71" t="s">
        <v>120</v>
      </c>
      <c r="F162" s="68" t="s">
        <v>123</v>
      </c>
      <c r="G162" s="71" t="s">
        <v>46</v>
      </c>
      <c r="H162" s="20"/>
      <c r="I162" s="23"/>
      <c r="J162" s="21"/>
      <c r="K162" s="75" t="s">
        <v>584</v>
      </c>
      <c r="L162" s="71" t="s">
        <v>585</v>
      </c>
      <c r="M162" s="68" t="s">
        <v>586</v>
      </c>
      <c r="N162" s="67">
        <v>21.433979000000001</v>
      </c>
      <c r="O162" s="67">
        <v>92.003288999999995</v>
      </c>
      <c r="P162" s="71">
        <v>1500</v>
      </c>
      <c r="Q162" s="71"/>
      <c r="R162" s="18"/>
      <c r="S162" s="18"/>
      <c r="T162" s="22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17"/>
      <c r="AH162" s="24"/>
      <c r="AI162" s="25"/>
      <c r="AJ162" s="25"/>
    </row>
    <row r="163" spans="1:36" ht="15.6" x14ac:dyDescent="0.3">
      <c r="A163" s="63">
        <v>157</v>
      </c>
      <c r="B163" s="102" t="s">
        <v>3520</v>
      </c>
      <c r="C163" s="102" t="s">
        <v>3521</v>
      </c>
      <c r="D163" s="64" t="s">
        <v>119</v>
      </c>
      <c r="E163" s="71" t="s">
        <v>120</v>
      </c>
      <c r="F163" s="68" t="s">
        <v>123</v>
      </c>
      <c r="G163" s="71" t="s">
        <v>46</v>
      </c>
      <c r="H163" s="20"/>
      <c r="I163" s="23"/>
      <c r="J163" s="21"/>
      <c r="K163" s="75" t="s">
        <v>587</v>
      </c>
      <c r="L163" s="71" t="s">
        <v>588</v>
      </c>
      <c r="M163" s="68" t="s">
        <v>589</v>
      </c>
      <c r="N163" s="67">
        <v>21.433436</v>
      </c>
      <c r="O163" s="67">
        <v>91.996324000000001</v>
      </c>
      <c r="P163" s="71">
        <v>4000</v>
      </c>
      <c r="Q163" s="71"/>
      <c r="R163" s="18"/>
      <c r="S163" s="18"/>
      <c r="T163" s="22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17"/>
      <c r="AH163" s="24"/>
      <c r="AI163" s="25"/>
      <c r="AJ163" s="25"/>
    </row>
    <row r="164" spans="1:36" ht="15.6" x14ac:dyDescent="0.3">
      <c r="A164" s="63">
        <v>158</v>
      </c>
      <c r="B164" s="102" t="s">
        <v>3520</v>
      </c>
      <c r="C164" s="102" t="s">
        <v>3521</v>
      </c>
      <c r="D164" s="64" t="s">
        <v>119</v>
      </c>
      <c r="E164" s="71" t="s">
        <v>120</v>
      </c>
      <c r="F164" s="68" t="s">
        <v>123</v>
      </c>
      <c r="G164" s="71" t="s">
        <v>46</v>
      </c>
      <c r="H164" s="20"/>
      <c r="I164" s="23"/>
      <c r="J164" s="21"/>
      <c r="K164" s="75" t="s">
        <v>590</v>
      </c>
      <c r="L164" s="71" t="s">
        <v>591</v>
      </c>
      <c r="M164" s="68" t="s">
        <v>592</v>
      </c>
      <c r="N164" s="67">
        <v>21.436755999999999</v>
      </c>
      <c r="O164" s="67">
        <v>91.994309999999999</v>
      </c>
      <c r="P164" s="71">
        <v>6000</v>
      </c>
      <c r="Q164" s="71"/>
      <c r="R164" s="18"/>
      <c r="S164" s="18"/>
      <c r="T164" s="22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17"/>
      <c r="AH164" s="24"/>
      <c r="AI164" s="25"/>
      <c r="AJ164" s="25"/>
    </row>
    <row r="165" spans="1:36" ht="15.6" x14ac:dyDescent="0.3">
      <c r="A165" s="63">
        <v>159</v>
      </c>
      <c r="B165" s="102" t="s">
        <v>3520</v>
      </c>
      <c r="C165" s="102" t="s">
        <v>3521</v>
      </c>
      <c r="D165" s="64" t="s">
        <v>119</v>
      </c>
      <c r="E165" s="71" t="s">
        <v>120</v>
      </c>
      <c r="F165" s="68" t="s">
        <v>123</v>
      </c>
      <c r="G165" s="71" t="s">
        <v>46</v>
      </c>
      <c r="H165" s="20"/>
      <c r="I165" s="23"/>
      <c r="J165" s="21"/>
      <c r="K165" s="75" t="s">
        <v>593</v>
      </c>
      <c r="L165" s="71" t="s">
        <v>594</v>
      </c>
      <c r="M165" s="68" t="s">
        <v>595</v>
      </c>
      <c r="N165" s="67">
        <v>21.432668</v>
      </c>
      <c r="O165" s="67">
        <v>91.993748999999994</v>
      </c>
      <c r="P165" s="71">
        <v>2000</v>
      </c>
      <c r="Q165" s="71"/>
      <c r="R165" s="18"/>
      <c r="S165" s="18"/>
      <c r="T165" s="22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17"/>
      <c r="AH165" s="24"/>
      <c r="AI165" s="25"/>
      <c r="AJ165" s="25"/>
    </row>
    <row r="166" spans="1:36" ht="15.6" x14ac:dyDescent="0.3">
      <c r="A166" s="63">
        <v>160</v>
      </c>
      <c r="B166" s="102" t="s">
        <v>3520</v>
      </c>
      <c r="C166" s="102" t="s">
        <v>3521</v>
      </c>
      <c r="D166" s="64" t="s">
        <v>119</v>
      </c>
      <c r="E166" s="71" t="s">
        <v>120</v>
      </c>
      <c r="F166" s="68" t="s">
        <v>123</v>
      </c>
      <c r="G166" s="71" t="s">
        <v>46</v>
      </c>
      <c r="H166" s="20"/>
      <c r="I166" s="23"/>
      <c r="J166" s="21"/>
      <c r="K166" s="75" t="s">
        <v>596</v>
      </c>
      <c r="L166" s="71" t="s">
        <v>597</v>
      </c>
      <c r="M166" s="68" t="s">
        <v>598</v>
      </c>
      <c r="N166" s="67">
        <v>21.429331000000001</v>
      </c>
      <c r="O166" s="67">
        <v>91.993273000000002</v>
      </c>
      <c r="P166" s="71">
        <v>1000</v>
      </c>
      <c r="Q166" s="71"/>
      <c r="R166" s="18"/>
      <c r="S166" s="18"/>
      <c r="T166" s="22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17"/>
      <c r="AH166" s="24"/>
      <c r="AI166" s="25"/>
      <c r="AJ166" s="25"/>
    </row>
    <row r="167" spans="1:36" ht="15.6" x14ac:dyDescent="0.3">
      <c r="A167" s="63">
        <v>161</v>
      </c>
      <c r="B167" s="102" t="s">
        <v>3520</v>
      </c>
      <c r="C167" s="102" t="s">
        <v>3521</v>
      </c>
      <c r="D167" s="64" t="s">
        <v>119</v>
      </c>
      <c r="E167" s="71" t="s">
        <v>120</v>
      </c>
      <c r="F167" s="68" t="s">
        <v>123</v>
      </c>
      <c r="G167" s="71" t="s">
        <v>46</v>
      </c>
      <c r="H167" s="20"/>
      <c r="I167" s="23"/>
      <c r="J167" s="21"/>
      <c r="K167" s="75" t="s">
        <v>599</v>
      </c>
      <c r="L167" s="71" t="s">
        <v>600</v>
      </c>
      <c r="M167" s="68" t="s">
        <v>601</v>
      </c>
      <c r="N167" s="67">
        <v>21.425837000000001</v>
      </c>
      <c r="O167" s="67">
        <v>91.991545000000002</v>
      </c>
      <c r="P167" s="71">
        <v>1000</v>
      </c>
      <c r="Q167" s="71"/>
      <c r="R167" s="18"/>
      <c r="S167" s="18"/>
      <c r="T167" s="22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17"/>
      <c r="AH167" s="24"/>
      <c r="AI167" s="25"/>
      <c r="AJ167" s="25"/>
    </row>
    <row r="168" spans="1:36" ht="15.6" x14ac:dyDescent="0.3">
      <c r="A168" s="63">
        <v>162</v>
      </c>
      <c r="B168" s="102" t="s">
        <v>3520</v>
      </c>
      <c r="C168" s="102" t="s">
        <v>3521</v>
      </c>
      <c r="D168" s="64" t="s">
        <v>119</v>
      </c>
      <c r="E168" s="71" t="s">
        <v>120</v>
      </c>
      <c r="F168" s="68" t="s">
        <v>123</v>
      </c>
      <c r="G168" s="71" t="s">
        <v>46</v>
      </c>
      <c r="H168" s="20"/>
      <c r="I168" s="20"/>
      <c r="J168" s="21"/>
      <c r="K168" s="75" t="s">
        <v>602</v>
      </c>
      <c r="L168" s="71" t="s">
        <v>603</v>
      </c>
      <c r="M168" s="68" t="s">
        <v>604</v>
      </c>
      <c r="N168" s="67">
        <v>21.436672000000002</v>
      </c>
      <c r="O168" s="67">
        <v>91.991568999999998</v>
      </c>
      <c r="P168" s="71">
        <v>3000</v>
      </c>
      <c r="Q168" s="71"/>
      <c r="R168" s="18"/>
      <c r="S168" s="18"/>
      <c r="T168" s="22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17"/>
      <c r="AH168" s="24"/>
      <c r="AI168" s="25"/>
      <c r="AJ168" s="25"/>
    </row>
    <row r="169" spans="1:36" ht="15.6" x14ac:dyDescent="0.3">
      <c r="A169" s="63">
        <v>163</v>
      </c>
      <c r="B169" s="102" t="s">
        <v>3520</v>
      </c>
      <c r="C169" s="102" t="s">
        <v>3521</v>
      </c>
      <c r="D169" s="64" t="s">
        <v>119</v>
      </c>
      <c r="E169" s="71" t="s">
        <v>120</v>
      </c>
      <c r="F169" s="68" t="s">
        <v>123</v>
      </c>
      <c r="G169" s="71" t="s">
        <v>46</v>
      </c>
      <c r="H169" s="20"/>
      <c r="I169" s="20"/>
      <c r="J169" s="23"/>
      <c r="K169" s="75" t="s">
        <v>605</v>
      </c>
      <c r="L169" s="71" t="s">
        <v>606</v>
      </c>
      <c r="M169" s="68" t="s">
        <v>607</v>
      </c>
      <c r="N169" s="67">
        <v>21.436050000000002</v>
      </c>
      <c r="O169" s="67">
        <v>91.993025000000003</v>
      </c>
      <c r="P169" s="71">
        <v>2000</v>
      </c>
      <c r="Q169" s="71"/>
      <c r="R169" s="18"/>
      <c r="S169" s="18"/>
      <c r="T169" s="22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17"/>
      <c r="AH169" s="24"/>
      <c r="AI169" s="25"/>
      <c r="AJ169" s="25"/>
    </row>
    <row r="170" spans="1:36" ht="15.6" x14ac:dyDescent="0.3">
      <c r="A170" s="63">
        <v>164</v>
      </c>
      <c r="B170" s="102" t="s">
        <v>3520</v>
      </c>
      <c r="C170" s="102" t="s">
        <v>3521</v>
      </c>
      <c r="D170" s="64" t="s">
        <v>119</v>
      </c>
      <c r="E170" s="71" t="s">
        <v>120</v>
      </c>
      <c r="F170" s="68" t="s">
        <v>123</v>
      </c>
      <c r="G170" s="71" t="s">
        <v>46</v>
      </c>
      <c r="H170" s="20"/>
      <c r="I170" s="20"/>
      <c r="J170" s="21"/>
      <c r="K170" s="75" t="s">
        <v>608</v>
      </c>
      <c r="L170" s="71" t="s">
        <v>609</v>
      </c>
      <c r="M170" s="68" t="s">
        <v>610</v>
      </c>
      <c r="N170" s="67">
        <v>21.428704</v>
      </c>
      <c r="O170" s="67">
        <v>92.006163000000001</v>
      </c>
      <c r="P170" s="71">
        <v>1000</v>
      </c>
      <c r="Q170" s="71"/>
      <c r="R170" s="18"/>
      <c r="S170" s="18"/>
      <c r="T170" s="22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17"/>
      <c r="AH170" s="24"/>
      <c r="AI170" s="25"/>
      <c r="AJ170" s="25"/>
    </row>
    <row r="171" spans="1:36" ht="15.6" x14ac:dyDescent="0.3">
      <c r="A171" s="63">
        <v>165</v>
      </c>
      <c r="B171" s="102" t="s">
        <v>3520</v>
      </c>
      <c r="C171" s="102" t="s">
        <v>3521</v>
      </c>
      <c r="D171" s="64" t="s">
        <v>119</v>
      </c>
      <c r="E171" s="71" t="s">
        <v>120</v>
      </c>
      <c r="F171" s="68" t="s">
        <v>123</v>
      </c>
      <c r="G171" s="71" t="s">
        <v>46</v>
      </c>
      <c r="H171" s="20"/>
      <c r="I171" s="20"/>
      <c r="J171" s="21"/>
      <c r="K171" s="75" t="s">
        <v>466</v>
      </c>
      <c r="L171" s="71" t="s">
        <v>467</v>
      </c>
      <c r="M171" s="68" t="s">
        <v>611</v>
      </c>
      <c r="N171" s="67">
        <v>21.436561000000001</v>
      </c>
      <c r="O171" s="67">
        <v>91.996576000000005</v>
      </c>
      <c r="P171" s="71">
        <v>200</v>
      </c>
      <c r="Q171" s="71"/>
      <c r="R171" s="18"/>
      <c r="S171" s="18"/>
      <c r="T171" s="22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17"/>
      <c r="AH171" s="24"/>
      <c r="AI171" s="25"/>
      <c r="AJ171" s="25"/>
    </row>
    <row r="172" spans="1:36" ht="15.6" x14ac:dyDescent="0.3">
      <c r="A172" s="63">
        <v>166</v>
      </c>
      <c r="B172" s="102" t="s">
        <v>3520</v>
      </c>
      <c r="C172" s="102" t="s">
        <v>3521</v>
      </c>
      <c r="D172" s="64" t="s">
        <v>119</v>
      </c>
      <c r="E172" s="71" t="s">
        <v>120</v>
      </c>
      <c r="F172" s="68" t="s">
        <v>123</v>
      </c>
      <c r="G172" s="71" t="s">
        <v>46</v>
      </c>
      <c r="H172" s="20"/>
      <c r="I172" s="20"/>
      <c r="J172" s="21"/>
      <c r="K172" s="75" t="s">
        <v>76</v>
      </c>
      <c r="L172" s="71" t="s">
        <v>612</v>
      </c>
      <c r="M172" s="68" t="s">
        <v>613</v>
      </c>
      <c r="N172" s="67">
        <v>21.431328000000001</v>
      </c>
      <c r="O172" s="67">
        <v>91.998852999999997</v>
      </c>
      <c r="P172" s="71">
        <v>500</v>
      </c>
      <c r="Q172" s="71"/>
      <c r="R172" s="18"/>
      <c r="S172" s="18"/>
      <c r="T172" s="22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17"/>
      <c r="AH172" s="24"/>
      <c r="AI172" s="25"/>
      <c r="AJ172" s="25"/>
    </row>
    <row r="173" spans="1:36" ht="15.6" x14ac:dyDescent="0.3">
      <c r="A173" s="63">
        <v>167</v>
      </c>
      <c r="B173" s="102" t="s">
        <v>3520</v>
      </c>
      <c r="C173" s="102" t="s">
        <v>3521</v>
      </c>
      <c r="D173" s="64" t="s">
        <v>119</v>
      </c>
      <c r="E173" s="71" t="s">
        <v>120</v>
      </c>
      <c r="F173" s="68" t="s">
        <v>123</v>
      </c>
      <c r="G173" s="71" t="s">
        <v>46</v>
      </c>
      <c r="H173" s="20"/>
      <c r="I173" s="20"/>
      <c r="J173" s="26"/>
      <c r="K173" s="75" t="s">
        <v>614</v>
      </c>
      <c r="L173" s="71" t="s">
        <v>615</v>
      </c>
      <c r="M173" s="68" t="s">
        <v>616</v>
      </c>
      <c r="N173" s="67">
        <v>21.437038999999999</v>
      </c>
      <c r="O173" s="67">
        <v>91.990694000000005</v>
      </c>
      <c r="P173" s="71">
        <v>20</v>
      </c>
      <c r="Q173" s="71"/>
      <c r="R173" s="18"/>
      <c r="S173" s="18"/>
      <c r="T173" s="22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17"/>
      <c r="AH173" s="24"/>
      <c r="AI173" s="25"/>
      <c r="AJ173" s="25"/>
    </row>
    <row r="174" spans="1:36" ht="15.6" x14ac:dyDescent="0.3">
      <c r="A174" s="63">
        <v>168</v>
      </c>
      <c r="B174" s="102" t="s">
        <v>3520</v>
      </c>
      <c r="C174" s="102" t="s">
        <v>3521</v>
      </c>
      <c r="D174" s="64" t="s">
        <v>119</v>
      </c>
      <c r="E174" s="71" t="s">
        <v>120</v>
      </c>
      <c r="F174" s="68" t="s">
        <v>123</v>
      </c>
      <c r="G174" s="71" t="s">
        <v>47</v>
      </c>
      <c r="H174" s="20"/>
      <c r="I174" s="20"/>
      <c r="J174" s="26"/>
      <c r="K174" s="75" t="s">
        <v>617</v>
      </c>
      <c r="L174" s="71" t="s">
        <v>618</v>
      </c>
      <c r="M174" s="68" t="s">
        <v>619</v>
      </c>
      <c r="N174" s="67">
        <v>21.441078000000001</v>
      </c>
      <c r="O174" s="67">
        <v>91.983851000000001</v>
      </c>
      <c r="P174" s="71">
        <v>800</v>
      </c>
      <c r="Q174" s="71"/>
      <c r="R174" s="18"/>
      <c r="S174" s="18"/>
      <c r="T174" s="22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17"/>
      <c r="AH174" s="24"/>
      <c r="AI174" s="25"/>
      <c r="AJ174" s="25"/>
    </row>
    <row r="175" spans="1:36" ht="15.6" x14ac:dyDescent="0.3">
      <c r="A175" s="63">
        <v>169</v>
      </c>
      <c r="B175" s="102" t="s">
        <v>3520</v>
      </c>
      <c r="C175" s="102" t="s">
        <v>3521</v>
      </c>
      <c r="D175" s="64" t="s">
        <v>119</v>
      </c>
      <c r="E175" s="71" t="s">
        <v>120</v>
      </c>
      <c r="F175" s="68" t="s">
        <v>123</v>
      </c>
      <c r="G175" s="71" t="s">
        <v>47</v>
      </c>
      <c r="H175" s="20"/>
      <c r="I175" s="23"/>
      <c r="J175" s="26"/>
      <c r="K175" s="75" t="s">
        <v>620</v>
      </c>
      <c r="L175" s="71" t="s">
        <v>621</v>
      </c>
      <c r="M175" s="68" t="s">
        <v>622</v>
      </c>
      <c r="N175" s="67">
        <v>21.440784000000001</v>
      </c>
      <c r="O175" s="67">
        <v>91.985397000000006</v>
      </c>
      <c r="P175" s="71">
        <v>3500</v>
      </c>
      <c r="Q175" s="71"/>
      <c r="R175" s="18"/>
      <c r="S175" s="18"/>
      <c r="T175" s="22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17"/>
      <c r="AH175" s="24"/>
      <c r="AI175" s="25"/>
      <c r="AJ175" s="25"/>
    </row>
    <row r="176" spans="1:36" ht="15.6" x14ac:dyDescent="0.3">
      <c r="A176" s="63">
        <v>170</v>
      </c>
      <c r="B176" s="102" t="s">
        <v>3520</v>
      </c>
      <c r="C176" s="102" t="s">
        <v>3521</v>
      </c>
      <c r="D176" s="64" t="s">
        <v>119</v>
      </c>
      <c r="E176" s="71" t="s">
        <v>120</v>
      </c>
      <c r="F176" s="68" t="s">
        <v>123</v>
      </c>
      <c r="G176" s="71" t="s">
        <v>47</v>
      </c>
      <c r="H176" s="20"/>
      <c r="I176" s="20"/>
      <c r="J176" s="26"/>
      <c r="K176" s="75" t="s">
        <v>623</v>
      </c>
      <c r="L176" s="71" t="s">
        <v>624</v>
      </c>
      <c r="M176" s="68" t="s">
        <v>625</v>
      </c>
      <c r="N176" s="67">
        <v>21.439686999999999</v>
      </c>
      <c r="O176" s="67">
        <v>91.984567999999996</v>
      </c>
      <c r="P176" s="71">
        <v>1500</v>
      </c>
      <c r="Q176" s="71"/>
      <c r="R176" s="18"/>
      <c r="S176" s="18"/>
      <c r="T176" s="27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17"/>
      <c r="AH176" s="24"/>
      <c r="AI176" s="25"/>
      <c r="AJ176" s="25"/>
    </row>
    <row r="177" spans="1:36" ht="15.6" x14ac:dyDescent="0.3">
      <c r="A177" s="63">
        <v>171</v>
      </c>
      <c r="B177" s="102" t="s">
        <v>3520</v>
      </c>
      <c r="C177" s="102" t="s">
        <v>3521</v>
      </c>
      <c r="D177" s="64" t="s">
        <v>119</v>
      </c>
      <c r="E177" s="71" t="s">
        <v>120</v>
      </c>
      <c r="F177" s="68" t="s">
        <v>123</v>
      </c>
      <c r="G177" s="71" t="s">
        <v>47</v>
      </c>
      <c r="H177" s="20"/>
      <c r="I177" s="20"/>
      <c r="J177" s="26"/>
      <c r="K177" s="75" t="s">
        <v>626</v>
      </c>
      <c r="L177" s="71" t="s">
        <v>627</v>
      </c>
      <c r="M177" s="68" t="s">
        <v>628</v>
      </c>
      <c r="N177" s="67">
        <v>21.438327999999998</v>
      </c>
      <c r="O177" s="67">
        <v>91.985196999999999</v>
      </c>
      <c r="P177" s="71">
        <v>1000</v>
      </c>
      <c r="Q177" s="71"/>
      <c r="R177" s="18"/>
      <c r="S177" s="18"/>
      <c r="T177" s="27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17"/>
      <c r="AH177" s="24"/>
      <c r="AI177" s="25"/>
      <c r="AJ177" s="25"/>
    </row>
    <row r="178" spans="1:36" ht="15.6" x14ac:dyDescent="0.3">
      <c r="A178" s="63">
        <v>172</v>
      </c>
      <c r="B178" s="102" t="s">
        <v>3520</v>
      </c>
      <c r="C178" s="102" t="s">
        <v>3521</v>
      </c>
      <c r="D178" s="64" t="s">
        <v>119</v>
      </c>
      <c r="E178" s="71" t="s">
        <v>120</v>
      </c>
      <c r="F178" s="68" t="s">
        <v>123</v>
      </c>
      <c r="G178" s="71" t="s">
        <v>47</v>
      </c>
      <c r="H178" s="20"/>
      <c r="I178" s="20"/>
      <c r="J178" s="26"/>
      <c r="K178" s="75" t="s">
        <v>629</v>
      </c>
      <c r="L178" s="71" t="s">
        <v>630</v>
      </c>
      <c r="M178" s="68" t="s">
        <v>631</v>
      </c>
      <c r="N178" s="67">
        <v>21.437881999999998</v>
      </c>
      <c r="O178" s="67">
        <v>91.987684000000002</v>
      </c>
      <c r="P178" s="71">
        <v>1000</v>
      </c>
      <c r="Q178" s="71"/>
      <c r="R178" s="18"/>
      <c r="S178" s="18"/>
      <c r="T178" s="27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17"/>
      <c r="AH178" s="24"/>
      <c r="AI178" s="25"/>
      <c r="AJ178" s="25"/>
    </row>
    <row r="179" spans="1:36" ht="15.6" x14ac:dyDescent="0.3">
      <c r="A179" s="63">
        <v>173</v>
      </c>
      <c r="B179" s="102" t="s">
        <v>3520</v>
      </c>
      <c r="C179" s="102" t="s">
        <v>3521</v>
      </c>
      <c r="D179" s="64" t="s">
        <v>119</v>
      </c>
      <c r="E179" s="71" t="s">
        <v>120</v>
      </c>
      <c r="F179" s="68" t="s">
        <v>123</v>
      </c>
      <c r="G179" s="71" t="s">
        <v>47</v>
      </c>
      <c r="H179" s="20"/>
      <c r="I179" s="20"/>
      <c r="J179" s="26"/>
      <c r="K179" s="75" t="s">
        <v>632</v>
      </c>
      <c r="L179" s="71" t="s">
        <v>633</v>
      </c>
      <c r="M179" s="68" t="s">
        <v>634</v>
      </c>
      <c r="N179" s="67">
        <v>21.440128999999999</v>
      </c>
      <c r="O179" s="67">
        <v>91.987416999999994</v>
      </c>
      <c r="P179" s="71">
        <v>3500</v>
      </c>
      <c r="Q179" s="71"/>
      <c r="R179" s="18"/>
      <c r="S179" s="18"/>
      <c r="T179" s="27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17"/>
      <c r="AH179" s="24"/>
      <c r="AI179" s="25"/>
      <c r="AJ179" s="25"/>
    </row>
    <row r="180" spans="1:36" ht="15.6" x14ac:dyDescent="0.3">
      <c r="A180" s="63">
        <v>174</v>
      </c>
      <c r="B180" s="102" t="s">
        <v>3520</v>
      </c>
      <c r="C180" s="102" t="s">
        <v>3521</v>
      </c>
      <c r="D180" s="64" t="s">
        <v>119</v>
      </c>
      <c r="E180" s="71" t="s">
        <v>120</v>
      </c>
      <c r="F180" s="68" t="s">
        <v>123</v>
      </c>
      <c r="G180" s="71" t="s">
        <v>47</v>
      </c>
      <c r="H180" s="20"/>
      <c r="I180" s="20"/>
      <c r="J180" s="26"/>
      <c r="K180" s="75" t="s">
        <v>635</v>
      </c>
      <c r="L180" s="71" t="s">
        <v>636</v>
      </c>
      <c r="M180" s="68" t="s">
        <v>637</v>
      </c>
      <c r="N180" s="67">
        <v>21.437439000000001</v>
      </c>
      <c r="O180" s="67">
        <v>91.989407999999997</v>
      </c>
      <c r="P180" s="71">
        <v>3500</v>
      </c>
      <c r="Q180" s="71"/>
      <c r="R180" s="18"/>
      <c r="S180" s="18"/>
      <c r="T180" s="27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17"/>
      <c r="AH180" s="24"/>
      <c r="AI180" s="25"/>
      <c r="AJ180" s="25"/>
    </row>
    <row r="181" spans="1:36" ht="15.6" x14ac:dyDescent="0.3">
      <c r="A181" s="63">
        <v>175</v>
      </c>
      <c r="B181" s="102" t="s">
        <v>3520</v>
      </c>
      <c r="C181" s="102" t="s">
        <v>3521</v>
      </c>
      <c r="D181" s="64" t="s">
        <v>119</v>
      </c>
      <c r="E181" s="71" t="s">
        <v>120</v>
      </c>
      <c r="F181" s="68" t="s">
        <v>123</v>
      </c>
      <c r="G181" s="71" t="s">
        <v>47</v>
      </c>
      <c r="H181" s="20"/>
      <c r="I181" s="20"/>
      <c r="J181" s="26"/>
      <c r="K181" s="75" t="s">
        <v>638</v>
      </c>
      <c r="L181" s="71" t="s">
        <v>639</v>
      </c>
      <c r="M181" s="68" t="s">
        <v>640</v>
      </c>
      <c r="N181" s="67">
        <v>21.435199999999998</v>
      </c>
      <c r="O181" s="67">
        <v>91.985282999999995</v>
      </c>
      <c r="P181" s="71">
        <v>7000</v>
      </c>
      <c r="Q181" s="71"/>
      <c r="R181" s="18"/>
      <c r="S181" s="18"/>
      <c r="T181" s="27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17"/>
      <c r="AH181" s="24"/>
      <c r="AI181" s="25"/>
      <c r="AJ181" s="25"/>
    </row>
    <row r="182" spans="1:36" ht="15.6" x14ac:dyDescent="0.3">
      <c r="A182" s="63">
        <v>176</v>
      </c>
      <c r="B182" s="102" t="s">
        <v>3520</v>
      </c>
      <c r="C182" s="102" t="s">
        <v>3521</v>
      </c>
      <c r="D182" s="64" t="s">
        <v>119</v>
      </c>
      <c r="E182" s="71" t="s">
        <v>120</v>
      </c>
      <c r="F182" s="68" t="s">
        <v>123</v>
      </c>
      <c r="G182" s="71" t="s">
        <v>47</v>
      </c>
      <c r="H182" s="20"/>
      <c r="I182" s="20"/>
      <c r="J182" s="26"/>
      <c r="K182" s="75" t="s">
        <v>641</v>
      </c>
      <c r="L182" s="71" t="s">
        <v>642</v>
      </c>
      <c r="M182" s="68" t="s">
        <v>643</v>
      </c>
      <c r="N182" s="67">
        <v>21.430475999999999</v>
      </c>
      <c r="O182" s="67">
        <v>91.985747000000003</v>
      </c>
      <c r="P182" s="71">
        <v>4000</v>
      </c>
      <c r="Q182" s="71"/>
      <c r="R182" s="18"/>
      <c r="S182" s="18"/>
      <c r="T182" s="27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17"/>
      <c r="AH182" s="24"/>
      <c r="AI182" s="25"/>
      <c r="AJ182" s="25"/>
    </row>
    <row r="183" spans="1:36" ht="15.6" x14ac:dyDescent="0.3">
      <c r="A183" s="63">
        <v>177</v>
      </c>
      <c r="B183" s="102" t="s">
        <v>3520</v>
      </c>
      <c r="C183" s="102" t="s">
        <v>3521</v>
      </c>
      <c r="D183" s="64" t="s">
        <v>119</v>
      </c>
      <c r="E183" s="71" t="s">
        <v>120</v>
      </c>
      <c r="F183" s="68" t="s">
        <v>123</v>
      </c>
      <c r="G183" s="71" t="s">
        <v>47</v>
      </c>
      <c r="H183" s="20"/>
      <c r="I183" s="20"/>
      <c r="J183" s="26"/>
      <c r="K183" s="75" t="s">
        <v>644</v>
      </c>
      <c r="L183" s="71" t="s">
        <v>645</v>
      </c>
      <c r="M183" s="68" t="s">
        <v>646</v>
      </c>
      <c r="N183" s="67">
        <v>21.432199000000001</v>
      </c>
      <c r="O183" s="67">
        <v>91.991290000000006</v>
      </c>
      <c r="P183" s="71">
        <v>3000</v>
      </c>
      <c r="Q183" s="71"/>
      <c r="R183" s="18"/>
      <c r="S183" s="18"/>
      <c r="T183" s="27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17"/>
      <c r="AH183" s="24"/>
      <c r="AI183" s="25"/>
      <c r="AJ183" s="25"/>
    </row>
    <row r="184" spans="1:36" ht="15.6" x14ac:dyDescent="0.3">
      <c r="A184" s="63">
        <v>178</v>
      </c>
      <c r="B184" s="102" t="s">
        <v>3520</v>
      </c>
      <c r="C184" s="102" t="s">
        <v>3521</v>
      </c>
      <c r="D184" s="64" t="s">
        <v>119</v>
      </c>
      <c r="E184" s="71" t="s">
        <v>120</v>
      </c>
      <c r="F184" s="68" t="s">
        <v>123</v>
      </c>
      <c r="G184" s="71" t="s">
        <v>47</v>
      </c>
      <c r="H184" s="20"/>
      <c r="I184" s="20"/>
      <c r="J184" s="26"/>
      <c r="K184" s="75" t="s">
        <v>647</v>
      </c>
      <c r="L184" s="71" t="s">
        <v>648</v>
      </c>
      <c r="M184" s="68" t="s">
        <v>649</v>
      </c>
      <c r="N184" s="67">
        <v>21.432642999999999</v>
      </c>
      <c r="O184" s="67">
        <v>91.989175000000003</v>
      </c>
      <c r="P184" s="71">
        <v>2000</v>
      </c>
      <c r="Q184" s="71"/>
      <c r="R184" s="18"/>
      <c r="S184" s="18"/>
      <c r="T184" s="27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17"/>
      <c r="AH184" s="24"/>
      <c r="AI184" s="25"/>
      <c r="AJ184" s="25"/>
    </row>
    <row r="185" spans="1:36" ht="15.6" x14ac:dyDescent="0.3">
      <c r="A185" s="63">
        <v>179</v>
      </c>
      <c r="B185" s="102" t="s">
        <v>3520</v>
      </c>
      <c r="C185" s="102" t="s">
        <v>3521</v>
      </c>
      <c r="D185" s="64" t="s">
        <v>119</v>
      </c>
      <c r="E185" s="71" t="s">
        <v>120</v>
      </c>
      <c r="F185" s="68" t="s">
        <v>123</v>
      </c>
      <c r="G185" s="71" t="s">
        <v>47</v>
      </c>
      <c r="H185" s="20"/>
      <c r="I185" s="20"/>
      <c r="J185" s="26"/>
      <c r="K185" s="75" t="s">
        <v>650</v>
      </c>
      <c r="L185" s="71" t="s">
        <v>651</v>
      </c>
      <c r="M185" s="68" t="s">
        <v>652</v>
      </c>
      <c r="N185" s="67">
        <v>21.429272999999998</v>
      </c>
      <c r="O185" s="67">
        <v>91.987651999999997</v>
      </c>
      <c r="P185" s="71">
        <v>10000</v>
      </c>
      <c r="Q185" s="71"/>
      <c r="R185" s="18"/>
      <c r="S185" s="18"/>
      <c r="T185" s="27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17"/>
      <c r="AH185" s="24"/>
      <c r="AI185" s="25"/>
      <c r="AJ185" s="25"/>
    </row>
    <row r="186" spans="1:36" ht="15.6" x14ac:dyDescent="0.3">
      <c r="A186" s="63">
        <v>180</v>
      </c>
      <c r="B186" s="102" t="s">
        <v>3520</v>
      </c>
      <c r="C186" s="102" t="s">
        <v>3521</v>
      </c>
      <c r="D186" s="64" t="s">
        <v>119</v>
      </c>
      <c r="E186" s="71" t="s">
        <v>120</v>
      </c>
      <c r="F186" s="68" t="s">
        <v>123</v>
      </c>
      <c r="G186" s="71" t="s">
        <v>47</v>
      </c>
      <c r="H186" s="20"/>
      <c r="I186" s="20"/>
      <c r="J186" s="26"/>
      <c r="K186" s="75" t="s">
        <v>653</v>
      </c>
      <c r="L186" s="71" t="s">
        <v>654</v>
      </c>
      <c r="M186" s="68" t="s">
        <v>655</v>
      </c>
      <c r="N186" s="67">
        <v>21.426221000000002</v>
      </c>
      <c r="O186" s="67">
        <v>91.985793999999999</v>
      </c>
      <c r="P186" s="71">
        <v>3000</v>
      </c>
      <c r="Q186" s="71"/>
      <c r="R186" s="18"/>
      <c r="S186" s="18"/>
      <c r="T186" s="27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17"/>
      <c r="AH186" s="24"/>
      <c r="AI186" s="25"/>
      <c r="AJ186" s="25"/>
    </row>
    <row r="187" spans="1:36" ht="15.6" x14ac:dyDescent="0.3">
      <c r="A187" s="63">
        <v>181</v>
      </c>
      <c r="B187" s="102" t="s">
        <v>3520</v>
      </c>
      <c r="C187" s="102" t="s">
        <v>3521</v>
      </c>
      <c r="D187" s="64" t="s">
        <v>119</v>
      </c>
      <c r="E187" s="71" t="s">
        <v>120</v>
      </c>
      <c r="F187" s="68" t="s">
        <v>123</v>
      </c>
      <c r="G187" s="71" t="s">
        <v>48</v>
      </c>
      <c r="H187" s="20"/>
      <c r="I187" s="20"/>
      <c r="J187" s="26"/>
      <c r="K187" s="75" t="s">
        <v>656</v>
      </c>
      <c r="L187" s="71" t="s">
        <v>657</v>
      </c>
      <c r="M187" s="68" t="s">
        <v>658</v>
      </c>
      <c r="N187" s="67">
        <v>21.442214</v>
      </c>
      <c r="O187" s="67">
        <v>91.980952000000002</v>
      </c>
      <c r="P187" s="71">
        <v>400</v>
      </c>
      <c r="Q187" s="71"/>
      <c r="R187" s="18"/>
      <c r="S187" s="18"/>
      <c r="T187" s="27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17"/>
      <c r="AH187" s="24"/>
      <c r="AI187" s="25"/>
      <c r="AJ187" s="25"/>
    </row>
    <row r="188" spans="1:36" ht="15.6" x14ac:dyDescent="0.3">
      <c r="A188" s="63">
        <v>182</v>
      </c>
      <c r="B188" s="102" t="s">
        <v>3520</v>
      </c>
      <c r="C188" s="102" t="s">
        <v>3521</v>
      </c>
      <c r="D188" s="64" t="s">
        <v>119</v>
      </c>
      <c r="E188" s="71" t="s">
        <v>120</v>
      </c>
      <c r="F188" s="68" t="s">
        <v>123</v>
      </c>
      <c r="G188" s="71" t="s">
        <v>48</v>
      </c>
      <c r="H188" s="20"/>
      <c r="I188" s="20"/>
      <c r="J188" s="26"/>
      <c r="K188" s="75" t="s">
        <v>659</v>
      </c>
      <c r="L188" s="71" t="s">
        <v>660</v>
      </c>
      <c r="M188" s="68" t="s">
        <v>661</v>
      </c>
      <c r="N188" s="67">
        <v>21.441431999999999</v>
      </c>
      <c r="O188" s="67">
        <v>91.980441999999996</v>
      </c>
      <c r="P188" s="71">
        <v>3033</v>
      </c>
      <c r="Q188" s="71"/>
      <c r="R188" s="18"/>
      <c r="S188" s="18"/>
      <c r="T188" s="27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17"/>
      <c r="AH188" s="24"/>
      <c r="AI188" s="25"/>
      <c r="AJ188" s="25"/>
    </row>
    <row r="189" spans="1:36" ht="15.6" x14ac:dyDescent="0.3">
      <c r="A189" s="63">
        <v>183</v>
      </c>
      <c r="B189" s="102" t="s">
        <v>3520</v>
      </c>
      <c r="C189" s="102" t="s">
        <v>3521</v>
      </c>
      <c r="D189" s="64" t="s">
        <v>119</v>
      </c>
      <c r="E189" s="71" t="s">
        <v>120</v>
      </c>
      <c r="F189" s="68" t="s">
        <v>123</v>
      </c>
      <c r="G189" s="71" t="s">
        <v>48</v>
      </c>
      <c r="H189" s="20"/>
      <c r="I189" s="20"/>
      <c r="J189" s="26"/>
      <c r="K189" s="75" t="s">
        <v>662</v>
      </c>
      <c r="L189" s="71" t="s">
        <v>663</v>
      </c>
      <c r="M189" s="68" t="s">
        <v>664</v>
      </c>
      <c r="N189" s="67">
        <v>21.441326</v>
      </c>
      <c r="O189" s="67">
        <v>91.982820000000004</v>
      </c>
      <c r="P189" s="71">
        <v>2799</v>
      </c>
      <c r="Q189" s="71"/>
      <c r="R189" s="18"/>
      <c r="S189" s="18"/>
      <c r="T189" s="27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17"/>
      <c r="AH189" s="24"/>
      <c r="AI189" s="25"/>
      <c r="AJ189" s="25"/>
    </row>
    <row r="190" spans="1:36" ht="15.6" x14ac:dyDescent="0.3">
      <c r="A190" s="63">
        <v>184</v>
      </c>
      <c r="B190" s="102" t="s">
        <v>3520</v>
      </c>
      <c r="C190" s="102" t="s">
        <v>3521</v>
      </c>
      <c r="D190" s="64" t="s">
        <v>119</v>
      </c>
      <c r="E190" s="71" t="s">
        <v>120</v>
      </c>
      <c r="F190" s="68" t="s">
        <v>123</v>
      </c>
      <c r="G190" s="71" t="s">
        <v>48</v>
      </c>
      <c r="H190" s="20"/>
      <c r="I190" s="20"/>
      <c r="J190" s="26"/>
      <c r="K190" s="75" t="s">
        <v>665</v>
      </c>
      <c r="L190" s="71" t="s">
        <v>666</v>
      </c>
      <c r="M190" s="68" t="s">
        <v>667</v>
      </c>
      <c r="N190" s="67">
        <v>21.440006</v>
      </c>
      <c r="O190" s="67">
        <v>91.980699000000001</v>
      </c>
      <c r="P190" s="71">
        <v>1426</v>
      </c>
      <c r="Q190" s="71"/>
      <c r="R190" s="18"/>
      <c r="S190" s="18"/>
      <c r="T190" s="27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17"/>
      <c r="AH190" s="24"/>
      <c r="AI190" s="25"/>
      <c r="AJ190" s="25"/>
    </row>
    <row r="191" spans="1:36" ht="15.6" x14ac:dyDescent="0.3">
      <c r="A191" s="63">
        <v>185</v>
      </c>
      <c r="B191" s="102" t="s">
        <v>3520</v>
      </c>
      <c r="C191" s="102" t="s">
        <v>3521</v>
      </c>
      <c r="D191" s="64" t="s">
        <v>119</v>
      </c>
      <c r="E191" s="71" t="s">
        <v>120</v>
      </c>
      <c r="F191" s="68" t="s">
        <v>123</v>
      </c>
      <c r="G191" s="71" t="s">
        <v>48</v>
      </c>
      <c r="H191" s="20"/>
      <c r="I191" s="20"/>
      <c r="J191" s="26"/>
      <c r="K191" s="75" t="s">
        <v>668</v>
      </c>
      <c r="L191" s="71" t="s">
        <v>669</v>
      </c>
      <c r="M191" s="68" t="s">
        <v>670</v>
      </c>
      <c r="N191" s="67">
        <v>21.440564999999999</v>
      </c>
      <c r="O191" s="67">
        <v>91.981370999999996</v>
      </c>
      <c r="P191" s="71">
        <v>713</v>
      </c>
      <c r="Q191" s="71"/>
      <c r="R191" s="18"/>
      <c r="S191" s="18"/>
      <c r="T191" s="27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17"/>
      <c r="AH191" s="24"/>
      <c r="AI191" s="25"/>
      <c r="AJ191" s="25"/>
    </row>
    <row r="192" spans="1:36" ht="15.6" x14ac:dyDescent="0.3">
      <c r="A192" s="63">
        <v>186</v>
      </c>
      <c r="B192" s="102" t="s">
        <v>3520</v>
      </c>
      <c r="C192" s="102" t="s">
        <v>3521</v>
      </c>
      <c r="D192" s="64" t="s">
        <v>119</v>
      </c>
      <c r="E192" s="71" t="s">
        <v>120</v>
      </c>
      <c r="F192" s="68" t="s">
        <v>123</v>
      </c>
      <c r="G192" s="71" t="s">
        <v>48</v>
      </c>
      <c r="H192" s="20"/>
      <c r="I192" s="20"/>
      <c r="J192" s="26"/>
      <c r="K192" s="75" t="s">
        <v>671</v>
      </c>
      <c r="L192" s="71" t="s">
        <v>672</v>
      </c>
      <c r="M192" s="68" t="s">
        <v>673</v>
      </c>
      <c r="N192" s="67">
        <v>21.438991999999999</v>
      </c>
      <c r="O192" s="67">
        <v>91.980875999999995</v>
      </c>
      <c r="P192" s="71">
        <v>585</v>
      </c>
      <c r="Q192" s="71"/>
      <c r="R192" s="18"/>
      <c r="S192" s="18"/>
      <c r="T192" s="27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17"/>
      <c r="AH192" s="24"/>
      <c r="AI192" s="25"/>
      <c r="AJ192" s="25"/>
    </row>
    <row r="193" spans="1:36" ht="15.6" x14ac:dyDescent="0.3">
      <c r="A193" s="63">
        <v>187</v>
      </c>
      <c r="B193" s="102" t="s">
        <v>3520</v>
      </c>
      <c r="C193" s="102" t="s">
        <v>3521</v>
      </c>
      <c r="D193" s="64" t="s">
        <v>119</v>
      </c>
      <c r="E193" s="71" t="s">
        <v>120</v>
      </c>
      <c r="F193" s="68" t="s">
        <v>123</v>
      </c>
      <c r="G193" s="71" t="s">
        <v>48</v>
      </c>
      <c r="H193" s="20"/>
      <c r="I193" s="20"/>
      <c r="J193" s="26"/>
      <c r="K193" s="75" t="s">
        <v>674</v>
      </c>
      <c r="L193" s="71" t="s">
        <v>675</v>
      </c>
      <c r="M193" s="68" t="s">
        <v>676</v>
      </c>
      <c r="N193" s="67">
        <v>21.438132</v>
      </c>
      <c r="O193" s="67">
        <v>91.982173000000003</v>
      </c>
      <c r="P193" s="71">
        <v>1173</v>
      </c>
      <c r="Q193" s="71"/>
      <c r="R193" s="18"/>
      <c r="S193" s="18"/>
      <c r="T193" s="27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17"/>
      <c r="AH193" s="24"/>
      <c r="AI193" s="25"/>
      <c r="AJ193" s="25"/>
    </row>
    <row r="194" spans="1:36" ht="15.6" x14ac:dyDescent="0.3">
      <c r="A194" s="63">
        <v>188</v>
      </c>
      <c r="B194" s="102" t="s">
        <v>3520</v>
      </c>
      <c r="C194" s="102" t="s">
        <v>3521</v>
      </c>
      <c r="D194" s="64" t="s">
        <v>119</v>
      </c>
      <c r="E194" s="71" t="s">
        <v>120</v>
      </c>
      <c r="F194" s="68" t="s">
        <v>123</v>
      </c>
      <c r="G194" s="71" t="s">
        <v>48</v>
      </c>
      <c r="H194" s="20"/>
      <c r="I194" s="20"/>
      <c r="J194" s="26"/>
      <c r="K194" s="75" t="s">
        <v>677</v>
      </c>
      <c r="L194" s="71" t="s">
        <v>678</v>
      </c>
      <c r="M194" s="68" t="s">
        <v>679</v>
      </c>
      <c r="N194" s="67">
        <v>21.438040000000001</v>
      </c>
      <c r="O194" s="67">
        <v>91.980682999999999</v>
      </c>
      <c r="P194" s="71">
        <v>1158</v>
      </c>
      <c r="Q194" s="71"/>
      <c r="R194" s="18"/>
      <c r="S194" s="18"/>
      <c r="T194" s="27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17"/>
      <c r="AH194" s="24"/>
      <c r="AI194" s="25"/>
      <c r="AJ194" s="25"/>
    </row>
    <row r="195" spans="1:36" ht="15.6" x14ac:dyDescent="0.3">
      <c r="A195" s="63">
        <v>189</v>
      </c>
      <c r="B195" s="102" t="s">
        <v>3520</v>
      </c>
      <c r="C195" s="102" t="s">
        <v>3521</v>
      </c>
      <c r="D195" s="64" t="s">
        <v>119</v>
      </c>
      <c r="E195" s="71" t="s">
        <v>120</v>
      </c>
      <c r="F195" s="68" t="s">
        <v>123</v>
      </c>
      <c r="G195" s="71" t="s">
        <v>48</v>
      </c>
      <c r="H195" s="20"/>
      <c r="I195" s="20"/>
      <c r="J195" s="26"/>
      <c r="K195" s="75" t="s">
        <v>680</v>
      </c>
      <c r="L195" s="71" t="s">
        <v>681</v>
      </c>
      <c r="M195" s="68" t="s">
        <v>682</v>
      </c>
      <c r="N195" s="67">
        <v>21.437083000000001</v>
      </c>
      <c r="O195" s="67">
        <v>91.982156000000003</v>
      </c>
      <c r="P195" s="71">
        <v>1173</v>
      </c>
      <c r="Q195" s="71"/>
      <c r="R195" s="18"/>
      <c r="S195" s="18"/>
      <c r="T195" s="27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17"/>
      <c r="AH195" s="24"/>
      <c r="AI195" s="25"/>
      <c r="AJ195" s="25"/>
    </row>
    <row r="196" spans="1:36" ht="15.6" x14ac:dyDescent="0.3">
      <c r="A196" s="63">
        <v>190</v>
      </c>
      <c r="B196" s="102" t="s">
        <v>3520</v>
      </c>
      <c r="C196" s="102" t="s">
        <v>3521</v>
      </c>
      <c r="D196" s="64" t="s">
        <v>119</v>
      </c>
      <c r="E196" s="71" t="s">
        <v>120</v>
      </c>
      <c r="F196" s="68" t="s">
        <v>123</v>
      </c>
      <c r="G196" s="71" t="s">
        <v>48</v>
      </c>
      <c r="H196" s="20"/>
      <c r="I196" s="20"/>
      <c r="J196" s="26"/>
      <c r="K196" s="75" t="s">
        <v>683</v>
      </c>
      <c r="L196" s="71" t="s">
        <v>684</v>
      </c>
      <c r="M196" s="68" t="s">
        <v>685</v>
      </c>
      <c r="N196" s="67">
        <v>21.437352000000001</v>
      </c>
      <c r="O196" s="67">
        <v>91.980138999999994</v>
      </c>
      <c r="P196" s="71">
        <v>1589</v>
      </c>
      <c r="Q196" s="71"/>
      <c r="R196" s="18"/>
      <c r="S196" s="18"/>
      <c r="T196" s="27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17"/>
      <c r="AH196" s="24"/>
      <c r="AI196" s="25"/>
      <c r="AJ196" s="25"/>
    </row>
    <row r="197" spans="1:36" ht="15.6" x14ac:dyDescent="0.3">
      <c r="A197" s="63">
        <v>191</v>
      </c>
      <c r="B197" s="102" t="s">
        <v>3520</v>
      </c>
      <c r="C197" s="102" t="s">
        <v>3521</v>
      </c>
      <c r="D197" s="64" t="s">
        <v>119</v>
      </c>
      <c r="E197" s="71" t="s">
        <v>120</v>
      </c>
      <c r="F197" s="68" t="s">
        <v>123</v>
      </c>
      <c r="G197" s="71" t="s">
        <v>48</v>
      </c>
      <c r="H197" s="20"/>
      <c r="I197" s="20"/>
      <c r="J197" s="26"/>
      <c r="K197" s="75" t="s">
        <v>686</v>
      </c>
      <c r="L197" s="71" t="s">
        <v>687</v>
      </c>
      <c r="M197" s="68" t="s">
        <v>688</v>
      </c>
      <c r="N197" s="67">
        <v>21.438732999999999</v>
      </c>
      <c r="O197" s="67">
        <v>91.983492999999996</v>
      </c>
      <c r="P197" s="71">
        <v>5061</v>
      </c>
      <c r="Q197" s="71"/>
      <c r="R197" s="18"/>
      <c r="S197" s="18"/>
      <c r="T197" s="27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17"/>
      <c r="AH197" s="24"/>
      <c r="AI197" s="25"/>
      <c r="AJ197" s="25"/>
    </row>
    <row r="198" spans="1:36" ht="15.6" x14ac:dyDescent="0.3">
      <c r="A198" s="63">
        <v>192</v>
      </c>
      <c r="B198" s="102" t="s">
        <v>3520</v>
      </c>
      <c r="C198" s="102" t="s">
        <v>3521</v>
      </c>
      <c r="D198" s="64" t="s">
        <v>119</v>
      </c>
      <c r="E198" s="71" t="s">
        <v>120</v>
      </c>
      <c r="F198" s="68" t="s">
        <v>123</v>
      </c>
      <c r="G198" s="71" t="s">
        <v>49</v>
      </c>
      <c r="H198" s="20"/>
      <c r="I198" s="20"/>
      <c r="J198" s="26"/>
      <c r="K198" s="75" t="s">
        <v>689</v>
      </c>
      <c r="L198" s="71" t="s">
        <v>690</v>
      </c>
      <c r="M198" s="68" t="s">
        <v>691</v>
      </c>
      <c r="N198" s="67">
        <v>21.442595000000001</v>
      </c>
      <c r="O198" s="67">
        <v>91.979208999999997</v>
      </c>
      <c r="P198" s="71">
        <v>300</v>
      </c>
      <c r="Q198" s="71"/>
      <c r="R198" s="18"/>
      <c r="S198" s="18"/>
      <c r="T198" s="27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17"/>
      <c r="AH198" s="24"/>
      <c r="AI198" s="25"/>
      <c r="AJ198" s="25"/>
    </row>
    <row r="199" spans="1:36" ht="15.6" x14ac:dyDescent="0.3">
      <c r="A199" s="63">
        <v>193</v>
      </c>
      <c r="B199" s="102" t="s">
        <v>3520</v>
      </c>
      <c r="C199" s="102" t="s">
        <v>3521</v>
      </c>
      <c r="D199" s="64" t="s">
        <v>119</v>
      </c>
      <c r="E199" s="71" t="s">
        <v>120</v>
      </c>
      <c r="F199" s="68" t="s">
        <v>123</v>
      </c>
      <c r="G199" s="71" t="s">
        <v>49</v>
      </c>
      <c r="H199" s="20"/>
      <c r="I199" s="20"/>
      <c r="J199" s="26"/>
      <c r="K199" s="75" t="s">
        <v>692</v>
      </c>
      <c r="L199" s="71" t="s">
        <v>693</v>
      </c>
      <c r="M199" s="68" t="s">
        <v>694</v>
      </c>
      <c r="N199" s="67">
        <v>21.441486000000001</v>
      </c>
      <c r="O199" s="67">
        <v>91.978440000000006</v>
      </c>
      <c r="P199" s="71">
        <v>400</v>
      </c>
      <c r="Q199" s="71"/>
      <c r="R199" s="18"/>
      <c r="S199" s="18"/>
      <c r="T199" s="27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17"/>
      <c r="AH199" s="24"/>
      <c r="AI199" s="25"/>
      <c r="AJ199" s="25"/>
    </row>
    <row r="200" spans="1:36" ht="15.6" x14ac:dyDescent="0.3">
      <c r="A200" s="63">
        <v>194</v>
      </c>
      <c r="B200" s="102" t="s">
        <v>3520</v>
      </c>
      <c r="C200" s="102" t="s">
        <v>3521</v>
      </c>
      <c r="D200" s="64" t="s">
        <v>119</v>
      </c>
      <c r="E200" s="71" t="s">
        <v>120</v>
      </c>
      <c r="F200" s="68" t="s">
        <v>123</v>
      </c>
      <c r="G200" s="71" t="s">
        <v>49</v>
      </c>
      <c r="H200" s="20"/>
      <c r="I200" s="20"/>
      <c r="J200" s="26"/>
      <c r="K200" s="75" t="s">
        <v>695</v>
      </c>
      <c r="L200" s="71" t="s">
        <v>696</v>
      </c>
      <c r="M200" s="68" t="s">
        <v>697</v>
      </c>
      <c r="N200" s="67">
        <v>21.441305</v>
      </c>
      <c r="O200" s="67">
        <v>91.978082999999998</v>
      </c>
      <c r="P200" s="71">
        <v>1000</v>
      </c>
      <c r="Q200" s="71"/>
      <c r="R200" s="18"/>
      <c r="S200" s="18"/>
      <c r="T200" s="27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17"/>
      <c r="AH200" s="24"/>
      <c r="AI200" s="25"/>
      <c r="AJ200" s="25"/>
    </row>
    <row r="201" spans="1:36" ht="15.6" x14ac:dyDescent="0.3">
      <c r="A201" s="63">
        <v>195</v>
      </c>
      <c r="B201" s="102" t="s">
        <v>3520</v>
      </c>
      <c r="C201" s="102" t="s">
        <v>3521</v>
      </c>
      <c r="D201" s="64" t="s">
        <v>119</v>
      </c>
      <c r="E201" s="71" t="s">
        <v>120</v>
      </c>
      <c r="F201" s="68" t="s">
        <v>123</v>
      </c>
      <c r="G201" s="71" t="s">
        <v>49</v>
      </c>
      <c r="H201" s="20"/>
      <c r="I201" s="20"/>
      <c r="J201" s="26"/>
      <c r="K201" s="75" t="s">
        <v>698</v>
      </c>
      <c r="L201" s="71" t="s">
        <v>699</v>
      </c>
      <c r="M201" s="68" t="s">
        <v>700</v>
      </c>
      <c r="N201" s="67">
        <v>21.441254000000001</v>
      </c>
      <c r="O201" s="67">
        <v>91.979241999999999</v>
      </c>
      <c r="P201" s="71">
        <v>500</v>
      </c>
      <c r="Q201" s="71"/>
      <c r="R201" s="18"/>
      <c r="S201" s="18"/>
      <c r="T201" s="27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17"/>
      <c r="AH201" s="24"/>
      <c r="AI201" s="25"/>
      <c r="AJ201" s="25"/>
    </row>
    <row r="202" spans="1:36" ht="15.6" x14ac:dyDescent="0.3">
      <c r="A202" s="63">
        <v>196</v>
      </c>
      <c r="B202" s="102" t="s">
        <v>3520</v>
      </c>
      <c r="C202" s="102" t="s">
        <v>3521</v>
      </c>
      <c r="D202" s="64" t="s">
        <v>119</v>
      </c>
      <c r="E202" s="71" t="s">
        <v>120</v>
      </c>
      <c r="F202" s="68" t="s">
        <v>123</v>
      </c>
      <c r="G202" s="71" t="s">
        <v>49</v>
      </c>
      <c r="H202" s="20"/>
      <c r="I202" s="20"/>
      <c r="J202" s="26"/>
      <c r="K202" s="75" t="s">
        <v>701</v>
      </c>
      <c r="L202" s="71" t="s">
        <v>702</v>
      </c>
      <c r="M202" s="68" t="s">
        <v>703</v>
      </c>
      <c r="N202" s="67">
        <v>21.439941999999999</v>
      </c>
      <c r="O202" s="67">
        <v>91.978534999999994</v>
      </c>
      <c r="P202" s="71">
        <v>1200</v>
      </c>
      <c r="Q202" s="71"/>
      <c r="R202" s="18"/>
      <c r="S202" s="18"/>
      <c r="T202" s="27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17"/>
      <c r="AH202" s="24"/>
      <c r="AI202" s="25"/>
      <c r="AJ202" s="25"/>
    </row>
    <row r="203" spans="1:36" ht="15.6" x14ac:dyDescent="0.3">
      <c r="A203" s="63">
        <v>197</v>
      </c>
      <c r="B203" s="102" t="s">
        <v>3520</v>
      </c>
      <c r="C203" s="102" t="s">
        <v>3521</v>
      </c>
      <c r="D203" s="64" t="s">
        <v>119</v>
      </c>
      <c r="E203" s="71" t="s">
        <v>120</v>
      </c>
      <c r="F203" s="68" t="s">
        <v>123</v>
      </c>
      <c r="G203" s="71" t="s">
        <v>49</v>
      </c>
      <c r="H203" s="20"/>
      <c r="I203" s="20"/>
      <c r="J203" s="26"/>
      <c r="K203" s="75" t="s">
        <v>704</v>
      </c>
      <c r="L203" s="71" t="s">
        <v>705</v>
      </c>
      <c r="M203" s="68" t="s">
        <v>706</v>
      </c>
      <c r="N203" s="67">
        <v>21.438552000000001</v>
      </c>
      <c r="O203" s="67">
        <v>91.977182999999997</v>
      </c>
      <c r="P203" s="71">
        <v>1500</v>
      </c>
      <c r="Q203" s="71"/>
      <c r="R203" s="18"/>
      <c r="S203" s="18"/>
      <c r="T203" s="27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17"/>
      <c r="AH203" s="24"/>
      <c r="AI203" s="25"/>
      <c r="AJ203" s="25"/>
    </row>
    <row r="204" spans="1:36" ht="15.6" x14ac:dyDescent="0.3">
      <c r="A204" s="63">
        <v>198</v>
      </c>
      <c r="B204" s="102" t="s">
        <v>3520</v>
      </c>
      <c r="C204" s="102" t="s">
        <v>3521</v>
      </c>
      <c r="D204" s="64" t="s">
        <v>119</v>
      </c>
      <c r="E204" s="71" t="s">
        <v>120</v>
      </c>
      <c r="F204" s="68" t="s">
        <v>123</v>
      </c>
      <c r="G204" s="71" t="s">
        <v>49</v>
      </c>
      <c r="H204" s="20"/>
      <c r="I204" s="20"/>
      <c r="J204" s="26"/>
      <c r="K204" s="75" t="s">
        <v>707</v>
      </c>
      <c r="L204" s="71" t="s">
        <v>708</v>
      </c>
      <c r="M204" s="68" t="s">
        <v>709</v>
      </c>
      <c r="N204" s="67">
        <v>21.437366999999998</v>
      </c>
      <c r="O204" s="67">
        <v>91.97842</v>
      </c>
      <c r="P204" s="71">
        <v>200</v>
      </c>
      <c r="Q204" s="71"/>
      <c r="R204" s="18"/>
      <c r="S204" s="18"/>
      <c r="T204" s="27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17"/>
      <c r="AH204" s="24"/>
      <c r="AI204" s="25"/>
      <c r="AJ204" s="25"/>
    </row>
    <row r="205" spans="1:36" ht="15.6" x14ac:dyDescent="0.3">
      <c r="A205" s="63">
        <v>199</v>
      </c>
      <c r="B205" s="102" t="s">
        <v>3520</v>
      </c>
      <c r="C205" s="102" t="s">
        <v>3521</v>
      </c>
      <c r="D205" s="64" t="s">
        <v>119</v>
      </c>
      <c r="E205" s="71" t="s">
        <v>120</v>
      </c>
      <c r="F205" s="68" t="s">
        <v>123</v>
      </c>
      <c r="G205" s="71" t="s">
        <v>49</v>
      </c>
      <c r="H205" s="20"/>
      <c r="I205" s="20"/>
      <c r="J205" s="26"/>
      <c r="K205" s="75" t="s">
        <v>710</v>
      </c>
      <c r="L205" s="71" t="s">
        <v>711</v>
      </c>
      <c r="M205" s="68" t="s">
        <v>712</v>
      </c>
      <c r="N205" s="67">
        <v>21.434671999999999</v>
      </c>
      <c r="O205" s="67">
        <v>91.979134999999999</v>
      </c>
      <c r="P205" s="71">
        <v>3000</v>
      </c>
      <c r="Q205" s="71"/>
      <c r="R205" s="18"/>
      <c r="S205" s="18"/>
      <c r="T205" s="27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17"/>
      <c r="AH205" s="24"/>
      <c r="AI205" s="25"/>
      <c r="AJ205" s="25"/>
    </row>
    <row r="206" spans="1:36" ht="15.6" x14ac:dyDescent="0.3">
      <c r="A206" s="63">
        <v>200</v>
      </c>
      <c r="B206" s="102" t="s">
        <v>3520</v>
      </c>
      <c r="C206" s="102" t="s">
        <v>3521</v>
      </c>
      <c r="D206" s="64" t="s">
        <v>119</v>
      </c>
      <c r="E206" s="71" t="s">
        <v>120</v>
      </c>
      <c r="F206" s="68" t="s">
        <v>123</v>
      </c>
      <c r="G206" s="71" t="s">
        <v>49</v>
      </c>
      <c r="H206" s="20"/>
      <c r="I206" s="20"/>
      <c r="J206" s="26"/>
      <c r="K206" s="75" t="s">
        <v>713</v>
      </c>
      <c r="L206" s="71" t="s">
        <v>714</v>
      </c>
      <c r="M206" s="68" t="s">
        <v>715</v>
      </c>
      <c r="N206" s="67">
        <v>21.438057000000001</v>
      </c>
      <c r="O206" s="67">
        <v>91.979650000000007</v>
      </c>
      <c r="P206" s="71">
        <v>5000</v>
      </c>
      <c r="Q206" s="71"/>
      <c r="R206" s="18"/>
      <c r="S206" s="18"/>
      <c r="T206" s="27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17"/>
      <c r="AH206" s="24"/>
      <c r="AI206" s="25"/>
      <c r="AJ206" s="25"/>
    </row>
    <row r="207" spans="1:36" ht="15.6" x14ac:dyDescent="0.3">
      <c r="A207" s="63">
        <v>201</v>
      </c>
      <c r="B207" s="102" t="s">
        <v>3520</v>
      </c>
      <c r="C207" s="102" t="s">
        <v>3521</v>
      </c>
      <c r="D207" s="64" t="s">
        <v>119</v>
      </c>
      <c r="E207" s="71" t="s">
        <v>120</v>
      </c>
      <c r="F207" s="68" t="s">
        <v>123</v>
      </c>
      <c r="G207" s="71" t="s">
        <v>49</v>
      </c>
      <c r="H207" s="20"/>
      <c r="I207" s="20"/>
      <c r="J207" s="26"/>
      <c r="K207" s="75" t="s">
        <v>176</v>
      </c>
      <c r="L207" s="78" t="s">
        <v>177</v>
      </c>
      <c r="M207" s="68" t="s">
        <v>716</v>
      </c>
      <c r="N207" s="67">
        <v>21.435082999999999</v>
      </c>
      <c r="O207" s="67">
        <v>91.980849000000006</v>
      </c>
      <c r="P207" s="71">
        <v>3000</v>
      </c>
      <c r="Q207" s="71"/>
      <c r="R207" s="18"/>
      <c r="S207" s="18"/>
      <c r="T207" s="27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17"/>
      <c r="AH207" s="24"/>
      <c r="AI207" s="25"/>
      <c r="AJ207" s="25"/>
    </row>
    <row r="208" spans="1:36" ht="15.6" x14ac:dyDescent="0.3">
      <c r="A208" s="63">
        <v>202</v>
      </c>
      <c r="B208" s="102" t="s">
        <v>3520</v>
      </c>
      <c r="C208" s="102" t="s">
        <v>3521</v>
      </c>
      <c r="D208" s="64" t="s">
        <v>119</v>
      </c>
      <c r="E208" s="71" t="s">
        <v>120</v>
      </c>
      <c r="F208" s="68" t="s">
        <v>123</v>
      </c>
      <c r="G208" s="71" t="s">
        <v>49</v>
      </c>
      <c r="H208" s="20"/>
      <c r="I208" s="20"/>
      <c r="J208" s="26"/>
      <c r="K208" s="75" t="s">
        <v>717</v>
      </c>
      <c r="L208" s="71" t="s">
        <v>718</v>
      </c>
      <c r="M208" s="68" t="s">
        <v>719</v>
      </c>
      <c r="N208" s="67">
        <v>21.436489000000002</v>
      </c>
      <c r="O208" s="67">
        <v>91.983383000000003</v>
      </c>
      <c r="P208" s="71">
        <v>2000</v>
      </c>
      <c r="Q208" s="71"/>
      <c r="R208" s="18"/>
      <c r="S208" s="18"/>
      <c r="T208" s="27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17"/>
      <c r="AH208" s="24"/>
      <c r="AI208" s="25"/>
      <c r="AJ208" s="25"/>
    </row>
    <row r="209" spans="1:36" ht="15.6" x14ac:dyDescent="0.3">
      <c r="A209" s="63">
        <v>203</v>
      </c>
      <c r="B209" s="102" t="s">
        <v>3520</v>
      </c>
      <c r="C209" s="102" t="s">
        <v>3521</v>
      </c>
      <c r="D209" s="64" t="s">
        <v>119</v>
      </c>
      <c r="E209" s="71" t="s">
        <v>120</v>
      </c>
      <c r="F209" s="68" t="s">
        <v>123</v>
      </c>
      <c r="G209" s="71" t="s">
        <v>49</v>
      </c>
      <c r="H209" s="20"/>
      <c r="I209" s="20"/>
      <c r="J209" s="26"/>
      <c r="K209" s="75" t="s">
        <v>720</v>
      </c>
      <c r="L209" s="71" t="s">
        <v>721</v>
      </c>
      <c r="M209" s="68" t="s">
        <v>722</v>
      </c>
      <c r="N209" s="67">
        <v>21.433900000000001</v>
      </c>
      <c r="O209" s="67">
        <v>91.981795000000005</v>
      </c>
      <c r="P209" s="71">
        <v>2000</v>
      </c>
      <c r="Q209" s="71"/>
      <c r="R209" s="18"/>
      <c r="S209" s="18"/>
      <c r="T209" s="27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17"/>
      <c r="AH209" s="24"/>
      <c r="AI209" s="25"/>
      <c r="AJ209" s="25"/>
    </row>
    <row r="210" spans="1:36" ht="15.6" x14ac:dyDescent="0.3">
      <c r="A210" s="63">
        <v>204</v>
      </c>
      <c r="B210" s="102" t="s">
        <v>3520</v>
      </c>
      <c r="C210" s="102" t="s">
        <v>3521</v>
      </c>
      <c r="D210" s="64" t="s">
        <v>119</v>
      </c>
      <c r="E210" s="71" t="s">
        <v>120</v>
      </c>
      <c r="F210" s="68" t="s">
        <v>123</v>
      </c>
      <c r="G210" s="71" t="s">
        <v>49</v>
      </c>
      <c r="H210" s="20"/>
      <c r="I210" s="20"/>
      <c r="J210" s="26"/>
      <c r="K210" s="75" t="s">
        <v>723</v>
      </c>
      <c r="L210" s="71" t="s">
        <v>724</v>
      </c>
      <c r="M210" s="68" t="s">
        <v>725</v>
      </c>
      <c r="N210" s="67">
        <v>21.436705</v>
      </c>
      <c r="O210" s="67">
        <v>91.980939000000006</v>
      </c>
      <c r="P210" s="71">
        <v>500</v>
      </c>
      <c r="Q210" s="71"/>
      <c r="R210" s="18"/>
      <c r="S210" s="18"/>
      <c r="T210" s="27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17"/>
      <c r="AH210" s="24"/>
      <c r="AI210" s="25"/>
      <c r="AJ210" s="25"/>
    </row>
    <row r="211" spans="1:36" ht="15.6" x14ac:dyDescent="0.3">
      <c r="A211" s="63">
        <v>205</v>
      </c>
      <c r="B211" s="102" t="s">
        <v>3520</v>
      </c>
      <c r="C211" s="102" t="s">
        <v>3521</v>
      </c>
      <c r="D211" s="64" t="s">
        <v>119</v>
      </c>
      <c r="E211" s="71" t="s">
        <v>120</v>
      </c>
      <c r="F211" s="68" t="s">
        <v>123</v>
      </c>
      <c r="G211" s="71" t="s">
        <v>49</v>
      </c>
      <c r="H211" s="20"/>
      <c r="I211" s="20"/>
      <c r="J211" s="26"/>
      <c r="K211" s="69" t="s">
        <v>70</v>
      </c>
      <c r="L211" s="71" t="s">
        <v>726</v>
      </c>
      <c r="M211" s="68" t="s">
        <v>727</v>
      </c>
      <c r="N211" s="67">
        <v>21.432267</v>
      </c>
      <c r="O211" s="67">
        <v>91.982179000000002</v>
      </c>
      <c r="P211" s="71">
        <v>200</v>
      </c>
      <c r="Q211" s="71"/>
      <c r="R211" s="18"/>
      <c r="S211" s="18"/>
      <c r="T211" s="27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17"/>
      <c r="AH211" s="24"/>
      <c r="AI211" s="25"/>
      <c r="AJ211" s="25"/>
    </row>
    <row r="212" spans="1:36" ht="15.6" x14ac:dyDescent="0.3">
      <c r="A212" s="63">
        <v>206</v>
      </c>
      <c r="B212" s="102" t="s">
        <v>3520</v>
      </c>
      <c r="C212" s="102" t="s">
        <v>3521</v>
      </c>
      <c r="D212" s="64" t="s">
        <v>119</v>
      </c>
      <c r="E212" s="71" t="s">
        <v>120</v>
      </c>
      <c r="F212" s="68" t="s">
        <v>127</v>
      </c>
      <c r="G212" s="71" t="s">
        <v>41</v>
      </c>
      <c r="H212" s="20"/>
      <c r="I212" s="20"/>
      <c r="J212" s="26"/>
      <c r="K212" s="75" t="s">
        <v>728</v>
      </c>
      <c r="L212" s="71" t="s">
        <v>729</v>
      </c>
      <c r="M212" s="68" t="s">
        <v>730</v>
      </c>
      <c r="N212" s="67">
        <v>21.424845000000001</v>
      </c>
      <c r="O212" s="67">
        <v>92.005064000000004</v>
      </c>
      <c r="P212" s="71">
        <v>2000</v>
      </c>
      <c r="Q212" s="71"/>
      <c r="R212" s="18"/>
      <c r="S212" s="18"/>
      <c r="T212" s="27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17"/>
      <c r="AH212" s="24"/>
      <c r="AI212" s="25"/>
      <c r="AJ212" s="25"/>
    </row>
    <row r="213" spans="1:36" ht="15.6" x14ac:dyDescent="0.3">
      <c r="A213" s="63">
        <v>207</v>
      </c>
      <c r="B213" s="102" t="s">
        <v>3520</v>
      </c>
      <c r="C213" s="102" t="s">
        <v>3521</v>
      </c>
      <c r="D213" s="64" t="s">
        <v>119</v>
      </c>
      <c r="E213" s="71" t="s">
        <v>120</v>
      </c>
      <c r="F213" s="68" t="s">
        <v>127</v>
      </c>
      <c r="G213" s="71" t="s">
        <v>41</v>
      </c>
      <c r="H213" s="20"/>
      <c r="I213" s="20"/>
      <c r="J213" s="26"/>
      <c r="K213" s="75" t="s">
        <v>731</v>
      </c>
      <c r="L213" s="71" t="s">
        <v>732</v>
      </c>
      <c r="M213" s="68" t="s">
        <v>733</v>
      </c>
      <c r="N213" s="67">
        <v>21.424227999999999</v>
      </c>
      <c r="O213" s="67">
        <v>92.002257</v>
      </c>
      <c r="P213" s="71">
        <v>4500</v>
      </c>
      <c r="Q213" s="71"/>
      <c r="R213" s="18"/>
      <c r="S213" s="18"/>
      <c r="T213" s="27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17"/>
      <c r="AH213" s="24"/>
      <c r="AI213" s="25"/>
      <c r="AJ213" s="25"/>
    </row>
    <row r="214" spans="1:36" ht="15.6" x14ac:dyDescent="0.3">
      <c r="A214" s="63">
        <v>208</v>
      </c>
      <c r="B214" s="102" t="s">
        <v>3520</v>
      </c>
      <c r="C214" s="102" t="s">
        <v>3521</v>
      </c>
      <c r="D214" s="64" t="s">
        <v>119</v>
      </c>
      <c r="E214" s="71" t="s">
        <v>120</v>
      </c>
      <c r="F214" s="68" t="s">
        <v>127</v>
      </c>
      <c r="G214" s="71" t="s">
        <v>41</v>
      </c>
      <c r="H214" s="20"/>
      <c r="I214" s="20"/>
      <c r="J214" s="26"/>
      <c r="K214" s="75" t="s">
        <v>734</v>
      </c>
      <c r="L214" s="71" t="s">
        <v>735</v>
      </c>
      <c r="M214" s="68" t="s">
        <v>736</v>
      </c>
      <c r="N214" s="67">
        <v>21.421284</v>
      </c>
      <c r="O214" s="67">
        <v>91.999404999999996</v>
      </c>
      <c r="P214" s="71">
        <v>300</v>
      </c>
      <c r="Q214" s="71"/>
      <c r="R214" s="18"/>
      <c r="S214" s="18"/>
      <c r="T214" s="27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17"/>
      <c r="AH214" s="24"/>
      <c r="AI214" s="25"/>
      <c r="AJ214" s="25"/>
    </row>
    <row r="215" spans="1:36" ht="15.6" x14ac:dyDescent="0.3">
      <c r="A215" s="63">
        <v>209</v>
      </c>
      <c r="B215" s="102" t="s">
        <v>3520</v>
      </c>
      <c r="C215" s="102" t="s">
        <v>3521</v>
      </c>
      <c r="D215" s="64" t="s">
        <v>119</v>
      </c>
      <c r="E215" s="71" t="s">
        <v>120</v>
      </c>
      <c r="F215" s="68" t="s">
        <v>127</v>
      </c>
      <c r="G215" s="71" t="s">
        <v>41</v>
      </c>
      <c r="H215" s="20"/>
      <c r="I215" s="20"/>
      <c r="J215" s="26"/>
      <c r="K215" s="75" t="s">
        <v>737</v>
      </c>
      <c r="L215" s="71" t="s">
        <v>738</v>
      </c>
      <c r="M215" s="68" t="s">
        <v>739</v>
      </c>
      <c r="N215" s="67">
        <v>21.426908999999998</v>
      </c>
      <c r="O215" s="67">
        <v>91.997489000000002</v>
      </c>
      <c r="P215" s="71">
        <v>1000</v>
      </c>
      <c r="Q215" s="71"/>
      <c r="R215" s="18"/>
      <c r="S215" s="18"/>
      <c r="T215" s="27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17"/>
      <c r="AH215" s="24"/>
      <c r="AI215" s="25"/>
      <c r="AJ215" s="25"/>
    </row>
    <row r="216" spans="1:36" ht="15.6" x14ac:dyDescent="0.3">
      <c r="A216" s="63">
        <v>210</v>
      </c>
      <c r="B216" s="102" t="s">
        <v>3520</v>
      </c>
      <c r="C216" s="102" t="s">
        <v>3521</v>
      </c>
      <c r="D216" s="64" t="s">
        <v>119</v>
      </c>
      <c r="E216" s="71" t="s">
        <v>120</v>
      </c>
      <c r="F216" s="68" t="s">
        <v>127</v>
      </c>
      <c r="G216" s="71" t="s">
        <v>41</v>
      </c>
      <c r="H216" s="20"/>
      <c r="I216" s="20"/>
      <c r="J216" s="26"/>
      <c r="K216" s="75" t="s">
        <v>740</v>
      </c>
      <c r="L216" s="71" t="s">
        <v>741</v>
      </c>
      <c r="M216" s="68" t="s">
        <v>742</v>
      </c>
      <c r="N216" s="67">
        <v>21.426632999999999</v>
      </c>
      <c r="O216" s="67">
        <v>92.000664999999998</v>
      </c>
      <c r="P216" s="71">
        <v>1500</v>
      </c>
      <c r="Q216" s="71"/>
      <c r="R216" s="18"/>
      <c r="S216" s="18"/>
      <c r="T216" s="22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17"/>
      <c r="AH216" s="24"/>
      <c r="AI216" s="25"/>
      <c r="AJ216" s="25"/>
    </row>
    <row r="217" spans="1:36" ht="15.6" x14ac:dyDescent="0.3">
      <c r="A217" s="63">
        <v>211</v>
      </c>
      <c r="B217" s="102" t="s">
        <v>3520</v>
      </c>
      <c r="C217" s="102" t="s">
        <v>3521</v>
      </c>
      <c r="D217" s="64" t="s">
        <v>119</v>
      </c>
      <c r="E217" s="71" t="s">
        <v>120</v>
      </c>
      <c r="F217" s="68" t="s">
        <v>127</v>
      </c>
      <c r="G217" s="71" t="s">
        <v>41</v>
      </c>
      <c r="H217" s="20"/>
      <c r="I217" s="20"/>
      <c r="J217" s="26"/>
      <c r="K217" s="75" t="s">
        <v>743</v>
      </c>
      <c r="L217" s="71" t="s">
        <v>744</v>
      </c>
      <c r="M217" s="68" t="s">
        <v>745</v>
      </c>
      <c r="N217" s="67">
        <v>21.421374</v>
      </c>
      <c r="O217" s="67">
        <v>91.994609999999994</v>
      </c>
      <c r="P217" s="71">
        <v>1500</v>
      </c>
      <c r="Q217" s="71"/>
      <c r="R217" s="18"/>
      <c r="S217" s="18"/>
      <c r="T217" s="27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17"/>
      <c r="AH217" s="24"/>
      <c r="AI217" s="25"/>
      <c r="AJ217" s="25"/>
    </row>
    <row r="218" spans="1:36" ht="15.6" x14ac:dyDescent="0.3">
      <c r="A218" s="63">
        <v>212</v>
      </c>
      <c r="B218" s="102" t="s">
        <v>3520</v>
      </c>
      <c r="C218" s="102" t="s">
        <v>3521</v>
      </c>
      <c r="D218" s="64" t="s">
        <v>119</v>
      </c>
      <c r="E218" s="71" t="s">
        <v>120</v>
      </c>
      <c r="F218" s="68" t="s">
        <v>127</v>
      </c>
      <c r="G218" s="71" t="s">
        <v>41</v>
      </c>
      <c r="H218" s="20"/>
      <c r="I218" s="20"/>
      <c r="J218" s="26"/>
      <c r="K218" s="75" t="s">
        <v>746</v>
      </c>
      <c r="L218" s="71" t="s">
        <v>747</v>
      </c>
      <c r="M218" s="68" t="s">
        <v>748</v>
      </c>
      <c r="N218" s="67">
        <v>21.415883999999998</v>
      </c>
      <c r="O218" s="67">
        <v>91.995329999999996</v>
      </c>
      <c r="P218" s="71">
        <v>800</v>
      </c>
      <c r="Q218" s="71"/>
      <c r="R218" s="18"/>
      <c r="S218" s="18"/>
      <c r="T218" s="27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17"/>
      <c r="AH218" s="24"/>
      <c r="AI218" s="25"/>
      <c r="AJ218" s="25"/>
    </row>
    <row r="219" spans="1:36" ht="15.6" x14ac:dyDescent="0.3">
      <c r="A219" s="63">
        <v>213</v>
      </c>
      <c r="B219" s="102" t="s">
        <v>3520</v>
      </c>
      <c r="C219" s="102" t="s">
        <v>3521</v>
      </c>
      <c r="D219" s="64" t="s">
        <v>119</v>
      </c>
      <c r="E219" s="71" t="s">
        <v>120</v>
      </c>
      <c r="F219" s="68" t="s">
        <v>127</v>
      </c>
      <c r="G219" s="71" t="s">
        <v>41</v>
      </c>
      <c r="H219" s="20"/>
      <c r="I219" s="20"/>
      <c r="J219" s="26"/>
      <c r="K219" s="75" t="s">
        <v>749</v>
      </c>
      <c r="L219" s="71" t="s">
        <v>750</v>
      </c>
      <c r="M219" s="68" t="s">
        <v>751</v>
      </c>
      <c r="N219" s="67">
        <v>21.416990999999999</v>
      </c>
      <c r="O219" s="67">
        <v>91.990874000000005</v>
      </c>
      <c r="P219" s="71">
        <v>1500</v>
      </c>
      <c r="Q219" s="71"/>
      <c r="R219" s="18"/>
      <c r="S219" s="18"/>
      <c r="T219" s="27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17"/>
      <c r="AH219" s="24"/>
      <c r="AI219" s="25"/>
      <c r="AJ219" s="25"/>
    </row>
    <row r="220" spans="1:36" ht="15.6" x14ac:dyDescent="0.3">
      <c r="A220" s="63">
        <v>214</v>
      </c>
      <c r="B220" s="102" t="s">
        <v>3520</v>
      </c>
      <c r="C220" s="102" t="s">
        <v>3521</v>
      </c>
      <c r="D220" s="64" t="s">
        <v>119</v>
      </c>
      <c r="E220" s="71" t="s">
        <v>120</v>
      </c>
      <c r="F220" s="68" t="s">
        <v>127</v>
      </c>
      <c r="G220" s="71" t="s">
        <v>41</v>
      </c>
      <c r="H220" s="20"/>
      <c r="I220" s="20"/>
      <c r="J220" s="26"/>
      <c r="K220" s="75" t="s">
        <v>752</v>
      </c>
      <c r="L220" s="71" t="s">
        <v>753</v>
      </c>
      <c r="M220" s="68" t="s">
        <v>754</v>
      </c>
      <c r="N220" s="67">
        <v>21.413181999999999</v>
      </c>
      <c r="O220" s="67">
        <v>91.991031000000007</v>
      </c>
      <c r="P220" s="71">
        <v>4500</v>
      </c>
      <c r="Q220" s="71"/>
      <c r="R220" s="18"/>
      <c r="S220" s="18"/>
      <c r="T220" s="27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17"/>
      <c r="AH220" s="24"/>
      <c r="AI220" s="25"/>
      <c r="AJ220" s="25"/>
    </row>
    <row r="221" spans="1:36" ht="15.6" x14ac:dyDescent="0.3">
      <c r="A221" s="63">
        <v>215</v>
      </c>
      <c r="B221" s="102" t="s">
        <v>3520</v>
      </c>
      <c r="C221" s="102" t="s">
        <v>3521</v>
      </c>
      <c r="D221" s="64" t="s">
        <v>119</v>
      </c>
      <c r="E221" s="71" t="s">
        <v>120</v>
      </c>
      <c r="F221" s="68" t="s">
        <v>127</v>
      </c>
      <c r="G221" s="71" t="s">
        <v>41</v>
      </c>
      <c r="H221" s="20"/>
      <c r="I221" s="20"/>
      <c r="J221" s="26"/>
      <c r="K221" s="75" t="s">
        <v>755</v>
      </c>
      <c r="L221" s="71" t="s">
        <v>756</v>
      </c>
      <c r="M221" s="68" t="s">
        <v>757</v>
      </c>
      <c r="N221" s="67">
        <v>21.400690000000001</v>
      </c>
      <c r="O221" s="67">
        <v>91.997386000000006</v>
      </c>
      <c r="P221" s="71">
        <v>800</v>
      </c>
      <c r="Q221" s="71"/>
      <c r="R221" s="18"/>
      <c r="S221" s="18"/>
      <c r="T221" s="27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17"/>
      <c r="AH221" s="24"/>
      <c r="AI221" s="25"/>
      <c r="AJ221" s="25"/>
    </row>
    <row r="222" spans="1:36" ht="15.6" x14ac:dyDescent="0.3">
      <c r="A222" s="63">
        <v>216</v>
      </c>
      <c r="B222" s="102" t="s">
        <v>3520</v>
      </c>
      <c r="C222" s="102" t="s">
        <v>3521</v>
      </c>
      <c r="D222" s="64" t="s">
        <v>119</v>
      </c>
      <c r="E222" s="71" t="s">
        <v>120</v>
      </c>
      <c r="F222" s="68" t="s">
        <v>127</v>
      </c>
      <c r="G222" s="71" t="s">
        <v>41</v>
      </c>
      <c r="H222" s="20"/>
      <c r="I222" s="20"/>
      <c r="J222" s="26"/>
      <c r="K222" s="75" t="s">
        <v>100</v>
      </c>
      <c r="L222" s="71" t="s">
        <v>101</v>
      </c>
      <c r="M222" s="68" t="s">
        <v>758</v>
      </c>
      <c r="N222" s="67">
        <v>21.396750999999998</v>
      </c>
      <c r="O222" s="67">
        <v>92.001891999999998</v>
      </c>
      <c r="P222" s="71">
        <v>2000</v>
      </c>
      <c r="Q222" s="71"/>
      <c r="R222" s="18"/>
      <c r="S222" s="18"/>
      <c r="T222" s="27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17"/>
      <c r="AH222" s="24"/>
      <c r="AI222" s="25"/>
      <c r="AJ222" s="25"/>
    </row>
    <row r="223" spans="1:36" ht="15.6" x14ac:dyDescent="0.3">
      <c r="A223" s="63">
        <v>217</v>
      </c>
      <c r="B223" s="102" t="s">
        <v>3520</v>
      </c>
      <c r="C223" s="102" t="s">
        <v>3521</v>
      </c>
      <c r="D223" s="64" t="s">
        <v>119</v>
      </c>
      <c r="E223" s="71" t="s">
        <v>120</v>
      </c>
      <c r="F223" s="68" t="s">
        <v>127</v>
      </c>
      <c r="G223" s="71" t="s">
        <v>41</v>
      </c>
      <c r="H223" s="20"/>
      <c r="I223" s="20"/>
      <c r="J223" s="26"/>
      <c r="K223" s="75" t="s">
        <v>759</v>
      </c>
      <c r="L223" s="71" t="s">
        <v>760</v>
      </c>
      <c r="M223" s="68" t="s">
        <v>761</v>
      </c>
      <c r="N223" s="67">
        <v>21.424185000000001</v>
      </c>
      <c r="O223" s="67">
        <v>91.993165000000005</v>
      </c>
      <c r="P223" s="71">
        <v>2800</v>
      </c>
      <c r="Q223" s="71"/>
      <c r="R223" s="18"/>
      <c r="S223" s="18"/>
      <c r="T223" s="27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17"/>
      <c r="AH223" s="24"/>
      <c r="AI223" s="25"/>
      <c r="AJ223" s="25"/>
    </row>
    <row r="224" spans="1:36" ht="15.6" x14ac:dyDescent="0.3">
      <c r="A224" s="63">
        <v>218</v>
      </c>
      <c r="B224" s="102" t="s">
        <v>3520</v>
      </c>
      <c r="C224" s="102" t="s">
        <v>3521</v>
      </c>
      <c r="D224" s="64" t="s">
        <v>119</v>
      </c>
      <c r="E224" s="71" t="s">
        <v>120</v>
      </c>
      <c r="F224" s="68" t="s">
        <v>127</v>
      </c>
      <c r="G224" s="71" t="s">
        <v>41</v>
      </c>
      <c r="H224" s="20"/>
      <c r="I224" s="20"/>
      <c r="J224" s="26"/>
      <c r="K224" s="75" t="s">
        <v>762</v>
      </c>
      <c r="L224" s="71" t="s">
        <v>763</v>
      </c>
      <c r="M224" s="68" t="s">
        <v>764</v>
      </c>
      <c r="N224" s="67">
        <v>21.420297999999999</v>
      </c>
      <c r="O224" s="67">
        <v>91.992431999999994</v>
      </c>
      <c r="P224" s="71">
        <v>1000</v>
      </c>
      <c r="Q224" s="71"/>
      <c r="R224" s="18"/>
      <c r="S224" s="18"/>
      <c r="T224" s="27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17"/>
      <c r="AH224" s="24"/>
      <c r="AI224" s="25"/>
      <c r="AJ224" s="25"/>
    </row>
    <row r="225" spans="1:36" ht="15.6" x14ac:dyDescent="0.3">
      <c r="A225" s="63">
        <v>219</v>
      </c>
      <c r="B225" s="102" t="s">
        <v>3520</v>
      </c>
      <c r="C225" s="102" t="s">
        <v>3521</v>
      </c>
      <c r="D225" s="64" t="s">
        <v>119</v>
      </c>
      <c r="E225" s="71" t="s">
        <v>120</v>
      </c>
      <c r="F225" s="68" t="s">
        <v>127</v>
      </c>
      <c r="G225" s="71" t="s">
        <v>41</v>
      </c>
      <c r="H225" s="20"/>
      <c r="I225" s="20"/>
      <c r="J225" s="26"/>
      <c r="K225" s="75" t="s">
        <v>765</v>
      </c>
      <c r="L225" s="71" t="s">
        <v>766</v>
      </c>
      <c r="M225" s="68" t="s">
        <v>767</v>
      </c>
      <c r="N225" s="67">
        <v>21.397157</v>
      </c>
      <c r="O225" s="67">
        <v>91.996853999999999</v>
      </c>
      <c r="P225" s="71">
        <v>600</v>
      </c>
      <c r="Q225" s="71"/>
      <c r="R225" s="18"/>
      <c r="S225" s="18"/>
      <c r="T225" s="27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17"/>
      <c r="AH225" s="24"/>
      <c r="AI225" s="25"/>
      <c r="AJ225" s="25"/>
    </row>
    <row r="226" spans="1:36" ht="15.6" x14ac:dyDescent="0.3">
      <c r="A226" s="63">
        <v>220</v>
      </c>
      <c r="B226" s="102" t="s">
        <v>3520</v>
      </c>
      <c r="C226" s="102" t="s">
        <v>3521</v>
      </c>
      <c r="D226" s="64" t="s">
        <v>119</v>
      </c>
      <c r="E226" s="71" t="s">
        <v>120</v>
      </c>
      <c r="F226" s="68" t="s">
        <v>127</v>
      </c>
      <c r="G226" s="71" t="s">
        <v>42</v>
      </c>
      <c r="H226" s="20"/>
      <c r="I226" s="20"/>
      <c r="J226" s="26"/>
      <c r="K226" s="75" t="s">
        <v>768</v>
      </c>
      <c r="L226" s="71" t="s">
        <v>769</v>
      </c>
      <c r="M226" s="68" t="s">
        <v>770</v>
      </c>
      <c r="N226" s="67">
        <v>21.421187</v>
      </c>
      <c r="O226" s="67">
        <v>92.005923999999993</v>
      </c>
      <c r="P226" s="71">
        <v>4500</v>
      </c>
      <c r="Q226" s="71"/>
      <c r="R226" s="18"/>
      <c r="S226" s="18"/>
      <c r="T226" s="27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17"/>
      <c r="AH226" s="24"/>
      <c r="AI226" s="25"/>
      <c r="AJ226" s="25"/>
    </row>
    <row r="227" spans="1:36" ht="15.6" x14ac:dyDescent="0.3">
      <c r="A227" s="63">
        <v>221</v>
      </c>
      <c r="B227" s="102" t="s">
        <v>3520</v>
      </c>
      <c r="C227" s="102" t="s">
        <v>3521</v>
      </c>
      <c r="D227" s="64" t="s">
        <v>119</v>
      </c>
      <c r="E227" s="71" t="s">
        <v>120</v>
      </c>
      <c r="F227" s="68" t="s">
        <v>127</v>
      </c>
      <c r="G227" s="71" t="s">
        <v>42</v>
      </c>
      <c r="H227" s="20"/>
      <c r="I227" s="20"/>
      <c r="J227" s="26"/>
      <c r="K227" s="75" t="s">
        <v>771</v>
      </c>
      <c r="L227" s="71" t="s">
        <v>772</v>
      </c>
      <c r="M227" s="68" t="s">
        <v>773</v>
      </c>
      <c r="N227" s="67">
        <v>21.425232000000001</v>
      </c>
      <c r="O227" s="67">
        <v>92.007773999999998</v>
      </c>
      <c r="P227" s="71">
        <v>700</v>
      </c>
      <c r="Q227" s="71"/>
      <c r="R227" s="18"/>
      <c r="S227" s="18"/>
      <c r="T227" s="27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17"/>
      <c r="AH227" s="24"/>
      <c r="AI227" s="25"/>
      <c r="AJ227" s="25"/>
    </row>
    <row r="228" spans="1:36" ht="15.6" x14ac:dyDescent="0.3">
      <c r="A228" s="63">
        <v>222</v>
      </c>
      <c r="B228" s="102" t="s">
        <v>3520</v>
      </c>
      <c r="C228" s="102" t="s">
        <v>3521</v>
      </c>
      <c r="D228" s="64" t="s">
        <v>119</v>
      </c>
      <c r="E228" s="71" t="s">
        <v>120</v>
      </c>
      <c r="F228" s="68" t="s">
        <v>127</v>
      </c>
      <c r="G228" s="71" t="s">
        <v>42</v>
      </c>
      <c r="H228" s="20"/>
      <c r="I228" s="20"/>
      <c r="J228" s="26"/>
      <c r="K228" s="75" t="s">
        <v>774</v>
      </c>
      <c r="L228" s="71" t="s">
        <v>775</v>
      </c>
      <c r="M228" s="68" t="s">
        <v>776</v>
      </c>
      <c r="N228" s="67">
        <v>21.422298999999999</v>
      </c>
      <c r="O228" s="67">
        <v>92.009105000000005</v>
      </c>
      <c r="P228" s="71">
        <v>6000</v>
      </c>
      <c r="Q228" s="71"/>
      <c r="R228" s="18"/>
      <c r="S228" s="18"/>
      <c r="T228" s="27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17"/>
      <c r="AH228" s="24"/>
      <c r="AI228" s="25"/>
      <c r="AJ228" s="25"/>
    </row>
    <row r="229" spans="1:36" ht="15.6" x14ac:dyDescent="0.3">
      <c r="A229" s="63">
        <v>223</v>
      </c>
      <c r="B229" s="102" t="s">
        <v>3520</v>
      </c>
      <c r="C229" s="102" t="s">
        <v>3521</v>
      </c>
      <c r="D229" s="64" t="s">
        <v>119</v>
      </c>
      <c r="E229" s="71" t="s">
        <v>120</v>
      </c>
      <c r="F229" s="68" t="s">
        <v>127</v>
      </c>
      <c r="G229" s="71" t="s">
        <v>42</v>
      </c>
      <c r="H229" s="20"/>
      <c r="I229" s="20"/>
      <c r="J229" s="26"/>
      <c r="K229" s="75" t="s">
        <v>777</v>
      </c>
      <c r="L229" s="71" t="s">
        <v>778</v>
      </c>
      <c r="M229" s="68" t="s">
        <v>779</v>
      </c>
      <c r="N229" s="67">
        <v>21.42718</v>
      </c>
      <c r="O229" s="67">
        <v>92.011697999999996</v>
      </c>
      <c r="P229" s="71">
        <v>4500</v>
      </c>
      <c r="Q229" s="71"/>
      <c r="R229" s="18"/>
      <c r="S229" s="18"/>
      <c r="T229" s="27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17"/>
      <c r="AH229" s="24"/>
      <c r="AI229" s="25"/>
      <c r="AJ229" s="25"/>
    </row>
    <row r="230" spans="1:36" ht="15.6" x14ac:dyDescent="0.3">
      <c r="A230" s="63">
        <v>224</v>
      </c>
      <c r="B230" s="102" t="s">
        <v>3520</v>
      </c>
      <c r="C230" s="102" t="s">
        <v>3521</v>
      </c>
      <c r="D230" s="64" t="s">
        <v>119</v>
      </c>
      <c r="E230" s="71" t="s">
        <v>120</v>
      </c>
      <c r="F230" s="68" t="s">
        <v>127</v>
      </c>
      <c r="G230" s="71" t="s">
        <v>43</v>
      </c>
      <c r="H230" s="20"/>
      <c r="I230" s="20"/>
      <c r="J230" s="26"/>
      <c r="K230" s="75" t="s">
        <v>780</v>
      </c>
      <c r="L230" s="71" t="s">
        <v>781</v>
      </c>
      <c r="M230" s="68" t="s">
        <v>782</v>
      </c>
      <c r="N230" s="67">
        <v>21.426089000000001</v>
      </c>
      <c r="O230" s="67">
        <v>92.016074000000003</v>
      </c>
      <c r="P230" s="71">
        <v>3500</v>
      </c>
      <c r="Q230" s="71"/>
      <c r="R230" s="18"/>
      <c r="S230" s="18"/>
      <c r="T230" s="27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17"/>
      <c r="AH230" s="24"/>
      <c r="AI230" s="25"/>
      <c r="AJ230" s="25"/>
    </row>
    <row r="231" spans="1:36" ht="15.6" x14ac:dyDescent="0.3">
      <c r="A231" s="63">
        <v>225</v>
      </c>
      <c r="B231" s="102" t="s">
        <v>3520</v>
      </c>
      <c r="C231" s="102" t="s">
        <v>3521</v>
      </c>
      <c r="D231" s="64" t="s">
        <v>119</v>
      </c>
      <c r="E231" s="71" t="s">
        <v>120</v>
      </c>
      <c r="F231" s="68" t="s">
        <v>127</v>
      </c>
      <c r="G231" s="71" t="s">
        <v>43</v>
      </c>
      <c r="H231" s="20"/>
      <c r="I231" s="20"/>
      <c r="J231" s="26"/>
      <c r="K231" s="75" t="s">
        <v>783</v>
      </c>
      <c r="L231" s="71" t="s">
        <v>784</v>
      </c>
      <c r="M231" s="68" t="s">
        <v>785</v>
      </c>
      <c r="N231" s="67">
        <v>21.423448</v>
      </c>
      <c r="O231" s="67">
        <v>92.016386999999995</v>
      </c>
      <c r="P231" s="71">
        <v>4500</v>
      </c>
      <c r="Q231" s="71"/>
      <c r="R231" s="18"/>
      <c r="S231" s="18"/>
      <c r="T231" s="27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17"/>
      <c r="AH231" s="24"/>
      <c r="AI231" s="25"/>
      <c r="AJ231" s="25"/>
    </row>
    <row r="232" spans="1:36" ht="15.6" x14ac:dyDescent="0.3">
      <c r="A232" s="63">
        <v>226</v>
      </c>
      <c r="B232" s="102" t="s">
        <v>3520</v>
      </c>
      <c r="C232" s="102" t="s">
        <v>3521</v>
      </c>
      <c r="D232" s="64" t="s">
        <v>119</v>
      </c>
      <c r="E232" s="71" t="s">
        <v>120</v>
      </c>
      <c r="F232" s="68" t="s">
        <v>127</v>
      </c>
      <c r="G232" s="71" t="s">
        <v>43</v>
      </c>
      <c r="H232" s="20"/>
      <c r="I232" s="20"/>
      <c r="J232" s="26"/>
      <c r="K232" s="75" t="s">
        <v>786</v>
      </c>
      <c r="L232" s="71" t="s">
        <v>787</v>
      </c>
      <c r="M232" s="68" t="s">
        <v>788</v>
      </c>
      <c r="N232" s="67">
        <v>21.416567000000001</v>
      </c>
      <c r="O232" s="67">
        <v>92.015263000000004</v>
      </c>
      <c r="P232" s="71">
        <v>2000</v>
      </c>
      <c r="Q232" s="71"/>
      <c r="R232" s="18"/>
      <c r="S232" s="18"/>
      <c r="T232" s="27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17"/>
      <c r="AH232" s="24"/>
      <c r="AI232" s="25"/>
      <c r="AJ232" s="25"/>
    </row>
    <row r="233" spans="1:36" ht="15.6" x14ac:dyDescent="0.3">
      <c r="A233" s="63">
        <v>227</v>
      </c>
      <c r="B233" s="102" t="s">
        <v>3520</v>
      </c>
      <c r="C233" s="102" t="s">
        <v>3521</v>
      </c>
      <c r="D233" s="64" t="s">
        <v>119</v>
      </c>
      <c r="E233" s="71" t="s">
        <v>120</v>
      </c>
      <c r="F233" s="68" t="s">
        <v>127</v>
      </c>
      <c r="G233" s="71" t="s">
        <v>44</v>
      </c>
      <c r="H233" s="20"/>
      <c r="I233" s="20"/>
      <c r="J233" s="26"/>
      <c r="K233" s="75" t="s">
        <v>789</v>
      </c>
      <c r="L233" s="71" t="s">
        <v>790</v>
      </c>
      <c r="M233" s="68" t="s">
        <v>791</v>
      </c>
      <c r="N233" s="67">
        <v>21.427727999999998</v>
      </c>
      <c r="O233" s="67">
        <v>92.026911999999996</v>
      </c>
      <c r="P233" s="71">
        <v>4000</v>
      </c>
      <c r="Q233" s="71"/>
      <c r="R233" s="18"/>
      <c r="S233" s="18"/>
      <c r="T233" s="27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17"/>
      <c r="AH233" s="24"/>
      <c r="AI233" s="25"/>
      <c r="AJ233" s="25"/>
    </row>
    <row r="234" spans="1:36" ht="15.6" x14ac:dyDescent="0.3">
      <c r="A234" s="63">
        <v>228</v>
      </c>
      <c r="B234" s="102" t="s">
        <v>3520</v>
      </c>
      <c r="C234" s="102" t="s">
        <v>3521</v>
      </c>
      <c r="D234" s="64" t="s">
        <v>119</v>
      </c>
      <c r="E234" s="71" t="s">
        <v>120</v>
      </c>
      <c r="F234" s="68" t="s">
        <v>127</v>
      </c>
      <c r="G234" s="71" t="s">
        <v>44</v>
      </c>
      <c r="H234" s="20"/>
      <c r="I234" s="20"/>
      <c r="J234" s="26"/>
      <c r="K234" s="75" t="s">
        <v>792</v>
      </c>
      <c r="L234" s="71" t="s">
        <v>793</v>
      </c>
      <c r="M234" s="68" t="s">
        <v>794</v>
      </c>
      <c r="N234" s="67">
        <v>21.422415000000001</v>
      </c>
      <c r="O234" s="67">
        <v>92.030094000000005</v>
      </c>
      <c r="P234" s="71">
        <v>1500</v>
      </c>
      <c r="Q234" s="71"/>
      <c r="R234" s="18"/>
      <c r="S234" s="18"/>
      <c r="T234" s="27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17"/>
      <c r="AH234" s="24"/>
      <c r="AI234" s="25"/>
      <c r="AJ234" s="25"/>
    </row>
    <row r="235" spans="1:36" ht="15.6" x14ac:dyDescent="0.3">
      <c r="A235" s="63">
        <v>229</v>
      </c>
      <c r="B235" s="102" t="s">
        <v>3520</v>
      </c>
      <c r="C235" s="102" t="s">
        <v>3521</v>
      </c>
      <c r="D235" s="64" t="s">
        <v>119</v>
      </c>
      <c r="E235" s="71" t="s">
        <v>120</v>
      </c>
      <c r="F235" s="68" t="s">
        <v>127</v>
      </c>
      <c r="G235" s="71" t="s">
        <v>44</v>
      </c>
      <c r="H235" s="20"/>
      <c r="I235" s="20"/>
      <c r="J235" s="26"/>
      <c r="K235" s="75" t="s">
        <v>795</v>
      </c>
      <c r="L235" s="71" t="s">
        <v>796</v>
      </c>
      <c r="M235" s="68" t="s">
        <v>797</v>
      </c>
      <c r="N235" s="67">
        <v>21.418216999999999</v>
      </c>
      <c r="O235" s="67">
        <v>92.021006999999997</v>
      </c>
      <c r="P235" s="71">
        <v>10000</v>
      </c>
      <c r="Q235" s="71"/>
      <c r="R235" s="18"/>
      <c r="S235" s="18"/>
      <c r="T235" s="27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17"/>
      <c r="AH235" s="24"/>
      <c r="AI235" s="25"/>
      <c r="AJ235" s="25"/>
    </row>
    <row r="236" spans="1:36" ht="15.6" x14ac:dyDescent="0.3">
      <c r="A236" s="63">
        <v>230</v>
      </c>
      <c r="B236" s="102" t="s">
        <v>3520</v>
      </c>
      <c r="C236" s="102" t="s">
        <v>3521</v>
      </c>
      <c r="D236" s="64" t="s">
        <v>119</v>
      </c>
      <c r="E236" s="71" t="s">
        <v>120</v>
      </c>
      <c r="F236" s="68" t="s">
        <v>127</v>
      </c>
      <c r="G236" s="71" t="s">
        <v>44</v>
      </c>
      <c r="H236" s="20"/>
      <c r="I236" s="20"/>
      <c r="J236" s="26"/>
      <c r="K236" s="75" t="s">
        <v>798</v>
      </c>
      <c r="L236" s="71" t="s">
        <v>799</v>
      </c>
      <c r="M236" s="68" t="s">
        <v>800</v>
      </c>
      <c r="N236" s="67">
        <v>21.418292000000001</v>
      </c>
      <c r="O236" s="67">
        <v>92.028469999999999</v>
      </c>
      <c r="P236" s="71">
        <v>3000</v>
      </c>
      <c r="Q236" s="71"/>
      <c r="R236" s="18"/>
      <c r="S236" s="18"/>
      <c r="T236" s="27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17"/>
      <c r="AH236" s="24"/>
      <c r="AI236" s="25"/>
      <c r="AJ236" s="25"/>
    </row>
    <row r="237" spans="1:36" ht="15.6" x14ac:dyDescent="0.3">
      <c r="A237" s="63">
        <v>231</v>
      </c>
      <c r="B237" s="102" t="s">
        <v>3520</v>
      </c>
      <c r="C237" s="102" t="s">
        <v>3521</v>
      </c>
      <c r="D237" s="64" t="s">
        <v>119</v>
      </c>
      <c r="E237" s="71" t="s">
        <v>120</v>
      </c>
      <c r="F237" s="68" t="s">
        <v>127</v>
      </c>
      <c r="G237" s="71" t="s">
        <v>44</v>
      </c>
      <c r="H237" s="20"/>
      <c r="I237" s="20"/>
      <c r="J237" s="26"/>
      <c r="K237" s="75" t="s">
        <v>801</v>
      </c>
      <c r="L237" s="71" t="s">
        <v>802</v>
      </c>
      <c r="M237" s="68" t="s">
        <v>803</v>
      </c>
      <c r="N237" s="67">
        <v>21.41375</v>
      </c>
      <c r="O237" s="67">
        <v>92.026292999999995</v>
      </c>
      <c r="P237" s="71">
        <v>2500</v>
      </c>
      <c r="Q237" s="71"/>
      <c r="R237" s="18"/>
      <c r="S237" s="18"/>
      <c r="T237" s="27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17"/>
      <c r="AH237" s="24"/>
      <c r="AI237" s="25"/>
      <c r="AJ237" s="25"/>
    </row>
    <row r="238" spans="1:36" ht="15.6" x14ac:dyDescent="0.3">
      <c r="A238" s="63">
        <v>232</v>
      </c>
      <c r="B238" s="102" t="s">
        <v>3520</v>
      </c>
      <c r="C238" s="102" t="s">
        <v>3521</v>
      </c>
      <c r="D238" s="64" t="s">
        <v>119</v>
      </c>
      <c r="E238" s="71" t="s">
        <v>120</v>
      </c>
      <c r="F238" s="68" t="s">
        <v>127</v>
      </c>
      <c r="G238" s="71" t="s">
        <v>45</v>
      </c>
      <c r="H238" s="20"/>
      <c r="I238" s="20"/>
      <c r="J238" s="26"/>
      <c r="K238" s="75" t="s">
        <v>804</v>
      </c>
      <c r="L238" s="71" t="s">
        <v>805</v>
      </c>
      <c r="M238" s="68" t="s">
        <v>806</v>
      </c>
      <c r="N238" s="67">
        <v>21.431514</v>
      </c>
      <c r="O238" s="67">
        <v>92.020619999999994</v>
      </c>
      <c r="P238" s="71">
        <v>3500</v>
      </c>
      <c r="Q238" s="71"/>
      <c r="R238" s="18"/>
      <c r="S238" s="18"/>
      <c r="T238" s="27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17"/>
      <c r="AH238" s="24"/>
      <c r="AI238" s="25"/>
      <c r="AJ238" s="25"/>
    </row>
    <row r="239" spans="1:36" ht="15.6" x14ac:dyDescent="0.3">
      <c r="A239" s="63">
        <v>233</v>
      </c>
      <c r="B239" s="102" t="s">
        <v>3520</v>
      </c>
      <c r="C239" s="102" t="s">
        <v>3521</v>
      </c>
      <c r="D239" s="64" t="s">
        <v>119</v>
      </c>
      <c r="E239" s="71" t="s">
        <v>120</v>
      </c>
      <c r="F239" s="68" t="s">
        <v>127</v>
      </c>
      <c r="G239" s="71" t="s">
        <v>45</v>
      </c>
      <c r="H239" s="20"/>
      <c r="I239" s="20"/>
      <c r="J239" s="26"/>
      <c r="K239" s="75" t="s">
        <v>807</v>
      </c>
      <c r="L239" s="71" t="s">
        <v>808</v>
      </c>
      <c r="M239" s="68" t="s">
        <v>809</v>
      </c>
      <c r="N239" s="67">
        <v>21.435708999999999</v>
      </c>
      <c r="O239" s="67">
        <v>92.017926000000003</v>
      </c>
      <c r="P239" s="71">
        <v>2500</v>
      </c>
      <c r="Q239" s="71"/>
      <c r="R239" s="18"/>
      <c r="S239" s="18"/>
      <c r="T239" s="27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17"/>
      <c r="AH239" s="24"/>
      <c r="AI239" s="25"/>
      <c r="AJ239" s="25"/>
    </row>
    <row r="240" spans="1:36" ht="15.6" x14ac:dyDescent="0.3">
      <c r="A240" s="63">
        <v>234</v>
      </c>
      <c r="B240" s="102" t="s">
        <v>3520</v>
      </c>
      <c r="C240" s="102" t="s">
        <v>3521</v>
      </c>
      <c r="D240" s="64" t="s">
        <v>119</v>
      </c>
      <c r="E240" s="71" t="s">
        <v>120</v>
      </c>
      <c r="F240" s="68" t="s">
        <v>127</v>
      </c>
      <c r="G240" s="71" t="s">
        <v>46</v>
      </c>
      <c r="H240" s="20"/>
      <c r="I240" s="20"/>
      <c r="J240" s="26"/>
      <c r="K240" s="75" t="s">
        <v>810</v>
      </c>
      <c r="L240" s="71" t="s">
        <v>811</v>
      </c>
      <c r="M240" s="68" t="s">
        <v>812</v>
      </c>
      <c r="N240" s="67">
        <v>21.426113999999998</v>
      </c>
      <c r="O240" s="67">
        <v>92.033344999999997</v>
      </c>
      <c r="P240" s="71">
        <v>1200</v>
      </c>
      <c r="Q240" s="71"/>
      <c r="R240" s="18"/>
      <c r="S240" s="18"/>
      <c r="T240" s="27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17"/>
      <c r="AH240" s="24"/>
      <c r="AI240" s="25"/>
      <c r="AJ240" s="25"/>
    </row>
    <row r="241" spans="1:36" ht="15.6" x14ac:dyDescent="0.3">
      <c r="A241" s="63">
        <v>235</v>
      </c>
      <c r="B241" s="102" t="s">
        <v>3520</v>
      </c>
      <c r="C241" s="102" t="s">
        <v>3521</v>
      </c>
      <c r="D241" s="64" t="s">
        <v>119</v>
      </c>
      <c r="E241" s="71" t="s">
        <v>120</v>
      </c>
      <c r="F241" s="68" t="s">
        <v>127</v>
      </c>
      <c r="G241" s="71" t="s">
        <v>46</v>
      </c>
      <c r="H241" s="20"/>
      <c r="I241" s="20"/>
      <c r="J241" s="26"/>
      <c r="K241" s="75" t="s">
        <v>813</v>
      </c>
      <c r="L241" s="71" t="s">
        <v>814</v>
      </c>
      <c r="M241" s="68" t="s">
        <v>815</v>
      </c>
      <c r="N241" s="67">
        <v>21.428574999999999</v>
      </c>
      <c r="O241" s="67">
        <v>92.039465000000007</v>
      </c>
      <c r="P241" s="71">
        <v>8000</v>
      </c>
      <c r="Q241" s="71"/>
      <c r="R241" s="18"/>
      <c r="S241" s="18"/>
      <c r="T241" s="27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17"/>
      <c r="AH241" s="24"/>
      <c r="AI241" s="25"/>
      <c r="AJ241" s="25"/>
    </row>
    <row r="242" spans="1:36" ht="15.6" x14ac:dyDescent="0.3">
      <c r="A242" s="63">
        <v>236</v>
      </c>
      <c r="B242" s="102" t="s">
        <v>3520</v>
      </c>
      <c r="C242" s="102" t="s">
        <v>3521</v>
      </c>
      <c r="D242" s="64" t="s">
        <v>119</v>
      </c>
      <c r="E242" s="71" t="s">
        <v>120</v>
      </c>
      <c r="F242" s="68" t="s">
        <v>127</v>
      </c>
      <c r="G242" s="71" t="s">
        <v>46</v>
      </c>
      <c r="H242" s="20"/>
      <c r="I242" s="20"/>
      <c r="J242" s="26"/>
      <c r="K242" s="75" t="s">
        <v>816</v>
      </c>
      <c r="L242" s="71" t="s">
        <v>817</v>
      </c>
      <c r="M242" s="68" t="s">
        <v>818</v>
      </c>
      <c r="N242" s="67">
        <v>21.424581</v>
      </c>
      <c r="O242" s="67">
        <v>92.040149</v>
      </c>
      <c r="P242" s="71">
        <v>500</v>
      </c>
      <c r="Q242" s="71"/>
      <c r="R242" s="18"/>
      <c r="S242" s="18"/>
      <c r="T242" s="27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17"/>
      <c r="AH242" s="24"/>
      <c r="AI242" s="25"/>
      <c r="AJ242" s="25"/>
    </row>
    <row r="243" spans="1:36" ht="15.6" x14ac:dyDescent="0.3">
      <c r="A243" s="63">
        <v>237</v>
      </c>
      <c r="B243" s="102" t="s">
        <v>3520</v>
      </c>
      <c r="C243" s="102" t="s">
        <v>3521</v>
      </c>
      <c r="D243" s="64" t="s">
        <v>119</v>
      </c>
      <c r="E243" s="71" t="s">
        <v>120</v>
      </c>
      <c r="F243" s="68" t="s">
        <v>127</v>
      </c>
      <c r="G243" s="71" t="s">
        <v>46</v>
      </c>
      <c r="H243" s="20"/>
      <c r="I243" s="20"/>
      <c r="J243" s="26"/>
      <c r="K243" s="75" t="s">
        <v>819</v>
      </c>
      <c r="L243" s="71" t="s">
        <v>820</v>
      </c>
      <c r="M243" s="68" t="s">
        <v>821</v>
      </c>
      <c r="N243" s="67">
        <v>21.427268999999999</v>
      </c>
      <c r="O243" s="67">
        <v>92.046571</v>
      </c>
      <c r="P243" s="71">
        <v>4000</v>
      </c>
      <c r="Q243" s="71"/>
      <c r="R243" s="18"/>
      <c r="S243" s="18"/>
      <c r="T243" s="27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17"/>
      <c r="AH243" s="24"/>
      <c r="AI243" s="25"/>
      <c r="AJ243" s="25"/>
    </row>
    <row r="244" spans="1:36" ht="15.6" x14ac:dyDescent="0.3">
      <c r="A244" s="63">
        <v>238</v>
      </c>
      <c r="B244" s="102" t="s">
        <v>3520</v>
      </c>
      <c r="C244" s="102" t="s">
        <v>3521</v>
      </c>
      <c r="D244" s="64" t="s">
        <v>119</v>
      </c>
      <c r="E244" s="71" t="s">
        <v>120</v>
      </c>
      <c r="F244" s="68" t="s">
        <v>127</v>
      </c>
      <c r="G244" s="71" t="s">
        <v>46</v>
      </c>
      <c r="H244" s="20"/>
      <c r="I244" s="20"/>
      <c r="J244" s="26"/>
      <c r="K244" s="69" t="s">
        <v>294</v>
      </c>
      <c r="L244" s="71" t="s">
        <v>295</v>
      </c>
      <c r="M244" s="68" t="s">
        <v>822</v>
      </c>
      <c r="N244" s="67">
        <v>21.426085</v>
      </c>
      <c r="O244" s="67">
        <v>92.052698000000007</v>
      </c>
      <c r="P244" s="71">
        <v>900</v>
      </c>
      <c r="Q244" s="71"/>
      <c r="R244" s="18"/>
      <c r="S244" s="18"/>
      <c r="T244" s="22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17"/>
      <c r="AH244" s="24"/>
      <c r="AI244" s="25"/>
      <c r="AJ244" s="25"/>
    </row>
    <row r="245" spans="1:36" ht="15.6" x14ac:dyDescent="0.3">
      <c r="A245" s="63">
        <v>239</v>
      </c>
      <c r="B245" s="102" t="s">
        <v>3520</v>
      </c>
      <c r="C245" s="102" t="s">
        <v>3521</v>
      </c>
      <c r="D245" s="64" t="s">
        <v>119</v>
      </c>
      <c r="E245" s="71" t="s">
        <v>120</v>
      </c>
      <c r="F245" s="68" t="s">
        <v>127</v>
      </c>
      <c r="G245" s="71" t="s">
        <v>47</v>
      </c>
      <c r="H245" s="20"/>
      <c r="I245" s="20"/>
      <c r="J245" s="26"/>
      <c r="K245" s="69" t="s">
        <v>70</v>
      </c>
      <c r="L245" s="71" t="s">
        <v>71</v>
      </c>
      <c r="M245" s="68" t="s">
        <v>823</v>
      </c>
      <c r="N245" s="67">
        <v>21.434716000000002</v>
      </c>
      <c r="O245" s="67">
        <v>92.035910000000001</v>
      </c>
      <c r="P245" s="71">
        <v>1500</v>
      </c>
      <c r="Q245" s="71"/>
      <c r="R245" s="18"/>
      <c r="S245" s="18"/>
      <c r="T245" s="27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17"/>
      <c r="AH245" s="24"/>
      <c r="AI245" s="25"/>
      <c r="AJ245" s="25"/>
    </row>
    <row r="246" spans="1:36" ht="15.6" x14ac:dyDescent="0.3">
      <c r="A246" s="63">
        <v>240</v>
      </c>
      <c r="B246" s="102" t="s">
        <v>3520</v>
      </c>
      <c r="C246" s="102" t="s">
        <v>3521</v>
      </c>
      <c r="D246" s="64" t="s">
        <v>119</v>
      </c>
      <c r="E246" s="71" t="s">
        <v>120</v>
      </c>
      <c r="F246" s="68" t="s">
        <v>127</v>
      </c>
      <c r="G246" s="71" t="s">
        <v>47</v>
      </c>
      <c r="H246" s="20"/>
      <c r="I246" s="20"/>
      <c r="J246" s="28"/>
      <c r="K246" s="75" t="s">
        <v>824</v>
      </c>
      <c r="L246" s="71" t="s">
        <v>825</v>
      </c>
      <c r="M246" s="68" t="s">
        <v>826</v>
      </c>
      <c r="N246" s="67">
        <v>21.429158999999999</v>
      </c>
      <c r="O246" s="67">
        <v>92.047645000000003</v>
      </c>
      <c r="P246" s="71">
        <v>1700</v>
      </c>
      <c r="Q246" s="71"/>
      <c r="R246" s="18"/>
      <c r="S246" s="18"/>
      <c r="T246" s="27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17"/>
      <c r="AH246" s="24"/>
      <c r="AI246" s="25"/>
      <c r="AJ246" s="25"/>
    </row>
    <row r="247" spans="1:36" ht="15.6" x14ac:dyDescent="0.3">
      <c r="A247" s="63">
        <v>241</v>
      </c>
      <c r="B247" s="102" t="s">
        <v>3520</v>
      </c>
      <c r="C247" s="102" t="s">
        <v>3521</v>
      </c>
      <c r="D247" s="64" t="s">
        <v>119</v>
      </c>
      <c r="E247" s="71" t="s">
        <v>120</v>
      </c>
      <c r="F247" s="68" t="s">
        <v>127</v>
      </c>
      <c r="G247" s="71" t="s">
        <v>47</v>
      </c>
      <c r="H247" s="20"/>
      <c r="I247" s="20"/>
      <c r="J247" s="26"/>
      <c r="K247" s="75" t="s">
        <v>827</v>
      </c>
      <c r="L247" s="68" t="s">
        <v>828</v>
      </c>
      <c r="M247" s="68" t="s">
        <v>829</v>
      </c>
      <c r="N247" s="67">
        <v>21.428048</v>
      </c>
      <c r="O247" s="67">
        <v>92.050846000000007</v>
      </c>
      <c r="P247" s="71">
        <v>2100</v>
      </c>
      <c r="Q247" s="71"/>
      <c r="R247" s="18"/>
      <c r="S247" s="18"/>
      <c r="T247" s="27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17"/>
      <c r="AH247" s="24"/>
      <c r="AI247" s="25"/>
      <c r="AJ247" s="25"/>
    </row>
    <row r="248" spans="1:36" ht="15.6" x14ac:dyDescent="0.3">
      <c r="A248" s="63">
        <v>242</v>
      </c>
      <c r="B248" s="102" t="s">
        <v>3520</v>
      </c>
      <c r="C248" s="102" t="s">
        <v>3521</v>
      </c>
      <c r="D248" s="64" t="s">
        <v>119</v>
      </c>
      <c r="E248" s="71" t="s">
        <v>120</v>
      </c>
      <c r="F248" s="68" t="s">
        <v>127</v>
      </c>
      <c r="G248" s="71" t="s">
        <v>48</v>
      </c>
      <c r="H248" s="20"/>
      <c r="I248" s="20"/>
      <c r="J248" s="26"/>
      <c r="K248" s="75" t="s">
        <v>830</v>
      </c>
      <c r="L248" s="71" t="s">
        <v>831</v>
      </c>
      <c r="M248" s="68" t="s">
        <v>832</v>
      </c>
      <c r="N248" s="67">
        <v>21.423987</v>
      </c>
      <c r="O248" s="67">
        <v>92.052120000000002</v>
      </c>
      <c r="P248" s="71">
        <v>100</v>
      </c>
      <c r="Q248" s="71"/>
      <c r="R248" s="18"/>
      <c r="S248" s="18"/>
      <c r="T248" s="27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17"/>
      <c r="AH248" s="24"/>
      <c r="AI248" s="25"/>
      <c r="AJ248" s="25"/>
    </row>
    <row r="249" spans="1:36" ht="15.6" x14ac:dyDescent="0.3">
      <c r="A249" s="63">
        <v>243</v>
      </c>
      <c r="B249" s="102" t="s">
        <v>3520</v>
      </c>
      <c r="C249" s="102" t="s">
        <v>3521</v>
      </c>
      <c r="D249" s="64" t="s">
        <v>119</v>
      </c>
      <c r="E249" s="71" t="s">
        <v>120</v>
      </c>
      <c r="F249" s="68" t="s">
        <v>127</v>
      </c>
      <c r="G249" s="71" t="s">
        <v>48</v>
      </c>
      <c r="H249" s="20"/>
      <c r="I249" s="20"/>
      <c r="J249" s="26"/>
      <c r="K249" s="75" t="s">
        <v>833</v>
      </c>
      <c r="L249" s="71" t="s">
        <v>834</v>
      </c>
      <c r="M249" s="68" t="s">
        <v>835</v>
      </c>
      <c r="N249" s="67">
        <v>21.425151</v>
      </c>
      <c r="O249" s="67">
        <v>92.054340999999994</v>
      </c>
      <c r="P249" s="71">
        <v>400</v>
      </c>
      <c r="Q249" s="71"/>
      <c r="R249" s="18"/>
      <c r="S249" s="18"/>
      <c r="T249" s="27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17"/>
      <c r="AH249" s="24"/>
      <c r="AI249" s="25"/>
      <c r="AJ249" s="25"/>
    </row>
    <row r="250" spans="1:36" ht="15.6" x14ac:dyDescent="0.3">
      <c r="A250" s="63">
        <v>244</v>
      </c>
      <c r="B250" s="102" t="s">
        <v>3520</v>
      </c>
      <c r="C250" s="102" t="s">
        <v>3521</v>
      </c>
      <c r="D250" s="64" t="s">
        <v>119</v>
      </c>
      <c r="E250" s="71" t="s">
        <v>120</v>
      </c>
      <c r="F250" s="68" t="s">
        <v>127</v>
      </c>
      <c r="G250" s="71" t="s">
        <v>48</v>
      </c>
      <c r="H250" s="20"/>
      <c r="I250" s="20"/>
      <c r="J250" s="26"/>
      <c r="K250" s="75" t="s">
        <v>836</v>
      </c>
      <c r="L250" s="71" t="s">
        <v>837</v>
      </c>
      <c r="M250" s="68" t="s">
        <v>838</v>
      </c>
      <c r="N250" s="67">
        <v>21.426497000000001</v>
      </c>
      <c r="O250" s="67">
        <v>92.057329999999993</v>
      </c>
      <c r="P250" s="71">
        <v>1000</v>
      </c>
      <c r="Q250" s="71"/>
      <c r="R250" s="18"/>
      <c r="S250" s="18"/>
      <c r="T250" s="27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17"/>
      <c r="AH250" s="24"/>
      <c r="AI250" s="25"/>
      <c r="AJ250" s="25"/>
    </row>
    <row r="251" spans="1:36" ht="15.6" x14ac:dyDescent="0.3">
      <c r="A251" s="63">
        <v>245</v>
      </c>
      <c r="B251" s="102" t="s">
        <v>3520</v>
      </c>
      <c r="C251" s="102" t="s">
        <v>3521</v>
      </c>
      <c r="D251" s="64" t="s">
        <v>119</v>
      </c>
      <c r="E251" s="71" t="s">
        <v>120</v>
      </c>
      <c r="F251" s="68" t="s">
        <v>127</v>
      </c>
      <c r="G251" s="71" t="s">
        <v>48</v>
      </c>
      <c r="H251" s="20"/>
      <c r="I251" s="20"/>
      <c r="J251" s="23"/>
      <c r="K251" s="75" t="s">
        <v>839</v>
      </c>
      <c r="L251" s="71" t="s">
        <v>840</v>
      </c>
      <c r="M251" s="68" t="s">
        <v>841</v>
      </c>
      <c r="N251" s="67">
        <v>21.425139000000001</v>
      </c>
      <c r="O251" s="67">
        <v>92.060159999999996</v>
      </c>
      <c r="P251" s="71">
        <v>3500</v>
      </c>
      <c r="Q251" s="71"/>
      <c r="R251" s="18"/>
      <c r="S251" s="18"/>
      <c r="T251" s="27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17"/>
      <c r="AH251" s="24"/>
      <c r="AI251" s="25"/>
      <c r="AJ251" s="25"/>
    </row>
    <row r="252" spans="1:36" ht="15.6" x14ac:dyDescent="0.3">
      <c r="A252" s="63">
        <v>246</v>
      </c>
      <c r="B252" s="102" t="s">
        <v>3520</v>
      </c>
      <c r="C252" s="102" t="s">
        <v>3521</v>
      </c>
      <c r="D252" s="64" t="s">
        <v>119</v>
      </c>
      <c r="E252" s="71" t="s">
        <v>120</v>
      </c>
      <c r="F252" s="68" t="s">
        <v>127</v>
      </c>
      <c r="G252" s="71" t="s">
        <v>48</v>
      </c>
      <c r="H252" s="20"/>
      <c r="I252" s="20"/>
      <c r="J252" s="26"/>
      <c r="K252" s="75" t="s">
        <v>842</v>
      </c>
      <c r="L252" s="71" t="s">
        <v>843</v>
      </c>
      <c r="M252" s="68" t="s">
        <v>844</v>
      </c>
      <c r="N252" s="67">
        <v>21.427140999999999</v>
      </c>
      <c r="O252" s="67">
        <v>92.060383999999999</v>
      </c>
      <c r="P252" s="71">
        <v>800</v>
      </c>
      <c r="Q252" s="71"/>
      <c r="R252" s="18"/>
      <c r="S252" s="18"/>
      <c r="T252" s="27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17"/>
      <c r="AH252" s="24"/>
      <c r="AI252" s="25"/>
      <c r="AJ252" s="25"/>
    </row>
    <row r="253" spans="1:36" ht="15.6" x14ac:dyDescent="0.3">
      <c r="A253" s="63">
        <v>247</v>
      </c>
      <c r="B253" s="102" t="s">
        <v>3520</v>
      </c>
      <c r="C253" s="102" t="s">
        <v>3521</v>
      </c>
      <c r="D253" s="64" t="s">
        <v>119</v>
      </c>
      <c r="E253" s="71" t="s">
        <v>120</v>
      </c>
      <c r="F253" s="68" t="s">
        <v>127</v>
      </c>
      <c r="G253" s="71" t="s">
        <v>48</v>
      </c>
      <c r="H253" s="20"/>
      <c r="I253" s="20"/>
      <c r="J253" s="26"/>
      <c r="K253" s="75" t="s">
        <v>845</v>
      </c>
      <c r="L253" s="71" t="s">
        <v>846</v>
      </c>
      <c r="M253" s="68" t="s">
        <v>847</v>
      </c>
      <c r="N253" s="67">
        <v>21.423544</v>
      </c>
      <c r="O253" s="67">
        <v>92.062701000000004</v>
      </c>
      <c r="P253" s="71">
        <v>2500</v>
      </c>
      <c r="Q253" s="71"/>
      <c r="R253" s="18"/>
      <c r="S253" s="18"/>
      <c r="T253" s="27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17"/>
      <c r="AH253" s="24"/>
      <c r="AI253" s="25"/>
      <c r="AJ253" s="25"/>
    </row>
    <row r="254" spans="1:36" ht="15.6" x14ac:dyDescent="0.3">
      <c r="A254" s="63">
        <v>248</v>
      </c>
      <c r="B254" s="102" t="s">
        <v>3520</v>
      </c>
      <c r="C254" s="102" t="s">
        <v>3521</v>
      </c>
      <c r="D254" s="64" t="s">
        <v>119</v>
      </c>
      <c r="E254" s="71" t="s">
        <v>120</v>
      </c>
      <c r="F254" s="68" t="s">
        <v>127</v>
      </c>
      <c r="G254" s="71" t="s">
        <v>48</v>
      </c>
      <c r="H254" s="20"/>
      <c r="I254" s="20"/>
      <c r="J254" s="26"/>
      <c r="K254" s="75" t="s">
        <v>51</v>
      </c>
      <c r="L254" s="71" t="s">
        <v>52</v>
      </c>
      <c r="M254" s="68" t="s">
        <v>848</v>
      </c>
      <c r="N254" s="67">
        <v>21.426500999999998</v>
      </c>
      <c r="O254" s="67">
        <v>92.064019999999999</v>
      </c>
      <c r="P254" s="71">
        <v>2400</v>
      </c>
      <c r="Q254" s="71"/>
      <c r="R254" s="18"/>
      <c r="S254" s="18"/>
      <c r="T254" s="27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17"/>
      <c r="AH254" s="24"/>
      <c r="AI254" s="25"/>
      <c r="AJ254" s="25"/>
    </row>
    <row r="255" spans="1:36" ht="15.6" x14ac:dyDescent="0.3">
      <c r="A255" s="63">
        <v>249</v>
      </c>
      <c r="B255" s="102" t="s">
        <v>3520</v>
      </c>
      <c r="C255" s="102" t="s">
        <v>3521</v>
      </c>
      <c r="D255" s="64" t="s">
        <v>119</v>
      </c>
      <c r="E255" s="71" t="s">
        <v>120</v>
      </c>
      <c r="F255" s="68" t="s">
        <v>127</v>
      </c>
      <c r="G255" s="71" t="s">
        <v>48</v>
      </c>
      <c r="H255" s="20"/>
      <c r="I255" s="20"/>
      <c r="J255" s="26"/>
      <c r="K255" s="75" t="s">
        <v>849</v>
      </c>
      <c r="L255" s="71" t="s">
        <v>850</v>
      </c>
      <c r="M255" s="68" t="s">
        <v>851</v>
      </c>
      <c r="N255" s="67">
        <v>21.424126000000001</v>
      </c>
      <c r="O255" s="67">
        <v>92.066688999999997</v>
      </c>
      <c r="P255" s="71">
        <v>1000</v>
      </c>
      <c r="Q255" s="71"/>
      <c r="R255" s="18"/>
      <c r="S255" s="18"/>
      <c r="T255" s="27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17"/>
      <c r="AH255" s="24"/>
      <c r="AI255" s="25"/>
      <c r="AJ255" s="25"/>
    </row>
    <row r="256" spans="1:36" ht="15.6" x14ac:dyDescent="0.3">
      <c r="A256" s="63">
        <v>250</v>
      </c>
      <c r="B256" s="102" t="s">
        <v>3520</v>
      </c>
      <c r="C256" s="102" t="s">
        <v>3521</v>
      </c>
      <c r="D256" s="64" t="s">
        <v>119</v>
      </c>
      <c r="E256" s="71" t="s">
        <v>120</v>
      </c>
      <c r="F256" s="68" t="s">
        <v>127</v>
      </c>
      <c r="G256" s="71" t="s">
        <v>48</v>
      </c>
      <c r="H256" s="20"/>
      <c r="I256" s="20"/>
      <c r="J256" s="26"/>
      <c r="K256" s="75" t="s">
        <v>852</v>
      </c>
      <c r="L256" s="71" t="s">
        <v>853</v>
      </c>
      <c r="M256" s="68" t="s">
        <v>854</v>
      </c>
      <c r="N256" s="67">
        <v>21.427116999999999</v>
      </c>
      <c r="O256" s="67">
        <v>92.068624999999997</v>
      </c>
      <c r="P256" s="71">
        <v>1000</v>
      </c>
      <c r="Q256" s="71"/>
      <c r="R256" s="18"/>
      <c r="S256" s="18"/>
      <c r="T256" s="27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17"/>
      <c r="AH256" s="24"/>
      <c r="AI256" s="25"/>
      <c r="AJ256" s="25"/>
    </row>
    <row r="257" spans="1:36" ht="15.6" x14ac:dyDescent="0.3">
      <c r="A257" s="63">
        <v>251</v>
      </c>
      <c r="B257" s="102" t="s">
        <v>3520</v>
      </c>
      <c r="C257" s="102" t="s">
        <v>3521</v>
      </c>
      <c r="D257" s="64" t="s">
        <v>119</v>
      </c>
      <c r="E257" s="71" t="s">
        <v>120</v>
      </c>
      <c r="F257" s="68" t="s">
        <v>127</v>
      </c>
      <c r="G257" s="71" t="s">
        <v>49</v>
      </c>
      <c r="H257" s="20"/>
      <c r="I257" s="20"/>
      <c r="J257" s="26"/>
      <c r="K257" s="75" t="s">
        <v>69</v>
      </c>
      <c r="L257" s="70" t="s">
        <v>74</v>
      </c>
      <c r="M257" s="68" t="s">
        <v>855</v>
      </c>
      <c r="N257" s="67">
        <v>21.430439</v>
      </c>
      <c r="O257" s="67">
        <v>92.057357999999994</v>
      </c>
      <c r="P257" s="71">
        <v>900</v>
      </c>
      <c r="Q257" s="71"/>
      <c r="R257" s="18"/>
      <c r="S257" s="18"/>
      <c r="T257" s="27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17"/>
      <c r="AH257" s="24"/>
      <c r="AI257" s="25"/>
      <c r="AJ257" s="25"/>
    </row>
    <row r="258" spans="1:36" ht="15.6" x14ac:dyDescent="0.3">
      <c r="A258" s="63">
        <v>252</v>
      </c>
      <c r="B258" s="102" t="s">
        <v>3520</v>
      </c>
      <c r="C258" s="102" t="s">
        <v>3521</v>
      </c>
      <c r="D258" s="64" t="s">
        <v>119</v>
      </c>
      <c r="E258" s="71" t="s">
        <v>120</v>
      </c>
      <c r="F258" s="68" t="s">
        <v>127</v>
      </c>
      <c r="G258" s="71" t="s">
        <v>49</v>
      </c>
      <c r="H258" s="20"/>
      <c r="I258" s="20"/>
      <c r="J258" s="26"/>
      <c r="K258" s="75" t="s">
        <v>856</v>
      </c>
      <c r="L258" s="71" t="s">
        <v>857</v>
      </c>
      <c r="M258" s="68" t="s">
        <v>858</v>
      </c>
      <c r="N258" s="67">
        <v>21.428321</v>
      </c>
      <c r="O258" s="67">
        <v>92.059650000000005</v>
      </c>
      <c r="P258" s="71">
        <v>400</v>
      </c>
      <c r="Q258" s="71"/>
      <c r="R258" s="18"/>
      <c r="S258" s="18"/>
      <c r="T258" s="27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17"/>
      <c r="AH258" s="24"/>
      <c r="AI258" s="25"/>
      <c r="AJ258" s="25"/>
    </row>
    <row r="259" spans="1:36" ht="15.6" x14ac:dyDescent="0.3">
      <c r="A259" s="63">
        <v>253</v>
      </c>
      <c r="B259" s="102" t="s">
        <v>3520</v>
      </c>
      <c r="C259" s="102" t="s">
        <v>3521</v>
      </c>
      <c r="D259" s="64" t="s">
        <v>119</v>
      </c>
      <c r="E259" s="71" t="s">
        <v>120</v>
      </c>
      <c r="F259" s="68" t="s">
        <v>127</v>
      </c>
      <c r="G259" s="71" t="s">
        <v>49</v>
      </c>
      <c r="H259" s="20"/>
      <c r="I259" s="20"/>
      <c r="J259" s="26"/>
      <c r="K259" s="75" t="s">
        <v>859</v>
      </c>
      <c r="L259" s="71" t="s">
        <v>860</v>
      </c>
      <c r="M259" s="68" t="s">
        <v>861</v>
      </c>
      <c r="N259" s="67">
        <v>21.428450999999999</v>
      </c>
      <c r="O259" s="67">
        <v>92.063181999999998</v>
      </c>
      <c r="P259" s="71">
        <v>1200</v>
      </c>
      <c r="Q259" s="71"/>
      <c r="R259" s="18"/>
      <c r="S259" s="18"/>
      <c r="T259" s="22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17"/>
      <c r="AH259" s="24"/>
      <c r="AI259" s="25"/>
      <c r="AJ259" s="25"/>
    </row>
    <row r="260" spans="1:36" ht="15.6" x14ac:dyDescent="0.3">
      <c r="A260" s="63">
        <v>254</v>
      </c>
      <c r="B260" s="102" t="s">
        <v>3520</v>
      </c>
      <c r="C260" s="102" t="s">
        <v>3521</v>
      </c>
      <c r="D260" s="64" t="s">
        <v>119</v>
      </c>
      <c r="E260" s="71" t="s">
        <v>120</v>
      </c>
      <c r="F260" s="68" t="s">
        <v>127</v>
      </c>
      <c r="G260" s="71" t="s">
        <v>49</v>
      </c>
      <c r="H260" s="20"/>
      <c r="I260" s="20"/>
      <c r="J260" s="26"/>
      <c r="K260" s="75" t="s">
        <v>862</v>
      </c>
      <c r="L260" s="71" t="s">
        <v>863</v>
      </c>
      <c r="M260" s="68" t="s">
        <v>864</v>
      </c>
      <c r="N260" s="67">
        <v>21.432258000000001</v>
      </c>
      <c r="O260" s="67">
        <v>92.061199000000002</v>
      </c>
      <c r="P260" s="71">
        <v>1000</v>
      </c>
      <c r="Q260" s="71"/>
      <c r="R260" s="18"/>
      <c r="S260" s="18"/>
      <c r="T260" s="27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17"/>
      <c r="AH260" s="24"/>
      <c r="AI260" s="25"/>
      <c r="AJ260" s="25"/>
    </row>
    <row r="261" spans="1:36" ht="15.6" x14ac:dyDescent="0.3">
      <c r="A261" s="63">
        <v>255</v>
      </c>
      <c r="B261" s="102" t="s">
        <v>3520</v>
      </c>
      <c r="C261" s="102" t="s">
        <v>3521</v>
      </c>
      <c r="D261" s="64" t="s">
        <v>119</v>
      </c>
      <c r="E261" s="71" t="s">
        <v>120</v>
      </c>
      <c r="F261" s="68" t="s">
        <v>127</v>
      </c>
      <c r="G261" s="71" t="s">
        <v>49</v>
      </c>
      <c r="H261" s="20"/>
      <c r="I261" s="20"/>
      <c r="J261" s="26"/>
      <c r="K261" s="69" t="s">
        <v>53</v>
      </c>
      <c r="L261" s="71" t="s">
        <v>54</v>
      </c>
      <c r="M261" s="68" t="s">
        <v>865</v>
      </c>
      <c r="N261" s="67">
        <v>21.4328</v>
      </c>
      <c r="O261" s="67">
        <v>92.063777000000002</v>
      </c>
      <c r="P261" s="71">
        <v>400</v>
      </c>
      <c r="Q261" s="71"/>
      <c r="R261" s="18"/>
      <c r="S261" s="18"/>
      <c r="T261" s="27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17"/>
      <c r="AH261" s="24"/>
      <c r="AI261" s="25"/>
      <c r="AJ261" s="25"/>
    </row>
    <row r="262" spans="1:36" ht="15.6" x14ac:dyDescent="0.3">
      <c r="A262" s="63">
        <v>256</v>
      </c>
      <c r="B262" s="102" t="s">
        <v>3520</v>
      </c>
      <c r="C262" s="102" t="s">
        <v>3521</v>
      </c>
      <c r="D262" s="64" t="s">
        <v>119</v>
      </c>
      <c r="E262" s="71" t="s">
        <v>120</v>
      </c>
      <c r="F262" s="68" t="s">
        <v>127</v>
      </c>
      <c r="G262" s="71" t="s">
        <v>49</v>
      </c>
      <c r="H262" s="20"/>
      <c r="I262" s="20"/>
      <c r="J262" s="26"/>
      <c r="K262" s="68" t="s">
        <v>62</v>
      </c>
      <c r="L262" s="71" t="s">
        <v>63</v>
      </c>
      <c r="M262" s="68" t="s">
        <v>866</v>
      </c>
      <c r="N262" s="67">
        <v>21.430211</v>
      </c>
      <c r="O262" s="67">
        <v>92.065372999999994</v>
      </c>
      <c r="P262" s="71">
        <v>1200</v>
      </c>
      <c r="Q262" s="71"/>
      <c r="R262" s="18"/>
      <c r="S262" s="18"/>
      <c r="T262" s="27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17"/>
      <c r="AH262" s="24"/>
      <c r="AI262" s="25"/>
      <c r="AJ262" s="25"/>
    </row>
    <row r="263" spans="1:36" ht="15.6" x14ac:dyDescent="0.3">
      <c r="A263" s="63">
        <v>257</v>
      </c>
      <c r="B263" s="102" t="s">
        <v>3520</v>
      </c>
      <c r="C263" s="102" t="s">
        <v>3521</v>
      </c>
      <c r="D263" s="64" t="s">
        <v>119</v>
      </c>
      <c r="E263" s="71" t="s">
        <v>120</v>
      </c>
      <c r="F263" s="68" t="s">
        <v>127</v>
      </c>
      <c r="G263" s="71" t="s">
        <v>49</v>
      </c>
      <c r="H263" s="20"/>
      <c r="I263" s="20"/>
      <c r="J263" s="26"/>
      <c r="K263" s="75" t="s">
        <v>867</v>
      </c>
      <c r="L263" s="71" t="s">
        <v>868</v>
      </c>
      <c r="M263" s="68" t="s">
        <v>869</v>
      </c>
      <c r="N263" s="67">
        <v>21.432034999999999</v>
      </c>
      <c r="O263" s="67">
        <v>92.067133999999996</v>
      </c>
      <c r="P263" s="71">
        <v>400</v>
      </c>
      <c r="Q263" s="71"/>
      <c r="R263" s="18"/>
      <c r="S263" s="18"/>
      <c r="T263" s="27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17"/>
      <c r="AH263" s="24"/>
      <c r="AI263" s="25"/>
      <c r="AJ263" s="25"/>
    </row>
    <row r="264" spans="1:36" ht="15.6" x14ac:dyDescent="0.3">
      <c r="A264" s="63">
        <v>258</v>
      </c>
      <c r="B264" s="102" t="s">
        <v>3520</v>
      </c>
      <c r="C264" s="102" t="s">
        <v>3521</v>
      </c>
      <c r="D264" s="64" t="s">
        <v>119</v>
      </c>
      <c r="E264" s="71" t="s">
        <v>120</v>
      </c>
      <c r="F264" s="68" t="s">
        <v>127</v>
      </c>
      <c r="G264" s="71" t="s">
        <v>49</v>
      </c>
      <c r="H264" s="20"/>
      <c r="I264" s="20"/>
      <c r="J264" s="26"/>
      <c r="K264" s="69" t="s">
        <v>265</v>
      </c>
      <c r="L264" s="71" t="s">
        <v>870</v>
      </c>
      <c r="M264" s="68" t="s">
        <v>871</v>
      </c>
      <c r="N264" s="67">
        <v>21.436021</v>
      </c>
      <c r="O264" s="67">
        <v>92.066006000000002</v>
      </c>
      <c r="P264" s="71">
        <v>400</v>
      </c>
      <c r="Q264" s="71"/>
      <c r="R264" s="18"/>
      <c r="S264" s="18"/>
      <c r="T264" s="27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17"/>
      <c r="AH264" s="24"/>
      <c r="AI264" s="25"/>
      <c r="AJ264" s="25"/>
    </row>
    <row r="265" spans="1:36" ht="15.6" x14ac:dyDescent="0.3">
      <c r="A265" s="63">
        <v>259</v>
      </c>
      <c r="B265" s="102" t="s">
        <v>3520</v>
      </c>
      <c r="C265" s="102" t="s">
        <v>3521</v>
      </c>
      <c r="D265" s="64" t="s">
        <v>119</v>
      </c>
      <c r="E265" s="71" t="s">
        <v>120</v>
      </c>
      <c r="F265" s="68" t="s">
        <v>127</v>
      </c>
      <c r="G265" s="71" t="s">
        <v>49</v>
      </c>
      <c r="H265" s="20"/>
      <c r="I265" s="20"/>
      <c r="J265" s="26"/>
      <c r="K265" s="75" t="s">
        <v>872</v>
      </c>
      <c r="L265" s="71" t="s">
        <v>873</v>
      </c>
      <c r="M265" s="68" t="s">
        <v>874</v>
      </c>
      <c r="N265" s="67">
        <v>21.431677000000001</v>
      </c>
      <c r="O265" s="67">
        <v>92.068682999999993</v>
      </c>
      <c r="P265" s="71">
        <v>300</v>
      </c>
      <c r="Q265" s="71"/>
      <c r="R265" s="18"/>
      <c r="S265" s="18"/>
      <c r="T265" s="27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17"/>
      <c r="AH265" s="24"/>
      <c r="AI265" s="25"/>
      <c r="AJ265" s="25"/>
    </row>
    <row r="266" spans="1:36" ht="15.6" x14ac:dyDescent="0.3">
      <c r="A266" s="63">
        <v>260</v>
      </c>
      <c r="B266" s="102" t="s">
        <v>3520</v>
      </c>
      <c r="C266" s="102" t="s">
        <v>3521</v>
      </c>
      <c r="D266" s="64" t="s">
        <v>119</v>
      </c>
      <c r="E266" s="71" t="s">
        <v>120</v>
      </c>
      <c r="F266" s="68" t="s">
        <v>127</v>
      </c>
      <c r="G266" s="71" t="s">
        <v>49</v>
      </c>
      <c r="H266" s="20"/>
      <c r="I266" s="20"/>
      <c r="J266" s="23"/>
      <c r="K266" s="75" t="s">
        <v>875</v>
      </c>
      <c r="L266" s="71" t="s">
        <v>876</v>
      </c>
      <c r="M266" s="68" t="s">
        <v>877</v>
      </c>
      <c r="N266" s="67">
        <v>21.428878000000001</v>
      </c>
      <c r="O266" s="67">
        <v>92.068472</v>
      </c>
      <c r="P266" s="71">
        <v>200</v>
      </c>
      <c r="Q266" s="71"/>
      <c r="R266" s="18"/>
      <c r="S266" s="18"/>
      <c r="T266" s="27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17"/>
      <c r="AH266" s="24"/>
      <c r="AI266" s="25"/>
      <c r="AJ266" s="25"/>
    </row>
    <row r="267" spans="1:36" ht="15.6" x14ac:dyDescent="0.3">
      <c r="A267" s="63">
        <v>261</v>
      </c>
      <c r="B267" s="102" t="s">
        <v>3520</v>
      </c>
      <c r="C267" s="102" t="s">
        <v>3521</v>
      </c>
      <c r="D267" s="64" t="s">
        <v>119</v>
      </c>
      <c r="E267" s="71" t="s">
        <v>120</v>
      </c>
      <c r="F267" s="68" t="s">
        <v>127</v>
      </c>
      <c r="G267" s="71" t="s">
        <v>49</v>
      </c>
      <c r="H267" s="20"/>
      <c r="I267" s="20"/>
      <c r="J267" s="23"/>
      <c r="K267" s="75" t="s">
        <v>878</v>
      </c>
      <c r="L267" s="71" t="s">
        <v>879</v>
      </c>
      <c r="M267" s="68" t="s">
        <v>880</v>
      </c>
      <c r="N267" s="67">
        <v>21.428564999999999</v>
      </c>
      <c r="O267" s="67">
        <v>92.054736000000005</v>
      </c>
      <c r="P267" s="71">
        <v>100</v>
      </c>
      <c r="Q267" s="71"/>
      <c r="R267" s="18"/>
      <c r="S267" s="18"/>
      <c r="T267" s="27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17"/>
      <c r="AH267" s="24"/>
      <c r="AI267" s="25"/>
      <c r="AJ267" s="25"/>
    </row>
    <row r="268" spans="1:36" ht="15.6" x14ac:dyDescent="0.3">
      <c r="A268" s="63">
        <v>262</v>
      </c>
      <c r="B268" s="102" t="s">
        <v>3520</v>
      </c>
      <c r="C268" s="102" t="s">
        <v>3521</v>
      </c>
      <c r="D268" s="64" t="s">
        <v>119</v>
      </c>
      <c r="E268" s="71" t="s">
        <v>120</v>
      </c>
      <c r="F268" s="71" t="s">
        <v>128</v>
      </c>
      <c r="G268" s="71" t="s">
        <v>41</v>
      </c>
      <c r="H268" s="20"/>
      <c r="I268" s="20"/>
      <c r="J268" s="23"/>
      <c r="K268" s="75" t="s">
        <v>881</v>
      </c>
      <c r="L268" s="71" t="s">
        <v>882</v>
      </c>
      <c r="M268" s="68" t="s">
        <v>883</v>
      </c>
      <c r="N268" s="67">
        <v>21.484044999999998</v>
      </c>
      <c r="O268" s="67">
        <v>92.021444000000002</v>
      </c>
      <c r="P268" s="71">
        <v>1800</v>
      </c>
      <c r="Q268" s="71"/>
      <c r="R268" s="18"/>
      <c r="S268" s="18"/>
      <c r="T268" s="22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17"/>
      <c r="AH268" s="24"/>
      <c r="AI268" s="25"/>
      <c r="AJ268" s="25"/>
    </row>
    <row r="269" spans="1:36" ht="15.6" x14ac:dyDescent="0.3">
      <c r="A269" s="63">
        <v>263</v>
      </c>
      <c r="B269" s="102" t="s">
        <v>3520</v>
      </c>
      <c r="C269" s="102" t="s">
        <v>3521</v>
      </c>
      <c r="D269" s="64" t="s">
        <v>119</v>
      </c>
      <c r="E269" s="71" t="s">
        <v>120</v>
      </c>
      <c r="F269" s="71" t="s">
        <v>128</v>
      </c>
      <c r="G269" s="71" t="s">
        <v>41</v>
      </c>
      <c r="H269" s="20"/>
      <c r="I269" s="20"/>
      <c r="J269" s="23"/>
      <c r="K269" s="75" t="s">
        <v>884</v>
      </c>
      <c r="L269" s="71" t="s">
        <v>885</v>
      </c>
      <c r="M269" s="68" t="s">
        <v>886</v>
      </c>
      <c r="N269" s="67">
        <v>21.48601</v>
      </c>
      <c r="O269" s="67">
        <v>92.018884</v>
      </c>
      <c r="P269" s="71">
        <v>3500</v>
      </c>
      <c r="Q269" s="71"/>
      <c r="R269" s="18"/>
      <c r="S269" s="18"/>
      <c r="T269" s="27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17"/>
      <c r="AH269" s="24"/>
      <c r="AI269" s="25"/>
      <c r="AJ269" s="25"/>
    </row>
    <row r="270" spans="1:36" ht="15.6" x14ac:dyDescent="0.3">
      <c r="A270" s="63">
        <v>264</v>
      </c>
      <c r="B270" s="102" t="s">
        <v>3520</v>
      </c>
      <c r="C270" s="102" t="s">
        <v>3521</v>
      </c>
      <c r="D270" s="64" t="s">
        <v>119</v>
      </c>
      <c r="E270" s="71" t="s">
        <v>120</v>
      </c>
      <c r="F270" s="71" t="s">
        <v>128</v>
      </c>
      <c r="G270" s="71" t="s">
        <v>41</v>
      </c>
      <c r="H270" s="20"/>
      <c r="I270" s="20"/>
      <c r="J270" s="23"/>
      <c r="K270" s="75" t="s">
        <v>887</v>
      </c>
      <c r="L270" s="71" t="s">
        <v>888</v>
      </c>
      <c r="M270" s="68" t="s">
        <v>889</v>
      </c>
      <c r="N270" s="67">
        <v>21.484200000000001</v>
      </c>
      <c r="O270" s="67">
        <v>92.011827999999994</v>
      </c>
      <c r="P270" s="71">
        <v>1300</v>
      </c>
      <c r="Q270" s="71"/>
      <c r="R270" s="18"/>
      <c r="S270" s="18"/>
      <c r="T270" s="27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17"/>
      <c r="AH270" s="24"/>
      <c r="AI270" s="25"/>
      <c r="AJ270" s="25"/>
    </row>
    <row r="271" spans="1:36" ht="15.6" x14ac:dyDescent="0.3">
      <c r="A271" s="63">
        <v>265</v>
      </c>
      <c r="B271" s="102" t="s">
        <v>3520</v>
      </c>
      <c r="C271" s="102" t="s">
        <v>3521</v>
      </c>
      <c r="D271" s="64" t="s">
        <v>119</v>
      </c>
      <c r="E271" s="71" t="s">
        <v>120</v>
      </c>
      <c r="F271" s="71" t="s">
        <v>128</v>
      </c>
      <c r="G271" s="71" t="s">
        <v>41</v>
      </c>
      <c r="H271" s="20"/>
      <c r="I271" s="20"/>
      <c r="J271" s="23"/>
      <c r="K271" s="75" t="s">
        <v>890</v>
      </c>
      <c r="L271" s="71" t="s">
        <v>891</v>
      </c>
      <c r="M271" s="68" t="s">
        <v>892</v>
      </c>
      <c r="N271" s="67">
        <v>21.492156999999999</v>
      </c>
      <c r="O271" s="67">
        <v>92.015630000000002</v>
      </c>
      <c r="P271" s="71">
        <v>150</v>
      </c>
      <c r="Q271" s="71"/>
      <c r="R271" s="18"/>
      <c r="S271" s="18"/>
      <c r="T271" s="27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17"/>
      <c r="AH271" s="24"/>
      <c r="AI271" s="25"/>
      <c r="AJ271" s="25"/>
    </row>
    <row r="272" spans="1:36" ht="15.6" x14ac:dyDescent="0.3">
      <c r="A272" s="63">
        <v>266</v>
      </c>
      <c r="B272" s="102" t="s">
        <v>3520</v>
      </c>
      <c r="C272" s="102" t="s">
        <v>3521</v>
      </c>
      <c r="D272" s="64" t="s">
        <v>119</v>
      </c>
      <c r="E272" s="71" t="s">
        <v>120</v>
      </c>
      <c r="F272" s="71" t="s">
        <v>128</v>
      </c>
      <c r="G272" s="71" t="s">
        <v>41</v>
      </c>
      <c r="H272" s="20"/>
      <c r="I272" s="20"/>
      <c r="J272" s="23"/>
      <c r="K272" s="75" t="s">
        <v>893</v>
      </c>
      <c r="L272" s="71" t="s">
        <v>894</v>
      </c>
      <c r="M272" s="68" t="s">
        <v>895</v>
      </c>
      <c r="N272" s="67">
        <v>21.488990000000001</v>
      </c>
      <c r="O272" s="67">
        <v>92.012090999999998</v>
      </c>
      <c r="P272" s="71">
        <v>700</v>
      </c>
      <c r="Q272" s="71"/>
      <c r="R272" s="18"/>
      <c r="S272" s="18"/>
      <c r="T272" s="27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17"/>
      <c r="AH272" s="24"/>
      <c r="AI272" s="25"/>
      <c r="AJ272" s="25"/>
    </row>
    <row r="273" spans="1:36" ht="15.6" x14ac:dyDescent="0.3">
      <c r="A273" s="63">
        <v>267</v>
      </c>
      <c r="B273" s="102" t="s">
        <v>3520</v>
      </c>
      <c r="C273" s="102" t="s">
        <v>3521</v>
      </c>
      <c r="D273" s="64" t="s">
        <v>119</v>
      </c>
      <c r="E273" s="71" t="s">
        <v>120</v>
      </c>
      <c r="F273" s="71" t="s">
        <v>128</v>
      </c>
      <c r="G273" s="71" t="s">
        <v>41</v>
      </c>
      <c r="H273" s="20"/>
      <c r="I273" s="20"/>
      <c r="J273" s="23"/>
      <c r="K273" s="75" t="s">
        <v>896</v>
      </c>
      <c r="L273" s="71" t="s">
        <v>897</v>
      </c>
      <c r="M273" s="68" t="s">
        <v>898</v>
      </c>
      <c r="N273" s="67">
        <v>21.488275000000002</v>
      </c>
      <c r="O273" s="67">
        <v>92.010090000000005</v>
      </c>
      <c r="P273" s="71">
        <v>700</v>
      </c>
      <c r="Q273" s="71"/>
      <c r="R273" s="18"/>
      <c r="S273" s="18"/>
      <c r="T273" s="27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17"/>
      <c r="AH273" s="24"/>
      <c r="AI273" s="25"/>
      <c r="AJ273" s="25"/>
    </row>
    <row r="274" spans="1:36" x14ac:dyDescent="0.3">
      <c r="A274" s="63">
        <v>268</v>
      </c>
      <c r="B274" s="102" t="s">
        <v>3520</v>
      </c>
      <c r="C274" s="102" t="s">
        <v>3521</v>
      </c>
      <c r="D274" s="64" t="s">
        <v>119</v>
      </c>
      <c r="E274" s="71" t="s">
        <v>120</v>
      </c>
      <c r="F274" s="71" t="s">
        <v>128</v>
      </c>
      <c r="G274" s="71" t="s">
        <v>41</v>
      </c>
      <c r="H274" s="23"/>
      <c r="I274" s="23"/>
      <c r="J274" s="23"/>
      <c r="K274" s="75" t="s">
        <v>899</v>
      </c>
      <c r="L274" s="71" t="s">
        <v>900</v>
      </c>
      <c r="M274" s="68" t="s">
        <v>901</v>
      </c>
      <c r="N274" s="67">
        <v>21.481753000000001</v>
      </c>
      <c r="O274" s="67">
        <v>92.003406999999996</v>
      </c>
      <c r="P274" s="71">
        <v>800</v>
      </c>
      <c r="Q274" s="71"/>
      <c r="R274" s="18"/>
      <c r="S274" s="18"/>
      <c r="T274" s="27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17"/>
      <c r="AH274" s="24"/>
      <c r="AI274" s="25"/>
      <c r="AJ274" s="25"/>
    </row>
    <row r="275" spans="1:36" x14ac:dyDescent="0.3">
      <c r="A275" s="63">
        <v>269</v>
      </c>
      <c r="B275" s="102" t="s">
        <v>3520</v>
      </c>
      <c r="C275" s="102" t="s">
        <v>3521</v>
      </c>
      <c r="D275" s="64" t="s">
        <v>119</v>
      </c>
      <c r="E275" s="71" t="s">
        <v>120</v>
      </c>
      <c r="F275" s="71" t="s">
        <v>128</v>
      </c>
      <c r="G275" s="71" t="s">
        <v>41</v>
      </c>
      <c r="H275" s="23"/>
      <c r="I275" s="23"/>
      <c r="J275" s="23"/>
      <c r="K275" s="75" t="s">
        <v>902</v>
      </c>
      <c r="L275" s="71" t="s">
        <v>903</v>
      </c>
      <c r="M275" s="68" t="s">
        <v>904</v>
      </c>
      <c r="N275" s="67">
        <v>21.485575000000001</v>
      </c>
      <c r="O275" s="67">
        <v>92.007869999999997</v>
      </c>
      <c r="P275" s="71">
        <v>750</v>
      </c>
      <c r="Q275" s="71"/>
      <c r="R275" s="18"/>
      <c r="S275" s="18"/>
      <c r="T275" s="27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17"/>
      <c r="AH275" s="24"/>
      <c r="AI275" s="25"/>
      <c r="AJ275" s="25"/>
    </row>
    <row r="276" spans="1:36" x14ac:dyDescent="0.3">
      <c r="A276" s="63">
        <v>270</v>
      </c>
      <c r="B276" s="102" t="s">
        <v>3520</v>
      </c>
      <c r="C276" s="102" t="s">
        <v>3521</v>
      </c>
      <c r="D276" s="64" t="s">
        <v>119</v>
      </c>
      <c r="E276" s="71" t="s">
        <v>120</v>
      </c>
      <c r="F276" s="71" t="s">
        <v>128</v>
      </c>
      <c r="G276" s="71" t="s">
        <v>41</v>
      </c>
      <c r="H276" s="23"/>
      <c r="I276" s="23"/>
      <c r="J276" s="23"/>
      <c r="K276" s="75" t="s">
        <v>905</v>
      </c>
      <c r="L276" s="71" t="s">
        <v>906</v>
      </c>
      <c r="M276" s="68" t="s">
        <v>907</v>
      </c>
      <c r="N276" s="67">
        <v>21.482710999999998</v>
      </c>
      <c r="O276" s="67">
        <v>92.006899000000004</v>
      </c>
      <c r="P276" s="71">
        <v>500</v>
      </c>
      <c r="Q276" s="71"/>
      <c r="R276" s="18"/>
      <c r="S276" s="18"/>
      <c r="T276" s="27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17"/>
      <c r="AH276" s="24"/>
      <c r="AI276" s="25"/>
      <c r="AJ276" s="25"/>
    </row>
    <row r="277" spans="1:36" x14ac:dyDescent="0.3">
      <c r="A277" s="63">
        <v>271</v>
      </c>
      <c r="B277" s="102" t="s">
        <v>3520</v>
      </c>
      <c r="C277" s="102" t="s">
        <v>3521</v>
      </c>
      <c r="D277" s="64" t="s">
        <v>119</v>
      </c>
      <c r="E277" s="71" t="s">
        <v>120</v>
      </c>
      <c r="F277" s="71" t="s">
        <v>128</v>
      </c>
      <c r="G277" s="71" t="s">
        <v>42</v>
      </c>
      <c r="H277" s="23"/>
      <c r="I277" s="23"/>
      <c r="J277" s="23"/>
      <c r="K277" s="75" t="s">
        <v>908</v>
      </c>
      <c r="L277" s="71" t="s">
        <v>909</v>
      </c>
      <c r="M277" s="68" t="s">
        <v>910</v>
      </c>
      <c r="N277" s="67">
        <v>21.481959</v>
      </c>
      <c r="O277" s="67">
        <v>91.997152</v>
      </c>
      <c r="P277" s="71">
        <v>1000</v>
      </c>
      <c r="Q277" s="71"/>
      <c r="R277" s="18"/>
      <c r="S277" s="18"/>
      <c r="T277" s="27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17"/>
      <c r="AH277" s="24"/>
      <c r="AI277" s="25"/>
      <c r="AJ277" s="25"/>
    </row>
    <row r="278" spans="1:36" x14ac:dyDescent="0.3">
      <c r="A278" s="63">
        <v>272</v>
      </c>
      <c r="B278" s="102" t="s">
        <v>3520</v>
      </c>
      <c r="C278" s="102" t="s">
        <v>3521</v>
      </c>
      <c r="D278" s="64" t="s">
        <v>119</v>
      </c>
      <c r="E278" s="71" t="s">
        <v>120</v>
      </c>
      <c r="F278" s="71" t="s">
        <v>128</v>
      </c>
      <c r="G278" s="71" t="s">
        <v>42</v>
      </c>
      <c r="H278" s="23"/>
      <c r="I278" s="23"/>
      <c r="J278" s="23"/>
      <c r="K278" s="75" t="s">
        <v>911</v>
      </c>
      <c r="L278" s="71" t="s">
        <v>912</v>
      </c>
      <c r="M278" s="68" t="s">
        <v>913</v>
      </c>
      <c r="N278" s="67">
        <v>21.487738</v>
      </c>
      <c r="O278" s="67">
        <v>91.998305999999999</v>
      </c>
      <c r="P278" s="71">
        <v>3000</v>
      </c>
      <c r="Q278" s="71"/>
      <c r="R278" s="18"/>
      <c r="S278" s="18"/>
      <c r="T278" s="27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17"/>
      <c r="AH278" s="24"/>
      <c r="AI278" s="25"/>
      <c r="AJ278" s="25"/>
    </row>
    <row r="279" spans="1:36" x14ac:dyDescent="0.3">
      <c r="A279" s="63">
        <v>273</v>
      </c>
      <c r="B279" s="102" t="s">
        <v>3520</v>
      </c>
      <c r="C279" s="102" t="s">
        <v>3521</v>
      </c>
      <c r="D279" s="64" t="s">
        <v>119</v>
      </c>
      <c r="E279" s="71" t="s">
        <v>120</v>
      </c>
      <c r="F279" s="71" t="s">
        <v>128</v>
      </c>
      <c r="G279" s="71" t="s">
        <v>42</v>
      </c>
      <c r="H279" s="23"/>
      <c r="I279" s="23"/>
      <c r="J279" s="23"/>
      <c r="K279" s="75" t="s">
        <v>914</v>
      </c>
      <c r="L279" s="71" t="s">
        <v>915</v>
      </c>
      <c r="M279" s="68" t="s">
        <v>916</v>
      </c>
      <c r="N279" s="67">
        <v>21.492457999999999</v>
      </c>
      <c r="O279" s="67">
        <v>92.002463000000006</v>
      </c>
      <c r="P279" s="71">
        <v>2500</v>
      </c>
      <c r="Q279" s="71"/>
      <c r="R279" s="18"/>
      <c r="S279" s="18"/>
      <c r="T279" s="27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17"/>
      <c r="AH279" s="24"/>
      <c r="AI279" s="25"/>
      <c r="AJ279" s="25"/>
    </row>
    <row r="280" spans="1:36" x14ac:dyDescent="0.3">
      <c r="A280" s="63">
        <v>274</v>
      </c>
      <c r="B280" s="102" t="s">
        <v>3520</v>
      </c>
      <c r="C280" s="102" t="s">
        <v>3521</v>
      </c>
      <c r="D280" s="64" t="s">
        <v>119</v>
      </c>
      <c r="E280" s="71" t="s">
        <v>120</v>
      </c>
      <c r="F280" s="71" t="s">
        <v>128</v>
      </c>
      <c r="G280" s="71" t="s">
        <v>42</v>
      </c>
      <c r="H280" s="23"/>
      <c r="I280" s="23"/>
      <c r="J280" s="23"/>
      <c r="K280" s="75" t="s">
        <v>917</v>
      </c>
      <c r="L280" s="71" t="s">
        <v>918</v>
      </c>
      <c r="M280" s="68" t="s">
        <v>919</v>
      </c>
      <c r="N280" s="67">
        <v>21.493734</v>
      </c>
      <c r="O280" s="67">
        <v>92.009411</v>
      </c>
      <c r="P280" s="71">
        <v>1000</v>
      </c>
      <c r="Q280" s="71"/>
      <c r="R280" s="18"/>
      <c r="S280" s="18"/>
      <c r="T280" s="22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17"/>
      <c r="AH280" s="24"/>
      <c r="AI280" s="25"/>
      <c r="AJ280" s="25"/>
    </row>
    <row r="281" spans="1:36" x14ac:dyDescent="0.3">
      <c r="A281" s="63">
        <v>275</v>
      </c>
      <c r="B281" s="102" t="s">
        <v>3520</v>
      </c>
      <c r="C281" s="102" t="s">
        <v>3521</v>
      </c>
      <c r="D281" s="64" t="s">
        <v>119</v>
      </c>
      <c r="E281" s="71" t="s">
        <v>120</v>
      </c>
      <c r="F281" s="71" t="s">
        <v>128</v>
      </c>
      <c r="G281" s="71" t="s">
        <v>42</v>
      </c>
      <c r="H281" s="23"/>
      <c r="I281" s="23"/>
      <c r="J281" s="23"/>
      <c r="K281" s="75" t="s">
        <v>920</v>
      </c>
      <c r="L281" s="71" t="s">
        <v>921</v>
      </c>
      <c r="M281" s="68" t="s">
        <v>922</v>
      </c>
      <c r="N281" s="67">
        <v>21.485320999999999</v>
      </c>
      <c r="O281" s="67">
        <v>92.002453000000003</v>
      </c>
      <c r="P281" s="71">
        <v>1200</v>
      </c>
      <c r="Q281" s="71"/>
      <c r="R281" s="18"/>
      <c r="S281" s="18"/>
      <c r="T281" s="22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17"/>
      <c r="AH281" s="24"/>
      <c r="AI281" s="25"/>
      <c r="AJ281" s="25"/>
    </row>
    <row r="282" spans="1:36" x14ac:dyDescent="0.3">
      <c r="A282" s="63">
        <v>276</v>
      </c>
      <c r="B282" s="102" t="s">
        <v>3520</v>
      </c>
      <c r="C282" s="102" t="s">
        <v>3521</v>
      </c>
      <c r="D282" s="64" t="s">
        <v>119</v>
      </c>
      <c r="E282" s="71" t="s">
        <v>120</v>
      </c>
      <c r="F282" s="71" t="s">
        <v>128</v>
      </c>
      <c r="G282" s="71" t="s">
        <v>42</v>
      </c>
      <c r="H282" s="23"/>
      <c r="I282" s="23"/>
      <c r="J282" s="23"/>
      <c r="K282" s="75" t="s">
        <v>923</v>
      </c>
      <c r="L282" s="71" t="s">
        <v>924</v>
      </c>
      <c r="M282" s="68" t="s">
        <v>925</v>
      </c>
      <c r="N282" s="67">
        <v>21.488997000000001</v>
      </c>
      <c r="O282" s="67">
        <v>92.006169999999997</v>
      </c>
      <c r="P282" s="71">
        <v>500</v>
      </c>
      <c r="Q282" s="71"/>
      <c r="R282" s="18"/>
      <c r="S282" s="18"/>
      <c r="T282" s="27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17"/>
      <c r="AH282" s="24"/>
      <c r="AI282" s="25"/>
      <c r="AJ282" s="25"/>
    </row>
    <row r="283" spans="1:36" x14ac:dyDescent="0.3">
      <c r="A283" s="63">
        <v>277</v>
      </c>
      <c r="B283" s="102" t="s">
        <v>3520</v>
      </c>
      <c r="C283" s="102" t="s">
        <v>3521</v>
      </c>
      <c r="D283" s="64" t="s">
        <v>119</v>
      </c>
      <c r="E283" s="71" t="s">
        <v>120</v>
      </c>
      <c r="F283" s="71" t="s">
        <v>128</v>
      </c>
      <c r="G283" s="71" t="s">
        <v>42</v>
      </c>
      <c r="H283" s="23"/>
      <c r="I283" s="23"/>
      <c r="J283" s="23"/>
      <c r="K283" s="75" t="s">
        <v>926</v>
      </c>
      <c r="L283" s="71" t="s">
        <v>927</v>
      </c>
      <c r="M283" s="68" t="s">
        <v>928</v>
      </c>
      <c r="N283" s="67">
        <v>21.492017000000001</v>
      </c>
      <c r="O283" s="67">
        <v>92.000337999999999</v>
      </c>
      <c r="P283" s="71">
        <v>800</v>
      </c>
      <c r="Q283" s="71"/>
      <c r="R283" s="18"/>
      <c r="S283" s="18"/>
      <c r="T283" s="22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17"/>
      <c r="AH283" s="24"/>
      <c r="AI283" s="25"/>
      <c r="AJ283" s="25"/>
    </row>
    <row r="284" spans="1:36" x14ac:dyDescent="0.3">
      <c r="A284" s="63">
        <v>278</v>
      </c>
      <c r="B284" s="102" t="s">
        <v>3520</v>
      </c>
      <c r="C284" s="102" t="s">
        <v>3521</v>
      </c>
      <c r="D284" s="64" t="s">
        <v>119</v>
      </c>
      <c r="E284" s="71" t="s">
        <v>120</v>
      </c>
      <c r="F284" s="71" t="s">
        <v>128</v>
      </c>
      <c r="G284" s="71" t="s">
        <v>43</v>
      </c>
      <c r="H284" s="23"/>
      <c r="I284" s="23"/>
      <c r="J284" s="23"/>
      <c r="K284" s="75" t="s">
        <v>929</v>
      </c>
      <c r="L284" s="71" t="s">
        <v>930</v>
      </c>
      <c r="M284" s="68" t="s">
        <v>931</v>
      </c>
      <c r="N284" s="67">
        <v>21.487162999999999</v>
      </c>
      <c r="O284" s="67">
        <v>91.994782999999998</v>
      </c>
      <c r="P284" s="71">
        <v>2500</v>
      </c>
      <c r="Q284" s="71"/>
      <c r="R284" s="18"/>
      <c r="S284" s="18"/>
      <c r="T284" s="22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17"/>
      <c r="AH284" s="24"/>
      <c r="AI284" s="25"/>
      <c r="AJ284" s="25"/>
    </row>
    <row r="285" spans="1:36" x14ac:dyDescent="0.3">
      <c r="A285" s="63">
        <v>279</v>
      </c>
      <c r="B285" s="102" t="s">
        <v>3520</v>
      </c>
      <c r="C285" s="102" t="s">
        <v>3521</v>
      </c>
      <c r="D285" s="64" t="s">
        <v>119</v>
      </c>
      <c r="E285" s="71" t="s">
        <v>120</v>
      </c>
      <c r="F285" s="71" t="s">
        <v>128</v>
      </c>
      <c r="G285" s="71" t="s">
        <v>43</v>
      </c>
      <c r="H285" s="23"/>
      <c r="I285" s="23"/>
      <c r="J285" s="23"/>
      <c r="K285" s="75" t="s">
        <v>932</v>
      </c>
      <c r="L285" s="71" t="s">
        <v>933</v>
      </c>
      <c r="M285" s="68" t="s">
        <v>934</v>
      </c>
      <c r="N285" s="67">
        <v>21.4922</v>
      </c>
      <c r="O285" s="67">
        <v>91.996076000000002</v>
      </c>
      <c r="P285" s="71">
        <v>1500</v>
      </c>
      <c r="Q285" s="71"/>
      <c r="R285" s="18"/>
      <c r="S285" s="18"/>
      <c r="T285" s="27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17"/>
      <c r="AH285" s="24"/>
      <c r="AI285" s="25"/>
      <c r="AJ285" s="25"/>
    </row>
    <row r="286" spans="1:36" x14ac:dyDescent="0.3">
      <c r="A286" s="63">
        <v>280</v>
      </c>
      <c r="B286" s="102" t="s">
        <v>3520</v>
      </c>
      <c r="C286" s="102" t="s">
        <v>3521</v>
      </c>
      <c r="D286" s="64" t="s">
        <v>119</v>
      </c>
      <c r="E286" s="71" t="s">
        <v>120</v>
      </c>
      <c r="F286" s="71" t="s">
        <v>128</v>
      </c>
      <c r="G286" s="71" t="s">
        <v>43</v>
      </c>
      <c r="H286" s="23"/>
      <c r="I286" s="23"/>
      <c r="J286" s="23"/>
      <c r="K286" s="75" t="s">
        <v>935</v>
      </c>
      <c r="L286" s="71" t="s">
        <v>936</v>
      </c>
      <c r="M286" s="68" t="s">
        <v>937</v>
      </c>
      <c r="N286" s="67">
        <v>21.495695000000001</v>
      </c>
      <c r="O286" s="67">
        <v>91.995247000000006</v>
      </c>
      <c r="P286" s="71">
        <v>1000</v>
      </c>
      <c r="Q286" s="71"/>
      <c r="R286" s="18"/>
      <c r="S286" s="18"/>
      <c r="T286" s="27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17"/>
      <c r="AH286" s="24"/>
      <c r="AI286" s="25"/>
      <c r="AJ286" s="25"/>
    </row>
    <row r="287" spans="1:36" x14ac:dyDescent="0.3">
      <c r="A287" s="63">
        <v>281</v>
      </c>
      <c r="B287" s="102" t="s">
        <v>3520</v>
      </c>
      <c r="C287" s="102" t="s">
        <v>3521</v>
      </c>
      <c r="D287" s="64" t="s">
        <v>119</v>
      </c>
      <c r="E287" s="71" t="s">
        <v>120</v>
      </c>
      <c r="F287" s="71" t="s">
        <v>128</v>
      </c>
      <c r="G287" s="71" t="s">
        <v>43</v>
      </c>
      <c r="H287" s="23"/>
      <c r="I287" s="23"/>
      <c r="J287" s="23"/>
      <c r="K287" s="75" t="s">
        <v>938</v>
      </c>
      <c r="L287" s="71" t="s">
        <v>939</v>
      </c>
      <c r="M287" s="68" t="s">
        <v>940</v>
      </c>
      <c r="N287" s="67">
        <v>21.488471000000001</v>
      </c>
      <c r="O287" s="67">
        <v>91.991117000000003</v>
      </c>
      <c r="P287" s="71">
        <v>500</v>
      </c>
      <c r="Q287" s="71"/>
      <c r="R287" s="18"/>
      <c r="S287" s="18"/>
      <c r="T287" s="27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17"/>
      <c r="AH287" s="24"/>
      <c r="AI287" s="25"/>
      <c r="AJ287" s="25"/>
    </row>
    <row r="288" spans="1:36" x14ac:dyDescent="0.3">
      <c r="A288" s="63">
        <v>282</v>
      </c>
      <c r="B288" s="102" t="s">
        <v>3520</v>
      </c>
      <c r="C288" s="102" t="s">
        <v>3521</v>
      </c>
      <c r="D288" s="64" t="s">
        <v>119</v>
      </c>
      <c r="E288" s="71" t="s">
        <v>120</v>
      </c>
      <c r="F288" s="71" t="s">
        <v>128</v>
      </c>
      <c r="G288" s="71" t="s">
        <v>43</v>
      </c>
      <c r="H288" s="23"/>
      <c r="I288" s="23"/>
      <c r="J288" s="23"/>
      <c r="K288" s="75" t="s">
        <v>941</v>
      </c>
      <c r="L288" s="71" t="s">
        <v>942</v>
      </c>
      <c r="M288" s="68" t="s">
        <v>943</v>
      </c>
      <c r="N288" s="67">
        <v>21.484736000000002</v>
      </c>
      <c r="O288" s="67">
        <v>91.988202000000001</v>
      </c>
      <c r="P288" s="71">
        <v>1300</v>
      </c>
      <c r="Q288" s="71"/>
      <c r="R288" s="18"/>
      <c r="S288" s="18"/>
      <c r="T288" s="27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17"/>
      <c r="AH288" s="24"/>
      <c r="AI288" s="25"/>
      <c r="AJ288" s="25"/>
    </row>
    <row r="289" spans="1:36" x14ac:dyDescent="0.3">
      <c r="A289" s="63">
        <v>283</v>
      </c>
      <c r="B289" s="102" t="s">
        <v>3520</v>
      </c>
      <c r="C289" s="102" t="s">
        <v>3521</v>
      </c>
      <c r="D289" s="64" t="s">
        <v>119</v>
      </c>
      <c r="E289" s="71" t="s">
        <v>120</v>
      </c>
      <c r="F289" s="71" t="s">
        <v>128</v>
      </c>
      <c r="G289" s="71" t="s">
        <v>43</v>
      </c>
      <c r="H289" s="23"/>
      <c r="I289" s="23"/>
      <c r="J289" s="23"/>
      <c r="K289" s="75" t="s">
        <v>944</v>
      </c>
      <c r="L289" s="71" t="s">
        <v>945</v>
      </c>
      <c r="M289" s="68" t="s">
        <v>946</v>
      </c>
      <c r="N289" s="67">
        <v>21.491769999999999</v>
      </c>
      <c r="O289" s="67">
        <v>91.992840000000001</v>
      </c>
      <c r="P289" s="71">
        <v>250</v>
      </c>
      <c r="Q289" s="71"/>
      <c r="R289" s="18"/>
      <c r="S289" s="18"/>
      <c r="T289" s="27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17"/>
      <c r="AH289" s="24"/>
      <c r="AI289" s="25"/>
      <c r="AJ289" s="25"/>
    </row>
    <row r="290" spans="1:36" x14ac:dyDescent="0.3">
      <c r="A290" s="63">
        <v>284</v>
      </c>
      <c r="B290" s="102" t="s">
        <v>3520</v>
      </c>
      <c r="C290" s="102" t="s">
        <v>3521</v>
      </c>
      <c r="D290" s="64" t="s">
        <v>119</v>
      </c>
      <c r="E290" s="71" t="s">
        <v>120</v>
      </c>
      <c r="F290" s="71" t="s">
        <v>128</v>
      </c>
      <c r="G290" s="71" t="s">
        <v>44</v>
      </c>
      <c r="H290" s="23"/>
      <c r="I290" s="23"/>
      <c r="J290" s="23"/>
      <c r="K290" s="75" t="s">
        <v>947</v>
      </c>
      <c r="L290" s="71" t="s">
        <v>948</v>
      </c>
      <c r="M290" s="68" t="s">
        <v>949</v>
      </c>
      <c r="N290" s="67">
        <v>21.481843999999999</v>
      </c>
      <c r="O290" s="67">
        <v>91.992675000000006</v>
      </c>
      <c r="P290" s="71">
        <v>5000</v>
      </c>
      <c r="Q290" s="71"/>
      <c r="R290" s="18"/>
      <c r="S290" s="18"/>
      <c r="T290" s="27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17"/>
      <c r="AH290" s="24"/>
      <c r="AI290" s="25"/>
      <c r="AJ290" s="25"/>
    </row>
    <row r="291" spans="1:36" x14ac:dyDescent="0.3">
      <c r="A291" s="63">
        <v>285</v>
      </c>
      <c r="B291" s="102" t="s">
        <v>3520</v>
      </c>
      <c r="C291" s="102" t="s">
        <v>3521</v>
      </c>
      <c r="D291" s="64" t="s">
        <v>119</v>
      </c>
      <c r="E291" s="71" t="s">
        <v>120</v>
      </c>
      <c r="F291" s="71" t="s">
        <v>128</v>
      </c>
      <c r="G291" s="71" t="s">
        <v>44</v>
      </c>
      <c r="H291" s="23"/>
      <c r="I291" s="23"/>
      <c r="J291" s="23"/>
      <c r="K291" s="75" t="s">
        <v>950</v>
      </c>
      <c r="L291" s="71" t="s">
        <v>951</v>
      </c>
      <c r="M291" s="68" t="s">
        <v>952</v>
      </c>
      <c r="N291" s="67">
        <v>21.477260000000001</v>
      </c>
      <c r="O291" s="67">
        <v>91.991795999999994</v>
      </c>
      <c r="P291" s="71">
        <v>1000</v>
      </c>
      <c r="Q291" s="71"/>
      <c r="R291" s="18"/>
      <c r="S291" s="18"/>
      <c r="T291" s="22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17"/>
      <c r="AH291" s="24"/>
      <c r="AI291" s="25"/>
      <c r="AJ291" s="25"/>
    </row>
    <row r="292" spans="1:36" x14ac:dyDescent="0.3">
      <c r="A292" s="63">
        <v>286</v>
      </c>
      <c r="B292" s="102" t="s">
        <v>3520</v>
      </c>
      <c r="C292" s="102" t="s">
        <v>3521</v>
      </c>
      <c r="D292" s="64" t="s">
        <v>119</v>
      </c>
      <c r="E292" s="71" t="s">
        <v>120</v>
      </c>
      <c r="F292" s="71" t="s">
        <v>128</v>
      </c>
      <c r="G292" s="71" t="s">
        <v>44</v>
      </c>
      <c r="H292" s="23"/>
      <c r="I292" s="23"/>
      <c r="J292" s="23"/>
      <c r="K292" s="75" t="s">
        <v>98</v>
      </c>
      <c r="L292" s="71" t="s">
        <v>99</v>
      </c>
      <c r="M292" s="68" t="s">
        <v>953</v>
      </c>
      <c r="N292" s="67">
        <v>21.476009000000001</v>
      </c>
      <c r="O292" s="67">
        <v>91.992080000000001</v>
      </c>
      <c r="P292" s="71">
        <v>2000</v>
      </c>
      <c r="Q292" s="71"/>
      <c r="R292" s="18"/>
      <c r="S292" s="18"/>
      <c r="T292" s="22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17"/>
      <c r="AH292" s="24"/>
      <c r="AI292" s="25"/>
      <c r="AJ292" s="25"/>
    </row>
    <row r="293" spans="1:36" x14ac:dyDescent="0.3">
      <c r="A293" s="63">
        <v>287</v>
      </c>
      <c r="B293" s="102" t="s">
        <v>3520</v>
      </c>
      <c r="C293" s="102" t="s">
        <v>3521</v>
      </c>
      <c r="D293" s="64" t="s">
        <v>119</v>
      </c>
      <c r="E293" s="71" t="s">
        <v>120</v>
      </c>
      <c r="F293" s="71" t="s">
        <v>128</v>
      </c>
      <c r="G293" s="71" t="s">
        <v>44</v>
      </c>
      <c r="H293" s="23"/>
      <c r="I293" s="23"/>
      <c r="J293" s="23"/>
      <c r="K293" s="75" t="s">
        <v>954</v>
      </c>
      <c r="L293" s="71" t="s">
        <v>955</v>
      </c>
      <c r="M293" s="68" t="s">
        <v>956</v>
      </c>
      <c r="N293" s="67">
        <v>21.480235</v>
      </c>
      <c r="O293" s="67">
        <v>91.998520999999997</v>
      </c>
      <c r="P293" s="71">
        <v>1200</v>
      </c>
      <c r="Q293" s="71"/>
      <c r="R293" s="18"/>
      <c r="S293" s="18"/>
      <c r="T293" s="22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17"/>
      <c r="AH293" s="24"/>
      <c r="AI293" s="25"/>
      <c r="AJ293" s="25"/>
    </row>
    <row r="294" spans="1:36" x14ac:dyDescent="0.3">
      <c r="A294" s="63">
        <v>288</v>
      </c>
      <c r="B294" s="102" t="s">
        <v>3520</v>
      </c>
      <c r="C294" s="102" t="s">
        <v>3521</v>
      </c>
      <c r="D294" s="64" t="s">
        <v>119</v>
      </c>
      <c r="E294" s="71" t="s">
        <v>120</v>
      </c>
      <c r="F294" s="71" t="s">
        <v>128</v>
      </c>
      <c r="G294" s="71" t="s">
        <v>45</v>
      </c>
      <c r="H294" s="23"/>
      <c r="I294" s="23"/>
      <c r="J294" s="23"/>
      <c r="K294" s="75" t="s">
        <v>957</v>
      </c>
      <c r="L294" s="71" t="s">
        <v>958</v>
      </c>
      <c r="M294" s="68" t="s">
        <v>959</v>
      </c>
      <c r="N294" s="67">
        <v>21.476889</v>
      </c>
      <c r="O294" s="67">
        <v>91.989008999999996</v>
      </c>
      <c r="P294" s="71">
        <v>2000</v>
      </c>
      <c r="Q294" s="71"/>
      <c r="R294" s="18"/>
      <c r="S294" s="18"/>
      <c r="T294" s="27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17"/>
      <c r="AH294" s="24"/>
      <c r="AI294" s="25"/>
      <c r="AJ294" s="25"/>
    </row>
    <row r="295" spans="1:36" x14ac:dyDescent="0.3">
      <c r="A295" s="63">
        <v>289</v>
      </c>
      <c r="B295" s="102" t="s">
        <v>3520</v>
      </c>
      <c r="C295" s="102" t="s">
        <v>3521</v>
      </c>
      <c r="D295" s="64" t="s">
        <v>119</v>
      </c>
      <c r="E295" s="71" t="s">
        <v>120</v>
      </c>
      <c r="F295" s="71" t="s">
        <v>128</v>
      </c>
      <c r="G295" s="71" t="s">
        <v>45</v>
      </c>
      <c r="H295" s="23"/>
      <c r="I295" s="23"/>
      <c r="J295" s="23"/>
      <c r="K295" s="75" t="s">
        <v>960</v>
      </c>
      <c r="L295" s="71" t="s">
        <v>961</v>
      </c>
      <c r="M295" s="68" t="s">
        <v>962</v>
      </c>
      <c r="N295" s="67">
        <v>21.473269999999999</v>
      </c>
      <c r="O295" s="67">
        <v>91.988102999999995</v>
      </c>
      <c r="P295" s="71">
        <v>2500</v>
      </c>
      <c r="Q295" s="71"/>
      <c r="R295" s="18"/>
      <c r="S295" s="18"/>
      <c r="T295" s="22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17"/>
      <c r="AH295" s="24"/>
      <c r="AI295" s="25"/>
      <c r="AJ295" s="25"/>
    </row>
    <row r="296" spans="1:36" x14ac:dyDescent="0.3">
      <c r="A296" s="63">
        <v>290</v>
      </c>
      <c r="B296" s="102" t="s">
        <v>3520</v>
      </c>
      <c r="C296" s="102" t="s">
        <v>3521</v>
      </c>
      <c r="D296" s="64" t="s">
        <v>119</v>
      </c>
      <c r="E296" s="71" t="s">
        <v>120</v>
      </c>
      <c r="F296" s="71" t="s">
        <v>128</v>
      </c>
      <c r="G296" s="71" t="s">
        <v>45</v>
      </c>
      <c r="H296" s="23"/>
      <c r="I296" s="23"/>
      <c r="J296" s="23"/>
      <c r="K296" s="75" t="s">
        <v>963</v>
      </c>
      <c r="L296" s="71" t="s">
        <v>964</v>
      </c>
      <c r="M296" s="68" t="s">
        <v>965</v>
      </c>
      <c r="N296" s="67">
        <v>21.473127000000002</v>
      </c>
      <c r="O296" s="67">
        <v>91.985532000000006</v>
      </c>
      <c r="P296" s="71">
        <v>1200</v>
      </c>
      <c r="Q296" s="71"/>
      <c r="R296" s="18"/>
      <c r="S296" s="18"/>
      <c r="T296" s="22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17"/>
      <c r="AH296" s="24"/>
      <c r="AI296" s="25"/>
      <c r="AJ296" s="25"/>
    </row>
    <row r="297" spans="1:36" x14ac:dyDescent="0.3">
      <c r="A297" s="63">
        <v>291</v>
      </c>
      <c r="B297" s="102" t="s">
        <v>3520</v>
      </c>
      <c r="C297" s="102" t="s">
        <v>3521</v>
      </c>
      <c r="D297" s="64" t="s">
        <v>119</v>
      </c>
      <c r="E297" s="71" t="s">
        <v>120</v>
      </c>
      <c r="F297" s="71" t="s">
        <v>128</v>
      </c>
      <c r="G297" s="71" t="s">
        <v>45</v>
      </c>
      <c r="H297" s="23"/>
      <c r="I297" s="23"/>
      <c r="J297" s="23"/>
      <c r="K297" s="75" t="s">
        <v>966</v>
      </c>
      <c r="L297" s="71" t="s">
        <v>967</v>
      </c>
      <c r="M297" s="68" t="s">
        <v>968</v>
      </c>
      <c r="N297" s="67">
        <v>21.474066000000001</v>
      </c>
      <c r="O297" s="67">
        <v>91.981959000000003</v>
      </c>
      <c r="P297" s="71">
        <v>1000</v>
      </c>
      <c r="Q297" s="71"/>
      <c r="R297" s="18"/>
      <c r="S297" s="18"/>
      <c r="T297" s="27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17"/>
      <c r="AH297" s="24"/>
      <c r="AI297" s="25"/>
      <c r="AJ297" s="25"/>
    </row>
    <row r="298" spans="1:36" x14ac:dyDescent="0.3">
      <c r="A298" s="63">
        <v>292</v>
      </c>
      <c r="B298" s="102" t="s">
        <v>3520</v>
      </c>
      <c r="C298" s="102" t="s">
        <v>3521</v>
      </c>
      <c r="D298" s="64" t="s">
        <v>119</v>
      </c>
      <c r="E298" s="71" t="s">
        <v>120</v>
      </c>
      <c r="F298" s="71" t="s">
        <v>128</v>
      </c>
      <c r="G298" s="71" t="s">
        <v>45</v>
      </c>
      <c r="H298" s="23"/>
      <c r="I298" s="23"/>
      <c r="J298" s="23"/>
      <c r="K298" s="75" t="s">
        <v>112</v>
      </c>
      <c r="L298" s="68" t="s">
        <v>113</v>
      </c>
      <c r="M298" s="68" t="s">
        <v>969</v>
      </c>
      <c r="N298" s="67">
        <v>21.480941999999999</v>
      </c>
      <c r="O298" s="67">
        <v>91.988057999999995</v>
      </c>
      <c r="P298" s="71">
        <v>100</v>
      </c>
      <c r="Q298" s="71"/>
      <c r="R298" s="18"/>
      <c r="S298" s="18"/>
      <c r="T298" s="27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17"/>
      <c r="AH298" s="24"/>
      <c r="AI298" s="25"/>
      <c r="AJ298" s="25"/>
    </row>
    <row r="299" spans="1:36" x14ac:dyDescent="0.3">
      <c r="A299" s="63">
        <v>293</v>
      </c>
      <c r="B299" s="102" t="s">
        <v>3520</v>
      </c>
      <c r="C299" s="102" t="s">
        <v>3521</v>
      </c>
      <c r="D299" s="64" t="s">
        <v>119</v>
      </c>
      <c r="E299" s="71" t="s">
        <v>120</v>
      </c>
      <c r="F299" s="71" t="s">
        <v>128</v>
      </c>
      <c r="G299" s="71" t="s">
        <v>46</v>
      </c>
      <c r="H299" s="23"/>
      <c r="I299" s="23"/>
      <c r="J299" s="23"/>
      <c r="K299" s="75" t="s">
        <v>230</v>
      </c>
      <c r="L299" s="71" t="s">
        <v>231</v>
      </c>
      <c r="M299" s="68" t="s">
        <v>970</v>
      </c>
      <c r="N299" s="67">
        <v>21.466608999999998</v>
      </c>
      <c r="O299" s="67">
        <v>91.995408999999995</v>
      </c>
      <c r="P299" s="71">
        <v>900</v>
      </c>
      <c r="Q299" s="71"/>
      <c r="R299" s="18"/>
      <c r="S299" s="18"/>
      <c r="T299" s="22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17"/>
      <c r="AH299" s="24"/>
      <c r="AI299" s="25"/>
      <c r="AJ299" s="25"/>
    </row>
    <row r="300" spans="1:36" x14ac:dyDescent="0.3">
      <c r="A300" s="63">
        <v>294</v>
      </c>
      <c r="B300" s="102" t="s">
        <v>3520</v>
      </c>
      <c r="C300" s="102" t="s">
        <v>3521</v>
      </c>
      <c r="D300" s="64" t="s">
        <v>119</v>
      </c>
      <c r="E300" s="71" t="s">
        <v>120</v>
      </c>
      <c r="F300" s="71" t="s">
        <v>128</v>
      </c>
      <c r="G300" s="71" t="s">
        <v>46</v>
      </c>
      <c r="H300" s="23"/>
      <c r="I300" s="23"/>
      <c r="J300" s="23"/>
      <c r="K300" s="75" t="s">
        <v>971</v>
      </c>
      <c r="L300" s="71" t="s">
        <v>972</v>
      </c>
      <c r="M300" s="68" t="s">
        <v>973</v>
      </c>
      <c r="N300" s="67">
        <v>21.466073999999999</v>
      </c>
      <c r="O300" s="67">
        <v>91.999364</v>
      </c>
      <c r="P300" s="71">
        <v>1200</v>
      </c>
      <c r="Q300" s="71"/>
      <c r="R300" s="18"/>
      <c r="S300" s="18"/>
      <c r="T300" s="27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17"/>
      <c r="AH300" s="24"/>
      <c r="AI300" s="25"/>
      <c r="AJ300" s="25"/>
    </row>
    <row r="301" spans="1:36" x14ac:dyDescent="0.3">
      <c r="A301" s="63">
        <v>295</v>
      </c>
      <c r="B301" s="102" t="s">
        <v>3520</v>
      </c>
      <c r="C301" s="102" t="s">
        <v>3521</v>
      </c>
      <c r="D301" s="64" t="s">
        <v>119</v>
      </c>
      <c r="E301" s="71" t="s">
        <v>120</v>
      </c>
      <c r="F301" s="71" t="s">
        <v>128</v>
      </c>
      <c r="G301" s="71" t="s">
        <v>46</v>
      </c>
      <c r="H301" s="23"/>
      <c r="I301" s="23"/>
      <c r="J301" s="23"/>
      <c r="K301" s="75" t="s">
        <v>974</v>
      </c>
      <c r="L301" s="71" t="s">
        <v>975</v>
      </c>
      <c r="M301" s="68" t="s">
        <v>976</v>
      </c>
      <c r="N301" s="67">
        <v>21.465081999999999</v>
      </c>
      <c r="O301" s="67">
        <v>91.995699000000002</v>
      </c>
      <c r="P301" s="71">
        <v>600</v>
      </c>
      <c r="Q301" s="71"/>
      <c r="R301" s="18"/>
      <c r="S301" s="18"/>
      <c r="T301" s="27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17"/>
      <c r="AH301" s="24"/>
      <c r="AI301" s="25"/>
      <c r="AJ301" s="25"/>
    </row>
    <row r="302" spans="1:36" x14ac:dyDescent="0.3">
      <c r="A302" s="63">
        <v>296</v>
      </c>
      <c r="B302" s="102" t="s">
        <v>3520</v>
      </c>
      <c r="C302" s="102" t="s">
        <v>3521</v>
      </c>
      <c r="D302" s="64" t="s">
        <v>119</v>
      </c>
      <c r="E302" s="71" t="s">
        <v>120</v>
      </c>
      <c r="F302" s="71" t="s">
        <v>128</v>
      </c>
      <c r="G302" s="71" t="s">
        <v>46</v>
      </c>
      <c r="H302" s="23"/>
      <c r="I302" s="23"/>
      <c r="J302" s="23"/>
      <c r="K302" s="75" t="s">
        <v>977</v>
      </c>
      <c r="L302" s="71" t="s">
        <v>978</v>
      </c>
      <c r="M302" s="68" t="s">
        <v>979</v>
      </c>
      <c r="N302" s="67">
        <v>21.469660000000001</v>
      </c>
      <c r="O302" s="67">
        <v>91.995847999999995</v>
      </c>
      <c r="P302" s="71">
        <v>600</v>
      </c>
      <c r="Q302" s="71"/>
      <c r="R302" s="18"/>
      <c r="S302" s="18"/>
      <c r="T302" s="27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17"/>
      <c r="AH302" s="24"/>
      <c r="AI302" s="25"/>
      <c r="AJ302" s="25"/>
    </row>
    <row r="303" spans="1:36" x14ac:dyDescent="0.3">
      <c r="A303" s="63">
        <v>297</v>
      </c>
      <c r="B303" s="102" t="s">
        <v>3520</v>
      </c>
      <c r="C303" s="102" t="s">
        <v>3521</v>
      </c>
      <c r="D303" s="64" t="s">
        <v>119</v>
      </c>
      <c r="E303" s="71" t="s">
        <v>120</v>
      </c>
      <c r="F303" s="71" t="s">
        <v>128</v>
      </c>
      <c r="G303" s="71" t="s">
        <v>46</v>
      </c>
      <c r="H303" s="23"/>
      <c r="I303" s="23"/>
      <c r="J303" s="23"/>
      <c r="K303" s="75" t="s">
        <v>980</v>
      </c>
      <c r="L303" s="71" t="s">
        <v>981</v>
      </c>
      <c r="M303" s="68" t="s">
        <v>982</v>
      </c>
      <c r="N303" s="67">
        <v>21.468655999999999</v>
      </c>
      <c r="O303" s="67">
        <v>92.004300999999998</v>
      </c>
      <c r="P303" s="71">
        <v>3000</v>
      </c>
      <c r="Q303" s="71"/>
      <c r="R303" s="18"/>
      <c r="S303" s="18"/>
      <c r="T303" s="27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17"/>
      <c r="AH303" s="24"/>
      <c r="AI303" s="25"/>
      <c r="AJ303" s="25"/>
    </row>
    <row r="304" spans="1:36" x14ac:dyDescent="0.3">
      <c r="A304" s="63">
        <v>298</v>
      </c>
      <c r="B304" s="102" t="s">
        <v>3520</v>
      </c>
      <c r="C304" s="102" t="s">
        <v>3521</v>
      </c>
      <c r="D304" s="64" t="s">
        <v>119</v>
      </c>
      <c r="E304" s="71" t="s">
        <v>120</v>
      </c>
      <c r="F304" s="71" t="s">
        <v>128</v>
      </c>
      <c r="G304" s="71" t="s">
        <v>46</v>
      </c>
      <c r="H304" s="23"/>
      <c r="I304" s="23"/>
      <c r="J304" s="23"/>
      <c r="K304" s="75" t="s">
        <v>983</v>
      </c>
      <c r="L304" s="71" t="s">
        <v>984</v>
      </c>
      <c r="M304" s="68" t="s">
        <v>985</v>
      </c>
      <c r="N304" s="67">
        <v>21.475051000000001</v>
      </c>
      <c r="O304" s="67">
        <v>91.996024000000006</v>
      </c>
      <c r="P304" s="71">
        <v>700</v>
      </c>
      <c r="Q304" s="71"/>
      <c r="R304" s="18"/>
      <c r="S304" s="18"/>
      <c r="T304" s="27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17"/>
      <c r="AH304" s="24"/>
      <c r="AI304" s="25"/>
      <c r="AJ304" s="25"/>
    </row>
    <row r="305" spans="1:36" x14ac:dyDescent="0.3">
      <c r="A305" s="63">
        <v>299</v>
      </c>
      <c r="B305" s="102" t="s">
        <v>3520</v>
      </c>
      <c r="C305" s="102" t="s">
        <v>3521</v>
      </c>
      <c r="D305" s="64" t="s">
        <v>119</v>
      </c>
      <c r="E305" s="71" t="s">
        <v>120</v>
      </c>
      <c r="F305" s="71" t="s">
        <v>128</v>
      </c>
      <c r="G305" s="71" t="s">
        <v>46</v>
      </c>
      <c r="H305" s="23"/>
      <c r="I305" s="23"/>
      <c r="J305" s="23"/>
      <c r="K305" s="75" t="s">
        <v>90</v>
      </c>
      <c r="L305" s="71" t="s">
        <v>91</v>
      </c>
      <c r="M305" s="68" t="s">
        <v>986</v>
      </c>
      <c r="N305" s="67">
        <v>21.476524999999999</v>
      </c>
      <c r="O305" s="67">
        <v>92.001515999999995</v>
      </c>
      <c r="P305" s="71">
        <v>2500</v>
      </c>
      <c r="Q305" s="71"/>
      <c r="R305" s="18"/>
      <c r="S305" s="18"/>
      <c r="T305" s="27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17"/>
      <c r="AH305" s="24"/>
      <c r="AI305" s="25"/>
      <c r="AJ305" s="25"/>
    </row>
    <row r="306" spans="1:36" x14ac:dyDescent="0.3">
      <c r="A306" s="63">
        <v>300</v>
      </c>
      <c r="B306" s="102" t="s">
        <v>3520</v>
      </c>
      <c r="C306" s="102" t="s">
        <v>3521</v>
      </c>
      <c r="D306" s="64" t="s">
        <v>119</v>
      </c>
      <c r="E306" s="71" t="s">
        <v>120</v>
      </c>
      <c r="F306" s="71" t="s">
        <v>128</v>
      </c>
      <c r="G306" s="71" t="s">
        <v>46</v>
      </c>
      <c r="H306" s="23"/>
      <c r="I306" s="23"/>
      <c r="J306" s="23"/>
      <c r="K306" s="75" t="s">
        <v>987</v>
      </c>
      <c r="L306" s="71" t="s">
        <v>988</v>
      </c>
      <c r="M306" s="68" t="s">
        <v>989</v>
      </c>
      <c r="N306" s="67">
        <v>21.471914000000002</v>
      </c>
      <c r="O306" s="67">
        <v>91.999324000000001</v>
      </c>
      <c r="P306" s="71">
        <v>300</v>
      </c>
      <c r="Q306" s="71"/>
      <c r="R306" s="18"/>
      <c r="S306" s="18"/>
      <c r="T306" s="27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17"/>
      <c r="AH306" s="24"/>
      <c r="AI306" s="25"/>
      <c r="AJ306" s="25"/>
    </row>
    <row r="307" spans="1:36" x14ac:dyDescent="0.3">
      <c r="A307" s="63">
        <v>301</v>
      </c>
      <c r="B307" s="102" t="s">
        <v>3520</v>
      </c>
      <c r="C307" s="102" t="s">
        <v>3521</v>
      </c>
      <c r="D307" s="64" t="s">
        <v>119</v>
      </c>
      <c r="E307" s="71" t="s">
        <v>120</v>
      </c>
      <c r="F307" s="71" t="s">
        <v>128</v>
      </c>
      <c r="G307" s="71" t="s">
        <v>46</v>
      </c>
      <c r="H307" s="23"/>
      <c r="I307" s="23"/>
      <c r="J307" s="23"/>
      <c r="K307" s="68" t="s">
        <v>990</v>
      </c>
      <c r="L307" s="71" t="s">
        <v>991</v>
      </c>
      <c r="M307" s="68" t="s">
        <v>992</v>
      </c>
      <c r="N307" s="67">
        <v>21.472991</v>
      </c>
      <c r="O307" s="67">
        <v>91.992136000000002</v>
      </c>
      <c r="P307" s="71">
        <v>1500</v>
      </c>
      <c r="Q307" s="71"/>
      <c r="R307" s="18"/>
      <c r="S307" s="18"/>
      <c r="T307" s="27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17"/>
      <c r="AH307" s="24"/>
      <c r="AI307" s="25"/>
      <c r="AJ307" s="25"/>
    </row>
    <row r="308" spans="1:36" x14ac:dyDescent="0.3">
      <c r="A308" s="63">
        <v>302</v>
      </c>
      <c r="B308" s="102" t="s">
        <v>3520</v>
      </c>
      <c r="C308" s="102" t="s">
        <v>3521</v>
      </c>
      <c r="D308" s="64" t="s">
        <v>119</v>
      </c>
      <c r="E308" s="71" t="s">
        <v>120</v>
      </c>
      <c r="F308" s="71" t="s">
        <v>128</v>
      </c>
      <c r="G308" s="71" t="s">
        <v>46</v>
      </c>
      <c r="H308" s="23"/>
      <c r="I308" s="23"/>
      <c r="J308" s="23"/>
      <c r="K308" s="75" t="s">
        <v>993</v>
      </c>
      <c r="L308" s="71" t="s">
        <v>994</v>
      </c>
      <c r="M308" s="68" t="s">
        <v>995</v>
      </c>
      <c r="N308" s="67">
        <v>21.471473</v>
      </c>
      <c r="O308" s="67">
        <v>91.992976999999996</v>
      </c>
      <c r="P308" s="71">
        <v>500</v>
      </c>
      <c r="Q308" s="71"/>
      <c r="R308" s="18"/>
      <c r="S308" s="18"/>
      <c r="T308" s="27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17"/>
      <c r="AH308" s="24"/>
      <c r="AI308" s="25"/>
      <c r="AJ308" s="25"/>
    </row>
    <row r="309" spans="1:36" x14ac:dyDescent="0.3">
      <c r="A309" s="63">
        <v>303</v>
      </c>
      <c r="B309" s="102" t="s">
        <v>3520</v>
      </c>
      <c r="C309" s="102" t="s">
        <v>3521</v>
      </c>
      <c r="D309" s="64" t="s">
        <v>119</v>
      </c>
      <c r="E309" s="71" t="s">
        <v>120</v>
      </c>
      <c r="F309" s="71" t="s">
        <v>128</v>
      </c>
      <c r="G309" s="71" t="s">
        <v>47</v>
      </c>
      <c r="H309" s="23"/>
      <c r="I309" s="23"/>
      <c r="J309" s="23"/>
      <c r="K309" s="75" t="s">
        <v>996</v>
      </c>
      <c r="L309" s="71" t="s">
        <v>997</v>
      </c>
      <c r="M309" s="68" t="s">
        <v>998</v>
      </c>
      <c r="N309" s="67">
        <v>21.467151000000001</v>
      </c>
      <c r="O309" s="67">
        <v>91.992406000000003</v>
      </c>
      <c r="P309" s="71">
        <v>7500</v>
      </c>
      <c r="Q309" s="71"/>
      <c r="R309" s="18"/>
      <c r="S309" s="18"/>
      <c r="T309" s="27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17"/>
      <c r="AH309" s="24"/>
      <c r="AI309" s="25"/>
      <c r="AJ309" s="25"/>
    </row>
    <row r="310" spans="1:36" x14ac:dyDescent="0.3">
      <c r="A310" s="63">
        <v>304</v>
      </c>
      <c r="B310" s="102" t="s">
        <v>3520</v>
      </c>
      <c r="C310" s="102" t="s">
        <v>3521</v>
      </c>
      <c r="D310" s="64" t="s">
        <v>119</v>
      </c>
      <c r="E310" s="71" t="s">
        <v>120</v>
      </c>
      <c r="F310" s="71" t="s">
        <v>128</v>
      </c>
      <c r="G310" s="71" t="s">
        <v>47</v>
      </c>
      <c r="H310" s="23"/>
      <c r="I310" s="23"/>
      <c r="J310" s="23"/>
      <c r="K310" s="75" t="s">
        <v>999</v>
      </c>
      <c r="L310" s="71" t="s">
        <v>1000</v>
      </c>
      <c r="M310" s="68" t="s">
        <v>1001</v>
      </c>
      <c r="N310" s="67">
        <v>21.461423</v>
      </c>
      <c r="O310" s="67">
        <v>91.989790999999997</v>
      </c>
      <c r="P310" s="71">
        <v>1500</v>
      </c>
      <c r="Q310" s="71"/>
      <c r="R310" s="18"/>
      <c r="S310" s="18"/>
      <c r="T310" s="27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17"/>
      <c r="AH310" s="24"/>
      <c r="AI310" s="25"/>
      <c r="AJ310" s="25"/>
    </row>
    <row r="311" spans="1:36" x14ac:dyDescent="0.3">
      <c r="A311" s="63">
        <v>305</v>
      </c>
      <c r="B311" s="102" t="s">
        <v>3520</v>
      </c>
      <c r="C311" s="102" t="s">
        <v>3521</v>
      </c>
      <c r="D311" s="64" t="s">
        <v>119</v>
      </c>
      <c r="E311" s="71" t="s">
        <v>120</v>
      </c>
      <c r="F311" s="71" t="s">
        <v>128</v>
      </c>
      <c r="G311" s="71" t="s">
        <v>47</v>
      </c>
      <c r="H311" s="23"/>
      <c r="I311" s="23"/>
      <c r="J311" s="23"/>
      <c r="K311" s="75" t="s">
        <v>1002</v>
      </c>
      <c r="L311" s="71" t="s">
        <v>1003</v>
      </c>
      <c r="M311" s="68" t="s">
        <v>1004</v>
      </c>
      <c r="N311" s="67">
        <v>21.467815999999999</v>
      </c>
      <c r="O311" s="67">
        <v>91.986889000000005</v>
      </c>
      <c r="P311" s="71">
        <v>5000</v>
      </c>
      <c r="Q311" s="71"/>
      <c r="R311" s="18"/>
      <c r="S311" s="18"/>
      <c r="T311" s="27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17"/>
      <c r="AH311" s="24"/>
      <c r="AI311" s="25"/>
      <c r="AJ311" s="25"/>
    </row>
    <row r="312" spans="1:36" x14ac:dyDescent="0.3">
      <c r="A312" s="63">
        <v>306</v>
      </c>
      <c r="B312" s="102" t="s">
        <v>3520</v>
      </c>
      <c r="C312" s="102" t="s">
        <v>3521</v>
      </c>
      <c r="D312" s="64" t="s">
        <v>119</v>
      </c>
      <c r="E312" s="71" t="s">
        <v>120</v>
      </c>
      <c r="F312" s="71" t="s">
        <v>128</v>
      </c>
      <c r="G312" s="71" t="s">
        <v>47</v>
      </c>
      <c r="H312" s="23"/>
      <c r="I312" s="23"/>
      <c r="J312" s="23"/>
      <c r="K312" s="75" t="s">
        <v>1005</v>
      </c>
      <c r="L312" s="71" t="s">
        <v>1006</v>
      </c>
      <c r="M312" s="68" t="s">
        <v>1007</v>
      </c>
      <c r="N312" s="67">
        <v>21.464960000000001</v>
      </c>
      <c r="O312" s="67">
        <v>91.990814999999998</v>
      </c>
      <c r="P312" s="71">
        <v>300</v>
      </c>
      <c r="Q312" s="71"/>
      <c r="R312" s="18"/>
      <c r="S312" s="18"/>
      <c r="T312" s="27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4"/>
      <c r="AI312" s="25"/>
      <c r="AJ312" s="25"/>
    </row>
    <row r="313" spans="1:36" x14ac:dyDescent="0.3">
      <c r="A313" s="63">
        <v>307</v>
      </c>
      <c r="B313" s="102" t="s">
        <v>3520</v>
      </c>
      <c r="C313" s="102" t="s">
        <v>3521</v>
      </c>
      <c r="D313" s="64" t="s">
        <v>119</v>
      </c>
      <c r="E313" s="71" t="s">
        <v>120</v>
      </c>
      <c r="F313" s="71" t="s">
        <v>128</v>
      </c>
      <c r="G313" s="71" t="s">
        <v>48</v>
      </c>
      <c r="H313" s="23"/>
      <c r="I313" s="23"/>
      <c r="J313" s="23"/>
      <c r="K313" s="75" t="s">
        <v>1008</v>
      </c>
      <c r="L313" s="71" t="s">
        <v>1009</v>
      </c>
      <c r="M313" s="68" t="s">
        <v>1010</v>
      </c>
      <c r="N313" s="67">
        <v>21.464071000000001</v>
      </c>
      <c r="O313" s="67">
        <v>91.980405000000005</v>
      </c>
      <c r="P313" s="71">
        <v>200</v>
      </c>
      <c r="Q313" s="71"/>
      <c r="R313" s="18"/>
      <c r="S313" s="18"/>
      <c r="T313" s="22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17"/>
      <c r="AH313" s="24"/>
      <c r="AI313" s="25"/>
      <c r="AJ313" s="25"/>
    </row>
    <row r="314" spans="1:36" x14ac:dyDescent="0.3">
      <c r="A314" s="63">
        <v>308</v>
      </c>
      <c r="B314" s="102" t="s">
        <v>3520</v>
      </c>
      <c r="C314" s="102" t="s">
        <v>3521</v>
      </c>
      <c r="D314" s="64" t="s">
        <v>119</v>
      </c>
      <c r="E314" s="71" t="s">
        <v>120</v>
      </c>
      <c r="F314" s="71" t="s">
        <v>128</v>
      </c>
      <c r="G314" s="71" t="s">
        <v>48</v>
      </c>
      <c r="H314" s="23"/>
      <c r="I314" s="23"/>
      <c r="J314" s="23"/>
      <c r="K314" s="75" t="s">
        <v>1011</v>
      </c>
      <c r="L314" s="71" t="s">
        <v>1012</v>
      </c>
      <c r="M314" s="68" t="s">
        <v>1013</v>
      </c>
      <c r="N314" s="67">
        <v>21.461863999999998</v>
      </c>
      <c r="O314" s="67">
        <v>91.984183999999999</v>
      </c>
      <c r="P314" s="71">
        <v>200</v>
      </c>
      <c r="Q314" s="71"/>
      <c r="R314" s="18"/>
      <c r="S314" s="18"/>
      <c r="T314" s="27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17"/>
      <c r="AH314" s="24"/>
      <c r="AI314" s="25"/>
      <c r="AJ314" s="25"/>
    </row>
    <row r="315" spans="1:36" x14ac:dyDescent="0.3">
      <c r="A315" s="63">
        <v>309</v>
      </c>
      <c r="B315" s="102" t="s">
        <v>3520</v>
      </c>
      <c r="C315" s="102" t="s">
        <v>3521</v>
      </c>
      <c r="D315" s="64" t="s">
        <v>119</v>
      </c>
      <c r="E315" s="71" t="s">
        <v>120</v>
      </c>
      <c r="F315" s="71" t="s">
        <v>128</v>
      </c>
      <c r="G315" s="71" t="s">
        <v>48</v>
      </c>
      <c r="H315" s="23"/>
      <c r="I315" s="23"/>
      <c r="J315" s="23"/>
      <c r="K315" s="75" t="s">
        <v>1014</v>
      </c>
      <c r="L315" s="71" t="s">
        <v>1015</v>
      </c>
      <c r="M315" s="68" t="s">
        <v>1016</v>
      </c>
      <c r="N315" s="67">
        <v>21.461721000000001</v>
      </c>
      <c r="O315" s="67">
        <v>91.986372000000003</v>
      </c>
      <c r="P315" s="71">
        <v>100</v>
      </c>
      <c r="Q315" s="71"/>
      <c r="R315" s="18"/>
      <c r="S315" s="18"/>
      <c r="T315" s="27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17"/>
      <c r="AH315" s="24"/>
      <c r="AI315" s="25"/>
      <c r="AJ315" s="25"/>
    </row>
    <row r="316" spans="1:36" x14ac:dyDescent="0.3">
      <c r="A316" s="63">
        <v>310</v>
      </c>
      <c r="B316" s="102" t="s">
        <v>3520</v>
      </c>
      <c r="C316" s="102" t="s">
        <v>3521</v>
      </c>
      <c r="D316" s="64" t="s">
        <v>119</v>
      </c>
      <c r="E316" s="71" t="s">
        <v>120</v>
      </c>
      <c r="F316" s="71" t="s">
        <v>128</v>
      </c>
      <c r="G316" s="71" t="s">
        <v>48</v>
      </c>
      <c r="H316" s="23"/>
      <c r="I316" s="23"/>
      <c r="J316" s="23"/>
      <c r="K316" s="75" t="s">
        <v>1017</v>
      </c>
      <c r="L316" s="71" t="s">
        <v>1018</v>
      </c>
      <c r="M316" s="68" t="s">
        <v>1019</v>
      </c>
      <c r="N316" s="67">
        <v>21.466211000000001</v>
      </c>
      <c r="O316" s="67">
        <v>91.990449999999996</v>
      </c>
      <c r="P316" s="71">
        <v>1500</v>
      </c>
      <c r="Q316" s="71"/>
      <c r="R316" s="18"/>
      <c r="S316" s="18"/>
      <c r="T316" s="22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17"/>
      <c r="AH316" s="24"/>
      <c r="AI316" s="25"/>
      <c r="AJ316" s="25"/>
    </row>
    <row r="317" spans="1:36" x14ac:dyDescent="0.3">
      <c r="A317" s="63">
        <v>311</v>
      </c>
      <c r="B317" s="102" t="s">
        <v>3520</v>
      </c>
      <c r="C317" s="102" t="s">
        <v>3521</v>
      </c>
      <c r="D317" s="64" t="s">
        <v>119</v>
      </c>
      <c r="E317" s="71" t="s">
        <v>120</v>
      </c>
      <c r="F317" s="71" t="s">
        <v>128</v>
      </c>
      <c r="G317" s="71" t="s">
        <v>48</v>
      </c>
      <c r="H317" s="23"/>
      <c r="I317" s="23"/>
      <c r="J317" s="23"/>
      <c r="K317" s="75" t="s">
        <v>1020</v>
      </c>
      <c r="L317" s="71" t="s">
        <v>1021</v>
      </c>
      <c r="M317" s="68" t="s">
        <v>1022</v>
      </c>
      <c r="N317" s="67">
        <v>21.469148000000001</v>
      </c>
      <c r="O317" s="67">
        <v>91.990834000000007</v>
      </c>
      <c r="P317" s="71">
        <v>1800</v>
      </c>
      <c r="Q317" s="71"/>
      <c r="R317" s="18"/>
      <c r="S317" s="18"/>
      <c r="T317" s="22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17"/>
      <c r="AH317" s="24"/>
      <c r="AI317" s="25"/>
      <c r="AJ317" s="25"/>
    </row>
    <row r="318" spans="1:36" x14ac:dyDescent="0.3">
      <c r="A318" s="63">
        <v>312</v>
      </c>
      <c r="B318" s="102" t="s">
        <v>3520</v>
      </c>
      <c r="C318" s="102" t="s">
        <v>3521</v>
      </c>
      <c r="D318" s="64" t="s">
        <v>119</v>
      </c>
      <c r="E318" s="71" t="s">
        <v>120</v>
      </c>
      <c r="F318" s="71" t="s">
        <v>128</v>
      </c>
      <c r="G318" s="71" t="s">
        <v>48</v>
      </c>
      <c r="H318" s="23"/>
      <c r="I318" s="23"/>
      <c r="J318" s="23"/>
      <c r="K318" s="69" t="s">
        <v>94</v>
      </c>
      <c r="L318" s="71" t="s">
        <v>95</v>
      </c>
      <c r="M318" s="68" t="s">
        <v>1023</v>
      </c>
      <c r="N318" s="67">
        <v>21.471557000000001</v>
      </c>
      <c r="O318" s="67">
        <v>91.990633000000003</v>
      </c>
      <c r="P318" s="71">
        <v>700</v>
      </c>
      <c r="Q318" s="71"/>
      <c r="R318" s="18"/>
      <c r="S318" s="18"/>
      <c r="T318" s="27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17"/>
      <c r="AH318" s="24"/>
      <c r="AI318" s="25"/>
      <c r="AJ318" s="25"/>
    </row>
    <row r="319" spans="1:36" x14ac:dyDescent="0.3">
      <c r="A319" s="63">
        <v>313</v>
      </c>
      <c r="B319" s="102" t="s">
        <v>3520</v>
      </c>
      <c r="C319" s="102" t="s">
        <v>3521</v>
      </c>
      <c r="D319" s="64" t="s">
        <v>119</v>
      </c>
      <c r="E319" s="71" t="s">
        <v>120</v>
      </c>
      <c r="F319" s="71" t="s">
        <v>128</v>
      </c>
      <c r="G319" s="71" t="s">
        <v>48</v>
      </c>
      <c r="H319" s="23"/>
      <c r="I319" s="23"/>
      <c r="J319" s="23"/>
      <c r="K319" s="75" t="s">
        <v>1024</v>
      </c>
      <c r="L319" s="71" t="s">
        <v>1025</v>
      </c>
      <c r="M319" s="68" t="s">
        <v>1026</v>
      </c>
      <c r="N319" s="67">
        <v>21.469439999999999</v>
      </c>
      <c r="O319" s="67">
        <v>91.977001999999999</v>
      </c>
      <c r="P319" s="71">
        <v>12000</v>
      </c>
      <c r="Q319" s="71"/>
      <c r="R319" s="18"/>
      <c r="S319" s="18"/>
      <c r="T319" s="27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17"/>
      <c r="AH319" s="24"/>
      <c r="AI319" s="25"/>
      <c r="AJ319" s="25"/>
    </row>
    <row r="320" spans="1:36" x14ac:dyDescent="0.3">
      <c r="A320" s="63">
        <v>314</v>
      </c>
      <c r="B320" s="102" t="s">
        <v>3520</v>
      </c>
      <c r="C320" s="102" t="s">
        <v>3521</v>
      </c>
      <c r="D320" s="64" t="s">
        <v>119</v>
      </c>
      <c r="E320" s="71" t="s">
        <v>120</v>
      </c>
      <c r="F320" s="71" t="s">
        <v>128</v>
      </c>
      <c r="G320" s="71" t="s">
        <v>48</v>
      </c>
      <c r="H320" s="23"/>
      <c r="I320" s="23"/>
      <c r="J320" s="23"/>
      <c r="K320" s="75" t="s">
        <v>1027</v>
      </c>
      <c r="L320" s="71" t="s">
        <v>1028</v>
      </c>
      <c r="M320" s="68" t="s">
        <v>1029</v>
      </c>
      <c r="N320" s="67">
        <v>21.447741000000001</v>
      </c>
      <c r="O320" s="67">
        <v>91.973938000000004</v>
      </c>
      <c r="P320" s="71">
        <v>500</v>
      </c>
      <c r="Q320" s="71"/>
      <c r="R320" s="18"/>
      <c r="S320" s="18"/>
      <c r="T320" s="27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17"/>
      <c r="AH320" s="24"/>
      <c r="AI320" s="25"/>
      <c r="AJ320" s="25"/>
    </row>
    <row r="321" spans="1:36" x14ac:dyDescent="0.3">
      <c r="A321" s="63">
        <v>315</v>
      </c>
      <c r="B321" s="102" t="s">
        <v>3520</v>
      </c>
      <c r="C321" s="102" t="s">
        <v>3521</v>
      </c>
      <c r="D321" s="64" t="s">
        <v>119</v>
      </c>
      <c r="E321" s="71" t="s">
        <v>120</v>
      </c>
      <c r="F321" s="71" t="s">
        <v>128</v>
      </c>
      <c r="G321" s="71" t="s">
        <v>49</v>
      </c>
      <c r="H321" s="23"/>
      <c r="I321" s="23"/>
      <c r="J321" s="23"/>
      <c r="K321" s="75" t="s">
        <v>1030</v>
      </c>
      <c r="L321" s="71" t="s">
        <v>1031</v>
      </c>
      <c r="M321" s="68" t="s">
        <v>1032</v>
      </c>
      <c r="N321" s="67">
        <v>21.454834000000002</v>
      </c>
      <c r="O321" s="67">
        <v>91.989264000000006</v>
      </c>
      <c r="P321" s="71">
        <v>5000</v>
      </c>
      <c r="Q321" s="71"/>
      <c r="R321" s="18"/>
      <c r="S321" s="18"/>
      <c r="T321" s="27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17"/>
      <c r="AH321" s="24"/>
      <c r="AI321" s="25"/>
      <c r="AJ321" s="25"/>
    </row>
    <row r="322" spans="1:36" x14ac:dyDescent="0.3">
      <c r="A322" s="63">
        <v>316</v>
      </c>
      <c r="B322" s="102" t="s">
        <v>3520</v>
      </c>
      <c r="C322" s="102" t="s">
        <v>3521</v>
      </c>
      <c r="D322" s="64" t="s">
        <v>119</v>
      </c>
      <c r="E322" s="71" t="s">
        <v>120</v>
      </c>
      <c r="F322" s="71" t="s">
        <v>128</v>
      </c>
      <c r="G322" s="71" t="s">
        <v>49</v>
      </c>
      <c r="H322" s="23"/>
      <c r="I322" s="23"/>
      <c r="J322" s="23"/>
      <c r="K322" s="75" t="s">
        <v>1033</v>
      </c>
      <c r="L322" s="71" t="s">
        <v>1034</v>
      </c>
      <c r="M322" s="68" t="s">
        <v>1035</v>
      </c>
      <c r="N322" s="67">
        <v>21.459807000000001</v>
      </c>
      <c r="O322" s="67">
        <v>91.991865000000004</v>
      </c>
      <c r="P322" s="71">
        <v>6000</v>
      </c>
      <c r="Q322" s="71"/>
      <c r="R322" s="18"/>
      <c r="S322" s="18"/>
      <c r="T322" s="27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17"/>
      <c r="AH322" s="24"/>
      <c r="AI322" s="25"/>
      <c r="AJ322" s="25"/>
    </row>
    <row r="323" spans="1:36" x14ac:dyDescent="0.3">
      <c r="A323" s="63">
        <v>317</v>
      </c>
      <c r="B323" s="102" t="s">
        <v>3520</v>
      </c>
      <c r="C323" s="102" t="s">
        <v>3521</v>
      </c>
      <c r="D323" s="64" t="s">
        <v>119</v>
      </c>
      <c r="E323" s="71" t="s">
        <v>120</v>
      </c>
      <c r="F323" s="71" t="s">
        <v>128</v>
      </c>
      <c r="G323" s="71" t="s">
        <v>49</v>
      </c>
      <c r="H323" s="23"/>
      <c r="I323" s="23"/>
      <c r="J323" s="23"/>
      <c r="K323" s="75" t="s">
        <v>1036</v>
      </c>
      <c r="L323" s="71" t="s">
        <v>1037</v>
      </c>
      <c r="M323" s="68" t="s">
        <v>1038</v>
      </c>
      <c r="N323" s="67">
        <v>21.461092000000001</v>
      </c>
      <c r="O323" s="67">
        <v>91.999793999999994</v>
      </c>
      <c r="P323" s="71">
        <v>4000</v>
      </c>
      <c r="Q323" s="71"/>
      <c r="R323" s="18"/>
      <c r="S323" s="18"/>
      <c r="T323" s="22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17"/>
      <c r="AH323" s="24"/>
      <c r="AI323" s="25"/>
      <c r="AJ323" s="25"/>
    </row>
    <row r="324" spans="1:36" x14ac:dyDescent="0.3">
      <c r="A324" s="63">
        <v>318</v>
      </c>
      <c r="B324" s="102" t="s">
        <v>3520</v>
      </c>
      <c r="C324" s="102" t="s">
        <v>3521</v>
      </c>
      <c r="D324" s="64" t="s">
        <v>119</v>
      </c>
      <c r="E324" s="71" t="s">
        <v>120</v>
      </c>
      <c r="F324" s="71" t="s">
        <v>128</v>
      </c>
      <c r="G324" s="71" t="s">
        <v>49</v>
      </c>
      <c r="H324" s="23"/>
      <c r="I324" s="23"/>
      <c r="J324" s="23"/>
      <c r="K324" s="75" t="s">
        <v>1039</v>
      </c>
      <c r="L324" s="71" t="s">
        <v>1040</v>
      </c>
      <c r="M324" s="68" t="s">
        <v>1041</v>
      </c>
      <c r="N324" s="67">
        <v>21.454342</v>
      </c>
      <c r="O324" s="67">
        <v>91.999071000000001</v>
      </c>
      <c r="P324" s="71">
        <v>800</v>
      </c>
      <c r="Q324" s="71"/>
      <c r="R324" s="18"/>
      <c r="S324" s="18"/>
      <c r="T324" s="27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17"/>
      <c r="AH324" s="24"/>
      <c r="AI324" s="25"/>
      <c r="AJ324" s="25"/>
    </row>
    <row r="325" spans="1:36" x14ac:dyDescent="0.3">
      <c r="A325" s="63">
        <v>319</v>
      </c>
      <c r="B325" s="102" t="s">
        <v>3520</v>
      </c>
      <c r="C325" s="102" t="s">
        <v>3521</v>
      </c>
      <c r="D325" s="64" t="s">
        <v>119</v>
      </c>
      <c r="E325" s="78" t="s">
        <v>120</v>
      </c>
      <c r="F325" s="78" t="s">
        <v>129</v>
      </c>
      <c r="G325" s="71" t="s">
        <v>41</v>
      </c>
      <c r="H325" s="23"/>
      <c r="I325" s="23"/>
      <c r="J325" s="23"/>
      <c r="K325" s="75" t="s">
        <v>1042</v>
      </c>
      <c r="L325" s="78" t="s">
        <v>1043</v>
      </c>
      <c r="M325" s="68" t="s">
        <v>1044</v>
      </c>
      <c r="N325" s="67">
        <v>21.453344000000001</v>
      </c>
      <c r="O325" s="67">
        <v>92.006731000000002</v>
      </c>
      <c r="P325" s="78">
        <v>3000</v>
      </c>
      <c r="Q325" s="78"/>
      <c r="R325" s="18"/>
      <c r="S325" s="18"/>
      <c r="T325" s="27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17"/>
      <c r="AH325" s="24"/>
      <c r="AI325" s="25"/>
      <c r="AJ325" s="25"/>
    </row>
    <row r="326" spans="1:36" x14ac:dyDescent="0.3">
      <c r="A326" s="63">
        <v>320</v>
      </c>
      <c r="B326" s="102" t="s">
        <v>3520</v>
      </c>
      <c r="C326" s="102" t="s">
        <v>3521</v>
      </c>
      <c r="D326" s="64" t="s">
        <v>119</v>
      </c>
      <c r="E326" s="78" t="s">
        <v>120</v>
      </c>
      <c r="F326" s="78" t="s">
        <v>129</v>
      </c>
      <c r="G326" s="71" t="s">
        <v>41</v>
      </c>
      <c r="H326" s="23"/>
      <c r="I326" s="23"/>
      <c r="J326" s="23"/>
      <c r="K326" s="75" t="s">
        <v>67</v>
      </c>
      <c r="L326" s="78" t="s">
        <v>68</v>
      </c>
      <c r="M326" s="68" t="s">
        <v>1045</v>
      </c>
      <c r="N326" s="67">
        <v>21.451789000000002</v>
      </c>
      <c r="O326" s="67">
        <v>92.012343999999999</v>
      </c>
      <c r="P326" s="78">
        <v>1200</v>
      </c>
      <c r="Q326" s="78"/>
      <c r="R326" s="18"/>
      <c r="S326" s="18"/>
      <c r="T326" s="27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4"/>
      <c r="AI326" s="25"/>
      <c r="AJ326" s="25"/>
    </row>
    <row r="327" spans="1:36" x14ac:dyDescent="0.3">
      <c r="A327" s="63">
        <v>321</v>
      </c>
      <c r="B327" s="102" t="s">
        <v>3520</v>
      </c>
      <c r="C327" s="102" t="s">
        <v>3521</v>
      </c>
      <c r="D327" s="64" t="s">
        <v>119</v>
      </c>
      <c r="E327" s="78" t="s">
        <v>120</v>
      </c>
      <c r="F327" s="78" t="s">
        <v>129</v>
      </c>
      <c r="G327" s="71" t="s">
        <v>41</v>
      </c>
      <c r="H327" s="23"/>
      <c r="I327" s="23"/>
      <c r="J327" s="23"/>
      <c r="K327" s="75" t="s">
        <v>1046</v>
      </c>
      <c r="L327" s="78" t="s">
        <v>1047</v>
      </c>
      <c r="M327" s="68" t="s">
        <v>1048</v>
      </c>
      <c r="N327" s="67">
        <v>21.449549000000001</v>
      </c>
      <c r="O327" s="67">
        <v>92.011159000000006</v>
      </c>
      <c r="P327" s="78">
        <v>400</v>
      </c>
      <c r="Q327" s="78"/>
      <c r="R327" s="18"/>
      <c r="S327" s="18"/>
      <c r="T327" s="27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17"/>
      <c r="AH327" s="24"/>
      <c r="AI327" s="25"/>
      <c r="AJ327" s="25"/>
    </row>
    <row r="328" spans="1:36" x14ac:dyDescent="0.3">
      <c r="A328" s="63">
        <v>322</v>
      </c>
      <c r="B328" s="102" t="s">
        <v>3520</v>
      </c>
      <c r="C328" s="102" t="s">
        <v>3521</v>
      </c>
      <c r="D328" s="64" t="s">
        <v>119</v>
      </c>
      <c r="E328" s="78" t="s">
        <v>120</v>
      </c>
      <c r="F328" s="78" t="s">
        <v>129</v>
      </c>
      <c r="G328" s="71" t="s">
        <v>42</v>
      </c>
      <c r="H328" s="23"/>
      <c r="I328" s="23"/>
      <c r="J328" s="23"/>
      <c r="K328" s="75" t="s">
        <v>1049</v>
      </c>
      <c r="L328" s="78" t="s">
        <v>1050</v>
      </c>
      <c r="M328" s="68" t="s">
        <v>1051</v>
      </c>
      <c r="N328" s="67">
        <v>21.452079999999999</v>
      </c>
      <c r="O328" s="67">
        <v>92.020491000000007</v>
      </c>
      <c r="P328" s="78">
        <v>3000</v>
      </c>
      <c r="Q328" s="78"/>
      <c r="R328" s="18"/>
      <c r="S328" s="18"/>
      <c r="T328" s="27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17"/>
      <c r="AH328" s="24"/>
      <c r="AI328" s="25"/>
      <c r="AJ328" s="25"/>
    </row>
    <row r="329" spans="1:36" x14ac:dyDescent="0.3">
      <c r="A329" s="63">
        <v>323</v>
      </c>
      <c r="B329" s="102" t="s">
        <v>3520</v>
      </c>
      <c r="C329" s="102" t="s">
        <v>3521</v>
      </c>
      <c r="D329" s="64" t="s">
        <v>119</v>
      </c>
      <c r="E329" s="78" t="s">
        <v>120</v>
      </c>
      <c r="F329" s="78" t="s">
        <v>129</v>
      </c>
      <c r="G329" s="71" t="s">
        <v>42</v>
      </c>
      <c r="H329" s="23"/>
      <c r="I329" s="23"/>
      <c r="J329" s="23"/>
      <c r="K329" s="75" t="s">
        <v>1052</v>
      </c>
      <c r="L329" s="78" t="s">
        <v>1053</v>
      </c>
      <c r="M329" s="68" t="s">
        <v>1054</v>
      </c>
      <c r="N329" s="67">
        <v>21.461148000000001</v>
      </c>
      <c r="O329" s="67">
        <v>92.017730999999998</v>
      </c>
      <c r="P329" s="78">
        <v>2000</v>
      </c>
      <c r="Q329" s="78"/>
      <c r="R329" s="18"/>
      <c r="S329" s="18"/>
      <c r="T329" s="27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17"/>
      <c r="AH329" s="24"/>
      <c r="AI329" s="25"/>
      <c r="AJ329" s="25"/>
    </row>
    <row r="330" spans="1:36" x14ac:dyDescent="0.3">
      <c r="A330" s="63">
        <v>324</v>
      </c>
      <c r="B330" s="102" t="s">
        <v>3520</v>
      </c>
      <c r="C330" s="102" t="s">
        <v>3521</v>
      </c>
      <c r="D330" s="64" t="s">
        <v>119</v>
      </c>
      <c r="E330" s="78" t="s">
        <v>120</v>
      </c>
      <c r="F330" s="78" t="s">
        <v>129</v>
      </c>
      <c r="G330" s="71" t="s">
        <v>42</v>
      </c>
      <c r="H330" s="23"/>
      <c r="I330" s="23"/>
      <c r="J330" s="23"/>
      <c r="K330" s="75" t="s">
        <v>1055</v>
      </c>
      <c r="L330" s="78" t="s">
        <v>1056</v>
      </c>
      <c r="M330" s="68" t="s">
        <v>1057</v>
      </c>
      <c r="N330" s="67">
        <v>21.459358999999999</v>
      </c>
      <c r="O330" s="67">
        <v>92.012816999999998</v>
      </c>
      <c r="P330" s="78">
        <v>2000</v>
      </c>
      <c r="Q330" s="78"/>
      <c r="R330" s="18"/>
      <c r="S330" s="18"/>
      <c r="T330" s="27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17"/>
      <c r="AH330" s="24"/>
      <c r="AI330" s="25"/>
      <c r="AJ330" s="25"/>
    </row>
    <row r="331" spans="1:36" x14ac:dyDescent="0.3">
      <c r="A331" s="63">
        <v>325</v>
      </c>
      <c r="B331" s="102" t="s">
        <v>3520</v>
      </c>
      <c r="C331" s="102" t="s">
        <v>3521</v>
      </c>
      <c r="D331" s="64" t="s">
        <v>119</v>
      </c>
      <c r="E331" s="78" t="s">
        <v>120</v>
      </c>
      <c r="F331" s="78" t="s">
        <v>129</v>
      </c>
      <c r="G331" s="71" t="s">
        <v>42</v>
      </c>
      <c r="H331" s="23"/>
      <c r="I331" s="23"/>
      <c r="J331" s="23"/>
      <c r="K331" s="75" t="s">
        <v>1058</v>
      </c>
      <c r="L331" s="78" t="s">
        <v>1059</v>
      </c>
      <c r="M331" s="68" t="s">
        <v>1060</v>
      </c>
      <c r="N331" s="67">
        <v>21.457784</v>
      </c>
      <c r="O331" s="67">
        <v>92.010142999999999</v>
      </c>
      <c r="P331" s="78">
        <v>3500</v>
      </c>
      <c r="Q331" s="78"/>
      <c r="R331" s="18"/>
      <c r="S331" s="18"/>
      <c r="T331" s="27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17"/>
      <c r="AH331" s="24"/>
      <c r="AI331" s="25"/>
      <c r="AJ331" s="25"/>
    </row>
    <row r="332" spans="1:36" x14ac:dyDescent="0.3">
      <c r="A332" s="63">
        <v>326</v>
      </c>
      <c r="B332" s="102" t="s">
        <v>3520</v>
      </c>
      <c r="C332" s="102" t="s">
        <v>3521</v>
      </c>
      <c r="D332" s="64" t="s">
        <v>119</v>
      </c>
      <c r="E332" s="78" t="s">
        <v>120</v>
      </c>
      <c r="F332" s="78" t="s">
        <v>129</v>
      </c>
      <c r="G332" s="71" t="s">
        <v>42</v>
      </c>
      <c r="H332" s="23"/>
      <c r="I332" s="23"/>
      <c r="J332" s="23"/>
      <c r="K332" s="75" t="s">
        <v>303</v>
      </c>
      <c r="L332" s="68" t="s">
        <v>304</v>
      </c>
      <c r="M332" s="68" t="s">
        <v>1061</v>
      </c>
      <c r="N332" s="67">
        <v>21.458227999999998</v>
      </c>
      <c r="O332" s="67">
        <v>92.022675000000007</v>
      </c>
      <c r="P332" s="78">
        <v>900</v>
      </c>
      <c r="Q332" s="78"/>
      <c r="R332" s="18"/>
      <c r="S332" s="18"/>
      <c r="T332" s="22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17"/>
      <c r="AH332" s="24"/>
      <c r="AI332" s="25"/>
      <c r="AJ332" s="25"/>
    </row>
    <row r="333" spans="1:36" x14ac:dyDescent="0.3">
      <c r="A333" s="63">
        <v>327</v>
      </c>
      <c r="B333" s="102" t="s">
        <v>3520</v>
      </c>
      <c r="C333" s="102" t="s">
        <v>3521</v>
      </c>
      <c r="D333" s="64" t="s">
        <v>119</v>
      </c>
      <c r="E333" s="78" t="s">
        <v>120</v>
      </c>
      <c r="F333" s="78" t="s">
        <v>129</v>
      </c>
      <c r="G333" s="71" t="s">
        <v>42</v>
      </c>
      <c r="H333" s="23"/>
      <c r="I333" s="23"/>
      <c r="J333" s="23"/>
      <c r="K333" s="75" t="s">
        <v>1062</v>
      </c>
      <c r="L333" s="78" t="s">
        <v>1063</v>
      </c>
      <c r="M333" s="68" t="s">
        <v>1064</v>
      </c>
      <c r="N333" s="67">
        <v>21.449314000000001</v>
      </c>
      <c r="O333" s="67">
        <v>92.015951000000001</v>
      </c>
      <c r="P333" s="78">
        <v>900</v>
      </c>
      <c r="Q333" s="78"/>
      <c r="R333" s="18"/>
      <c r="S333" s="18"/>
      <c r="T333" s="22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17"/>
      <c r="AH333" s="24"/>
      <c r="AI333" s="25"/>
      <c r="AJ333" s="25"/>
    </row>
    <row r="334" spans="1:36" x14ac:dyDescent="0.3">
      <c r="A334" s="63">
        <v>328</v>
      </c>
      <c r="B334" s="102" t="s">
        <v>3520</v>
      </c>
      <c r="C334" s="102" t="s">
        <v>3521</v>
      </c>
      <c r="D334" s="64" t="s">
        <v>119</v>
      </c>
      <c r="E334" s="78" t="s">
        <v>120</v>
      </c>
      <c r="F334" s="78" t="s">
        <v>129</v>
      </c>
      <c r="G334" s="71" t="s">
        <v>43</v>
      </c>
      <c r="H334" s="23"/>
      <c r="I334" s="23"/>
      <c r="J334" s="23"/>
      <c r="K334" s="75" t="s">
        <v>1065</v>
      </c>
      <c r="L334" s="78" t="s">
        <v>1066</v>
      </c>
      <c r="M334" s="68" t="s">
        <v>1067</v>
      </c>
      <c r="N334" s="67">
        <v>21.479282000000001</v>
      </c>
      <c r="O334" s="67">
        <v>92.027717999999993</v>
      </c>
      <c r="P334" s="78">
        <v>1200</v>
      </c>
      <c r="Q334" s="78"/>
      <c r="R334" s="18"/>
      <c r="S334" s="18"/>
      <c r="T334" s="22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17"/>
      <c r="AH334" s="24"/>
      <c r="AI334" s="25"/>
      <c r="AJ334" s="25"/>
    </row>
    <row r="335" spans="1:36" x14ac:dyDescent="0.3">
      <c r="A335" s="63">
        <v>329</v>
      </c>
      <c r="B335" s="102" t="s">
        <v>3520</v>
      </c>
      <c r="C335" s="102" t="s">
        <v>3521</v>
      </c>
      <c r="D335" s="64" t="s">
        <v>119</v>
      </c>
      <c r="E335" s="78" t="s">
        <v>120</v>
      </c>
      <c r="F335" s="78" t="s">
        <v>129</v>
      </c>
      <c r="G335" s="71" t="s">
        <v>43</v>
      </c>
      <c r="H335" s="23"/>
      <c r="I335" s="23"/>
      <c r="J335" s="23"/>
      <c r="K335" s="75" t="s">
        <v>1068</v>
      </c>
      <c r="L335" s="78" t="s">
        <v>1069</v>
      </c>
      <c r="M335" s="68" t="s">
        <v>1070</v>
      </c>
      <c r="N335" s="67">
        <v>21.476586999999999</v>
      </c>
      <c r="O335" s="67">
        <v>92.022239999999996</v>
      </c>
      <c r="P335" s="78">
        <v>250</v>
      </c>
      <c r="Q335" s="78"/>
      <c r="R335" s="18"/>
      <c r="S335" s="18"/>
      <c r="T335" s="27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17"/>
      <c r="AH335" s="24"/>
      <c r="AI335" s="25"/>
      <c r="AJ335" s="25"/>
    </row>
    <row r="336" spans="1:36" x14ac:dyDescent="0.3">
      <c r="A336" s="63">
        <v>330</v>
      </c>
      <c r="B336" s="102" t="s">
        <v>3520</v>
      </c>
      <c r="C336" s="102" t="s">
        <v>3521</v>
      </c>
      <c r="D336" s="64" t="s">
        <v>119</v>
      </c>
      <c r="E336" s="78" t="s">
        <v>120</v>
      </c>
      <c r="F336" s="78" t="s">
        <v>129</v>
      </c>
      <c r="G336" s="71" t="s">
        <v>43</v>
      </c>
      <c r="H336" s="23"/>
      <c r="I336" s="23"/>
      <c r="J336" s="23"/>
      <c r="K336" s="75" t="s">
        <v>1071</v>
      </c>
      <c r="L336" s="78" t="s">
        <v>1072</v>
      </c>
      <c r="M336" s="68" t="s">
        <v>1073</v>
      </c>
      <c r="N336" s="67">
        <v>21.483917999999999</v>
      </c>
      <c r="O336" s="67">
        <v>92.027170999999996</v>
      </c>
      <c r="P336" s="78">
        <v>550</v>
      </c>
      <c r="Q336" s="78"/>
      <c r="R336" s="18"/>
      <c r="S336" s="18"/>
      <c r="T336" s="27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17"/>
      <c r="AH336" s="24"/>
      <c r="AI336" s="25"/>
      <c r="AJ336" s="25"/>
    </row>
    <row r="337" spans="1:36" x14ac:dyDescent="0.3">
      <c r="A337" s="63">
        <v>331</v>
      </c>
      <c r="B337" s="102" t="s">
        <v>3520</v>
      </c>
      <c r="C337" s="102" t="s">
        <v>3521</v>
      </c>
      <c r="D337" s="64" t="s">
        <v>119</v>
      </c>
      <c r="E337" s="78" t="s">
        <v>120</v>
      </c>
      <c r="F337" s="78" t="s">
        <v>129</v>
      </c>
      <c r="G337" s="71" t="s">
        <v>43</v>
      </c>
      <c r="H337" s="23"/>
      <c r="I337" s="23"/>
      <c r="J337" s="23"/>
      <c r="K337" s="75" t="s">
        <v>1074</v>
      </c>
      <c r="L337" s="78" t="s">
        <v>1075</v>
      </c>
      <c r="M337" s="68" t="s">
        <v>1076</v>
      </c>
      <c r="N337" s="67">
        <v>21.484663000000001</v>
      </c>
      <c r="O337" s="67">
        <v>92.030249999999995</v>
      </c>
      <c r="P337" s="78">
        <v>4000</v>
      </c>
      <c r="Q337" s="78"/>
      <c r="R337" s="18"/>
      <c r="S337" s="18"/>
      <c r="T337" s="27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17"/>
      <c r="AH337" s="24"/>
      <c r="AI337" s="25"/>
      <c r="AJ337" s="25"/>
    </row>
    <row r="338" spans="1:36" x14ac:dyDescent="0.3">
      <c r="A338" s="63">
        <v>332</v>
      </c>
      <c r="B338" s="102" t="s">
        <v>3520</v>
      </c>
      <c r="C338" s="102" t="s">
        <v>3521</v>
      </c>
      <c r="D338" s="64" t="s">
        <v>119</v>
      </c>
      <c r="E338" s="78" t="s">
        <v>120</v>
      </c>
      <c r="F338" s="78" t="s">
        <v>129</v>
      </c>
      <c r="G338" s="71" t="s">
        <v>43</v>
      </c>
      <c r="H338" s="23"/>
      <c r="I338" s="23"/>
      <c r="J338" s="23"/>
      <c r="K338" s="75" t="s">
        <v>1077</v>
      </c>
      <c r="L338" s="78" t="s">
        <v>1078</v>
      </c>
      <c r="M338" s="68" t="s">
        <v>1079</v>
      </c>
      <c r="N338" s="67">
        <v>21.478505999999999</v>
      </c>
      <c r="O338" s="67">
        <v>92.030602000000002</v>
      </c>
      <c r="P338" s="78">
        <v>1800</v>
      </c>
      <c r="Q338" s="78"/>
      <c r="R338" s="18"/>
      <c r="S338" s="18"/>
      <c r="T338" s="27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17"/>
      <c r="AH338" s="24"/>
      <c r="AI338" s="25"/>
      <c r="AJ338" s="25"/>
    </row>
    <row r="339" spans="1:36" x14ac:dyDescent="0.3">
      <c r="A339" s="63">
        <v>333</v>
      </c>
      <c r="B339" s="102" t="s">
        <v>3520</v>
      </c>
      <c r="C339" s="102" t="s">
        <v>3521</v>
      </c>
      <c r="D339" s="64" t="s">
        <v>119</v>
      </c>
      <c r="E339" s="78" t="s">
        <v>120</v>
      </c>
      <c r="F339" s="78" t="s">
        <v>129</v>
      </c>
      <c r="G339" s="71" t="s">
        <v>43</v>
      </c>
      <c r="H339" s="23"/>
      <c r="I339" s="23"/>
      <c r="J339" s="23"/>
      <c r="K339" s="75" t="s">
        <v>1080</v>
      </c>
      <c r="L339" s="78" t="s">
        <v>1081</v>
      </c>
      <c r="M339" s="68" t="s">
        <v>1082</v>
      </c>
      <c r="N339" s="67">
        <v>21.471976000000002</v>
      </c>
      <c r="O339" s="67">
        <v>92.035235999999998</v>
      </c>
      <c r="P339" s="78">
        <v>3700</v>
      </c>
      <c r="Q339" s="78"/>
      <c r="R339" s="18"/>
      <c r="S339" s="18"/>
      <c r="T339" s="27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17"/>
      <c r="AH339" s="24"/>
      <c r="AI339" s="25"/>
      <c r="AJ339" s="25"/>
    </row>
    <row r="340" spans="1:36" x14ac:dyDescent="0.3">
      <c r="A340" s="63">
        <v>334</v>
      </c>
      <c r="B340" s="102" t="s">
        <v>3520</v>
      </c>
      <c r="C340" s="102" t="s">
        <v>3521</v>
      </c>
      <c r="D340" s="64" t="s">
        <v>119</v>
      </c>
      <c r="E340" s="78" t="s">
        <v>120</v>
      </c>
      <c r="F340" s="78" t="s">
        <v>129</v>
      </c>
      <c r="G340" s="71" t="s">
        <v>43</v>
      </c>
      <c r="H340" s="23"/>
      <c r="I340" s="23"/>
      <c r="J340" s="23"/>
      <c r="K340" s="75" t="s">
        <v>1083</v>
      </c>
      <c r="L340" s="78" t="s">
        <v>1084</v>
      </c>
      <c r="M340" s="68" t="s">
        <v>1085</v>
      </c>
      <c r="N340" s="67">
        <v>21.471625</v>
      </c>
      <c r="O340" s="67">
        <v>92.028288000000003</v>
      </c>
      <c r="P340" s="78">
        <v>250</v>
      </c>
      <c r="Q340" s="78"/>
      <c r="R340" s="18"/>
      <c r="S340" s="18"/>
      <c r="T340" s="22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17"/>
      <c r="AH340" s="24"/>
      <c r="AI340" s="25"/>
      <c r="AJ340" s="25"/>
    </row>
    <row r="341" spans="1:36" x14ac:dyDescent="0.3">
      <c r="A341" s="63">
        <v>335</v>
      </c>
      <c r="B341" s="102" t="s">
        <v>3520</v>
      </c>
      <c r="C341" s="102" t="s">
        <v>3521</v>
      </c>
      <c r="D341" s="64" t="s">
        <v>119</v>
      </c>
      <c r="E341" s="78" t="s">
        <v>120</v>
      </c>
      <c r="F341" s="78" t="s">
        <v>129</v>
      </c>
      <c r="G341" s="71" t="s">
        <v>43</v>
      </c>
      <c r="H341" s="23"/>
      <c r="I341" s="23"/>
      <c r="J341" s="23"/>
      <c r="K341" s="75" t="s">
        <v>1086</v>
      </c>
      <c r="L341" s="78" t="s">
        <v>1087</v>
      </c>
      <c r="M341" s="68" t="s">
        <v>1088</v>
      </c>
      <c r="N341" s="67">
        <v>21.466367000000002</v>
      </c>
      <c r="O341" s="67">
        <v>92.026837</v>
      </c>
      <c r="P341" s="78">
        <v>600</v>
      </c>
      <c r="Q341" s="78"/>
      <c r="R341" s="18"/>
      <c r="S341" s="18"/>
      <c r="T341" s="27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17"/>
      <c r="AH341" s="24"/>
      <c r="AI341" s="25"/>
      <c r="AJ341" s="25"/>
    </row>
    <row r="342" spans="1:36" x14ac:dyDescent="0.3">
      <c r="A342" s="63">
        <v>336</v>
      </c>
      <c r="B342" s="102" t="s">
        <v>3520</v>
      </c>
      <c r="C342" s="102" t="s">
        <v>3521</v>
      </c>
      <c r="D342" s="64" t="s">
        <v>119</v>
      </c>
      <c r="E342" s="78" t="s">
        <v>120</v>
      </c>
      <c r="F342" s="78" t="s">
        <v>129</v>
      </c>
      <c r="G342" s="71" t="s">
        <v>43</v>
      </c>
      <c r="H342" s="23"/>
      <c r="I342" s="23"/>
      <c r="J342" s="23"/>
      <c r="K342" s="75" t="s">
        <v>1089</v>
      </c>
      <c r="L342" s="78" t="s">
        <v>1090</v>
      </c>
      <c r="M342" s="68" t="s">
        <v>1091</v>
      </c>
      <c r="N342" s="67">
        <v>21.466843999999998</v>
      </c>
      <c r="O342" s="67">
        <v>92.016101000000006</v>
      </c>
      <c r="P342" s="78">
        <v>150</v>
      </c>
      <c r="Q342" s="78"/>
      <c r="R342" s="18"/>
      <c r="S342" s="18"/>
      <c r="T342" s="27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17"/>
      <c r="AH342" s="24"/>
      <c r="AI342" s="25"/>
      <c r="AJ342" s="25"/>
    </row>
    <row r="343" spans="1:36" x14ac:dyDescent="0.3">
      <c r="A343" s="63">
        <v>337</v>
      </c>
      <c r="B343" s="102" t="s">
        <v>3520</v>
      </c>
      <c r="C343" s="102" t="s">
        <v>3521</v>
      </c>
      <c r="D343" s="64" t="s">
        <v>119</v>
      </c>
      <c r="E343" s="78" t="s">
        <v>120</v>
      </c>
      <c r="F343" s="78" t="s">
        <v>129</v>
      </c>
      <c r="G343" s="71" t="s">
        <v>44</v>
      </c>
      <c r="H343" s="23"/>
      <c r="I343" s="23"/>
      <c r="J343" s="23"/>
      <c r="K343" s="75" t="s">
        <v>1092</v>
      </c>
      <c r="L343" s="78" t="s">
        <v>1093</v>
      </c>
      <c r="M343" s="68" t="s">
        <v>1094</v>
      </c>
      <c r="N343" s="67">
        <v>21.446693</v>
      </c>
      <c r="O343" s="67">
        <v>92.033848000000006</v>
      </c>
      <c r="P343" s="78">
        <v>2500</v>
      </c>
      <c r="Q343" s="78"/>
      <c r="R343" s="18"/>
      <c r="S343" s="18"/>
      <c r="T343" s="27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17"/>
      <c r="AH343" s="24"/>
      <c r="AI343" s="25"/>
      <c r="AJ343" s="25"/>
    </row>
    <row r="344" spans="1:36" x14ac:dyDescent="0.3">
      <c r="A344" s="63">
        <v>338</v>
      </c>
      <c r="B344" s="102" t="s">
        <v>3520</v>
      </c>
      <c r="C344" s="102" t="s">
        <v>3521</v>
      </c>
      <c r="D344" s="64" t="s">
        <v>119</v>
      </c>
      <c r="E344" s="78" t="s">
        <v>120</v>
      </c>
      <c r="F344" s="78" t="s">
        <v>129</v>
      </c>
      <c r="G344" s="71" t="s">
        <v>44</v>
      </c>
      <c r="H344" s="23"/>
      <c r="I344" s="23"/>
      <c r="J344" s="23"/>
      <c r="K344" s="75" t="s">
        <v>1095</v>
      </c>
      <c r="L344" s="78" t="s">
        <v>1096</v>
      </c>
      <c r="M344" s="68" t="s">
        <v>1097</v>
      </c>
      <c r="N344" s="67">
        <v>21.446335000000001</v>
      </c>
      <c r="O344" s="67">
        <v>92.030062999999998</v>
      </c>
      <c r="P344" s="78">
        <v>2000</v>
      </c>
      <c r="Q344" s="78"/>
      <c r="R344" s="18"/>
      <c r="S344" s="18"/>
      <c r="T344" s="27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17"/>
      <c r="AH344" s="24"/>
      <c r="AI344" s="25"/>
      <c r="AJ344" s="25"/>
    </row>
    <row r="345" spans="1:36" x14ac:dyDescent="0.3">
      <c r="A345" s="63">
        <v>339</v>
      </c>
      <c r="B345" s="102" t="s">
        <v>3520</v>
      </c>
      <c r="C345" s="102" t="s">
        <v>3521</v>
      </c>
      <c r="D345" s="64" t="s">
        <v>119</v>
      </c>
      <c r="E345" s="78" t="s">
        <v>120</v>
      </c>
      <c r="F345" s="78" t="s">
        <v>129</v>
      </c>
      <c r="G345" s="71" t="s">
        <v>44</v>
      </c>
      <c r="H345" s="23"/>
      <c r="I345" s="23"/>
      <c r="J345" s="23"/>
      <c r="K345" s="75" t="s">
        <v>1098</v>
      </c>
      <c r="L345" s="78" t="s">
        <v>1099</v>
      </c>
      <c r="M345" s="68" t="s">
        <v>1100</v>
      </c>
      <c r="N345" s="67">
        <v>21.442381000000001</v>
      </c>
      <c r="O345" s="67">
        <v>92.029498000000004</v>
      </c>
      <c r="P345" s="78">
        <v>1000</v>
      </c>
      <c r="Q345" s="78"/>
      <c r="R345" s="18"/>
      <c r="S345" s="18"/>
      <c r="T345" s="27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17"/>
      <c r="AH345" s="24"/>
      <c r="AI345" s="25"/>
      <c r="AJ345" s="25"/>
    </row>
    <row r="346" spans="1:36" x14ac:dyDescent="0.3">
      <c r="A346" s="63">
        <v>340</v>
      </c>
      <c r="B346" s="102" t="s">
        <v>3520</v>
      </c>
      <c r="C346" s="102" t="s">
        <v>3521</v>
      </c>
      <c r="D346" s="64" t="s">
        <v>119</v>
      </c>
      <c r="E346" s="78" t="s">
        <v>120</v>
      </c>
      <c r="F346" s="78" t="s">
        <v>129</v>
      </c>
      <c r="G346" s="71" t="s">
        <v>44</v>
      </c>
      <c r="H346" s="23"/>
      <c r="I346" s="23"/>
      <c r="J346" s="23"/>
      <c r="K346" s="75" t="s">
        <v>1101</v>
      </c>
      <c r="L346" s="78" t="s">
        <v>1102</v>
      </c>
      <c r="M346" s="68" t="s">
        <v>1103</v>
      </c>
      <c r="N346" s="67">
        <v>21.445771000000001</v>
      </c>
      <c r="O346" s="67">
        <v>92.024747000000005</v>
      </c>
      <c r="P346" s="78">
        <v>4000</v>
      </c>
      <c r="Q346" s="78"/>
      <c r="R346" s="18"/>
      <c r="S346" s="18"/>
      <c r="T346" s="27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17"/>
      <c r="AH346" s="24"/>
      <c r="AI346" s="25"/>
      <c r="AJ346" s="25"/>
    </row>
    <row r="347" spans="1:36" x14ac:dyDescent="0.3">
      <c r="A347" s="63">
        <v>341</v>
      </c>
      <c r="B347" s="102" t="s">
        <v>3520</v>
      </c>
      <c r="C347" s="102" t="s">
        <v>3521</v>
      </c>
      <c r="D347" s="64" t="s">
        <v>119</v>
      </c>
      <c r="E347" s="78" t="s">
        <v>120</v>
      </c>
      <c r="F347" s="78" t="s">
        <v>129</v>
      </c>
      <c r="G347" s="71" t="s">
        <v>44</v>
      </c>
      <c r="H347" s="23"/>
      <c r="I347" s="23"/>
      <c r="J347" s="23"/>
      <c r="K347" s="75" t="s">
        <v>1104</v>
      </c>
      <c r="L347" s="78" t="s">
        <v>1105</v>
      </c>
      <c r="M347" s="68" t="s">
        <v>1106</v>
      </c>
      <c r="N347" s="67">
        <v>21.449066999999999</v>
      </c>
      <c r="O347" s="67">
        <v>92.028315000000006</v>
      </c>
      <c r="P347" s="78">
        <v>1000</v>
      </c>
      <c r="Q347" s="78"/>
      <c r="R347" s="18"/>
      <c r="S347" s="18"/>
      <c r="T347" s="27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17"/>
      <c r="AH347" s="24"/>
      <c r="AI347" s="25"/>
      <c r="AJ347" s="25"/>
    </row>
    <row r="348" spans="1:36" x14ac:dyDescent="0.3">
      <c r="A348" s="63">
        <v>342</v>
      </c>
      <c r="B348" s="102" t="s">
        <v>3520</v>
      </c>
      <c r="C348" s="102" t="s">
        <v>3521</v>
      </c>
      <c r="D348" s="64" t="s">
        <v>119</v>
      </c>
      <c r="E348" s="78" t="s">
        <v>120</v>
      </c>
      <c r="F348" s="78" t="s">
        <v>129</v>
      </c>
      <c r="G348" s="71" t="s">
        <v>44</v>
      </c>
      <c r="H348" s="23"/>
      <c r="I348" s="23"/>
      <c r="J348" s="23"/>
      <c r="K348" s="75" t="s">
        <v>1107</v>
      </c>
      <c r="L348" s="78" t="s">
        <v>1108</v>
      </c>
      <c r="M348" s="68" t="s">
        <v>1109</v>
      </c>
      <c r="N348" s="67">
        <v>21.454021000000001</v>
      </c>
      <c r="O348" s="67">
        <v>92.026045999999994</v>
      </c>
      <c r="P348" s="78">
        <v>1000</v>
      </c>
      <c r="Q348" s="78"/>
      <c r="R348" s="18"/>
      <c r="S348" s="18"/>
      <c r="T348" s="22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17"/>
      <c r="AH348" s="24"/>
      <c r="AI348" s="25"/>
      <c r="AJ348" s="25"/>
    </row>
    <row r="349" spans="1:36" x14ac:dyDescent="0.3">
      <c r="A349" s="63">
        <v>343</v>
      </c>
      <c r="B349" s="102" t="s">
        <v>3520</v>
      </c>
      <c r="C349" s="102" t="s">
        <v>3521</v>
      </c>
      <c r="D349" s="64" t="s">
        <v>119</v>
      </c>
      <c r="E349" s="78" t="s">
        <v>120</v>
      </c>
      <c r="F349" s="78" t="s">
        <v>129</v>
      </c>
      <c r="G349" s="71" t="s">
        <v>44</v>
      </c>
      <c r="H349" s="23"/>
      <c r="I349" s="23"/>
      <c r="J349" s="23"/>
      <c r="K349" s="75" t="s">
        <v>1110</v>
      </c>
      <c r="L349" s="78" t="s">
        <v>1111</v>
      </c>
      <c r="M349" s="68" t="s">
        <v>1112</v>
      </c>
      <c r="N349" s="67">
        <v>21.451319999999999</v>
      </c>
      <c r="O349" s="67">
        <v>92.034115</v>
      </c>
      <c r="P349" s="78">
        <v>1000</v>
      </c>
      <c r="Q349" s="78"/>
      <c r="R349" s="18"/>
      <c r="S349" s="18"/>
      <c r="T349" s="22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17"/>
      <c r="AH349" s="24"/>
      <c r="AI349" s="25"/>
      <c r="AJ349" s="25"/>
    </row>
    <row r="350" spans="1:36" x14ac:dyDescent="0.3">
      <c r="A350" s="63">
        <v>344</v>
      </c>
      <c r="B350" s="102" t="s">
        <v>3520</v>
      </c>
      <c r="C350" s="102" t="s">
        <v>3521</v>
      </c>
      <c r="D350" s="64" t="s">
        <v>119</v>
      </c>
      <c r="E350" s="78" t="s">
        <v>120</v>
      </c>
      <c r="F350" s="78" t="s">
        <v>129</v>
      </c>
      <c r="G350" s="71" t="s">
        <v>44</v>
      </c>
      <c r="H350" s="23"/>
      <c r="I350" s="23"/>
      <c r="J350" s="23"/>
      <c r="K350" s="75" t="s">
        <v>1113</v>
      </c>
      <c r="L350" s="78" t="s">
        <v>1114</v>
      </c>
      <c r="M350" s="68" t="s">
        <v>1115</v>
      </c>
      <c r="N350" s="67">
        <v>21.461354</v>
      </c>
      <c r="O350" s="67">
        <v>92.033109999999994</v>
      </c>
      <c r="P350" s="78">
        <v>2000</v>
      </c>
      <c r="Q350" s="78"/>
      <c r="R350" s="18"/>
      <c r="S350" s="18"/>
      <c r="T350" s="27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17"/>
      <c r="AH350" s="24"/>
      <c r="AI350" s="25"/>
      <c r="AJ350" s="25"/>
    </row>
    <row r="351" spans="1:36" x14ac:dyDescent="0.3">
      <c r="A351" s="63">
        <v>345</v>
      </c>
      <c r="B351" s="102" t="s">
        <v>3520</v>
      </c>
      <c r="C351" s="102" t="s">
        <v>3521</v>
      </c>
      <c r="D351" s="64" t="s">
        <v>119</v>
      </c>
      <c r="E351" s="78" t="s">
        <v>120</v>
      </c>
      <c r="F351" s="78" t="s">
        <v>129</v>
      </c>
      <c r="G351" s="71" t="s">
        <v>44</v>
      </c>
      <c r="H351" s="23"/>
      <c r="I351" s="23"/>
      <c r="J351" s="23"/>
      <c r="K351" s="75" t="s">
        <v>1116</v>
      </c>
      <c r="L351" s="78" t="s">
        <v>1117</v>
      </c>
      <c r="M351" s="68" t="s">
        <v>1118</v>
      </c>
      <c r="N351" s="67">
        <v>21.457398999999999</v>
      </c>
      <c r="O351" s="67">
        <v>92.028696999999994</v>
      </c>
      <c r="P351" s="78">
        <v>1000</v>
      </c>
      <c r="Q351" s="78"/>
      <c r="R351" s="18"/>
      <c r="S351" s="18"/>
      <c r="T351" s="22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17"/>
      <c r="AH351" s="39"/>
      <c r="AI351" s="40"/>
      <c r="AJ351" s="40"/>
    </row>
    <row r="352" spans="1:36" x14ac:dyDescent="0.3">
      <c r="A352" s="63">
        <v>346</v>
      </c>
      <c r="B352" s="102" t="s">
        <v>3520</v>
      </c>
      <c r="C352" s="102" t="s">
        <v>3521</v>
      </c>
      <c r="D352" s="64" t="s">
        <v>119</v>
      </c>
      <c r="E352" s="78" t="s">
        <v>120</v>
      </c>
      <c r="F352" s="78" t="s">
        <v>129</v>
      </c>
      <c r="G352" s="71" t="s">
        <v>44</v>
      </c>
      <c r="H352" s="23"/>
      <c r="I352" s="23"/>
      <c r="J352" s="23"/>
      <c r="K352" s="75" t="s">
        <v>1119</v>
      </c>
      <c r="L352" s="78" t="s">
        <v>1120</v>
      </c>
      <c r="M352" s="68" t="s">
        <v>1121</v>
      </c>
      <c r="N352" s="67">
        <v>21.455399</v>
      </c>
      <c r="O352" s="67">
        <v>92.033570999999995</v>
      </c>
      <c r="P352" s="78">
        <v>500</v>
      </c>
      <c r="Q352" s="78"/>
      <c r="R352" s="18"/>
      <c r="S352" s="18"/>
      <c r="T352" s="22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17"/>
      <c r="AH352" s="39"/>
      <c r="AI352" s="40"/>
      <c r="AJ352" s="40"/>
    </row>
    <row r="353" spans="1:36" ht="15.6" x14ac:dyDescent="0.3">
      <c r="A353" s="63">
        <v>347</v>
      </c>
      <c r="B353" s="102" t="s">
        <v>3520</v>
      </c>
      <c r="C353" s="102" t="s">
        <v>3521</v>
      </c>
      <c r="D353" s="64" t="s">
        <v>119</v>
      </c>
      <c r="E353" s="78" t="s">
        <v>120</v>
      </c>
      <c r="F353" s="78" t="s">
        <v>129</v>
      </c>
      <c r="G353" s="71" t="s">
        <v>44</v>
      </c>
      <c r="H353" s="20"/>
      <c r="I353" s="23"/>
      <c r="J353" s="23"/>
      <c r="K353" s="75" t="s">
        <v>1122</v>
      </c>
      <c r="L353" s="71" t="s">
        <v>1123</v>
      </c>
      <c r="M353" s="68" t="s">
        <v>1124</v>
      </c>
      <c r="N353" s="67">
        <v>21.450278999999998</v>
      </c>
      <c r="O353" s="67">
        <v>92.032757000000004</v>
      </c>
      <c r="P353" s="78">
        <v>250</v>
      </c>
      <c r="Q353" s="78"/>
      <c r="R353" s="18"/>
      <c r="S353" s="18"/>
      <c r="T353" s="22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17"/>
      <c r="AH353" s="23"/>
      <c r="AI353" s="40"/>
      <c r="AJ353" s="40"/>
    </row>
    <row r="354" spans="1:36" ht="15.6" x14ac:dyDescent="0.3">
      <c r="A354" s="63">
        <v>348</v>
      </c>
      <c r="B354" s="102" t="s">
        <v>3520</v>
      </c>
      <c r="C354" s="102" t="s">
        <v>3521</v>
      </c>
      <c r="D354" s="64" t="s">
        <v>119</v>
      </c>
      <c r="E354" s="78" t="s">
        <v>120</v>
      </c>
      <c r="F354" s="78" t="s">
        <v>129</v>
      </c>
      <c r="G354" s="71" t="s">
        <v>44</v>
      </c>
      <c r="H354" s="20"/>
      <c r="I354" s="23"/>
      <c r="J354" s="23"/>
      <c r="K354" s="75" t="s">
        <v>112</v>
      </c>
      <c r="L354" s="68" t="s">
        <v>113</v>
      </c>
      <c r="M354" s="68" t="s">
        <v>1125</v>
      </c>
      <c r="N354" s="67">
        <v>21.451467999999998</v>
      </c>
      <c r="O354" s="67">
        <v>92.030991999999998</v>
      </c>
      <c r="P354" s="78">
        <v>50</v>
      </c>
      <c r="Q354" s="78"/>
      <c r="R354" s="18"/>
      <c r="S354" s="18"/>
      <c r="T354" s="22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17"/>
      <c r="AH354" s="23"/>
      <c r="AI354" s="40"/>
      <c r="AJ354" s="40"/>
    </row>
    <row r="355" spans="1:36" ht="15.6" x14ac:dyDescent="0.3">
      <c r="A355" s="63">
        <v>349</v>
      </c>
      <c r="B355" s="102" t="s">
        <v>3520</v>
      </c>
      <c r="C355" s="102" t="s">
        <v>3521</v>
      </c>
      <c r="D355" s="64" t="s">
        <v>119</v>
      </c>
      <c r="E355" s="78" t="s">
        <v>120</v>
      </c>
      <c r="F355" s="78" t="s">
        <v>129</v>
      </c>
      <c r="G355" s="71" t="s">
        <v>45</v>
      </c>
      <c r="H355" s="20"/>
      <c r="I355" s="23"/>
      <c r="J355" s="23"/>
      <c r="K355" s="75" t="s">
        <v>1126</v>
      </c>
      <c r="L355" s="78" t="s">
        <v>1127</v>
      </c>
      <c r="M355" s="68" t="s">
        <v>1128</v>
      </c>
      <c r="N355" s="67">
        <v>21.438427999999998</v>
      </c>
      <c r="O355" s="67">
        <v>92.023555999999999</v>
      </c>
      <c r="P355" s="78">
        <v>2000</v>
      </c>
      <c r="Q355" s="78"/>
      <c r="R355" s="18"/>
      <c r="S355" s="18"/>
      <c r="T355" s="22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17"/>
      <c r="AH355" s="23"/>
      <c r="AI355" s="40"/>
      <c r="AJ355" s="40"/>
    </row>
    <row r="356" spans="1:36" ht="15.6" x14ac:dyDescent="0.3">
      <c r="A356" s="63">
        <v>350</v>
      </c>
      <c r="B356" s="102" t="s">
        <v>3520</v>
      </c>
      <c r="C356" s="102" t="s">
        <v>3521</v>
      </c>
      <c r="D356" s="64" t="s">
        <v>119</v>
      </c>
      <c r="E356" s="78" t="s">
        <v>120</v>
      </c>
      <c r="F356" s="78" t="s">
        <v>129</v>
      </c>
      <c r="G356" s="71" t="s">
        <v>45</v>
      </c>
      <c r="H356" s="20"/>
      <c r="I356" s="23"/>
      <c r="J356" s="23"/>
      <c r="K356" s="75" t="s">
        <v>1129</v>
      </c>
      <c r="L356" s="78" t="s">
        <v>1130</v>
      </c>
      <c r="M356" s="68" t="s">
        <v>1131</v>
      </c>
      <c r="N356" s="67">
        <v>21.429309</v>
      </c>
      <c r="O356" s="67">
        <v>92.033002999999994</v>
      </c>
      <c r="P356" s="78">
        <v>2000</v>
      </c>
      <c r="Q356" s="78"/>
      <c r="R356" s="18"/>
      <c r="S356" s="18"/>
      <c r="T356" s="22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17"/>
      <c r="AH356" s="23"/>
      <c r="AI356" s="40"/>
      <c r="AJ356" s="40"/>
    </row>
    <row r="357" spans="1:36" ht="15.6" x14ac:dyDescent="0.3">
      <c r="A357" s="63">
        <v>351</v>
      </c>
      <c r="B357" s="102" t="s">
        <v>3520</v>
      </c>
      <c r="C357" s="102" t="s">
        <v>3521</v>
      </c>
      <c r="D357" s="64" t="s">
        <v>119</v>
      </c>
      <c r="E357" s="78" t="s">
        <v>120</v>
      </c>
      <c r="F357" s="78" t="s">
        <v>129</v>
      </c>
      <c r="G357" s="71" t="s">
        <v>45</v>
      </c>
      <c r="H357" s="20"/>
      <c r="I357" s="23"/>
      <c r="J357" s="21"/>
      <c r="K357" s="75" t="s">
        <v>104</v>
      </c>
      <c r="L357" s="78" t="s">
        <v>105</v>
      </c>
      <c r="M357" s="68" t="s">
        <v>1132</v>
      </c>
      <c r="N357" s="67">
        <v>21.435929000000002</v>
      </c>
      <c r="O357" s="67">
        <v>92.033779999999993</v>
      </c>
      <c r="P357" s="78">
        <v>1000</v>
      </c>
      <c r="Q357" s="78"/>
      <c r="R357" s="18"/>
      <c r="S357" s="18"/>
      <c r="T357" s="22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17"/>
      <c r="AH357" s="39"/>
      <c r="AI357" s="40"/>
      <c r="AJ357" s="40"/>
    </row>
    <row r="358" spans="1:36" x14ac:dyDescent="0.3">
      <c r="A358" s="63">
        <v>352</v>
      </c>
      <c r="B358" s="102" t="s">
        <v>3520</v>
      </c>
      <c r="C358" s="102" t="s">
        <v>3521</v>
      </c>
      <c r="D358" s="64" t="s">
        <v>119</v>
      </c>
      <c r="E358" s="78" t="s">
        <v>120</v>
      </c>
      <c r="F358" s="78" t="s">
        <v>129</v>
      </c>
      <c r="G358" s="71" t="s">
        <v>45</v>
      </c>
      <c r="H358" s="23"/>
      <c r="I358" s="23"/>
      <c r="J358" s="23"/>
      <c r="K358" s="75" t="s">
        <v>108</v>
      </c>
      <c r="L358" s="78" t="s">
        <v>109</v>
      </c>
      <c r="M358" s="68" t="s">
        <v>1133</v>
      </c>
      <c r="N358" s="67">
        <v>21.439387</v>
      </c>
      <c r="O358" s="67">
        <v>92.034525000000002</v>
      </c>
      <c r="P358" s="78">
        <v>1000</v>
      </c>
      <c r="Q358" s="78"/>
      <c r="R358" s="18"/>
      <c r="S358" s="18"/>
      <c r="T358" s="22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17"/>
      <c r="AH358" s="39"/>
      <c r="AI358" s="40"/>
      <c r="AJ358" s="40"/>
    </row>
    <row r="359" spans="1:36" x14ac:dyDescent="0.3">
      <c r="A359" s="63">
        <v>353</v>
      </c>
      <c r="B359" s="102" t="s">
        <v>3520</v>
      </c>
      <c r="C359" s="102" t="s">
        <v>3521</v>
      </c>
      <c r="D359" s="64" t="s">
        <v>119</v>
      </c>
      <c r="E359" s="78" t="s">
        <v>120</v>
      </c>
      <c r="F359" s="78" t="s">
        <v>129</v>
      </c>
      <c r="G359" s="71" t="s">
        <v>45</v>
      </c>
      <c r="H359" s="23"/>
      <c r="I359" s="23"/>
      <c r="J359" s="23"/>
      <c r="K359" s="75" t="s">
        <v>1134</v>
      </c>
      <c r="L359" s="78" t="s">
        <v>1135</v>
      </c>
      <c r="M359" s="68" t="s">
        <v>1136</v>
      </c>
      <c r="N359" s="67">
        <v>21.43824</v>
      </c>
      <c r="O359" s="67">
        <v>92.043424999999999</v>
      </c>
      <c r="P359" s="78">
        <v>3000</v>
      </c>
      <c r="Q359" s="78"/>
      <c r="R359" s="18"/>
      <c r="S359" s="18"/>
      <c r="T359" s="22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17"/>
      <c r="AH359" s="39"/>
      <c r="AI359" s="40"/>
      <c r="AJ359" s="40"/>
    </row>
    <row r="360" spans="1:36" x14ac:dyDescent="0.3">
      <c r="A360" s="63">
        <v>354</v>
      </c>
      <c r="B360" s="102" t="s">
        <v>3520</v>
      </c>
      <c r="C360" s="102" t="s">
        <v>3521</v>
      </c>
      <c r="D360" s="64" t="s">
        <v>119</v>
      </c>
      <c r="E360" s="78" t="s">
        <v>120</v>
      </c>
      <c r="F360" s="78" t="s">
        <v>129</v>
      </c>
      <c r="G360" s="71" t="s">
        <v>45</v>
      </c>
      <c r="H360" s="23"/>
      <c r="I360" s="23"/>
      <c r="J360" s="23"/>
      <c r="K360" s="75" t="s">
        <v>1137</v>
      </c>
      <c r="L360" s="78" t="s">
        <v>1138</v>
      </c>
      <c r="M360" s="68" t="s">
        <v>1139</v>
      </c>
      <c r="N360" s="67">
        <v>21.442578000000001</v>
      </c>
      <c r="O360" s="67">
        <v>92.038067999999996</v>
      </c>
      <c r="P360" s="78">
        <v>1500</v>
      </c>
      <c r="Q360" s="78"/>
      <c r="R360" s="18"/>
      <c r="S360" s="18"/>
      <c r="T360" s="22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17"/>
      <c r="AH360" s="39"/>
      <c r="AI360" s="40"/>
      <c r="AJ360" s="40"/>
    </row>
    <row r="361" spans="1:36" x14ac:dyDescent="0.3">
      <c r="A361" s="63">
        <v>355</v>
      </c>
      <c r="B361" s="102" t="s">
        <v>3520</v>
      </c>
      <c r="C361" s="102" t="s">
        <v>3521</v>
      </c>
      <c r="D361" s="64" t="s">
        <v>119</v>
      </c>
      <c r="E361" s="78" t="s">
        <v>120</v>
      </c>
      <c r="F361" s="78" t="s">
        <v>129</v>
      </c>
      <c r="G361" s="71" t="s">
        <v>46</v>
      </c>
      <c r="H361" s="23"/>
      <c r="I361" s="23"/>
      <c r="J361" s="23"/>
      <c r="K361" s="75" t="s">
        <v>1140</v>
      </c>
      <c r="L361" s="78" t="s">
        <v>1141</v>
      </c>
      <c r="M361" s="68" t="s">
        <v>1142</v>
      </c>
      <c r="N361" s="67">
        <v>21.446981999999998</v>
      </c>
      <c r="O361" s="67">
        <v>92.048136999999997</v>
      </c>
      <c r="P361" s="78">
        <v>1800</v>
      </c>
      <c r="Q361" s="78"/>
      <c r="R361" s="18"/>
      <c r="S361" s="18"/>
      <c r="T361" s="22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17"/>
      <c r="AH361" s="39"/>
      <c r="AI361" s="40"/>
      <c r="AJ361" s="40"/>
    </row>
    <row r="362" spans="1:36" ht="15.6" x14ac:dyDescent="0.3">
      <c r="A362" s="63">
        <v>356</v>
      </c>
      <c r="B362" s="102" t="s">
        <v>3520</v>
      </c>
      <c r="C362" s="102" t="s">
        <v>3521</v>
      </c>
      <c r="D362" s="64" t="s">
        <v>119</v>
      </c>
      <c r="E362" s="78" t="s">
        <v>120</v>
      </c>
      <c r="F362" s="78" t="s">
        <v>129</v>
      </c>
      <c r="G362" s="71" t="s">
        <v>46</v>
      </c>
      <c r="H362" s="20"/>
      <c r="I362" s="20"/>
      <c r="J362" s="23"/>
      <c r="K362" s="75" t="s">
        <v>547</v>
      </c>
      <c r="L362" s="78" t="s">
        <v>548</v>
      </c>
      <c r="M362" s="68" t="s">
        <v>1143</v>
      </c>
      <c r="N362" s="67">
        <v>21.439869000000002</v>
      </c>
      <c r="O362" s="67">
        <v>92.055446000000003</v>
      </c>
      <c r="P362" s="78">
        <v>2000</v>
      </c>
      <c r="Q362" s="78"/>
      <c r="R362" s="18"/>
      <c r="S362" s="18"/>
      <c r="T362" s="22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17"/>
      <c r="AH362" s="39"/>
      <c r="AI362" s="40"/>
      <c r="AJ362" s="40"/>
    </row>
    <row r="363" spans="1:36" ht="15.6" x14ac:dyDescent="0.3">
      <c r="A363" s="63">
        <v>357</v>
      </c>
      <c r="B363" s="102" t="s">
        <v>3520</v>
      </c>
      <c r="C363" s="102" t="s">
        <v>3521</v>
      </c>
      <c r="D363" s="64" t="s">
        <v>119</v>
      </c>
      <c r="E363" s="78" t="s">
        <v>120</v>
      </c>
      <c r="F363" s="78" t="s">
        <v>129</v>
      </c>
      <c r="G363" s="71" t="s">
        <v>46</v>
      </c>
      <c r="H363" s="23"/>
      <c r="I363" s="20"/>
      <c r="J363" s="23"/>
      <c r="K363" s="75" t="s">
        <v>1144</v>
      </c>
      <c r="L363" s="78" t="s">
        <v>1145</v>
      </c>
      <c r="M363" s="68" t="s">
        <v>1146</v>
      </c>
      <c r="N363" s="67">
        <v>21.44228</v>
      </c>
      <c r="O363" s="67">
        <v>92.055217999999996</v>
      </c>
      <c r="P363" s="78">
        <v>2000</v>
      </c>
      <c r="Q363" s="78"/>
      <c r="R363" s="18"/>
      <c r="S363" s="18"/>
      <c r="T363" s="22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17"/>
      <c r="AH363" s="39"/>
      <c r="AI363" s="40"/>
      <c r="AJ363" s="40"/>
    </row>
    <row r="364" spans="1:36" x14ac:dyDescent="0.3">
      <c r="A364" s="63">
        <v>358</v>
      </c>
      <c r="B364" s="102" t="s">
        <v>3520</v>
      </c>
      <c r="C364" s="102" t="s">
        <v>3521</v>
      </c>
      <c r="D364" s="64" t="s">
        <v>119</v>
      </c>
      <c r="E364" s="78" t="s">
        <v>120</v>
      </c>
      <c r="F364" s="78" t="s">
        <v>129</v>
      </c>
      <c r="G364" s="71" t="s">
        <v>46</v>
      </c>
      <c r="H364" s="42"/>
      <c r="I364" s="42"/>
      <c r="J364" s="42"/>
      <c r="K364" s="75" t="s">
        <v>1147</v>
      </c>
      <c r="L364" s="78" t="s">
        <v>1148</v>
      </c>
      <c r="M364" s="68" t="s">
        <v>1149</v>
      </c>
      <c r="N364" s="67">
        <v>21.436768000000001</v>
      </c>
      <c r="O364" s="67">
        <v>92.054272999999995</v>
      </c>
      <c r="P364" s="78">
        <v>1500</v>
      </c>
      <c r="Q364" s="78"/>
      <c r="R364" s="18"/>
      <c r="S364" s="18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40"/>
      <c r="AJ364" s="40"/>
    </row>
    <row r="365" spans="1:36" x14ac:dyDescent="0.3">
      <c r="A365" s="63">
        <v>359</v>
      </c>
      <c r="B365" s="102" t="s">
        <v>3520</v>
      </c>
      <c r="C365" s="102" t="s">
        <v>3521</v>
      </c>
      <c r="D365" s="64" t="s">
        <v>119</v>
      </c>
      <c r="E365" s="78" t="s">
        <v>120</v>
      </c>
      <c r="F365" s="78" t="s">
        <v>129</v>
      </c>
      <c r="G365" s="71" t="s">
        <v>46</v>
      </c>
      <c r="H365" s="42"/>
      <c r="I365" s="42"/>
      <c r="J365" s="42"/>
      <c r="K365" s="75" t="s">
        <v>1150</v>
      </c>
      <c r="L365" s="78" t="s">
        <v>1151</v>
      </c>
      <c r="M365" s="68" t="s">
        <v>1152</v>
      </c>
      <c r="N365" s="67">
        <v>21.447451000000001</v>
      </c>
      <c r="O365" s="67">
        <v>92.058214000000007</v>
      </c>
      <c r="P365" s="78">
        <v>2700</v>
      </c>
      <c r="Q365" s="78"/>
      <c r="R365" s="18"/>
      <c r="S365" s="18"/>
      <c r="T365" s="3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34"/>
      <c r="AH365" s="39"/>
      <c r="AI365" s="40"/>
      <c r="AJ365" s="40"/>
    </row>
    <row r="366" spans="1:36" x14ac:dyDescent="0.3">
      <c r="A366" s="63">
        <v>360</v>
      </c>
      <c r="B366" s="102" t="s">
        <v>3520</v>
      </c>
      <c r="C366" s="102" t="s">
        <v>3521</v>
      </c>
      <c r="D366" s="64" t="s">
        <v>119</v>
      </c>
      <c r="E366" s="78" t="s">
        <v>120</v>
      </c>
      <c r="F366" s="78" t="s">
        <v>129</v>
      </c>
      <c r="G366" s="71" t="s">
        <v>46</v>
      </c>
      <c r="H366" s="42"/>
      <c r="I366" s="42"/>
      <c r="J366" s="42"/>
      <c r="K366" s="75" t="s">
        <v>112</v>
      </c>
      <c r="L366" s="68" t="s">
        <v>113</v>
      </c>
      <c r="M366" s="68" t="s">
        <v>1153</v>
      </c>
      <c r="N366" s="67">
        <v>21.443742</v>
      </c>
      <c r="O366" s="67">
        <v>92.058013000000003</v>
      </c>
      <c r="P366" s="78">
        <v>90</v>
      </c>
      <c r="Q366" s="78"/>
      <c r="R366" s="18"/>
      <c r="S366" s="18"/>
      <c r="T366" s="34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4"/>
      <c r="AH366" s="39"/>
      <c r="AI366" s="40"/>
      <c r="AJ366" s="40"/>
    </row>
    <row r="367" spans="1:36" x14ac:dyDescent="0.3">
      <c r="A367" s="63">
        <v>361</v>
      </c>
      <c r="B367" s="102" t="s">
        <v>3520</v>
      </c>
      <c r="C367" s="102" t="s">
        <v>3521</v>
      </c>
      <c r="D367" s="64" t="s">
        <v>119</v>
      </c>
      <c r="E367" s="78" t="s">
        <v>120</v>
      </c>
      <c r="F367" s="78" t="s">
        <v>129</v>
      </c>
      <c r="G367" s="71" t="s">
        <v>47</v>
      </c>
      <c r="H367" s="42"/>
      <c r="I367" s="42"/>
      <c r="J367" s="42"/>
      <c r="K367" s="75" t="s">
        <v>1154</v>
      </c>
      <c r="L367" s="78" t="s">
        <v>1155</v>
      </c>
      <c r="M367" s="68" t="s">
        <v>1156</v>
      </c>
      <c r="N367" s="67">
        <v>21.459410999999999</v>
      </c>
      <c r="O367" s="67">
        <v>92.057795999999996</v>
      </c>
      <c r="P367" s="78">
        <v>2500</v>
      </c>
      <c r="Q367" s="78"/>
      <c r="R367" s="18"/>
      <c r="S367" s="18"/>
      <c r="T367" s="34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4"/>
      <c r="AH367" s="39"/>
      <c r="AI367" s="40"/>
      <c r="AJ367" s="40"/>
    </row>
    <row r="368" spans="1:36" x14ac:dyDescent="0.3">
      <c r="A368" s="63">
        <v>362</v>
      </c>
      <c r="B368" s="102" t="s">
        <v>3520</v>
      </c>
      <c r="C368" s="102" t="s">
        <v>3521</v>
      </c>
      <c r="D368" s="64" t="s">
        <v>119</v>
      </c>
      <c r="E368" s="78" t="s">
        <v>120</v>
      </c>
      <c r="F368" s="78" t="s">
        <v>129</v>
      </c>
      <c r="G368" s="71" t="s">
        <v>47</v>
      </c>
      <c r="H368" s="42"/>
      <c r="I368" s="42"/>
      <c r="J368" s="42"/>
      <c r="K368" s="75" t="s">
        <v>1157</v>
      </c>
      <c r="L368" s="78" t="s">
        <v>1158</v>
      </c>
      <c r="M368" s="68" t="s">
        <v>1159</v>
      </c>
      <c r="N368" s="67">
        <v>21.461031999999999</v>
      </c>
      <c r="O368" s="67">
        <v>92.060124999999999</v>
      </c>
      <c r="P368" s="78">
        <v>3000</v>
      </c>
      <c r="Q368" s="78"/>
      <c r="R368" s="18"/>
      <c r="S368" s="18"/>
      <c r="T368" s="34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4"/>
      <c r="AH368" s="39"/>
      <c r="AI368" s="40"/>
      <c r="AJ368" s="40"/>
    </row>
    <row r="369" spans="1:36" x14ac:dyDescent="0.3">
      <c r="A369" s="63">
        <v>363</v>
      </c>
      <c r="B369" s="102" t="s">
        <v>3520</v>
      </c>
      <c r="C369" s="102" t="s">
        <v>3521</v>
      </c>
      <c r="D369" s="64" t="s">
        <v>119</v>
      </c>
      <c r="E369" s="78" t="s">
        <v>120</v>
      </c>
      <c r="F369" s="78" t="s">
        <v>129</v>
      </c>
      <c r="G369" s="71" t="s">
        <v>47</v>
      </c>
      <c r="H369" s="42"/>
      <c r="I369" s="42"/>
      <c r="J369" s="42"/>
      <c r="K369" s="75" t="s">
        <v>90</v>
      </c>
      <c r="L369" s="78" t="s">
        <v>1160</v>
      </c>
      <c r="M369" s="68" t="s">
        <v>1161</v>
      </c>
      <c r="N369" s="67">
        <v>21.464047999999998</v>
      </c>
      <c r="O369" s="67">
        <v>92.056146999999996</v>
      </c>
      <c r="P369" s="78">
        <v>2000</v>
      </c>
      <c r="Q369" s="78"/>
      <c r="R369" s="18"/>
      <c r="S369" s="18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42"/>
      <c r="AH369" s="39"/>
      <c r="AI369" s="40"/>
      <c r="AJ369" s="40"/>
    </row>
    <row r="370" spans="1:36" x14ac:dyDescent="0.3">
      <c r="A370" s="63">
        <v>364</v>
      </c>
      <c r="B370" s="102" t="s">
        <v>3520</v>
      </c>
      <c r="C370" s="102" t="s">
        <v>3521</v>
      </c>
      <c r="D370" s="64" t="s">
        <v>119</v>
      </c>
      <c r="E370" s="78" t="s">
        <v>120</v>
      </c>
      <c r="F370" s="78" t="s">
        <v>129</v>
      </c>
      <c r="G370" s="71" t="s">
        <v>48</v>
      </c>
      <c r="H370" s="42"/>
      <c r="I370" s="42"/>
      <c r="J370" s="42"/>
      <c r="K370" s="75" t="s">
        <v>1162</v>
      </c>
      <c r="L370" s="78" t="s">
        <v>1163</v>
      </c>
      <c r="M370" s="68" t="s">
        <v>1164</v>
      </c>
      <c r="N370" s="67">
        <v>21.467129</v>
      </c>
      <c r="O370" s="67">
        <v>92.053303999999997</v>
      </c>
      <c r="P370" s="78">
        <v>400</v>
      </c>
      <c r="Q370" s="78"/>
      <c r="R370" s="18"/>
      <c r="S370" s="18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42"/>
      <c r="AH370" s="39"/>
      <c r="AI370" s="40"/>
      <c r="AJ370" s="40"/>
    </row>
    <row r="371" spans="1:36" x14ac:dyDescent="0.3">
      <c r="A371" s="63">
        <v>365</v>
      </c>
      <c r="B371" s="102" t="s">
        <v>3520</v>
      </c>
      <c r="C371" s="102" t="s">
        <v>3521</v>
      </c>
      <c r="D371" s="64" t="s">
        <v>119</v>
      </c>
      <c r="E371" s="78" t="s">
        <v>120</v>
      </c>
      <c r="F371" s="78" t="s">
        <v>129</v>
      </c>
      <c r="G371" s="71" t="s">
        <v>48</v>
      </c>
      <c r="H371" s="42"/>
      <c r="I371" s="42"/>
      <c r="J371" s="42"/>
      <c r="K371" s="75" t="s">
        <v>1165</v>
      </c>
      <c r="L371" s="78" t="s">
        <v>1166</v>
      </c>
      <c r="M371" s="68" t="s">
        <v>1167</v>
      </c>
      <c r="N371" s="67">
        <v>21.470666999999999</v>
      </c>
      <c r="O371" s="67">
        <v>92.053381999999999</v>
      </c>
      <c r="P371" s="78">
        <v>500</v>
      </c>
      <c r="Q371" s="78"/>
      <c r="R371" s="18"/>
      <c r="S371" s="18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42"/>
      <c r="AH371" s="39"/>
      <c r="AI371" s="40"/>
      <c r="AJ371" s="40"/>
    </row>
    <row r="372" spans="1:36" x14ac:dyDescent="0.3">
      <c r="A372" s="63">
        <v>366</v>
      </c>
      <c r="B372" s="102" t="s">
        <v>3520</v>
      </c>
      <c r="C372" s="102" t="s">
        <v>3521</v>
      </c>
      <c r="D372" s="64" t="s">
        <v>119</v>
      </c>
      <c r="E372" s="78" t="s">
        <v>120</v>
      </c>
      <c r="F372" s="78" t="s">
        <v>129</v>
      </c>
      <c r="G372" s="71" t="s">
        <v>48</v>
      </c>
      <c r="H372" s="42"/>
      <c r="I372" s="42"/>
      <c r="J372" s="42"/>
      <c r="K372" s="75" t="s">
        <v>1168</v>
      </c>
      <c r="L372" s="78" t="s">
        <v>1169</v>
      </c>
      <c r="M372" s="68" t="s">
        <v>1170</v>
      </c>
      <c r="N372" s="67">
        <v>21.467628999999999</v>
      </c>
      <c r="O372" s="67">
        <v>92.056820999999999</v>
      </c>
      <c r="P372" s="78">
        <v>1200</v>
      </c>
      <c r="Q372" s="78"/>
      <c r="R372" s="18"/>
      <c r="S372" s="18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42"/>
      <c r="AH372" s="39"/>
      <c r="AI372" s="40"/>
      <c r="AJ372" s="40"/>
    </row>
    <row r="373" spans="1:36" x14ac:dyDescent="0.3">
      <c r="A373" s="63">
        <v>367</v>
      </c>
      <c r="B373" s="102" t="s">
        <v>3520</v>
      </c>
      <c r="C373" s="102" t="s">
        <v>3521</v>
      </c>
      <c r="D373" s="64" t="s">
        <v>119</v>
      </c>
      <c r="E373" s="78" t="s">
        <v>120</v>
      </c>
      <c r="F373" s="78" t="s">
        <v>129</v>
      </c>
      <c r="G373" s="71" t="s">
        <v>48</v>
      </c>
      <c r="H373" s="42"/>
      <c r="I373" s="42"/>
      <c r="J373" s="42"/>
      <c r="K373" s="75" t="s">
        <v>1171</v>
      </c>
      <c r="L373" s="78" t="s">
        <v>1172</v>
      </c>
      <c r="M373" s="68" t="s">
        <v>1173</v>
      </c>
      <c r="N373" s="67">
        <v>21.466183999999998</v>
      </c>
      <c r="O373" s="67">
        <v>92.049318</v>
      </c>
      <c r="P373" s="78">
        <v>1500</v>
      </c>
      <c r="Q373" s="78"/>
      <c r="R373" s="18"/>
      <c r="S373" s="18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42"/>
      <c r="AH373" s="39"/>
      <c r="AI373" s="40"/>
      <c r="AJ373" s="40"/>
    </row>
    <row r="374" spans="1:36" x14ac:dyDescent="0.3">
      <c r="A374" s="63">
        <v>368</v>
      </c>
      <c r="B374" s="102" t="s">
        <v>3520</v>
      </c>
      <c r="C374" s="102" t="s">
        <v>3521</v>
      </c>
      <c r="D374" s="64" t="s">
        <v>119</v>
      </c>
      <c r="E374" s="78" t="s">
        <v>120</v>
      </c>
      <c r="F374" s="78" t="s">
        <v>129</v>
      </c>
      <c r="G374" s="71" t="s">
        <v>49</v>
      </c>
      <c r="H374" s="42"/>
      <c r="I374" s="42"/>
      <c r="J374" s="42"/>
      <c r="K374" s="75" t="s">
        <v>1174</v>
      </c>
      <c r="L374" s="78" t="s">
        <v>1175</v>
      </c>
      <c r="M374" s="68" t="s">
        <v>1176</v>
      </c>
      <c r="N374" s="67">
        <v>21.462116000000002</v>
      </c>
      <c r="O374" s="67">
        <v>92.039625999999998</v>
      </c>
      <c r="P374" s="78">
        <v>2500</v>
      </c>
      <c r="Q374" s="78"/>
      <c r="R374" s="18"/>
      <c r="S374" s="18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42"/>
      <c r="AH374" s="39"/>
      <c r="AI374" s="40"/>
      <c r="AJ374" s="40"/>
    </row>
    <row r="375" spans="1:36" x14ac:dyDescent="0.3">
      <c r="A375" s="63">
        <v>369</v>
      </c>
      <c r="B375" s="102" t="s">
        <v>3520</v>
      </c>
      <c r="C375" s="102" t="s">
        <v>3521</v>
      </c>
      <c r="D375" s="64" t="s">
        <v>119</v>
      </c>
      <c r="E375" s="78" t="s">
        <v>120</v>
      </c>
      <c r="F375" s="78" t="s">
        <v>129</v>
      </c>
      <c r="G375" s="71" t="s">
        <v>49</v>
      </c>
      <c r="H375" s="42"/>
      <c r="I375" s="42"/>
      <c r="J375" s="42"/>
      <c r="K375" s="75" t="s">
        <v>1177</v>
      </c>
      <c r="L375" s="78" t="s">
        <v>1178</v>
      </c>
      <c r="M375" s="68" t="s">
        <v>1179</v>
      </c>
      <c r="N375" s="67">
        <v>21.460711</v>
      </c>
      <c r="O375" s="67">
        <v>92.043724999999995</v>
      </c>
      <c r="P375" s="78">
        <v>1500</v>
      </c>
      <c r="Q375" s="78"/>
      <c r="R375" s="18"/>
      <c r="S375" s="18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42"/>
      <c r="AH375" s="39"/>
      <c r="AI375" s="40"/>
      <c r="AJ375" s="40"/>
    </row>
    <row r="376" spans="1:36" x14ac:dyDescent="0.3">
      <c r="A376" s="63">
        <v>370</v>
      </c>
      <c r="B376" s="102" t="s">
        <v>3520</v>
      </c>
      <c r="C376" s="102" t="s">
        <v>3521</v>
      </c>
      <c r="D376" s="64" t="s">
        <v>119</v>
      </c>
      <c r="E376" s="78" t="s">
        <v>120</v>
      </c>
      <c r="F376" s="78" t="s">
        <v>129</v>
      </c>
      <c r="G376" s="71" t="s">
        <v>49</v>
      </c>
      <c r="H376" s="42"/>
      <c r="I376" s="42"/>
      <c r="J376" s="42"/>
      <c r="K376" s="75" t="s">
        <v>1180</v>
      </c>
      <c r="L376" s="78" t="s">
        <v>1181</v>
      </c>
      <c r="M376" s="68" t="s">
        <v>1182</v>
      </c>
      <c r="N376" s="67">
        <v>21.458154</v>
      </c>
      <c r="O376" s="67">
        <v>92.049591000000007</v>
      </c>
      <c r="P376" s="78">
        <v>800</v>
      </c>
      <c r="Q376" s="78"/>
      <c r="R376" s="18"/>
      <c r="S376" s="18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42"/>
      <c r="AH376" s="39"/>
      <c r="AI376" s="40"/>
      <c r="AJ376" s="40"/>
    </row>
    <row r="377" spans="1:36" x14ac:dyDescent="0.3">
      <c r="A377" s="63">
        <v>371</v>
      </c>
      <c r="B377" s="102" t="s">
        <v>3520</v>
      </c>
      <c r="C377" s="102" t="s">
        <v>3521</v>
      </c>
      <c r="D377" s="64" t="s">
        <v>119</v>
      </c>
      <c r="E377" s="78" t="s">
        <v>120</v>
      </c>
      <c r="F377" s="78" t="s">
        <v>129</v>
      </c>
      <c r="G377" s="71" t="s">
        <v>49</v>
      </c>
      <c r="H377" s="42"/>
      <c r="I377" s="42"/>
      <c r="J377" s="42"/>
      <c r="K377" s="75" t="s">
        <v>1183</v>
      </c>
      <c r="L377" s="78" t="s">
        <v>1184</v>
      </c>
      <c r="M377" s="68" t="s">
        <v>1185</v>
      </c>
      <c r="N377" s="67">
        <v>21.462033000000002</v>
      </c>
      <c r="O377" s="67">
        <v>92.052340999999998</v>
      </c>
      <c r="P377" s="78">
        <v>1500</v>
      </c>
      <c r="Q377" s="78"/>
      <c r="R377" s="18"/>
      <c r="S377" s="18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42"/>
      <c r="AH377" s="39"/>
      <c r="AI377" s="40"/>
      <c r="AJ377" s="40"/>
    </row>
    <row r="378" spans="1:36" x14ac:dyDescent="0.3">
      <c r="A378" s="63">
        <v>372</v>
      </c>
      <c r="B378" s="102" t="s">
        <v>3520</v>
      </c>
      <c r="C378" s="102" t="s">
        <v>3521</v>
      </c>
      <c r="D378" s="64" t="s">
        <v>119</v>
      </c>
      <c r="E378" s="78" t="s">
        <v>120</v>
      </c>
      <c r="F378" s="78" t="s">
        <v>129</v>
      </c>
      <c r="G378" s="71" t="s">
        <v>49</v>
      </c>
      <c r="H378" s="42"/>
      <c r="I378" s="42"/>
      <c r="J378" s="42"/>
      <c r="K378" s="75" t="s">
        <v>1186</v>
      </c>
      <c r="L378" s="78" t="s">
        <v>1187</v>
      </c>
      <c r="M378" s="68" t="s">
        <v>1188</v>
      </c>
      <c r="N378" s="67">
        <v>21.456385999999998</v>
      </c>
      <c r="O378" s="67">
        <v>92.051265000000001</v>
      </c>
      <c r="P378" s="78">
        <v>500</v>
      </c>
      <c r="Q378" s="78"/>
      <c r="R378" s="18"/>
      <c r="S378" s="18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42"/>
      <c r="AH378" s="39"/>
      <c r="AI378" s="40"/>
      <c r="AJ378" s="40"/>
    </row>
    <row r="379" spans="1:36" x14ac:dyDescent="0.3">
      <c r="A379" s="63">
        <v>373</v>
      </c>
      <c r="B379" s="102" t="s">
        <v>3520</v>
      </c>
      <c r="C379" s="102" t="s">
        <v>3521</v>
      </c>
      <c r="D379" s="64" t="s">
        <v>119</v>
      </c>
      <c r="E379" s="78" t="s">
        <v>120</v>
      </c>
      <c r="F379" s="78" t="s">
        <v>129</v>
      </c>
      <c r="G379" s="71" t="s">
        <v>49</v>
      </c>
      <c r="H379" s="42"/>
      <c r="I379" s="42"/>
      <c r="J379" s="42"/>
      <c r="K379" s="68" t="s">
        <v>547</v>
      </c>
      <c r="L379" s="68" t="s">
        <v>1189</v>
      </c>
      <c r="M379" s="68" t="s">
        <v>1190</v>
      </c>
      <c r="N379" s="67">
        <v>21.457291999999999</v>
      </c>
      <c r="O379" s="67">
        <v>92.047741000000002</v>
      </c>
      <c r="P379" s="78">
        <v>800</v>
      </c>
      <c r="Q379" s="78"/>
      <c r="R379" s="18"/>
      <c r="S379" s="18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42"/>
      <c r="AH379" s="39"/>
      <c r="AI379" s="40"/>
      <c r="AJ379" s="40"/>
    </row>
    <row r="380" spans="1:36" x14ac:dyDescent="0.3">
      <c r="A380" s="63">
        <v>374</v>
      </c>
      <c r="B380" s="102" t="s">
        <v>3520</v>
      </c>
      <c r="C380" s="102" t="s">
        <v>3521</v>
      </c>
      <c r="D380" s="64" t="s">
        <v>119</v>
      </c>
      <c r="E380" s="78" t="s">
        <v>120</v>
      </c>
      <c r="F380" s="78" t="s">
        <v>129</v>
      </c>
      <c r="G380" s="71" t="s">
        <v>49</v>
      </c>
      <c r="H380" s="42"/>
      <c r="I380" s="42"/>
      <c r="J380" s="42"/>
      <c r="K380" s="75" t="s">
        <v>1191</v>
      </c>
      <c r="L380" s="78" t="s">
        <v>1192</v>
      </c>
      <c r="M380" s="68" t="s">
        <v>1193</v>
      </c>
      <c r="N380" s="67">
        <v>21.451630000000002</v>
      </c>
      <c r="O380" s="67">
        <v>92.042186999999998</v>
      </c>
      <c r="P380" s="78">
        <v>1400</v>
      </c>
      <c r="Q380" s="78"/>
      <c r="R380" s="18"/>
      <c r="S380" s="18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42"/>
      <c r="AH380" s="39"/>
      <c r="AI380" s="40"/>
      <c r="AJ380" s="40"/>
    </row>
    <row r="381" spans="1:36" x14ac:dyDescent="0.3">
      <c r="A381" s="63">
        <v>375</v>
      </c>
      <c r="B381" s="102" t="s">
        <v>3520</v>
      </c>
      <c r="C381" s="102" t="s">
        <v>3521</v>
      </c>
      <c r="D381" s="64" t="s">
        <v>119</v>
      </c>
      <c r="E381" s="78" t="s">
        <v>120</v>
      </c>
      <c r="F381" s="78" t="s">
        <v>129</v>
      </c>
      <c r="G381" s="71" t="s">
        <v>49</v>
      </c>
      <c r="H381" s="42"/>
      <c r="I381" s="42"/>
      <c r="J381" s="42"/>
      <c r="K381" s="75" t="s">
        <v>1194</v>
      </c>
      <c r="L381" s="78" t="s">
        <v>1195</v>
      </c>
      <c r="M381" s="68" t="s">
        <v>1196</v>
      </c>
      <c r="N381" s="67">
        <v>21.467030999999999</v>
      </c>
      <c r="O381" s="67">
        <v>92.043533999999994</v>
      </c>
      <c r="P381" s="78">
        <v>800</v>
      </c>
      <c r="Q381" s="78"/>
      <c r="R381" s="18"/>
      <c r="S381" s="18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42"/>
      <c r="AH381" s="39"/>
      <c r="AI381" s="40"/>
      <c r="AJ381" s="40"/>
    </row>
    <row r="382" spans="1:36" x14ac:dyDescent="0.3">
      <c r="A382" s="79">
        <v>376</v>
      </c>
      <c r="B382" s="102" t="s">
        <v>3520</v>
      </c>
      <c r="C382" s="102" t="s">
        <v>3521</v>
      </c>
      <c r="D382" s="80" t="s">
        <v>119</v>
      </c>
      <c r="E382" s="78" t="s">
        <v>120</v>
      </c>
      <c r="F382" s="78" t="s">
        <v>129</v>
      </c>
      <c r="G382" s="71" t="s">
        <v>49</v>
      </c>
      <c r="H382" s="42"/>
      <c r="I382" s="42"/>
      <c r="J382" s="42"/>
      <c r="K382" s="75" t="s">
        <v>1197</v>
      </c>
      <c r="L382" s="71" t="s">
        <v>1198</v>
      </c>
      <c r="M382" s="68" t="s">
        <v>1199</v>
      </c>
      <c r="N382" s="67">
        <v>21.465582000000001</v>
      </c>
      <c r="O382" s="67">
        <v>92.037847999999997</v>
      </c>
      <c r="P382" s="78">
        <v>700</v>
      </c>
      <c r="Q382" s="78"/>
      <c r="R382" s="18"/>
      <c r="S382" s="18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42"/>
      <c r="AH382" s="39"/>
      <c r="AI382" s="40"/>
      <c r="AJ382" s="40"/>
    </row>
    <row r="383" spans="1:36" x14ac:dyDescent="0.3">
      <c r="A383" s="82">
        <v>377</v>
      </c>
      <c r="B383" s="102" t="s">
        <v>3520</v>
      </c>
      <c r="C383" s="102" t="s">
        <v>3521</v>
      </c>
      <c r="D383" s="73" t="s">
        <v>119</v>
      </c>
      <c r="E383" s="78" t="s">
        <v>120</v>
      </c>
      <c r="F383" s="78" t="s">
        <v>129</v>
      </c>
      <c r="G383" s="71" t="s">
        <v>49</v>
      </c>
      <c r="H383" s="42"/>
      <c r="I383" s="42"/>
      <c r="J383" s="42"/>
      <c r="K383" s="75" t="s">
        <v>1200</v>
      </c>
      <c r="L383" s="71" t="s">
        <v>1201</v>
      </c>
      <c r="M383" s="68" t="s">
        <v>1202</v>
      </c>
      <c r="N383" s="67">
        <v>21.465868</v>
      </c>
      <c r="O383" s="67">
        <v>92.046261000000001</v>
      </c>
      <c r="P383" s="78">
        <v>350</v>
      </c>
      <c r="Q383" s="78"/>
      <c r="R383" s="18"/>
      <c r="S383" s="18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42"/>
      <c r="AH383" s="39"/>
      <c r="AI383" s="40"/>
      <c r="AJ383" s="40"/>
    </row>
  </sheetData>
  <autoFilter ref="A6:AJ383"/>
  <mergeCells count="3">
    <mergeCell ref="G1:G2"/>
    <mergeCell ref="A5:D5"/>
    <mergeCell ref="U5:AF5"/>
  </mergeCells>
  <conditionalFormatting sqref="M7:M383">
    <cfRule type="duplicateValues" dxfId="7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10"/>
  <sheetViews>
    <sheetView workbookViewId="0">
      <pane xSplit="12" ySplit="6" topLeftCell="W7" activePane="bottomRight" state="frozen"/>
      <selection pane="topRight" activeCell="K1" sqref="K1"/>
      <selection pane="bottomLeft" activeCell="A6" sqref="A6"/>
      <selection pane="bottomRight" activeCell="U5" sqref="U5:AF5"/>
    </sheetView>
  </sheetViews>
  <sheetFormatPr defaultRowHeight="14.4" x14ac:dyDescent="0.3"/>
  <cols>
    <col min="1" max="1" width="4.109375" style="65" customWidth="1"/>
    <col min="2" max="2" width="11.6640625" style="65" customWidth="1"/>
    <col min="3" max="3" width="14.44140625" style="65" customWidth="1"/>
    <col min="4" max="4" width="12.21875" style="65" customWidth="1"/>
    <col min="5" max="5" width="17" style="65" customWidth="1"/>
    <col min="6" max="6" width="12.109375" style="65" customWidth="1"/>
    <col min="7" max="7" width="6.88671875" style="65" customWidth="1"/>
    <col min="8" max="8" width="19.6640625" style="4" customWidth="1"/>
    <col min="9" max="9" width="7.21875" style="4" customWidth="1"/>
    <col min="10" max="10" width="15.6640625" style="4" customWidth="1"/>
    <col min="11" max="11" width="23.44140625" style="4" customWidth="1"/>
    <col min="12" max="12" width="19.21875" style="4" customWidth="1"/>
    <col min="13" max="13" width="8.33203125" style="4" customWidth="1"/>
    <col min="14" max="14" width="9.6640625" style="4" customWidth="1"/>
    <col min="15" max="15" width="10.44140625" style="4" customWidth="1"/>
    <col min="16" max="17" width="8.6640625" style="4" customWidth="1"/>
    <col min="18" max="18" width="7.33203125" style="4" customWidth="1"/>
    <col min="19" max="19" width="7.44140625" style="4" customWidth="1"/>
    <col min="20" max="20" width="7.33203125" style="4" customWidth="1"/>
    <col min="21" max="32" width="4.77734375" style="4" customWidth="1"/>
    <col min="33" max="33" width="15" style="4" customWidth="1"/>
    <col min="34" max="16384" width="8.88671875" style="4"/>
  </cols>
  <sheetData>
    <row r="1" spans="1:36" s="13" customFormat="1" x14ac:dyDescent="0.3">
      <c r="A1" s="55"/>
      <c r="B1" s="55"/>
      <c r="C1" s="55"/>
      <c r="D1" s="55"/>
      <c r="E1" s="55"/>
      <c r="F1" s="55"/>
      <c r="G1" s="165" t="s">
        <v>23</v>
      </c>
      <c r="H1" s="46" t="s">
        <v>0</v>
      </c>
      <c r="I1" s="47">
        <f>COUNTIF(I7:I629,"SK(H)")</f>
        <v>0</v>
      </c>
      <c r="J1" s="46" t="s">
        <v>1</v>
      </c>
      <c r="K1" s="46">
        <f>COUNTA(J7:J645)</f>
        <v>0</v>
      </c>
      <c r="L1" s="9"/>
      <c r="M1" s="9"/>
      <c r="N1" s="9"/>
      <c r="O1" s="9"/>
      <c r="Z1" s="11"/>
      <c r="AA1" s="8"/>
      <c r="AB1" s="8"/>
      <c r="AC1" s="8"/>
      <c r="AD1" s="11"/>
      <c r="AE1" s="11"/>
      <c r="AF1" s="11" t="s">
        <v>2</v>
      </c>
      <c r="AG1" s="11"/>
      <c r="AH1" s="10"/>
      <c r="AI1" s="12"/>
      <c r="AJ1" s="8"/>
    </row>
    <row r="2" spans="1:36" s="13" customFormat="1" x14ac:dyDescent="0.3">
      <c r="A2" s="55"/>
      <c r="B2" s="55"/>
      <c r="C2" s="55"/>
      <c r="D2" s="56"/>
      <c r="E2" s="57"/>
      <c r="F2" s="57"/>
      <c r="G2" s="165"/>
      <c r="H2" s="46" t="s">
        <v>3</v>
      </c>
      <c r="I2" s="47">
        <f>COUNTIF(I7:I630,"SHW(H)")</f>
        <v>0</v>
      </c>
      <c r="J2" s="46" t="s">
        <v>5</v>
      </c>
      <c r="K2" s="46">
        <f>COUNTA(K7:K310)</f>
        <v>304</v>
      </c>
      <c r="L2" s="9"/>
      <c r="M2" s="9"/>
      <c r="N2" s="9"/>
      <c r="O2" s="9"/>
      <c r="Z2" s="11"/>
      <c r="AA2" s="8"/>
      <c r="AB2" s="8"/>
      <c r="AC2" s="8"/>
      <c r="AD2" s="11"/>
      <c r="AE2" s="11"/>
      <c r="AF2" s="11" t="s">
        <v>4</v>
      </c>
      <c r="AG2" s="11"/>
      <c r="AH2" s="10"/>
      <c r="AI2" s="8"/>
      <c r="AJ2" s="8"/>
    </row>
    <row r="3" spans="1:36" s="13" customFormat="1" x14ac:dyDescent="0.3">
      <c r="A3" s="55"/>
      <c r="B3" s="55"/>
      <c r="C3" s="55"/>
      <c r="D3" s="56"/>
      <c r="E3" s="57"/>
      <c r="F3" s="57"/>
      <c r="G3" s="162"/>
      <c r="H3" s="9"/>
      <c r="I3" s="164"/>
      <c r="J3" s="9"/>
      <c r="K3" s="9"/>
      <c r="L3" s="9"/>
      <c r="M3" s="9"/>
      <c r="N3" s="9"/>
      <c r="O3" s="9"/>
      <c r="Z3" s="11"/>
      <c r="AA3" s="8"/>
      <c r="AB3" s="8"/>
      <c r="AC3" s="8"/>
      <c r="AD3" s="11"/>
      <c r="AE3" s="11"/>
      <c r="AF3" s="11" t="s">
        <v>6</v>
      </c>
      <c r="AG3" s="11"/>
      <c r="AH3" s="10"/>
      <c r="AI3" s="8"/>
      <c r="AJ3" s="8"/>
    </row>
    <row r="4" spans="1:36" s="13" customFormat="1" x14ac:dyDescent="0.3">
      <c r="A4" s="55"/>
      <c r="B4" s="55"/>
      <c r="C4" s="55"/>
      <c r="D4" s="55"/>
      <c r="E4" s="58"/>
      <c r="F4" s="58"/>
      <c r="G4" s="55"/>
      <c r="H4" s="8"/>
      <c r="I4" s="8"/>
      <c r="K4" s="11"/>
      <c r="L4" s="11"/>
      <c r="M4" s="11"/>
      <c r="N4" s="11"/>
      <c r="O4" s="11"/>
      <c r="Z4" s="11"/>
      <c r="AA4" s="8"/>
      <c r="AB4" s="8"/>
      <c r="AC4" s="8"/>
      <c r="AD4" s="11"/>
      <c r="AE4" s="11"/>
      <c r="AG4" s="11"/>
      <c r="AH4" s="10"/>
    </row>
    <row r="5" spans="1:36" ht="19.8" customHeight="1" x14ac:dyDescent="0.3">
      <c r="A5" s="166" t="s">
        <v>7</v>
      </c>
      <c r="B5" s="166"/>
      <c r="C5" s="166"/>
      <c r="D5" s="166"/>
      <c r="E5" s="77" t="s">
        <v>2678</v>
      </c>
      <c r="F5" s="77"/>
      <c r="G5" s="77"/>
      <c r="H5" s="2"/>
      <c r="I5" s="1"/>
      <c r="J5" s="1"/>
      <c r="K5" s="15"/>
      <c r="L5" s="15"/>
      <c r="M5" s="15"/>
      <c r="N5" s="15"/>
      <c r="O5" s="15"/>
      <c r="P5" s="5"/>
      <c r="Q5" s="5"/>
      <c r="R5" s="5"/>
      <c r="S5" s="5"/>
      <c r="T5" s="1"/>
      <c r="U5" s="167" t="s">
        <v>4489</v>
      </c>
      <c r="V5" s="167"/>
      <c r="W5" s="167"/>
      <c r="X5" s="167"/>
      <c r="Y5" s="167"/>
      <c r="Z5" s="167"/>
      <c r="AA5" s="167"/>
      <c r="AB5" s="167"/>
      <c r="AC5" s="167"/>
      <c r="AD5" s="167"/>
      <c r="AE5" s="167"/>
      <c r="AF5" s="167"/>
      <c r="AG5" s="6"/>
      <c r="AH5" s="3"/>
      <c r="AI5" s="7"/>
      <c r="AJ5" s="7"/>
    </row>
    <row r="6" spans="1:36" s="14" customFormat="1" ht="84.6" customHeight="1" x14ac:dyDescent="0.3">
      <c r="A6" s="60" t="s">
        <v>8</v>
      </c>
      <c r="B6" s="61" t="s">
        <v>3518</v>
      </c>
      <c r="C6" s="61" t="s">
        <v>3519</v>
      </c>
      <c r="D6" s="61" t="s">
        <v>9</v>
      </c>
      <c r="E6" s="61" t="s">
        <v>10</v>
      </c>
      <c r="F6" s="61" t="s">
        <v>11</v>
      </c>
      <c r="G6" s="62" t="s">
        <v>3523</v>
      </c>
      <c r="H6" s="19" t="s">
        <v>12</v>
      </c>
      <c r="I6" s="19" t="s">
        <v>13</v>
      </c>
      <c r="J6" s="48" t="s">
        <v>14</v>
      </c>
      <c r="K6" s="53" t="s">
        <v>34</v>
      </c>
      <c r="L6" s="81" t="s">
        <v>35</v>
      </c>
      <c r="M6" s="53" t="s">
        <v>40</v>
      </c>
      <c r="N6" s="53" t="s">
        <v>36</v>
      </c>
      <c r="O6" s="53" t="s">
        <v>37</v>
      </c>
      <c r="P6" s="19" t="s">
        <v>15</v>
      </c>
      <c r="Q6" s="19" t="s">
        <v>3522</v>
      </c>
      <c r="R6" s="19" t="s">
        <v>33</v>
      </c>
      <c r="S6" s="19" t="s">
        <v>38</v>
      </c>
      <c r="T6" s="19" t="s">
        <v>39</v>
      </c>
      <c r="U6" s="44" t="s">
        <v>26</v>
      </c>
      <c r="V6" s="45" t="s">
        <v>27</v>
      </c>
      <c r="W6" s="45" t="s">
        <v>16</v>
      </c>
      <c r="X6" s="45" t="s">
        <v>17</v>
      </c>
      <c r="Y6" s="45" t="s">
        <v>18</v>
      </c>
      <c r="Z6" s="45" t="s">
        <v>19</v>
      </c>
      <c r="AA6" s="45" t="s">
        <v>20</v>
      </c>
      <c r="AB6" s="45" t="s">
        <v>28</v>
      </c>
      <c r="AC6" s="45" t="s">
        <v>29</v>
      </c>
      <c r="AD6" s="45" t="s">
        <v>30</v>
      </c>
      <c r="AE6" s="45" t="s">
        <v>31</v>
      </c>
      <c r="AF6" s="45" t="s">
        <v>32</v>
      </c>
      <c r="AG6" s="49" t="s">
        <v>25</v>
      </c>
      <c r="AH6" s="50" t="s">
        <v>24</v>
      </c>
      <c r="AI6" s="51" t="s">
        <v>21</v>
      </c>
      <c r="AJ6" s="52" t="s">
        <v>22</v>
      </c>
    </row>
    <row r="7" spans="1:36" ht="15.6" x14ac:dyDescent="0.3">
      <c r="A7" s="63">
        <v>1</v>
      </c>
      <c r="B7" s="102" t="s">
        <v>3520</v>
      </c>
      <c r="C7" s="102" t="s">
        <v>3521</v>
      </c>
      <c r="D7" s="64" t="s">
        <v>119</v>
      </c>
      <c r="E7" s="68" t="s">
        <v>2678</v>
      </c>
      <c r="F7" s="71" t="s">
        <v>2679</v>
      </c>
      <c r="G7" s="71" t="s">
        <v>41</v>
      </c>
      <c r="H7" s="20"/>
      <c r="I7" s="20"/>
      <c r="J7" s="21"/>
      <c r="K7" s="68" t="s">
        <v>2684</v>
      </c>
      <c r="L7" s="68" t="s">
        <v>2685</v>
      </c>
      <c r="M7" s="68" t="s">
        <v>2686</v>
      </c>
      <c r="N7" s="67">
        <v>21.298857999999999</v>
      </c>
      <c r="O7" s="67">
        <v>92.084367999999998</v>
      </c>
      <c r="P7" s="68">
        <v>1500</v>
      </c>
      <c r="Q7" s="68"/>
      <c r="R7" s="18"/>
      <c r="S7" s="18"/>
      <c r="T7" s="22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16"/>
      <c r="AH7" s="24"/>
      <c r="AI7" s="25"/>
      <c r="AJ7" s="25"/>
    </row>
    <row r="8" spans="1:36" ht="15.6" x14ac:dyDescent="0.3">
      <c r="A8" s="63">
        <v>2</v>
      </c>
      <c r="B8" s="102" t="s">
        <v>3520</v>
      </c>
      <c r="C8" s="102" t="s">
        <v>3521</v>
      </c>
      <c r="D8" s="64" t="s">
        <v>119</v>
      </c>
      <c r="E8" s="68" t="s">
        <v>2678</v>
      </c>
      <c r="F8" s="71" t="s">
        <v>2679</v>
      </c>
      <c r="G8" s="71" t="s">
        <v>41</v>
      </c>
      <c r="H8" s="20"/>
      <c r="I8" s="20"/>
      <c r="J8" s="21"/>
      <c r="K8" s="68" t="s">
        <v>2687</v>
      </c>
      <c r="L8" s="68" t="s">
        <v>2688</v>
      </c>
      <c r="M8" s="68" t="s">
        <v>2689</v>
      </c>
      <c r="N8" s="67">
        <v>21.303038000000001</v>
      </c>
      <c r="O8" s="67">
        <v>92.089252000000002</v>
      </c>
      <c r="P8" s="68">
        <v>1500</v>
      </c>
      <c r="Q8" s="68"/>
      <c r="R8" s="18"/>
      <c r="S8" s="18"/>
      <c r="T8" s="22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17"/>
      <c r="AH8" s="24"/>
      <c r="AI8" s="25"/>
      <c r="AJ8" s="25"/>
    </row>
    <row r="9" spans="1:36" ht="15.6" x14ac:dyDescent="0.3">
      <c r="A9" s="63">
        <v>3</v>
      </c>
      <c r="B9" s="102" t="s">
        <v>3520</v>
      </c>
      <c r="C9" s="102" t="s">
        <v>3521</v>
      </c>
      <c r="D9" s="64" t="s">
        <v>119</v>
      </c>
      <c r="E9" s="68" t="s">
        <v>2678</v>
      </c>
      <c r="F9" s="71" t="s">
        <v>2679</v>
      </c>
      <c r="G9" s="71" t="s">
        <v>41</v>
      </c>
      <c r="H9" s="20"/>
      <c r="I9" s="20"/>
      <c r="J9" s="21"/>
      <c r="K9" s="68" t="s">
        <v>2690</v>
      </c>
      <c r="L9" s="68" t="s">
        <v>2691</v>
      </c>
      <c r="M9" s="68" t="s">
        <v>2692</v>
      </c>
      <c r="N9" s="67">
        <v>21.301596</v>
      </c>
      <c r="O9" s="67">
        <v>92.094504000000001</v>
      </c>
      <c r="P9" s="68">
        <v>2500</v>
      </c>
      <c r="Q9" s="68"/>
      <c r="R9" s="18"/>
      <c r="S9" s="18"/>
      <c r="T9" s="22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17"/>
      <c r="AH9" s="24"/>
      <c r="AI9" s="25"/>
      <c r="AJ9" s="25"/>
    </row>
    <row r="10" spans="1:36" ht="15.6" x14ac:dyDescent="0.3">
      <c r="A10" s="63">
        <v>4</v>
      </c>
      <c r="B10" s="102" t="s">
        <v>3520</v>
      </c>
      <c r="C10" s="102" t="s">
        <v>3521</v>
      </c>
      <c r="D10" s="64" t="s">
        <v>119</v>
      </c>
      <c r="E10" s="68" t="s">
        <v>2678</v>
      </c>
      <c r="F10" s="71" t="s">
        <v>2679</v>
      </c>
      <c r="G10" s="71" t="s">
        <v>41</v>
      </c>
      <c r="H10" s="20"/>
      <c r="I10" s="20"/>
      <c r="J10" s="21"/>
      <c r="K10" s="68" t="s">
        <v>2693</v>
      </c>
      <c r="L10" s="68" t="s">
        <v>2694</v>
      </c>
      <c r="M10" s="68" t="s">
        <v>2695</v>
      </c>
      <c r="N10" s="67">
        <v>21.308537999999999</v>
      </c>
      <c r="O10" s="67">
        <v>92.093547999999998</v>
      </c>
      <c r="P10" s="68">
        <v>2000</v>
      </c>
      <c r="Q10" s="68"/>
      <c r="R10" s="18"/>
      <c r="S10" s="18"/>
      <c r="T10" s="22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17"/>
      <c r="AH10" s="24"/>
      <c r="AI10" s="25"/>
      <c r="AJ10" s="25"/>
    </row>
    <row r="11" spans="1:36" ht="15.6" x14ac:dyDescent="0.3">
      <c r="A11" s="63">
        <v>5</v>
      </c>
      <c r="B11" s="102" t="s">
        <v>3520</v>
      </c>
      <c r="C11" s="102" t="s">
        <v>3521</v>
      </c>
      <c r="D11" s="64" t="s">
        <v>119</v>
      </c>
      <c r="E11" s="68" t="s">
        <v>2678</v>
      </c>
      <c r="F11" s="71" t="s">
        <v>2679</v>
      </c>
      <c r="G11" s="71" t="s">
        <v>41</v>
      </c>
      <c r="H11" s="20"/>
      <c r="I11" s="20"/>
      <c r="J11" s="21"/>
      <c r="K11" s="68" t="s">
        <v>2696</v>
      </c>
      <c r="L11" s="68" t="s">
        <v>2697</v>
      </c>
      <c r="M11" s="68" t="s">
        <v>2698</v>
      </c>
      <c r="N11" s="67">
        <v>21.302575999999998</v>
      </c>
      <c r="O11" s="67">
        <v>92.100170000000006</v>
      </c>
      <c r="P11" s="68">
        <v>2500</v>
      </c>
      <c r="Q11" s="68"/>
      <c r="R11" s="18"/>
      <c r="S11" s="18"/>
      <c r="T11" s="22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16"/>
      <c r="AH11" s="24"/>
      <c r="AI11" s="25"/>
      <c r="AJ11" s="25"/>
    </row>
    <row r="12" spans="1:36" ht="15.6" x14ac:dyDescent="0.3">
      <c r="A12" s="63">
        <v>6</v>
      </c>
      <c r="B12" s="102" t="s">
        <v>3520</v>
      </c>
      <c r="C12" s="102" t="s">
        <v>3521</v>
      </c>
      <c r="D12" s="64" t="s">
        <v>119</v>
      </c>
      <c r="E12" s="68" t="s">
        <v>2678</v>
      </c>
      <c r="F12" s="71" t="s">
        <v>2679</v>
      </c>
      <c r="G12" s="71" t="s">
        <v>41</v>
      </c>
      <c r="H12" s="20"/>
      <c r="I12" s="20"/>
      <c r="J12" s="21"/>
      <c r="K12" s="68" t="s">
        <v>2699</v>
      </c>
      <c r="L12" s="68" t="s">
        <v>2700</v>
      </c>
      <c r="M12" s="68" t="s">
        <v>2701</v>
      </c>
      <c r="N12" s="67">
        <v>21.308914999999999</v>
      </c>
      <c r="O12" s="67">
        <v>92.099412000000001</v>
      </c>
      <c r="P12" s="68">
        <v>3000</v>
      </c>
      <c r="Q12" s="68"/>
      <c r="R12" s="18"/>
      <c r="S12" s="18"/>
      <c r="T12" s="22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17"/>
      <c r="AH12" s="24"/>
      <c r="AI12" s="25"/>
      <c r="AJ12" s="25"/>
    </row>
    <row r="13" spans="1:36" ht="15.6" x14ac:dyDescent="0.3">
      <c r="A13" s="63">
        <v>7</v>
      </c>
      <c r="B13" s="102" t="s">
        <v>3520</v>
      </c>
      <c r="C13" s="102" t="s">
        <v>3521</v>
      </c>
      <c r="D13" s="64" t="s">
        <v>119</v>
      </c>
      <c r="E13" s="68" t="s">
        <v>2678</v>
      </c>
      <c r="F13" s="71" t="s">
        <v>2679</v>
      </c>
      <c r="G13" s="71" t="s">
        <v>41</v>
      </c>
      <c r="H13" s="20"/>
      <c r="I13" s="20"/>
      <c r="J13" s="21"/>
      <c r="K13" s="68" t="s">
        <v>2702</v>
      </c>
      <c r="L13" s="68" t="s">
        <v>2703</v>
      </c>
      <c r="M13" s="68" t="s">
        <v>2704</v>
      </c>
      <c r="N13" s="67">
        <v>21.313897000000001</v>
      </c>
      <c r="O13" s="67">
        <v>92.102430999999996</v>
      </c>
      <c r="P13" s="68">
        <v>2000</v>
      </c>
      <c r="Q13" s="68"/>
      <c r="R13" s="18"/>
      <c r="S13" s="18"/>
      <c r="T13" s="22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17"/>
      <c r="AH13" s="24"/>
      <c r="AI13" s="25"/>
      <c r="AJ13" s="25"/>
    </row>
    <row r="14" spans="1:36" ht="15.6" x14ac:dyDescent="0.3">
      <c r="A14" s="63">
        <v>8</v>
      </c>
      <c r="B14" s="102" t="s">
        <v>3520</v>
      </c>
      <c r="C14" s="102" t="s">
        <v>3521</v>
      </c>
      <c r="D14" s="64" t="s">
        <v>119</v>
      </c>
      <c r="E14" s="68" t="s">
        <v>2678</v>
      </c>
      <c r="F14" s="71" t="s">
        <v>2679</v>
      </c>
      <c r="G14" s="71" t="s">
        <v>42</v>
      </c>
      <c r="H14" s="26"/>
      <c r="I14" s="20"/>
      <c r="J14" s="21"/>
      <c r="K14" s="68" t="s">
        <v>2705</v>
      </c>
      <c r="L14" s="68" t="s">
        <v>2706</v>
      </c>
      <c r="M14" s="68" t="s">
        <v>2707</v>
      </c>
      <c r="N14" s="67">
        <v>21.322702</v>
      </c>
      <c r="O14" s="67">
        <v>92.109256999999999</v>
      </c>
      <c r="P14" s="68">
        <v>1200</v>
      </c>
      <c r="Q14" s="68"/>
      <c r="R14" s="18"/>
      <c r="S14" s="18"/>
      <c r="T14" s="27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16"/>
      <c r="AH14" s="24"/>
      <c r="AI14" s="25"/>
      <c r="AJ14" s="25"/>
    </row>
    <row r="15" spans="1:36" ht="15.6" x14ac:dyDescent="0.3">
      <c r="A15" s="63">
        <v>9</v>
      </c>
      <c r="B15" s="102" t="s">
        <v>3520</v>
      </c>
      <c r="C15" s="102" t="s">
        <v>3521</v>
      </c>
      <c r="D15" s="64" t="s">
        <v>119</v>
      </c>
      <c r="E15" s="68" t="s">
        <v>2678</v>
      </c>
      <c r="F15" s="71" t="s">
        <v>2679</v>
      </c>
      <c r="G15" s="71" t="s">
        <v>42</v>
      </c>
      <c r="H15" s="26"/>
      <c r="I15" s="20"/>
      <c r="J15" s="21"/>
      <c r="K15" s="68" t="s">
        <v>2708</v>
      </c>
      <c r="L15" s="68" t="s">
        <v>2709</v>
      </c>
      <c r="M15" s="68" t="s">
        <v>2710</v>
      </c>
      <c r="N15" s="67">
        <v>21.328046000000001</v>
      </c>
      <c r="O15" s="67">
        <v>92.113197999999997</v>
      </c>
      <c r="P15" s="68">
        <v>500</v>
      </c>
      <c r="Q15" s="68"/>
      <c r="R15" s="18"/>
      <c r="S15" s="18"/>
      <c r="T15" s="27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17"/>
      <c r="AH15" s="24"/>
      <c r="AI15" s="25"/>
      <c r="AJ15" s="25"/>
    </row>
    <row r="16" spans="1:36" ht="15.6" x14ac:dyDescent="0.3">
      <c r="A16" s="63">
        <v>10</v>
      </c>
      <c r="B16" s="102" t="s">
        <v>3520</v>
      </c>
      <c r="C16" s="102" t="s">
        <v>3521</v>
      </c>
      <c r="D16" s="64" t="s">
        <v>119</v>
      </c>
      <c r="E16" s="68" t="s">
        <v>2678</v>
      </c>
      <c r="F16" s="71" t="s">
        <v>2679</v>
      </c>
      <c r="G16" s="71" t="s">
        <v>42</v>
      </c>
      <c r="H16" s="26"/>
      <c r="I16" s="20"/>
      <c r="J16" s="21"/>
      <c r="K16" s="68" t="s">
        <v>62</v>
      </c>
      <c r="L16" s="68" t="s">
        <v>63</v>
      </c>
      <c r="M16" s="68" t="s">
        <v>2711</v>
      </c>
      <c r="N16" s="67">
        <v>21.322441999999999</v>
      </c>
      <c r="O16" s="67">
        <v>92.119007999999994</v>
      </c>
      <c r="P16" s="68">
        <v>1200</v>
      </c>
      <c r="Q16" s="68"/>
      <c r="R16" s="18"/>
      <c r="S16" s="18"/>
      <c r="T16" s="27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17"/>
      <c r="AH16" s="24"/>
      <c r="AI16" s="25"/>
      <c r="AJ16" s="25"/>
    </row>
    <row r="17" spans="1:36" ht="15.6" x14ac:dyDescent="0.3">
      <c r="A17" s="63">
        <v>11</v>
      </c>
      <c r="B17" s="102" t="s">
        <v>3520</v>
      </c>
      <c r="C17" s="102" t="s">
        <v>3521</v>
      </c>
      <c r="D17" s="64" t="s">
        <v>119</v>
      </c>
      <c r="E17" s="68" t="s">
        <v>2678</v>
      </c>
      <c r="F17" s="71" t="s">
        <v>2679</v>
      </c>
      <c r="G17" s="71" t="s">
        <v>42</v>
      </c>
      <c r="H17" s="26"/>
      <c r="I17" s="20"/>
      <c r="J17" s="28"/>
      <c r="K17" s="68" t="s">
        <v>2712</v>
      </c>
      <c r="L17" s="68" t="s">
        <v>2713</v>
      </c>
      <c r="M17" s="68" t="s">
        <v>2714</v>
      </c>
      <c r="N17" s="67">
        <v>21.327249999999999</v>
      </c>
      <c r="O17" s="67">
        <v>92.122067000000001</v>
      </c>
      <c r="P17" s="68">
        <v>1300</v>
      </c>
      <c r="Q17" s="68"/>
      <c r="R17" s="18"/>
      <c r="S17" s="18"/>
      <c r="T17" s="27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17"/>
      <c r="AH17" s="24"/>
      <c r="AI17" s="25"/>
      <c r="AJ17" s="25"/>
    </row>
    <row r="18" spans="1:36" ht="15.6" x14ac:dyDescent="0.3">
      <c r="A18" s="63">
        <v>12</v>
      </c>
      <c r="B18" s="102" t="s">
        <v>3520</v>
      </c>
      <c r="C18" s="102" t="s">
        <v>3521</v>
      </c>
      <c r="D18" s="64" t="s">
        <v>119</v>
      </c>
      <c r="E18" s="68" t="s">
        <v>2678</v>
      </c>
      <c r="F18" s="71" t="s">
        <v>2679</v>
      </c>
      <c r="G18" s="71" t="s">
        <v>42</v>
      </c>
      <c r="H18" s="26"/>
      <c r="I18" s="20"/>
      <c r="J18" s="21"/>
      <c r="K18" s="68" t="s">
        <v>2715</v>
      </c>
      <c r="L18" s="68" t="s">
        <v>2716</v>
      </c>
      <c r="M18" s="68" t="s">
        <v>2717</v>
      </c>
      <c r="N18" s="67">
        <v>21.314395999999999</v>
      </c>
      <c r="O18" s="67">
        <v>92.118463000000006</v>
      </c>
      <c r="P18" s="68">
        <v>1400</v>
      </c>
      <c r="Q18" s="68"/>
      <c r="R18" s="18"/>
      <c r="S18" s="18"/>
      <c r="T18" s="27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17"/>
      <c r="AH18" s="24"/>
      <c r="AI18" s="25"/>
      <c r="AJ18" s="25"/>
    </row>
    <row r="19" spans="1:36" ht="15.6" x14ac:dyDescent="0.3">
      <c r="A19" s="63">
        <v>13</v>
      </c>
      <c r="B19" s="102" t="s">
        <v>3520</v>
      </c>
      <c r="C19" s="102" t="s">
        <v>3521</v>
      </c>
      <c r="D19" s="64" t="s">
        <v>119</v>
      </c>
      <c r="E19" s="68" t="s">
        <v>2678</v>
      </c>
      <c r="F19" s="71" t="s">
        <v>2679</v>
      </c>
      <c r="G19" s="71" t="s">
        <v>42</v>
      </c>
      <c r="H19" s="26"/>
      <c r="I19" s="20"/>
      <c r="J19" s="21"/>
      <c r="K19" s="68" t="s">
        <v>90</v>
      </c>
      <c r="L19" s="68" t="s">
        <v>91</v>
      </c>
      <c r="M19" s="68" t="s">
        <v>2718</v>
      </c>
      <c r="N19" s="67">
        <v>21.312639999999998</v>
      </c>
      <c r="O19" s="67">
        <v>92.109120000000004</v>
      </c>
      <c r="P19" s="68">
        <v>1500</v>
      </c>
      <c r="Q19" s="68"/>
      <c r="R19" s="18"/>
      <c r="S19" s="18"/>
      <c r="T19" s="27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17"/>
      <c r="AH19" s="24"/>
      <c r="AI19" s="25"/>
      <c r="AJ19" s="25"/>
    </row>
    <row r="20" spans="1:36" ht="15.6" x14ac:dyDescent="0.3">
      <c r="A20" s="63">
        <v>14</v>
      </c>
      <c r="B20" s="102" t="s">
        <v>3520</v>
      </c>
      <c r="C20" s="102" t="s">
        <v>3521</v>
      </c>
      <c r="D20" s="64" t="s">
        <v>119</v>
      </c>
      <c r="E20" s="68" t="s">
        <v>2678</v>
      </c>
      <c r="F20" s="71" t="s">
        <v>2679</v>
      </c>
      <c r="G20" s="71" t="s">
        <v>42</v>
      </c>
      <c r="H20" s="26"/>
      <c r="I20" s="20"/>
      <c r="J20" s="21"/>
      <c r="K20" s="68" t="s">
        <v>2719</v>
      </c>
      <c r="L20" s="68" t="s">
        <v>2720</v>
      </c>
      <c r="M20" s="68" t="s">
        <v>2721</v>
      </c>
      <c r="N20" s="67">
        <v>21.315252000000001</v>
      </c>
      <c r="O20" s="67">
        <v>92.110812999999993</v>
      </c>
      <c r="P20" s="68">
        <v>700</v>
      </c>
      <c r="Q20" s="68"/>
      <c r="R20" s="18"/>
      <c r="S20" s="18"/>
      <c r="T20" s="27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17"/>
      <c r="AH20" s="24"/>
      <c r="AI20" s="25"/>
      <c r="AJ20" s="25"/>
    </row>
    <row r="21" spans="1:36" ht="15.6" x14ac:dyDescent="0.3">
      <c r="A21" s="63">
        <v>15</v>
      </c>
      <c r="B21" s="102" t="s">
        <v>3520</v>
      </c>
      <c r="C21" s="102" t="s">
        <v>3521</v>
      </c>
      <c r="D21" s="64" t="s">
        <v>119</v>
      </c>
      <c r="E21" s="68" t="s">
        <v>2678</v>
      </c>
      <c r="F21" s="71" t="s">
        <v>2679</v>
      </c>
      <c r="G21" s="71" t="s">
        <v>43</v>
      </c>
      <c r="H21" s="26"/>
      <c r="I21" s="20"/>
      <c r="J21" s="21"/>
      <c r="K21" s="68" t="s">
        <v>2722</v>
      </c>
      <c r="L21" s="68" t="s">
        <v>2723</v>
      </c>
      <c r="M21" s="68" t="s">
        <v>2724</v>
      </c>
      <c r="N21" s="67">
        <v>21.318816000000002</v>
      </c>
      <c r="O21" s="67">
        <v>92.128122000000005</v>
      </c>
      <c r="P21" s="68">
        <v>3000</v>
      </c>
      <c r="Q21" s="68"/>
      <c r="R21" s="18"/>
      <c r="S21" s="18"/>
      <c r="T21" s="22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17"/>
      <c r="AH21" s="24"/>
      <c r="AI21" s="25"/>
      <c r="AJ21" s="25"/>
    </row>
    <row r="22" spans="1:36" ht="15.6" x14ac:dyDescent="0.3">
      <c r="A22" s="63">
        <v>16</v>
      </c>
      <c r="B22" s="102" t="s">
        <v>3520</v>
      </c>
      <c r="C22" s="102" t="s">
        <v>3521</v>
      </c>
      <c r="D22" s="64" t="s">
        <v>119</v>
      </c>
      <c r="E22" s="68" t="s">
        <v>2678</v>
      </c>
      <c r="F22" s="71" t="s">
        <v>2679</v>
      </c>
      <c r="G22" s="71" t="s">
        <v>43</v>
      </c>
      <c r="H22" s="26"/>
      <c r="I22" s="20"/>
      <c r="J22" s="21"/>
      <c r="K22" s="68" t="s">
        <v>2725</v>
      </c>
      <c r="L22" s="68" t="s">
        <v>2726</v>
      </c>
      <c r="M22" s="68" t="s">
        <v>2727</v>
      </c>
      <c r="N22" s="67">
        <v>21.327287999999999</v>
      </c>
      <c r="O22" s="67">
        <v>92.132688999999999</v>
      </c>
      <c r="P22" s="68">
        <v>2500</v>
      </c>
      <c r="Q22" s="68"/>
      <c r="R22" s="18"/>
      <c r="S22" s="18"/>
      <c r="T22" s="27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17"/>
      <c r="AH22" s="24"/>
      <c r="AI22" s="25"/>
      <c r="AJ22" s="25"/>
    </row>
    <row r="23" spans="1:36" ht="15.6" x14ac:dyDescent="0.3">
      <c r="A23" s="63">
        <v>17</v>
      </c>
      <c r="B23" s="102" t="s">
        <v>3520</v>
      </c>
      <c r="C23" s="102" t="s">
        <v>3521</v>
      </c>
      <c r="D23" s="64" t="s">
        <v>119</v>
      </c>
      <c r="E23" s="68" t="s">
        <v>2678</v>
      </c>
      <c r="F23" s="71" t="s">
        <v>2679</v>
      </c>
      <c r="G23" s="71" t="s">
        <v>43</v>
      </c>
      <c r="H23" s="20"/>
      <c r="I23" s="20"/>
      <c r="J23" s="21"/>
      <c r="K23" s="68" t="s">
        <v>2728</v>
      </c>
      <c r="L23" s="68" t="s">
        <v>2729</v>
      </c>
      <c r="M23" s="68" t="s">
        <v>2730</v>
      </c>
      <c r="N23" s="67">
        <v>21.337736</v>
      </c>
      <c r="O23" s="67">
        <v>92.134546999999998</v>
      </c>
      <c r="P23" s="68">
        <v>4700</v>
      </c>
      <c r="Q23" s="68"/>
      <c r="R23" s="18"/>
      <c r="S23" s="18"/>
      <c r="T23" s="27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17"/>
      <c r="AH23" s="24"/>
      <c r="AI23" s="25"/>
      <c r="AJ23" s="25"/>
    </row>
    <row r="24" spans="1:36" ht="15.6" x14ac:dyDescent="0.3">
      <c r="A24" s="63">
        <v>18</v>
      </c>
      <c r="B24" s="102" t="s">
        <v>3520</v>
      </c>
      <c r="C24" s="102" t="s">
        <v>3521</v>
      </c>
      <c r="D24" s="64" t="s">
        <v>119</v>
      </c>
      <c r="E24" s="68" t="s">
        <v>2678</v>
      </c>
      <c r="F24" s="71" t="s">
        <v>2679</v>
      </c>
      <c r="G24" s="71" t="s">
        <v>43</v>
      </c>
      <c r="H24" s="20"/>
      <c r="I24" s="20"/>
      <c r="J24" s="21"/>
      <c r="K24" s="68" t="s">
        <v>2731</v>
      </c>
      <c r="L24" s="68" t="s">
        <v>2732</v>
      </c>
      <c r="M24" s="68" t="s">
        <v>2733</v>
      </c>
      <c r="N24" s="67">
        <v>21.333200999999999</v>
      </c>
      <c r="O24" s="67">
        <v>92.127757000000003</v>
      </c>
      <c r="P24" s="68">
        <v>1000</v>
      </c>
      <c r="Q24" s="68"/>
      <c r="R24" s="18"/>
      <c r="S24" s="18"/>
      <c r="T24" s="27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17"/>
      <c r="AH24" s="24"/>
      <c r="AI24" s="25"/>
      <c r="AJ24" s="25"/>
    </row>
    <row r="25" spans="1:36" ht="15.6" x14ac:dyDescent="0.3">
      <c r="A25" s="63">
        <v>19</v>
      </c>
      <c r="B25" s="102" t="s">
        <v>3520</v>
      </c>
      <c r="C25" s="102" t="s">
        <v>3521</v>
      </c>
      <c r="D25" s="64" t="s">
        <v>119</v>
      </c>
      <c r="E25" s="68" t="s">
        <v>2678</v>
      </c>
      <c r="F25" s="71" t="s">
        <v>2679</v>
      </c>
      <c r="G25" s="71" t="s">
        <v>43</v>
      </c>
      <c r="H25" s="20"/>
      <c r="I25" s="20"/>
      <c r="J25" s="21"/>
      <c r="K25" s="68" t="s">
        <v>2734</v>
      </c>
      <c r="L25" s="68" t="s">
        <v>2735</v>
      </c>
      <c r="M25" s="68" t="s">
        <v>2736</v>
      </c>
      <c r="N25" s="67">
        <v>21.331467</v>
      </c>
      <c r="O25" s="67">
        <v>92.138379999999998</v>
      </c>
      <c r="P25" s="68">
        <v>300</v>
      </c>
      <c r="Q25" s="68"/>
      <c r="R25" s="18"/>
      <c r="S25" s="18"/>
      <c r="T25" s="27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17"/>
      <c r="AH25" s="24"/>
      <c r="AI25" s="25"/>
      <c r="AJ25" s="25"/>
    </row>
    <row r="26" spans="1:36" ht="15.6" x14ac:dyDescent="0.3">
      <c r="A26" s="63">
        <v>20</v>
      </c>
      <c r="B26" s="102" t="s">
        <v>3520</v>
      </c>
      <c r="C26" s="102" t="s">
        <v>3521</v>
      </c>
      <c r="D26" s="64" t="s">
        <v>119</v>
      </c>
      <c r="E26" s="68" t="s">
        <v>2678</v>
      </c>
      <c r="F26" s="71" t="s">
        <v>2679</v>
      </c>
      <c r="G26" s="71" t="s">
        <v>43</v>
      </c>
      <c r="H26" s="20"/>
      <c r="I26" s="20"/>
      <c r="J26" s="21"/>
      <c r="K26" s="68" t="s">
        <v>2737</v>
      </c>
      <c r="L26" s="68" t="s">
        <v>2738</v>
      </c>
      <c r="M26" s="68" t="s">
        <v>2739</v>
      </c>
      <c r="N26" s="67">
        <v>21.342817</v>
      </c>
      <c r="O26" s="67">
        <v>92.138765000000006</v>
      </c>
      <c r="P26" s="68">
        <v>500</v>
      </c>
      <c r="Q26" s="68"/>
      <c r="R26" s="18"/>
      <c r="S26" s="18"/>
      <c r="T26" s="27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17"/>
      <c r="AH26" s="24"/>
      <c r="AI26" s="25"/>
      <c r="AJ26" s="25"/>
    </row>
    <row r="27" spans="1:36" ht="15.6" x14ac:dyDescent="0.3">
      <c r="A27" s="63">
        <v>21</v>
      </c>
      <c r="B27" s="102" t="s">
        <v>3520</v>
      </c>
      <c r="C27" s="102" t="s">
        <v>3521</v>
      </c>
      <c r="D27" s="64" t="s">
        <v>119</v>
      </c>
      <c r="E27" s="68" t="s">
        <v>2678</v>
      </c>
      <c r="F27" s="71" t="s">
        <v>2679</v>
      </c>
      <c r="G27" s="71" t="s">
        <v>43</v>
      </c>
      <c r="H27" s="20"/>
      <c r="I27" s="20"/>
      <c r="J27" s="21"/>
      <c r="K27" s="68" t="s">
        <v>2740</v>
      </c>
      <c r="L27" s="68" t="s">
        <v>2741</v>
      </c>
      <c r="M27" s="68" t="s">
        <v>2742</v>
      </c>
      <c r="N27" s="67">
        <v>21.341699999999999</v>
      </c>
      <c r="O27" s="67">
        <v>92.130422999999993</v>
      </c>
      <c r="P27" s="68">
        <v>1000</v>
      </c>
      <c r="Q27" s="68"/>
      <c r="R27" s="18"/>
      <c r="S27" s="18"/>
      <c r="T27" s="22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17"/>
      <c r="AH27" s="24"/>
      <c r="AI27" s="25"/>
      <c r="AJ27" s="25"/>
    </row>
    <row r="28" spans="1:36" ht="15.6" x14ac:dyDescent="0.3">
      <c r="A28" s="63">
        <v>22</v>
      </c>
      <c r="B28" s="102" t="s">
        <v>3520</v>
      </c>
      <c r="C28" s="102" t="s">
        <v>3521</v>
      </c>
      <c r="D28" s="64" t="s">
        <v>119</v>
      </c>
      <c r="E28" s="68" t="s">
        <v>2678</v>
      </c>
      <c r="F28" s="71" t="s">
        <v>2679</v>
      </c>
      <c r="G28" s="71" t="s">
        <v>44</v>
      </c>
      <c r="H28" s="20"/>
      <c r="I28" s="20"/>
      <c r="J28" s="21"/>
      <c r="K28" s="68" t="s">
        <v>2743</v>
      </c>
      <c r="L28" s="68" t="s">
        <v>2744</v>
      </c>
      <c r="M28" s="68" t="s">
        <v>2745</v>
      </c>
      <c r="N28" s="67">
        <v>21.310621999999999</v>
      </c>
      <c r="O28" s="67">
        <v>92.152068</v>
      </c>
      <c r="P28" s="68">
        <v>800</v>
      </c>
      <c r="Q28" s="68"/>
      <c r="R28" s="18"/>
      <c r="S28" s="18"/>
      <c r="T28" s="27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17"/>
      <c r="AH28" s="24"/>
      <c r="AI28" s="25"/>
      <c r="AJ28" s="25"/>
    </row>
    <row r="29" spans="1:36" ht="15.6" x14ac:dyDescent="0.3">
      <c r="A29" s="63">
        <v>23</v>
      </c>
      <c r="B29" s="102" t="s">
        <v>3520</v>
      </c>
      <c r="C29" s="102" t="s">
        <v>3521</v>
      </c>
      <c r="D29" s="64" t="s">
        <v>119</v>
      </c>
      <c r="E29" s="68" t="s">
        <v>2678</v>
      </c>
      <c r="F29" s="71" t="s">
        <v>2679</v>
      </c>
      <c r="G29" s="71" t="s">
        <v>44</v>
      </c>
      <c r="H29" s="20"/>
      <c r="I29" s="20"/>
      <c r="J29" s="21"/>
      <c r="K29" s="68" t="s">
        <v>2746</v>
      </c>
      <c r="L29" s="68" t="s">
        <v>2747</v>
      </c>
      <c r="M29" s="68" t="s">
        <v>2748</v>
      </c>
      <c r="N29" s="67">
        <v>21.319638000000001</v>
      </c>
      <c r="O29" s="67">
        <v>92.135063000000002</v>
      </c>
      <c r="P29" s="68">
        <v>1500</v>
      </c>
      <c r="Q29" s="68"/>
      <c r="R29" s="18"/>
      <c r="S29" s="18"/>
      <c r="T29" s="27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17"/>
      <c r="AH29" s="24"/>
      <c r="AI29" s="25"/>
      <c r="AJ29" s="25"/>
    </row>
    <row r="30" spans="1:36" ht="15.6" x14ac:dyDescent="0.3">
      <c r="A30" s="63">
        <v>24</v>
      </c>
      <c r="B30" s="102" t="s">
        <v>3520</v>
      </c>
      <c r="C30" s="102" t="s">
        <v>3521</v>
      </c>
      <c r="D30" s="64" t="s">
        <v>119</v>
      </c>
      <c r="E30" s="68" t="s">
        <v>2678</v>
      </c>
      <c r="F30" s="71" t="s">
        <v>2679</v>
      </c>
      <c r="G30" s="71" t="s">
        <v>44</v>
      </c>
      <c r="H30" s="20"/>
      <c r="I30" s="20"/>
      <c r="J30" s="21"/>
      <c r="K30" s="68" t="s">
        <v>2749</v>
      </c>
      <c r="L30" s="68" t="s">
        <v>2750</v>
      </c>
      <c r="M30" s="68" t="s">
        <v>2751</v>
      </c>
      <c r="N30" s="67">
        <v>21.321891000000001</v>
      </c>
      <c r="O30" s="67">
        <v>92.144852</v>
      </c>
      <c r="P30" s="68">
        <v>1500</v>
      </c>
      <c r="Q30" s="68"/>
      <c r="R30" s="18"/>
      <c r="S30" s="18"/>
      <c r="T30" s="27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17"/>
      <c r="AH30" s="24"/>
      <c r="AI30" s="25"/>
      <c r="AJ30" s="25"/>
    </row>
    <row r="31" spans="1:36" ht="15.6" x14ac:dyDescent="0.3">
      <c r="A31" s="63">
        <v>25</v>
      </c>
      <c r="B31" s="102" t="s">
        <v>3520</v>
      </c>
      <c r="C31" s="102" t="s">
        <v>3521</v>
      </c>
      <c r="D31" s="64" t="s">
        <v>119</v>
      </c>
      <c r="E31" s="68" t="s">
        <v>2678</v>
      </c>
      <c r="F31" s="71" t="s">
        <v>2679</v>
      </c>
      <c r="G31" s="71" t="s">
        <v>44</v>
      </c>
      <c r="H31" s="20"/>
      <c r="I31" s="20"/>
      <c r="J31" s="21"/>
      <c r="K31" s="68" t="s">
        <v>2752</v>
      </c>
      <c r="L31" s="68" t="s">
        <v>2753</v>
      </c>
      <c r="M31" s="68" t="s">
        <v>2754</v>
      </c>
      <c r="N31" s="67">
        <v>21.311472999999999</v>
      </c>
      <c r="O31" s="67">
        <v>92.143105000000006</v>
      </c>
      <c r="P31" s="68">
        <v>2500</v>
      </c>
      <c r="Q31" s="68"/>
      <c r="R31" s="18"/>
      <c r="S31" s="18"/>
      <c r="T31" s="27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17"/>
      <c r="AH31" s="24"/>
      <c r="AI31" s="25"/>
      <c r="AJ31" s="25"/>
    </row>
    <row r="32" spans="1:36" ht="15.6" x14ac:dyDescent="0.3">
      <c r="A32" s="63">
        <v>26</v>
      </c>
      <c r="B32" s="102" t="s">
        <v>3520</v>
      </c>
      <c r="C32" s="102" t="s">
        <v>3521</v>
      </c>
      <c r="D32" s="64" t="s">
        <v>119</v>
      </c>
      <c r="E32" s="68" t="s">
        <v>2678</v>
      </c>
      <c r="F32" s="71" t="s">
        <v>2679</v>
      </c>
      <c r="G32" s="71" t="s">
        <v>44</v>
      </c>
      <c r="H32" s="20"/>
      <c r="I32" s="20"/>
      <c r="J32" s="21"/>
      <c r="K32" s="69" t="s">
        <v>94</v>
      </c>
      <c r="L32" s="68" t="s">
        <v>95</v>
      </c>
      <c r="M32" s="68" t="s">
        <v>2755</v>
      </c>
      <c r="N32" s="67">
        <v>21.312944000000002</v>
      </c>
      <c r="O32" s="67">
        <v>92.135458999999997</v>
      </c>
      <c r="P32" s="68">
        <v>1000</v>
      </c>
      <c r="Q32" s="68"/>
      <c r="R32" s="18"/>
      <c r="S32" s="18"/>
      <c r="T32" s="27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17"/>
      <c r="AH32" s="24"/>
      <c r="AI32" s="25"/>
      <c r="AJ32" s="25"/>
    </row>
    <row r="33" spans="1:36" ht="15.6" x14ac:dyDescent="0.3">
      <c r="A33" s="63">
        <v>27</v>
      </c>
      <c r="B33" s="102" t="s">
        <v>3520</v>
      </c>
      <c r="C33" s="102" t="s">
        <v>3521</v>
      </c>
      <c r="D33" s="64" t="s">
        <v>119</v>
      </c>
      <c r="E33" s="68" t="s">
        <v>2678</v>
      </c>
      <c r="F33" s="71" t="s">
        <v>2679</v>
      </c>
      <c r="G33" s="71" t="s">
        <v>44</v>
      </c>
      <c r="H33" s="20"/>
      <c r="I33" s="20"/>
      <c r="J33" s="21"/>
      <c r="K33" s="69" t="s">
        <v>2756</v>
      </c>
      <c r="L33" s="69" t="s">
        <v>2757</v>
      </c>
      <c r="M33" s="68" t="s">
        <v>2758</v>
      </c>
      <c r="N33" s="67">
        <v>21.315998</v>
      </c>
      <c r="O33" s="67">
        <v>92.137726000000001</v>
      </c>
      <c r="P33" s="68">
        <v>1200</v>
      </c>
      <c r="Q33" s="68"/>
      <c r="R33" s="18"/>
      <c r="S33" s="18"/>
      <c r="T33" s="27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17"/>
      <c r="AH33" s="24"/>
      <c r="AI33" s="25"/>
      <c r="AJ33" s="25"/>
    </row>
    <row r="34" spans="1:36" ht="15.6" x14ac:dyDescent="0.3">
      <c r="A34" s="63">
        <v>28</v>
      </c>
      <c r="B34" s="102" t="s">
        <v>3520</v>
      </c>
      <c r="C34" s="102" t="s">
        <v>3521</v>
      </c>
      <c r="D34" s="64" t="s">
        <v>119</v>
      </c>
      <c r="E34" s="68" t="s">
        <v>2678</v>
      </c>
      <c r="F34" s="71" t="s">
        <v>2679</v>
      </c>
      <c r="G34" s="71" t="s">
        <v>44</v>
      </c>
      <c r="H34" s="20"/>
      <c r="I34" s="23"/>
      <c r="J34" s="21"/>
      <c r="K34" s="68" t="s">
        <v>2759</v>
      </c>
      <c r="L34" s="68" t="s">
        <v>2760</v>
      </c>
      <c r="M34" s="68" t="s">
        <v>2761</v>
      </c>
      <c r="N34" s="67">
        <v>21.317965000000001</v>
      </c>
      <c r="O34" s="67">
        <v>92.150109</v>
      </c>
      <c r="P34" s="68">
        <v>600</v>
      </c>
      <c r="Q34" s="68"/>
      <c r="R34" s="18"/>
      <c r="S34" s="18"/>
      <c r="T34" s="27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17"/>
      <c r="AH34" s="24"/>
      <c r="AI34" s="25"/>
      <c r="AJ34" s="25"/>
    </row>
    <row r="35" spans="1:36" ht="15.6" x14ac:dyDescent="0.3">
      <c r="A35" s="63">
        <v>29</v>
      </c>
      <c r="B35" s="102" t="s">
        <v>3520</v>
      </c>
      <c r="C35" s="102" t="s">
        <v>3521</v>
      </c>
      <c r="D35" s="64" t="s">
        <v>119</v>
      </c>
      <c r="E35" s="68" t="s">
        <v>2678</v>
      </c>
      <c r="F35" s="71" t="s">
        <v>2679</v>
      </c>
      <c r="G35" s="71" t="s">
        <v>44</v>
      </c>
      <c r="H35" s="20"/>
      <c r="I35" s="23"/>
      <c r="J35" s="21"/>
      <c r="K35" s="68" t="s">
        <v>2762</v>
      </c>
      <c r="L35" s="68" t="s">
        <v>2763</v>
      </c>
      <c r="M35" s="68" t="s">
        <v>2764</v>
      </c>
      <c r="N35" s="67">
        <v>21.303903999999999</v>
      </c>
      <c r="O35" s="67">
        <v>92.141419999999997</v>
      </c>
      <c r="P35" s="68">
        <v>1500</v>
      </c>
      <c r="Q35" s="68"/>
      <c r="R35" s="18"/>
      <c r="S35" s="18"/>
      <c r="T35" s="27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17"/>
      <c r="AH35" s="24"/>
      <c r="AI35" s="29"/>
      <c r="AJ35" s="29"/>
    </row>
    <row r="36" spans="1:36" ht="15.6" x14ac:dyDescent="0.3">
      <c r="A36" s="63">
        <v>30</v>
      </c>
      <c r="B36" s="102" t="s">
        <v>3520</v>
      </c>
      <c r="C36" s="102" t="s">
        <v>3521</v>
      </c>
      <c r="D36" s="64" t="s">
        <v>119</v>
      </c>
      <c r="E36" s="68" t="s">
        <v>2678</v>
      </c>
      <c r="F36" s="71" t="s">
        <v>2679</v>
      </c>
      <c r="G36" s="71" t="s">
        <v>44</v>
      </c>
      <c r="H36" s="20"/>
      <c r="I36" s="23"/>
      <c r="J36" s="21"/>
      <c r="K36" s="68" t="s">
        <v>2765</v>
      </c>
      <c r="L36" s="68" t="s">
        <v>2766</v>
      </c>
      <c r="M36" s="68" t="s">
        <v>2767</v>
      </c>
      <c r="N36" s="67">
        <v>21.300989999999999</v>
      </c>
      <c r="O36" s="67">
        <v>92.147548999999998</v>
      </c>
      <c r="P36" s="68">
        <v>1800</v>
      </c>
      <c r="Q36" s="68"/>
      <c r="R36" s="18"/>
      <c r="S36" s="18"/>
      <c r="T36" s="27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17"/>
      <c r="AH36" s="24"/>
      <c r="AI36" s="30"/>
      <c r="AJ36" s="30"/>
    </row>
    <row r="37" spans="1:36" ht="15.6" x14ac:dyDescent="0.3">
      <c r="A37" s="63">
        <v>31</v>
      </c>
      <c r="B37" s="102" t="s">
        <v>3520</v>
      </c>
      <c r="C37" s="102" t="s">
        <v>3521</v>
      </c>
      <c r="D37" s="64" t="s">
        <v>119</v>
      </c>
      <c r="E37" s="68" t="s">
        <v>2678</v>
      </c>
      <c r="F37" s="71" t="s">
        <v>2679</v>
      </c>
      <c r="G37" s="71" t="s">
        <v>44</v>
      </c>
      <c r="H37" s="20"/>
      <c r="I37" s="23"/>
      <c r="J37" s="21"/>
      <c r="K37" s="68" t="s">
        <v>2768</v>
      </c>
      <c r="L37" s="68" t="s">
        <v>2769</v>
      </c>
      <c r="M37" s="68" t="s">
        <v>2770</v>
      </c>
      <c r="N37" s="67">
        <v>21.303698000000001</v>
      </c>
      <c r="O37" s="67">
        <v>92.152441999999994</v>
      </c>
      <c r="P37" s="68">
        <v>1800</v>
      </c>
      <c r="Q37" s="68"/>
      <c r="R37" s="18"/>
      <c r="S37" s="18"/>
      <c r="T37" s="27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17"/>
      <c r="AH37" s="24"/>
      <c r="AI37" s="31"/>
      <c r="AJ37" s="31"/>
    </row>
    <row r="38" spans="1:36" ht="15.6" x14ac:dyDescent="0.3">
      <c r="A38" s="63">
        <v>32</v>
      </c>
      <c r="B38" s="102" t="s">
        <v>3520</v>
      </c>
      <c r="C38" s="102" t="s">
        <v>3521</v>
      </c>
      <c r="D38" s="64" t="s">
        <v>119</v>
      </c>
      <c r="E38" s="68" t="s">
        <v>2678</v>
      </c>
      <c r="F38" s="71" t="s">
        <v>2679</v>
      </c>
      <c r="G38" s="71" t="s">
        <v>44</v>
      </c>
      <c r="H38" s="20"/>
      <c r="I38" s="23"/>
      <c r="J38" s="21"/>
      <c r="K38" s="68" t="s">
        <v>2771</v>
      </c>
      <c r="L38" s="68" t="s">
        <v>2772</v>
      </c>
      <c r="M38" s="68" t="s">
        <v>2773</v>
      </c>
      <c r="N38" s="67">
        <v>21.310711999999999</v>
      </c>
      <c r="O38" s="67">
        <v>92.135419999999996</v>
      </c>
      <c r="P38" s="68">
        <v>600</v>
      </c>
      <c r="Q38" s="68"/>
      <c r="R38" s="18"/>
      <c r="S38" s="18"/>
      <c r="T38" s="22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17"/>
      <c r="AH38" s="24"/>
      <c r="AI38" s="31"/>
      <c r="AJ38" s="31"/>
    </row>
    <row r="39" spans="1:36" ht="15.6" x14ac:dyDescent="0.3">
      <c r="A39" s="63">
        <v>33</v>
      </c>
      <c r="B39" s="102" t="s">
        <v>3520</v>
      </c>
      <c r="C39" s="102" t="s">
        <v>3521</v>
      </c>
      <c r="D39" s="64" t="s">
        <v>119</v>
      </c>
      <c r="E39" s="68" t="s">
        <v>2678</v>
      </c>
      <c r="F39" s="71" t="s">
        <v>2679</v>
      </c>
      <c r="G39" s="71" t="s">
        <v>45</v>
      </c>
      <c r="H39" s="20"/>
      <c r="I39" s="23"/>
      <c r="J39" s="21"/>
      <c r="K39" s="68" t="s">
        <v>2774</v>
      </c>
      <c r="L39" s="68" t="s">
        <v>2775</v>
      </c>
      <c r="M39" s="68" t="s">
        <v>2776</v>
      </c>
      <c r="N39" s="67">
        <v>21.306132000000002</v>
      </c>
      <c r="O39" s="67">
        <v>92.119380000000007</v>
      </c>
      <c r="P39" s="68">
        <v>2000</v>
      </c>
      <c r="Q39" s="68"/>
      <c r="R39" s="18"/>
      <c r="S39" s="18"/>
      <c r="T39" s="22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17"/>
      <c r="AH39" s="24"/>
      <c r="AI39" s="29"/>
      <c r="AJ39" s="29"/>
    </row>
    <row r="40" spans="1:36" ht="15.6" x14ac:dyDescent="0.3">
      <c r="A40" s="63">
        <v>34</v>
      </c>
      <c r="B40" s="102" t="s">
        <v>3520</v>
      </c>
      <c r="C40" s="102" t="s">
        <v>3521</v>
      </c>
      <c r="D40" s="64" t="s">
        <v>119</v>
      </c>
      <c r="E40" s="68" t="s">
        <v>2678</v>
      </c>
      <c r="F40" s="71" t="s">
        <v>2679</v>
      </c>
      <c r="G40" s="71" t="s">
        <v>45</v>
      </c>
      <c r="H40" s="20"/>
      <c r="I40" s="23"/>
      <c r="J40" s="21"/>
      <c r="K40" s="68" t="s">
        <v>2777</v>
      </c>
      <c r="L40" s="68" t="s">
        <v>2778</v>
      </c>
      <c r="M40" s="68" t="s">
        <v>2779</v>
      </c>
      <c r="N40" s="67">
        <v>21.305819</v>
      </c>
      <c r="O40" s="67">
        <v>92.124326999999994</v>
      </c>
      <c r="P40" s="68">
        <v>2500</v>
      </c>
      <c r="Q40" s="68"/>
      <c r="R40" s="43"/>
      <c r="S40" s="43"/>
      <c r="T40" s="22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17"/>
      <c r="AH40" s="24"/>
      <c r="AI40" s="29"/>
      <c r="AJ40" s="29"/>
    </row>
    <row r="41" spans="1:36" ht="15.6" x14ac:dyDescent="0.3">
      <c r="A41" s="63">
        <v>35</v>
      </c>
      <c r="B41" s="102" t="s">
        <v>3520</v>
      </c>
      <c r="C41" s="102" t="s">
        <v>3521</v>
      </c>
      <c r="D41" s="64" t="s">
        <v>119</v>
      </c>
      <c r="E41" s="68" t="s">
        <v>2678</v>
      </c>
      <c r="F41" s="71" t="s">
        <v>2679</v>
      </c>
      <c r="G41" s="71" t="s">
        <v>45</v>
      </c>
      <c r="H41" s="20"/>
      <c r="I41" s="23"/>
      <c r="J41" s="21"/>
      <c r="K41" s="68" t="s">
        <v>2780</v>
      </c>
      <c r="L41" s="68" t="s">
        <v>2781</v>
      </c>
      <c r="M41" s="68" t="s">
        <v>2782</v>
      </c>
      <c r="N41" s="67">
        <v>21.310919999999999</v>
      </c>
      <c r="O41" s="67">
        <v>92.124309999999994</v>
      </c>
      <c r="P41" s="68">
        <v>2000</v>
      </c>
      <c r="Q41" s="68"/>
      <c r="R41" s="18"/>
      <c r="S41" s="18"/>
      <c r="T41" s="22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17"/>
      <c r="AH41" s="24"/>
      <c r="AI41" s="25"/>
      <c r="AJ41" s="25"/>
    </row>
    <row r="42" spans="1:36" ht="15.6" x14ac:dyDescent="0.3">
      <c r="A42" s="63">
        <v>36</v>
      </c>
      <c r="B42" s="102" t="s">
        <v>3520</v>
      </c>
      <c r="C42" s="102" t="s">
        <v>3521</v>
      </c>
      <c r="D42" s="64" t="s">
        <v>119</v>
      </c>
      <c r="E42" s="68" t="s">
        <v>2678</v>
      </c>
      <c r="F42" s="71" t="s">
        <v>2679</v>
      </c>
      <c r="G42" s="71" t="s">
        <v>45</v>
      </c>
      <c r="H42" s="20"/>
      <c r="I42" s="23"/>
      <c r="J42" s="21"/>
      <c r="K42" s="68" t="s">
        <v>110</v>
      </c>
      <c r="L42" s="68" t="s">
        <v>111</v>
      </c>
      <c r="M42" s="68" t="s">
        <v>2783</v>
      </c>
      <c r="N42" s="67">
        <v>21.305530999999998</v>
      </c>
      <c r="O42" s="67">
        <v>92.134891999999994</v>
      </c>
      <c r="P42" s="68">
        <v>3000</v>
      </c>
      <c r="Q42" s="68"/>
      <c r="R42" s="18"/>
      <c r="S42" s="18"/>
      <c r="T42" s="22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17"/>
      <c r="AH42" s="24"/>
      <c r="AI42" s="25"/>
      <c r="AJ42" s="25"/>
    </row>
    <row r="43" spans="1:36" ht="15.6" x14ac:dyDescent="0.3">
      <c r="A43" s="63">
        <v>37</v>
      </c>
      <c r="B43" s="102" t="s">
        <v>3520</v>
      </c>
      <c r="C43" s="102" t="s">
        <v>3521</v>
      </c>
      <c r="D43" s="64" t="s">
        <v>119</v>
      </c>
      <c r="E43" s="68" t="s">
        <v>2678</v>
      </c>
      <c r="F43" s="71" t="s">
        <v>2679</v>
      </c>
      <c r="G43" s="71" t="s">
        <v>45</v>
      </c>
      <c r="H43" s="20"/>
      <c r="I43" s="23"/>
      <c r="J43" s="20"/>
      <c r="K43" s="68" t="s">
        <v>2784</v>
      </c>
      <c r="L43" s="68" t="s">
        <v>2785</v>
      </c>
      <c r="M43" s="68" t="s">
        <v>2786</v>
      </c>
      <c r="N43" s="67">
        <v>21.310597000000001</v>
      </c>
      <c r="O43" s="67">
        <v>92.130437000000001</v>
      </c>
      <c r="P43" s="68">
        <v>2000</v>
      </c>
      <c r="Q43" s="68"/>
      <c r="R43" s="18"/>
      <c r="S43" s="18"/>
      <c r="T43" s="22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17"/>
      <c r="AH43" s="24"/>
      <c r="AI43" s="25"/>
      <c r="AJ43" s="25"/>
    </row>
    <row r="44" spans="1:36" ht="15.6" x14ac:dyDescent="0.3">
      <c r="A44" s="63">
        <v>38</v>
      </c>
      <c r="B44" s="102" t="s">
        <v>3520</v>
      </c>
      <c r="C44" s="102" t="s">
        <v>3521</v>
      </c>
      <c r="D44" s="64" t="s">
        <v>119</v>
      </c>
      <c r="E44" s="68" t="s">
        <v>2678</v>
      </c>
      <c r="F44" s="71" t="s">
        <v>2679</v>
      </c>
      <c r="G44" s="71" t="s">
        <v>45</v>
      </c>
      <c r="H44" s="20"/>
      <c r="I44" s="23"/>
      <c r="J44" s="21"/>
      <c r="K44" s="68" t="s">
        <v>2787</v>
      </c>
      <c r="L44" s="68" t="s">
        <v>2788</v>
      </c>
      <c r="M44" s="68" t="s">
        <v>2789</v>
      </c>
      <c r="N44" s="67">
        <v>21.300008999999999</v>
      </c>
      <c r="O44" s="67">
        <v>92.136656000000002</v>
      </c>
      <c r="P44" s="68">
        <v>2000</v>
      </c>
      <c r="Q44" s="68"/>
      <c r="R44" s="18"/>
      <c r="S44" s="18"/>
      <c r="T44" s="22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17"/>
      <c r="AH44" s="24"/>
      <c r="AI44" s="32"/>
      <c r="AJ44" s="32"/>
    </row>
    <row r="45" spans="1:36" ht="15.6" x14ac:dyDescent="0.3">
      <c r="A45" s="63">
        <v>39</v>
      </c>
      <c r="B45" s="102" t="s">
        <v>3520</v>
      </c>
      <c r="C45" s="102" t="s">
        <v>3521</v>
      </c>
      <c r="D45" s="64" t="s">
        <v>119</v>
      </c>
      <c r="E45" s="68" t="s">
        <v>2678</v>
      </c>
      <c r="F45" s="71" t="s">
        <v>2679</v>
      </c>
      <c r="G45" s="71" t="s">
        <v>45</v>
      </c>
      <c r="H45" s="20"/>
      <c r="I45" s="23"/>
      <c r="J45" s="21"/>
      <c r="K45" s="68" t="s">
        <v>2790</v>
      </c>
      <c r="L45" s="68" t="s">
        <v>2791</v>
      </c>
      <c r="M45" s="68" t="s">
        <v>2792</v>
      </c>
      <c r="N45" s="67">
        <v>21.295819999999999</v>
      </c>
      <c r="O45" s="67">
        <v>92.130127000000002</v>
      </c>
      <c r="P45" s="68">
        <v>2000</v>
      </c>
      <c r="Q45" s="68"/>
      <c r="R45" s="18"/>
      <c r="S45" s="18"/>
      <c r="T45" s="22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17"/>
      <c r="AH45" s="24"/>
      <c r="AI45" s="33"/>
      <c r="AJ45" s="33"/>
    </row>
    <row r="46" spans="1:36" ht="15.6" x14ac:dyDescent="0.3">
      <c r="A46" s="63">
        <v>40</v>
      </c>
      <c r="B46" s="102" t="s">
        <v>3520</v>
      </c>
      <c r="C46" s="102" t="s">
        <v>3521</v>
      </c>
      <c r="D46" s="64" t="s">
        <v>119</v>
      </c>
      <c r="E46" s="68" t="s">
        <v>2678</v>
      </c>
      <c r="F46" s="71" t="s">
        <v>2679</v>
      </c>
      <c r="G46" s="71" t="s">
        <v>45</v>
      </c>
      <c r="H46" s="20"/>
      <c r="I46" s="23"/>
      <c r="J46" s="21"/>
      <c r="K46" s="68" t="s">
        <v>2793</v>
      </c>
      <c r="L46" s="68" t="s">
        <v>2794</v>
      </c>
      <c r="M46" s="68" t="s">
        <v>2795</v>
      </c>
      <c r="N46" s="67">
        <v>21.295489</v>
      </c>
      <c r="O46" s="67">
        <v>92.122163</v>
      </c>
      <c r="P46" s="68">
        <v>1500</v>
      </c>
      <c r="Q46" s="68"/>
      <c r="R46" s="18"/>
      <c r="S46" s="18"/>
      <c r="T46" s="22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17"/>
      <c r="AH46" s="24"/>
      <c r="AI46" s="33"/>
      <c r="AJ46" s="33"/>
    </row>
    <row r="47" spans="1:36" ht="15.6" x14ac:dyDescent="0.3">
      <c r="A47" s="63">
        <v>41</v>
      </c>
      <c r="B47" s="102" t="s">
        <v>3520</v>
      </c>
      <c r="C47" s="102" t="s">
        <v>3521</v>
      </c>
      <c r="D47" s="64" t="s">
        <v>119</v>
      </c>
      <c r="E47" s="68" t="s">
        <v>2678</v>
      </c>
      <c r="F47" s="71" t="s">
        <v>2679</v>
      </c>
      <c r="G47" s="71" t="s">
        <v>45</v>
      </c>
      <c r="H47" s="20"/>
      <c r="I47" s="23"/>
      <c r="J47" s="21"/>
      <c r="K47" s="68" t="s">
        <v>164</v>
      </c>
      <c r="L47" s="68" t="s">
        <v>2122</v>
      </c>
      <c r="M47" s="68" t="s">
        <v>2796</v>
      </c>
      <c r="N47" s="67">
        <v>21.305329</v>
      </c>
      <c r="O47" s="67">
        <v>92.127350000000007</v>
      </c>
      <c r="P47" s="68">
        <v>500</v>
      </c>
      <c r="Q47" s="68"/>
      <c r="R47" s="18"/>
      <c r="S47" s="18"/>
      <c r="T47" s="22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17"/>
      <c r="AH47" s="24"/>
      <c r="AI47" s="33"/>
      <c r="AJ47" s="33"/>
    </row>
    <row r="48" spans="1:36" ht="15.6" x14ac:dyDescent="0.3">
      <c r="A48" s="63">
        <v>42</v>
      </c>
      <c r="B48" s="102" t="s">
        <v>3520</v>
      </c>
      <c r="C48" s="102" t="s">
        <v>3521</v>
      </c>
      <c r="D48" s="64" t="s">
        <v>119</v>
      </c>
      <c r="E48" s="68" t="s">
        <v>2678</v>
      </c>
      <c r="F48" s="71" t="s">
        <v>2679</v>
      </c>
      <c r="G48" s="71" t="s">
        <v>46</v>
      </c>
      <c r="H48" s="20"/>
      <c r="I48" s="23"/>
      <c r="J48" s="21"/>
      <c r="K48" s="68" t="s">
        <v>2797</v>
      </c>
      <c r="L48" s="68" t="s">
        <v>2798</v>
      </c>
      <c r="M48" s="68" t="s">
        <v>2799</v>
      </c>
      <c r="N48" s="67">
        <v>21.303802000000001</v>
      </c>
      <c r="O48" s="67">
        <v>92.115110999999999</v>
      </c>
      <c r="P48" s="68">
        <v>800</v>
      </c>
      <c r="Q48" s="68"/>
      <c r="R48" s="18"/>
      <c r="S48" s="18"/>
      <c r="T48" s="22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34"/>
      <c r="AH48" s="24"/>
      <c r="AI48" s="35"/>
      <c r="AJ48" s="35"/>
    </row>
    <row r="49" spans="1:36" ht="15.6" x14ac:dyDescent="0.3">
      <c r="A49" s="63">
        <v>43</v>
      </c>
      <c r="B49" s="102" t="s">
        <v>3520</v>
      </c>
      <c r="C49" s="102" t="s">
        <v>3521</v>
      </c>
      <c r="D49" s="64" t="s">
        <v>119</v>
      </c>
      <c r="E49" s="68" t="s">
        <v>2678</v>
      </c>
      <c r="F49" s="71" t="s">
        <v>2679</v>
      </c>
      <c r="G49" s="71" t="s">
        <v>46</v>
      </c>
      <c r="H49" s="20"/>
      <c r="I49" s="23"/>
      <c r="J49" s="21"/>
      <c r="K49" s="68" t="s">
        <v>2800</v>
      </c>
      <c r="L49" s="68" t="s">
        <v>2801</v>
      </c>
      <c r="M49" s="68" t="s">
        <v>2802</v>
      </c>
      <c r="N49" s="67">
        <v>21.305945000000001</v>
      </c>
      <c r="O49" s="67">
        <v>92.107967000000002</v>
      </c>
      <c r="P49" s="68">
        <v>4000</v>
      </c>
      <c r="Q49" s="68"/>
      <c r="R49" s="18"/>
      <c r="S49" s="18"/>
      <c r="T49" s="27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17"/>
      <c r="AH49" s="24"/>
      <c r="AI49" s="33"/>
      <c r="AJ49" s="33"/>
    </row>
    <row r="50" spans="1:36" ht="15.6" x14ac:dyDescent="0.3">
      <c r="A50" s="63">
        <v>44</v>
      </c>
      <c r="B50" s="102" t="s">
        <v>3520</v>
      </c>
      <c r="C50" s="102" t="s">
        <v>3521</v>
      </c>
      <c r="D50" s="64" t="s">
        <v>119</v>
      </c>
      <c r="E50" s="68" t="s">
        <v>2678</v>
      </c>
      <c r="F50" s="71" t="s">
        <v>2679</v>
      </c>
      <c r="G50" s="71" t="s">
        <v>46</v>
      </c>
      <c r="H50" s="20"/>
      <c r="I50" s="23"/>
      <c r="J50" s="26"/>
      <c r="K50" s="68" t="s">
        <v>2803</v>
      </c>
      <c r="L50" s="68" t="s">
        <v>2804</v>
      </c>
      <c r="M50" s="68" t="s">
        <v>2805</v>
      </c>
      <c r="N50" s="67">
        <v>21.299723</v>
      </c>
      <c r="O50" s="67">
        <v>92.104405999999997</v>
      </c>
      <c r="P50" s="68">
        <v>1000</v>
      </c>
      <c r="Q50" s="68"/>
      <c r="R50" s="18"/>
      <c r="S50" s="18"/>
      <c r="T50" s="27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17"/>
      <c r="AH50" s="24"/>
      <c r="AI50" s="33"/>
      <c r="AJ50" s="33"/>
    </row>
    <row r="51" spans="1:36" ht="15.6" x14ac:dyDescent="0.3">
      <c r="A51" s="63">
        <v>45</v>
      </c>
      <c r="B51" s="102" t="s">
        <v>3520</v>
      </c>
      <c r="C51" s="102" t="s">
        <v>3521</v>
      </c>
      <c r="D51" s="64" t="s">
        <v>119</v>
      </c>
      <c r="E51" s="68" t="s">
        <v>2678</v>
      </c>
      <c r="F51" s="71" t="s">
        <v>2679</v>
      </c>
      <c r="G51" s="71" t="s">
        <v>46</v>
      </c>
      <c r="H51" s="20"/>
      <c r="I51" s="23"/>
      <c r="J51" s="26"/>
      <c r="K51" s="69" t="s">
        <v>70</v>
      </c>
      <c r="L51" s="71" t="s">
        <v>726</v>
      </c>
      <c r="M51" s="68" t="s">
        <v>2806</v>
      </c>
      <c r="N51" s="67">
        <v>21.295798999999999</v>
      </c>
      <c r="O51" s="67">
        <v>92.113363000000007</v>
      </c>
      <c r="P51" s="68">
        <v>2000</v>
      </c>
      <c r="Q51" s="68"/>
      <c r="R51" s="18"/>
      <c r="S51" s="18"/>
      <c r="T51" s="27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17"/>
      <c r="AH51" s="24"/>
      <c r="AI51" s="25"/>
      <c r="AJ51" s="25"/>
    </row>
    <row r="52" spans="1:36" ht="15.6" x14ac:dyDescent="0.3">
      <c r="A52" s="63">
        <v>46</v>
      </c>
      <c r="B52" s="102" t="s">
        <v>3520</v>
      </c>
      <c r="C52" s="102" t="s">
        <v>3521</v>
      </c>
      <c r="D52" s="64" t="s">
        <v>119</v>
      </c>
      <c r="E52" s="68" t="s">
        <v>2678</v>
      </c>
      <c r="F52" s="71" t="s">
        <v>2679</v>
      </c>
      <c r="G52" s="71" t="s">
        <v>46</v>
      </c>
      <c r="H52" s="20"/>
      <c r="I52" s="23"/>
      <c r="J52" s="26"/>
      <c r="K52" s="68" t="s">
        <v>2807</v>
      </c>
      <c r="L52" s="68" t="s">
        <v>2808</v>
      </c>
      <c r="M52" s="68" t="s">
        <v>2809</v>
      </c>
      <c r="N52" s="67">
        <v>21.293665000000001</v>
      </c>
      <c r="O52" s="67">
        <v>92.113218000000003</v>
      </c>
      <c r="P52" s="68">
        <v>1000</v>
      </c>
      <c r="Q52" s="68"/>
      <c r="R52" s="18"/>
      <c r="S52" s="18"/>
      <c r="T52" s="27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17"/>
      <c r="AH52" s="24"/>
      <c r="AI52" s="25"/>
      <c r="AJ52" s="25"/>
    </row>
    <row r="53" spans="1:36" ht="15.6" x14ac:dyDescent="0.3">
      <c r="A53" s="63">
        <v>47</v>
      </c>
      <c r="B53" s="102" t="s">
        <v>3520</v>
      </c>
      <c r="C53" s="102" t="s">
        <v>3521</v>
      </c>
      <c r="D53" s="64" t="s">
        <v>119</v>
      </c>
      <c r="E53" s="68" t="s">
        <v>2678</v>
      </c>
      <c r="F53" s="71" t="s">
        <v>2679</v>
      </c>
      <c r="G53" s="71" t="s">
        <v>47</v>
      </c>
      <c r="H53" s="20"/>
      <c r="I53" s="23"/>
      <c r="J53" s="26"/>
      <c r="K53" s="68" t="s">
        <v>2810</v>
      </c>
      <c r="L53" s="68" t="s">
        <v>2811</v>
      </c>
      <c r="M53" s="68" t="s">
        <v>2812</v>
      </c>
      <c r="N53" s="67">
        <v>21.283238999999998</v>
      </c>
      <c r="O53" s="67">
        <v>92.103718999999998</v>
      </c>
      <c r="P53" s="68">
        <v>1000</v>
      </c>
      <c r="Q53" s="68"/>
      <c r="R53" s="18"/>
      <c r="S53" s="18"/>
      <c r="T53" s="27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17"/>
      <c r="AH53" s="24"/>
      <c r="AI53" s="25"/>
      <c r="AJ53" s="25"/>
    </row>
    <row r="54" spans="1:36" ht="15.6" x14ac:dyDescent="0.3">
      <c r="A54" s="63">
        <v>48</v>
      </c>
      <c r="B54" s="102" t="s">
        <v>3520</v>
      </c>
      <c r="C54" s="102" t="s">
        <v>3521</v>
      </c>
      <c r="D54" s="64" t="s">
        <v>119</v>
      </c>
      <c r="E54" s="68" t="s">
        <v>2678</v>
      </c>
      <c r="F54" s="71" t="s">
        <v>2679</v>
      </c>
      <c r="G54" s="71" t="s">
        <v>47</v>
      </c>
      <c r="H54" s="36"/>
      <c r="I54" s="20"/>
      <c r="J54" s="26"/>
      <c r="K54" s="68" t="s">
        <v>2813</v>
      </c>
      <c r="L54" s="68" t="s">
        <v>2814</v>
      </c>
      <c r="M54" s="68" t="s">
        <v>2815</v>
      </c>
      <c r="N54" s="67">
        <v>21.287118</v>
      </c>
      <c r="O54" s="67">
        <v>92.104647</v>
      </c>
      <c r="P54" s="68">
        <v>1000</v>
      </c>
      <c r="Q54" s="68"/>
      <c r="R54" s="18"/>
      <c r="S54" s="18"/>
      <c r="T54" s="22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17"/>
      <c r="AH54" s="24"/>
      <c r="AI54" s="25"/>
      <c r="AJ54" s="25"/>
    </row>
    <row r="55" spans="1:36" ht="15.6" x14ac:dyDescent="0.3">
      <c r="A55" s="63">
        <v>49</v>
      </c>
      <c r="B55" s="102" t="s">
        <v>3520</v>
      </c>
      <c r="C55" s="102" t="s">
        <v>3521</v>
      </c>
      <c r="D55" s="64" t="s">
        <v>119</v>
      </c>
      <c r="E55" s="68" t="s">
        <v>2678</v>
      </c>
      <c r="F55" s="71" t="s">
        <v>2679</v>
      </c>
      <c r="G55" s="71" t="s">
        <v>47</v>
      </c>
      <c r="H55" s="20"/>
      <c r="I55" s="20"/>
      <c r="J55" s="26"/>
      <c r="K55" s="68" t="s">
        <v>2816</v>
      </c>
      <c r="L55" s="68" t="s">
        <v>2817</v>
      </c>
      <c r="M55" s="68" t="s">
        <v>2818</v>
      </c>
      <c r="N55" s="67">
        <v>21.289923000000002</v>
      </c>
      <c r="O55" s="67">
        <v>92.111425999999994</v>
      </c>
      <c r="P55" s="68">
        <v>800</v>
      </c>
      <c r="Q55" s="68"/>
      <c r="R55" s="18"/>
      <c r="S55" s="18"/>
      <c r="T55" s="22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17"/>
      <c r="AH55" s="24"/>
      <c r="AI55" s="25"/>
      <c r="AJ55" s="25"/>
    </row>
    <row r="56" spans="1:36" ht="15.6" x14ac:dyDescent="0.3">
      <c r="A56" s="63">
        <v>50</v>
      </c>
      <c r="B56" s="102" t="s">
        <v>3520</v>
      </c>
      <c r="C56" s="102" t="s">
        <v>3521</v>
      </c>
      <c r="D56" s="64" t="s">
        <v>119</v>
      </c>
      <c r="E56" s="68" t="s">
        <v>2678</v>
      </c>
      <c r="F56" s="71" t="s">
        <v>2679</v>
      </c>
      <c r="G56" s="71" t="s">
        <v>47</v>
      </c>
      <c r="H56" s="20"/>
      <c r="I56" s="20"/>
      <c r="J56" s="26"/>
      <c r="K56" s="68" t="s">
        <v>2819</v>
      </c>
      <c r="L56" s="68" t="s">
        <v>2820</v>
      </c>
      <c r="M56" s="68" t="s">
        <v>2821</v>
      </c>
      <c r="N56" s="67">
        <v>21.284040000000001</v>
      </c>
      <c r="O56" s="67">
        <v>92.108969999999999</v>
      </c>
      <c r="P56" s="68">
        <v>1500</v>
      </c>
      <c r="Q56" s="68"/>
      <c r="R56" s="18"/>
      <c r="S56" s="18"/>
      <c r="T56" s="22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17"/>
      <c r="AH56" s="24"/>
      <c r="AI56" s="25"/>
      <c r="AJ56" s="25"/>
    </row>
    <row r="57" spans="1:36" ht="15.6" x14ac:dyDescent="0.3">
      <c r="A57" s="63">
        <v>51</v>
      </c>
      <c r="B57" s="102" t="s">
        <v>3520</v>
      </c>
      <c r="C57" s="102" t="s">
        <v>3521</v>
      </c>
      <c r="D57" s="64" t="s">
        <v>119</v>
      </c>
      <c r="E57" s="68" t="s">
        <v>2678</v>
      </c>
      <c r="F57" s="71" t="s">
        <v>2679</v>
      </c>
      <c r="G57" s="71" t="s">
        <v>47</v>
      </c>
      <c r="H57" s="20"/>
      <c r="I57" s="20"/>
      <c r="J57" s="26"/>
      <c r="K57" s="68" t="s">
        <v>2822</v>
      </c>
      <c r="L57" s="68" t="s">
        <v>2823</v>
      </c>
      <c r="M57" s="68" t="s">
        <v>2824</v>
      </c>
      <c r="N57" s="67">
        <v>21.285046999999999</v>
      </c>
      <c r="O57" s="67">
        <v>92.114457999999999</v>
      </c>
      <c r="P57" s="68">
        <v>2000</v>
      </c>
      <c r="Q57" s="68"/>
      <c r="R57" s="18"/>
      <c r="S57" s="18"/>
      <c r="T57" s="22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17"/>
      <c r="AH57" s="24"/>
      <c r="AI57" s="25"/>
      <c r="AJ57" s="25"/>
    </row>
    <row r="58" spans="1:36" ht="15.6" x14ac:dyDescent="0.3">
      <c r="A58" s="63">
        <v>52</v>
      </c>
      <c r="B58" s="102" t="s">
        <v>3520</v>
      </c>
      <c r="C58" s="102" t="s">
        <v>3521</v>
      </c>
      <c r="D58" s="64" t="s">
        <v>119</v>
      </c>
      <c r="E58" s="68" t="s">
        <v>2678</v>
      </c>
      <c r="F58" s="71" t="s">
        <v>2679</v>
      </c>
      <c r="G58" s="71" t="s">
        <v>47</v>
      </c>
      <c r="H58" s="20"/>
      <c r="I58" s="20"/>
      <c r="J58" s="26"/>
      <c r="K58" s="68" t="s">
        <v>2825</v>
      </c>
      <c r="L58" s="68" t="s">
        <v>2826</v>
      </c>
      <c r="M58" s="68" t="s">
        <v>2827</v>
      </c>
      <c r="N58" s="67">
        <v>21.284400000000002</v>
      </c>
      <c r="O58" s="67">
        <v>92.121054999999998</v>
      </c>
      <c r="P58" s="68">
        <v>2000</v>
      </c>
      <c r="Q58" s="68"/>
      <c r="R58" s="18"/>
      <c r="S58" s="18"/>
      <c r="T58" s="22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17"/>
      <c r="AH58" s="24"/>
      <c r="AI58" s="25"/>
      <c r="AJ58" s="25"/>
    </row>
    <row r="59" spans="1:36" ht="15.6" x14ac:dyDescent="0.3">
      <c r="A59" s="63">
        <v>53</v>
      </c>
      <c r="B59" s="102" t="s">
        <v>3520</v>
      </c>
      <c r="C59" s="102" t="s">
        <v>3521</v>
      </c>
      <c r="D59" s="64" t="s">
        <v>119</v>
      </c>
      <c r="E59" s="68" t="s">
        <v>2678</v>
      </c>
      <c r="F59" s="71" t="s">
        <v>2679</v>
      </c>
      <c r="G59" s="71" t="s">
        <v>47</v>
      </c>
      <c r="H59" s="20"/>
      <c r="I59" s="20"/>
      <c r="J59" s="26"/>
      <c r="K59" s="68" t="s">
        <v>2828</v>
      </c>
      <c r="L59" s="68" t="s">
        <v>2829</v>
      </c>
      <c r="M59" s="68" t="s">
        <v>2830</v>
      </c>
      <c r="N59" s="67">
        <v>21.287994999999999</v>
      </c>
      <c r="O59" s="67">
        <v>92.118607999999995</v>
      </c>
      <c r="P59" s="68">
        <v>800</v>
      </c>
      <c r="Q59" s="68"/>
      <c r="R59" s="18"/>
      <c r="S59" s="18"/>
      <c r="T59" s="22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17"/>
      <c r="AH59" s="24"/>
      <c r="AI59" s="25"/>
      <c r="AJ59" s="25"/>
    </row>
    <row r="60" spans="1:36" ht="15.6" x14ac:dyDescent="0.3">
      <c r="A60" s="63">
        <v>54</v>
      </c>
      <c r="B60" s="102" t="s">
        <v>3520</v>
      </c>
      <c r="C60" s="102" t="s">
        <v>3521</v>
      </c>
      <c r="D60" s="64" t="s">
        <v>119</v>
      </c>
      <c r="E60" s="68" t="s">
        <v>2678</v>
      </c>
      <c r="F60" s="71" t="s">
        <v>2679</v>
      </c>
      <c r="G60" s="71" t="s">
        <v>47</v>
      </c>
      <c r="H60" s="20"/>
      <c r="I60" s="20"/>
      <c r="J60" s="26"/>
      <c r="K60" s="68" t="s">
        <v>2831</v>
      </c>
      <c r="L60" s="68" t="s">
        <v>2832</v>
      </c>
      <c r="M60" s="68" t="s">
        <v>2833</v>
      </c>
      <c r="N60" s="67">
        <v>21.280736000000001</v>
      </c>
      <c r="O60" s="67">
        <v>92.107803000000004</v>
      </c>
      <c r="P60" s="68">
        <v>300</v>
      </c>
      <c r="Q60" s="68"/>
      <c r="R60" s="18"/>
      <c r="S60" s="18"/>
      <c r="T60" s="22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17"/>
      <c r="AH60" s="24"/>
      <c r="AI60" s="25"/>
      <c r="AJ60" s="25"/>
    </row>
    <row r="61" spans="1:36" ht="15.6" x14ac:dyDescent="0.3">
      <c r="A61" s="63">
        <v>55</v>
      </c>
      <c r="B61" s="102" t="s">
        <v>3520</v>
      </c>
      <c r="C61" s="102" t="s">
        <v>3521</v>
      </c>
      <c r="D61" s="64" t="s">
        <v>119</v>
      </c>
      <c r="E61" s="68" t="s">
        <v>2678</v>
      </c>
      <c r="F61" s="71" t="s">
        <v>2679</v>
      </c>
      <c r="G61" s="71" t="s">
        <v>48</v>
      </c>
      <c r="H61" s="20"/>
      <c r="I61" s="20"/>
      <c r="J61" s="26"/>
      <c r="K61" s="68" t="s">
        <v>2834</v>
      </c>
      <c r="L61" s="68" t="s">
        <v>2835</v>
      </c>
      <c r="M61" s="68" t="s">
        <v>2836</v>
      </c>
      <c r="N61" s="67">
        <v>21.294028000000001</v>
      </c>
      <c r="O61" s="67">
        <v>92.102248000000003</v>
      </c>
      <c r="P61" s="68">
        <v>1500</v>
      </c>
      <c r="Q61" s="68"/>
      <c r="R61" s="18"/>
      <c r="S61" s="18"/>
      <c r="T61" s="22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17"/>
      <c r="AH61" s="24"/>
      <c r="AI61" s="25"/>
      <c r="AJ61" s="25"/>
    </row>
    <row r="62" spans="1:36" ht="15.6" x14ac:dyDescent="0.3">
      <c r="A62" s="63">
        <v>56</v>
      </c>
      <c r="B62" s="102" t="s">
        <v>3520</v>
      </c>
      <c r="C62" s="102" t="s">
        <v>3521</v>
      </c>
      <c r="D62" s="64" t="s">
        <v>119</v>
      </c>
      <c r="E62" s="68" t="s">
        <v>2678</v>
      </c>
      <c r="F62" s="71" t="s">
        <v>2679</v>
      </c>
      <c r="G62" s="71" t="s">
        <v>48</v>
      </c>
      <c r="H62" s="20"/>
      <c r="I62" s="20"/>
      <c r="J62" s="26"/>
      <c r="K62" s="68" t="s">
        <v>2837</v>
      </c>
      <c r="L62" s="68" t="s">
        <v>2838</v>
      </c>
      <c r="M62" s="68" t="s">
        <v>2839</v>
      </c>
      <c r="N62" s="67">
        <v>21.291619000000001</v>
      </c>
      <c r="O62" s="67">
        <v>92.097988999999998</v>
      </c>
      <c r="P62" s="68">
        <v>700</v>
      </c>
      <c r="Q62" s="68"/>
      <c r="R62" s="18"/>
      <c r="S62" s="18"/>
      <c r="T62" s="27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17"/>
      <c r="AH62" s="24"/>
      <c r="AI62" s="25"/>
      <c r="AJ62" s="25"/>
    </row>
    <row r="63" spans="1:36" ht="15.6" x14ac:dyDescent="0.3">
      <c r="A63" s="63">
        <v>57</v>
      </c>
      <c r="B63" s="102" t="s">
        <v>3520</v>
      </c>
      <c r="C63" s="102" t="s">
        <v>3521</v>
      </c>
      <c r="D63" s="64" t="s">
        <v>119</v>
      </c>
      <c r="E63" s="68" t="s">
        <v>2678</v>
      </c>
      <c r="F63" s="71" t="s">
        <v>2679</v>
      </c>
      <c r="G63" s="71" t="s">
        <v>48</v>
      </c>
      <c r="H63" s="20"/>
      <c r="I63" s="20"/>
      <c r="J63" s="26"/>
      <c r="K63" s="68" t="s">
        <v>2840</v>
      </c>
      <c r="L63" s="68" t="s">
        <v>2841</v>
      </c>
      <c r="M63" s="68" t="s">
        <v>2842</v>
      </c>
      <c r="N63" s="67">
        <v>21.290970000000002</v>
      </c>
      <c r="O63" s="67">
        <v>92.095546999999996</v>
      </c>
      <c r="P63" s="68">
        <v>800</v>
      </c>
      <c r="Q63" s="68"/>
      <c r="R63" s="18"/>
      <c r="S63" s="18"/>
      <c r="T63" s="22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17"/>
      <c r="AH63" s="24"/>
      <c r="AI63" s="25"/>
      <c r="AJ63" s="25"/>
    </row>
    <row r="64" spans="1:36" ht="15.6" x14ac:dyDescent="0.3">
      <c r="A64" s="63">
        <v>58</v>
      </c>
      <c r="B64" s="102" t="s">
        <v>3520</v>
      </c>
      <c r="C64" s="102" t="s">
        <v>3521</v>
      </c>
      <c r="D64" s="64" t="s">
        <v>119</v>
      </c>
      <c r="E64" s="68" t="s">
        <v>2678</v>
      </c>
      <c r="F64" s="71" t="s">
        <v>2679</v>
      </c>
      <c r="G64" s="71" t="s">
        <v>48</v>
      </c>
      <c r="H64" s="20"/>
      <c r="I64" s="20"/>
      <c r="J64" s="26"/>
      <c r="K64" s="68" t="s">
        <v>2843</v>
      </c>
      <c r="L64" s="68" t="s">
        <v>2844</v>
      </c>
      <c r="M64" s="68" t="s">
        <v>2845</v>
      </c>
      <c r="N64" s="67">
        <v>21.295743999999999</v>
      </c>
      <c r="O64" s="67">
        <v>92.096020999999993</v>
      </c>
      <c r="P64" s="68">
        <v>1200</v>
      </c>
      <c r="Q64" s="68"/>
      <c r="R64" s="18"/>
      <c r="S64" s="18"/>
      <c r="T64" s="22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17"/>
      <c r="AH64" s="24"/>
      <c r="AI64" s="25"/>
      <c r="AJ64" s="25"/>
    </row>
    <row r="65" spans="1:36" ht="15.6" x14ac:dyDescent="0.3">
      <c r="A65" s="63">
        <v>59</v>
      </c>
      <c r="B65" s="102" t="s">
        <v>3520</v>
      </c>
      <c r="C65" s="102" t="s">
        <v>3521</v>
      </c>
      <c r="D65" s="64" t="s">
        <v>119</v>
      </c>
      <c r="E65" s="68" t="s">
        <v>2678</v>
      </c>
      <c r="F65" s="71" t="s">
        <v>2679</v>
      </c>
      <c r="G65" s="71" t="s">
        <v>48</v>
      </c>
      <c r="H65" s="20"/>
      <c r="I65" s="20"/>
      <c r="J65" s="26"/>
      <c r="K65" s="68" t="s">
        <v>2846</v>
      </c>
      <c r="L65" s="68" t="s">
        <v>2847</v>
      </c>
      <c r="M65" s="68" t="s">
        <v>2848</v>
      </c>
      <c r="N65" s="67">
        <v>21.296772000000001</v>
      </c>
      <c r="O65" s="67">
        <v>92.089219</v>
      </c>
      <c r="P65" s="68">
        <v>3500</v>
      </c>
      <c r="Q65" s="68"/>
      <c r="R65" s="18"/>
      <c r="S65" s="18"/>
      <c r="T65" s="22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17"/>
      <c r="AH65" s="24"/>
      <c r="AI65" s="25"/>
      <c r="AJ65" s="25"/>
    </row>
    <row r="66" spans="1:36" ht="15.6" x14ac:dyDescent="0.3">
      <c r="A66" s="63">
        <v>60</v>
      </c>
      <c r="B66" s="102" t="s">
        <v>3520</v>
      </c>
      <c r="C66" s="102" t="s">
        <v>3521</v>
      </c>
      <c r="D66" s="64" t="s">
        <v>119</v>
      </c>
      <c r="E66" s="68" t="s">
        <v>2678</v>
      </c>
      <c r="F66" s="71" t="s">
        <v>2679</v>
      </c>
      <c r="G66" s="71" t="s">
        <v>48</v>
      </c>
      <c r="H66" s="20"/>
      <c r="I66" s="20"/>
      <c r="J66" s="26"/>
      <c r="K66" s="68" t="s">
        <v>2849</v>
      </c>
      <c r="L66" s="68" t="s">
        <v>2850</v>
      </c>
      <c r="M66" s="68" t="s">
        <v>2851</v>
      </c>
      <c r="N66" s="67">
        <v>21.291778000000001</v>
      </c>
      <c r="O66" s="67">
        <v>92.091695999999999</v>
      </c>
      <c r="P66" s="68">
        <v>2500</v>
      </c>
      <c r="Q66" s="68"/>
      <c r="R66" s="18"/>
      <c r="S66" s="18"/>
      <c r="T66" s="22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17"/>
      <c r="AH66" s="24"/>
      <c r="AI66" s="25"/>
      <c r="AJ66" s="25"/>
    </row>
    <row r="67" spans="1:36" ht="15.6" x14ac:dyDescent="0.3">
      <c r="A67" s="63">
        <v>61</v>
      </c>
      <c r="B67" s="102" t="s">
        <v>3520</v>
      </c>
      <c r="C67" s="102" t="s">
        <v>3521</v>
      </c>
      <c r="D67" s="64" t="s">
        <v>119</v>
      </c>
      <c r="E67" s="68" t="s">
        <v>2678</v>
      </c>
      <c r="F67" s="71" t="s">
        <v>2679</v>
      </c>
      <c r="G67" s="71" t="s">
        <v>49</v>
      </c>
      <c r="H67" s="20"/>
      <c r="I67" s="20"/>
      <c r="J67" s="26"/>
      <c r="K67" s="68" t="s">
        <v>547</v>
      </c>
      <c r="L67" s="68" t="s">
        <v>548</v>
      </c>
      <c r="M67" s="68" t="s">
        <v>2852</v>
      </c>
      <c r="N67" s="67">
        <v>21.286225999999999</v>
      </c>
      <c r="O67" s="67">
        <v>92.094459999999998</v>
      </c>
      <c r="P67" s="68">
        <v>3000</v>
      </c>
      <c r="Q67" s="68"/>
      <c r="R67" s="18"/>
      <c r="S67" s="18"/>
      <c r="T67" s="22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17"/>
      <c r="AH67" s="24"/>
      <c r="AI67" s="25"/>
      <c r="AJ67" s="25"/>
    </row>
    <row r="68" spans="1:36" ht="15.6" x14ac:dyDescent="0.3">
      <c r="A68" s="63">
        <v>62</v>
      </c>
      <c r="B68" s="102" t="s">
        <v>3520</v>
      </c>
      <c r="C68" s="102" t="s">
        <v>3521</v>
      </c>
      <c r="D68" s="64" t="s">
        <v>119</v>
      </c>
      <c r="E68" s="68" t="s">
        <v>2678</v>
      </c>
      <c r="F68" s="71" t="s">
        <v>2679</v>
      </c>
      <c r="G68" s="71" t="s">
        <v>49</v>
      </c>
      <c r="H68" s="20"/>
      <c r="I68" s="20"/>
      <c r="J68" s="26"/>
      <c r="K68" s="68" t="s">
        <v>2853</v>
      </c>
      <c r="L68" s="68" t="s">
        <v>2854</v>
      </c>
      <c r="M68" s="68" t="s">
        <v>2855</v>
      </c>
      <c r="N68" s="67">
        <v>21.282485000000001</v>
      </c>
      <c r="O68" s="67">
        <v>92.090412999999998</v>
      </c>
      <c r="P68" s="68">
        <v>1200</v>
      </c>
      <c r="Q68" s="68"/>
      <c r="R68" s="18"/>
      <c r="S68" s="18"/>
      <c r="T68" s="22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17"/>
      <c r="AH68" s="24"/>
      <c r="AI68" s="25"/>
      <c r="AJ68" s="25"/>
    </row>
    <row r="69" spans="1:36" ht="15.6" x14ac:dyDescent="0.3">
      <c r="A69" s="63">
        <v>63</v>
      </c>
      <c r="B69" s="102" t="s">
        <v>3520</v>
      </c>
      <c r="C69" s="102" t="s">
        <v>3521</v>
      </c>
      <c r="D69" s="64" t="s">
        <v>119</v>
      </c>
      <c r="E69" s="68" t="s">
        <v>2678</v>
      </c>
      <c r="F69" s="71" t="s">
        <v>2679</v>
      </c>
      <c r="G69" s="71" t="s">
        <v>49</v>
      </c>
      <c r="H69" s="20"/>
      <c r="I69" s="20"/>
      <c r="J69" s="26"/>
      <c r="K69" s="68" t="s">
        <v>262</v>
      </c>
      <c r="L69" s="69" t="s">
        <v>263</v>
      </c>
      <c r="M69" s="68" t="s">
        <v>2856</v>
      </c>
      <c r="N69" s="67">
        <v>21.279814999999999</v>
      </c>
      <c r="O69" s="67">
        <v>92.094306000000003</v>
      </c>
      <c r="P69" s="68">
        <v>1000</v>
      </c>
      <c r="Q69" s="68"/>
      <c r="R69" s="18"/>
      <c r="S69" s="18"/>
      <c r="T69" s="22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17"/>
      <c r="AH69" s="24"/>
      <c r="AI69" s="25"/>
      <c r="AJ69" s="25"/>
    </row>
    <row r="70" spans="1:36" ht="15.6" x14ac:dyDescent="0.3">
      <c r="A70" s="63">
        <v>64</v>
      </c>
      <c r="B70" s="102" t="s">
        <v>3520</v>
      </c>
      <c r="C70" s="102" t="s">
        <v>3521</v>
      </c>
      <c r="D70" s="64" t="s">
        <v>119</v>
      </c>
      <c r="E70" s="68" t="s">
        <v>2678</v>
      </c>
      <c r="F70" s="71" t="s">
        <v>2679</v>
      </c>
      <c r="G70" s="71" t="s">
        <v>49</v>
      </c>
      <c r="H70" s="20"/>
      <c r="I70" s="20"/>
      <c r="J70" s="26"/>
      <c r="K70" s="68" t="s">
        <v>2857</v>
      </c>
      <c r="L70" s="68" t="s">
        <v>2858</v>
      </c>
      <c r="M70" s="68" t="s">
        <v>2859</v>
      </c>
      <c r="N70" s="67">
        <v>21.280339999999999</v>
      </c>
      <c r="O70" s="67">
        <v>92.090591000000003</v>
      </c>
      <c r="P70" s="68">
        <v>800</v>
      </c>
      <c r="Q70" s="68"/>
      <c r="R70" s="18"/>
      <c r="S70" s="18"/>
      <c r="T70" s="22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17"/>
      <c r="AH70" s="24"/>
      <c r="AI70" s="25"/>
      <c r="AJ70" s="25"/>
    </row>
    <row r="71" spans="1:36" ht="15.6" x14ac:dyDescent="0.3">
      <c r="A71" s="63">
        <v>65</v>
      </c>
      <c r="B71" s="102" t="s">
        <v>3520</v>
      </c>
      <c r="C71" s="102" t="s">
        <v>3521</v>
      </c>
      <c r="D71" s="64" t="s">
        <v>119</v>
      </c>
      <c r="E71" s="68" t="s">
        <v>2678</v>
      </c>
      <c r="F71" s="71" t="s">
        <v>2679</v>
      </c>
      <c r="G71" s="71" t="s">
        <v>49</v>
      </c>
      <c r="H71" s="20"/>
      <c r="I71" s="20"/>
      <c r="J71" s="26"/>
      <c r="K71" s="68" t="s">
        <v>92</v>
      </c>
      <c r="L71" s="68" t="s">
        <v>93</v>
      </c>
      <c r="M71" s="68" t="s">
        <v>2860</v>
      </c>
      <c r="N71" s="67">
        <v>21.277829000000001</v>
      </c>
      <c r="O71" s="67">
        <v>92.095294999999993</v>
      </c>
      <c r="P71" s="68">
        <v>1500</v>
      </c>
      <c r="Q71" s="68"/>
      <c r="R71" s="18"/>
      <c r="S71" s="18"/>
      <c r="T71" s="22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17"/>
      <c r="AH71" s="24"/>
      <c r="AI71" s="25"/>
      <c r="AJ71" s="25"/>
    </row>
    <row r="72" spans="1:36" ht="15.6" x14ac:dyDescent="0.3">
      <c r="A72" s="63">
        <v>66</v>
      </c>
      <c r="B72" s="102" t="s">
        <v>3520</v>
      </c>
      <c r="C72" s="102" t="s">
        <v>3521</v>
      </c>
      <c r="D72" s="64" t="s">
        <v>119</v>
      </c>
      <c r="E72" s="68" t="s">
        <v>2678</v>
      </c>
      <c r="F72" s="71" t="s">
        <v>2679</v>
      </c>
      <c r="G72" s="71" t="s">
        <v>49</v>
      </c>
      <c r="H72" s="20"/>
      <c r="I72" s="20"/>
      <c r="J72" s="26"/>
      <c r="K72" s="68" t="s">
        <v>72</v>
      </c>
      <c r="L72" s="68" t="s">
        <v>73</v>
      </c>
      <c r="M72" s="68" t="s">
        <v>2861</v>
      </c>
      <c r="N72" s="67">
        <v>21.276011</v>
      </c>
      <c r="O72" s="67">
        <v>92.097765999999993</v>
      </c>
      <c r="P72" s="68">
        <v>1500</v>
      </c>
      <c r="Q72" s="68"/>
      <c r="R72" s="18"/>
      <c r="S72" s="18"/>
      <c r="T72" s="27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17"/>
      <c r="AH72" s="24"/>
      <c r="AI72" s="25"/>
      <c r="AJ72" s="25"/>
    </row>
    <row r="73" spans="1:36" ht="15.6" x14ac:dyDescent="0.3">
      <c r="A73" s="63">
        <v>67</v>
      </c>
      <c r="B73" s="102" t="s">
        <v>3520</v>
      </c>
      <c r="C73" s="102" t="s">
        <v>3521</v>
      </c>
      <c r="D73" s="64" t="s">
        <v>119</v>
      </c>
      <c r="E73" s="68" t="s">
        <v>2678</v>
      </c>
      <c r="F73" s="71" t="s">
        <v>2680</v>
      </c>
      <c r="G73" s="71" t="s">
        <v>41</v>
      </c>
      <c r="H73" s="20"/>
      <c r="I73" s="20"/>
      <c r="J73" s="26"/>
      <c r="K73" s="68" t="s">
        <v>2862</v>
      </c>
      <c r="L73" s="68" t="s">
        <v>2863</v>
      </c>
      <c r="M73" s="68" t="s">
        <v>2864</v>
      </c>
      <c r="N73" s="67">
        <v>21.278016999999998</v>
      </c>
      <c r="O73" s="67">
        <v>92.076794000000007</v>
      </c>
      <c r="P73" s="68">
        <v>1600</v>
      </c>
      <c r="Q73" s="68"/>
      <c r="R73" s="18"/>
      <c r="S73" s="18"/>
      <c r="T73" s="22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17"/>
      <c r="AH73" s="24"/>
      <c r="AI73" s="25"/>
      <c r="AJ73" s="25"/>
    </row>
    <row r="74" spans="1:36" ht="15.6" x14ac:dyDescent="0.3">
      <c r="A74" s="63">
        <v>68</v>
      </c>
      <c r="B74" s="102" t="s">
        <v>3520</v>
      </c>
      <c r="C74" s="102" t="s">
        <v>3521</v>
      </c>
      <c r="D74" s="64" t="s">
        <v>119</v>
      </c>
      <c r="E74" s="68" t="s">
        <v>2678</v>
      </c>
      <c r="F74" s="71" t="s">
        <v>2680</v>
      </c>
      <c r="G74" s="71" t="s">
        <v>41</v>
      </c>
      <c r="H74" s="20"/>
      <c r="I74" s="20"/>
      <c r="J74" s="26"/>
      <c r="K74" s="68" t="s">
        <v>2865</v>
      </c>
      <c r="L74" s="68" t="s">
        <v>2866</v>
      </c>
      <c r="M74" s="68" t="s">
        <v>2867</v>
      </c>
      <c r="N74" s="67">
        <v>21.272997</v>
      </c>
      <c r="O74" s="67">
        <v>92.077231999999995</v>
      </c>
      <c r="P74" s="68">
        <v>1200</v>
      </c>
      <c r="Q74" s="68"/>
      <c r="R74" s="18"/>
      <c r="S74" s="18"/>
      <c r="T74" s="22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17"/>
      <c r="AH74" s="24"/>
      <c r="AI74" s="25"/>
      <c r="AJ74" s="25"/>
    </row>
    <row r="75" spans="1:36" ht="15.6" x14ac:dyDescent="0.3">
      <c r="A75" s="63">
        <v>69</v>
      </c>
      <c r="B75" s="102" t="s">
        <v>3520</v>
      </c>
      <c r="C75" s="102" t="s">
        <v>3521</v>
      </c>
      <c r="D75" s="64" t="s">
        <v>119</v>
      </c>
      <c r="E75" s="68" t="s">
        <v>2678</v>
      </c>
      <c r="F75" s="71" t="s">
        <v>2680</v>
      </c>
      <c r="G75" s="71" t="s">
        <v>41</v>
      </c>
      <c r="H75" s="37"/>
      <c r="I75" s="23"/>
      <c r="J75" s="26"/>
      <c r="K75" s="68" t="s">
        <v>2868</v>
      </c>
      <c r="L75" s="68" t="s">
        <v>2869</v>
      </c>
      <c r="M75" s="68" t="s">
        <v>2870</v>
      </c>
      <c r="N75" s="67">
        <v>21.269957999999999</v>
      </c>
      <c r="O75" s="67">
        <v>92.081282000000002</v>
      </c>
      <c r="P75" s="68">
        <v>1800</v>
      </c>
      <c r="Q75" s="68"/>
      <c r="R75" s="18"/>
      <c r="S75" s="18"/>
      <c r="T75" s="22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17"/>
      <c r="AH75" s="24"/>
      <c r="AI75" s="25"/>
      <c r="AJ75" s="25"/>
    </row>
    <row r="76" spans="1:36" ht="15.6" x14ac:dyDescent="0.3">
      <c r="A76" s="63">
        <v>70</v>
      </c>
      <c r="B76" s="102" t="s">
        <v>3520</v>
      </c>
      <c r="C76" s="102" t="s">
        <v>3521</v>
      </c>
      <c r="D76" s="64" t="s">
        <v>119</v>
      </c>
      <c r="E76" s="68" t="s">
        <v>2678</v>
      </c>
      <c r="F76" s="71" t="s">
        <v>2680</v>
      </c>
      <c r="G76" s="71" t="s">
        <v>41</v>
      </c>
      <c r="H76" s="20"/>
      <c r="I76" s="20"/>
      <c r="J76" s="26"/>
      <c r="K76" s="68" t="s">
        <v>2871</v>
      </c>
      <c r="L76" s="68" t="s">
        <v>2872</v>
      </c>
      <c r="M76" s="68" t="s">
        <v>2873</v>
      </c>
      <c r="N76" s="67">
        <v>21.268792999999999</v>
      </c>
      <c r="O76" s="67">
        <v>92.088843999999995</v>
      </c>
      <c r="P76" s="68">
        <v>2000</v>
      </c>
      <c r="Q76" s="68"/>
      <c r="R76" s="18"/>
      <c r="S76" s="18"/>
      <c r="T76" s="22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17"/>
      <c r="AH76" s="24"/>
      <c r="AI76" s="25"/>
      <c r="AJ76" s="25"/>
    </row>
    <row r="77" spans="1:36" ht="15.6" x14ac:dyDescent="0.3">
      <c r="A77" s="63">
        <v>71</v>
      </c>
      <c r="B77" s="102" t="s">
        <v>3520</v>
      </c>
      <c r="C77" s="102" t="s">
        <v>3521</v>
      </c>
      <c r="D77" s="64" t="s">
        <v>119</v>
      </c>
      <c r="E77" s="68" t="s">
        <v>2678</v>
      </c>
      <c r="F77" s="71" t="s">
        <v>2680</v>
      </c>
      <c r="G77" s="71" t="s">
        <v>41</v>
      </c>
      <c r="H77" s="20"/>
      <c r="I77" s="23"/>
      <c r="J77" s="26"/>
      <c r="K77" s="68" t="s">
        <v>2874</v>
      </c>
      <c r="L77" s="68" t="s">
        <v>2875</v>
      </c>
      <c r="M77" s="68" t="s">
        <v>2876</v>
      </c>
      <c r="N77" s="67">
        <v>21.274785999999999</v>
      </c>
      <c r="O77" s="67">
        <v>92.085060999999996</v>
      </c>
      <c r="P77" s="68">
        <v>1500</v>
      </c>
      <c r="Q77" s="68"/>
      <c r="R77" s="18"/>
      <c r="S77" s="18"/>
      <c r="T77" s="27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17"/>
      <c r="AH77" s="24"/>
      <c r="AI77" s="25"/>
      <c r="AJ77" s="25"/>
    </row>
    <row r="78" spans="1:36" ht="15.6" x14ac:dyDescent="0.3">
      <c r="A78" s="63">
        <v>72</v>
      </c>
      <c r="B78" s="102" t="s">
        <v>3520</v>
      </c>
      <c r="C78" s="102" t="s">
        <v>3521</v>
      </c>
      <c r="D78" s="64" t="s">
        <v>119</v>
      </c>
      <c r="E78" s="68" t="s">
        <v>2678</v>
      </c>
      <c r="F78" s="71" t="s">
        <v>2680</v>
      </c>
      <c r="G78" s="71" t="s">
        <v>41</v>
      </c>
      <c r="H78" s="20"/>
      <c r="I78" s="23"/>
      <c r="J78" s="26"/>
      <c r="K78" s="68" t="s">
        <v>2877</v>
      </c>
      <c r="L78" s="68" t="s">
        <v>2878</v>
      </c>
      <c r="M78" s="68" t="s">
        <v>2879</v>
      </c>
      <c r="N78" s="67">
        <v>21.273814999999999</v>
      </c>
      <c r="O78" s="67">
        <v>92.095346000000006</v>
      </c>
      <c r="P78" s="68">
        <v>1500</v>
      </c>
      <c r="Q78" s="68"/>
      <c r="R78" s="18"/>
      <c r="S78" s="18"/>
      <c r="T78" s="27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17"/>
      <c r="AH78" s="24"/>
      <c r="AI78" s="25"/>
      <c r="AJ78" s="25"/>
    </row>
    <row r="79" spans="1:36" ht="15.6" x14ac:dyDescent="0.3">
      <c r="A79" s="63">
        <v>73</v>
      </c>
      <c r="B79" s="102" t="s">
        <v>3520</v>
      </c>
      <c r="C79" s="102" t="s">
        <v>3521</v>
      </c>
      <c r="D79" s="64" t="s">
        <v>119</v>
      </c>
      <c r="E79" s="68" t="s">
        <v>2678</v>
      </c>
      <c r="F79" s="71" t="s">
        <v>2680</v>
      </c>
      <c r="G79" s="71" t="s">
        <v>41</v>
      </c>
      <c r="H79" s="20"/>
      <c r="I79" s="23"/>
      <c r="J79" s="26"/>
      <c r="K79" s="68" t="s">
        <v>2880</v>
      </c>
      <c r="L79" s="68" t="s">
        <v>2881</v>
      </c>
      <c r="M79" s="68" t="s">
        <v>2882</v>
      </c>
      <c r="N79" s="67">
        <v>21.276478000000001</v>
      </c>
      <c r="O79" s="67">
        <v>92.092455000000001</v>
      </c>
      <c r="P79" s="68">
        <v>1900</v>
      </c>
      <c r="Q79" s="68"/>
      <c r="R79" s="18"/>
      <c r="S79" s="18"/>
      <c r="T79" s="27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17"/>
      <c r="AH79" s="24"/>
      <c r="AI79" s="25"/>
      <c r="AJ79" s="25"/>
    </row>
    <row r="80" spans="1:36" ht="15.6" x14ac:dyDescent="0.3">
      <c r="A80" s="63">
        <v>74</v>
      </c>
      <c r="B80" s="102" t="s">
        <v>3520</v>
      </c>
      <c r="C80" s="102" t="s">
        <v>3521</v>
      </c>
      <c r="D80" s="64" t="s">
        <v>119</v>
      </c>
      <c r="E80" s="68" t="s">
        <v>2678</v>
      </c>
      <c r="F80" s="71" t="s">
        <v>2680</v>
      </c>
      <c r="G80" s="71" t="s">
        <v>41</v>
      </c>
      <c r="H80" s="20"/>
      <c r="I80" s="23"/>
      <c r="J80" s="26"/>
      <c r="K80" s="68" t="s">
        <v>2883</v>
      </c>
      <c r="L80" s="68" t="s">
        <v>2884</v>
      </c>
      <c r="M80" s="68" t="s">
        <v>2885</v>
      </c>
      <c r="N80" s="67">
        <v>21.277920999999999</v>
      </c>
      <c r="O80" s="67">
        <v>92.089292</v>
      </c>
      <c r="P80" s="68">
        <v>1500</v>
      </c>
      <c r="Q80" s="68"/>
      <c r="R80" s="18"/>
      <c r="S80" s="18"/>
      <c r="T80" s="27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17"/>
      <c r="AH80" s="24"/>
      <c r="AI80" s="25"/>
      <c r="AJ80" s="25"/>
    </row>
    <row r="81" spans="1:36" ht="15.6" x14ac:dyDescent="0.3">
      <c r="A81" s="63">
        <v>75</v>
      </c>
      <c r="B81" s="102" t="s">
        <v>3520</v>
      </c>
      <c r="C81" s="102" t="s">
        <v>3521</v>
      </c>
      <c r="D81" s="64" t="s">
        <v>119</v>
      </c>
      <c r="E81" s="68" t="s">
        <v>2678</v>
      </c>
      <c r="F81" s="71" t="s">
        <v>2680</v>
      </c>
      <c r="G81" s="71" t="s">
        <v>41</v>
      </c>
      <c r="H81" s="20"/>
      <c r="I81" s="23"/>
      <c r="J81" s="26"/>
      <c r="K81" s="68" t="s">
        <v>2886</v>
      </c>
      <c r="L81" s="68" t="s">
        <v>2887</v>
      </c>
      <c r="M81" s="68" t="s">
        <v>2888</v>
      </c>
      <c r="N81" s="67">
        <v>21.279568000000001</v>
      </c>
      <c r="O81" s="67">
        <v>92.084513000000001</v>
      </c>
      <c r="P81" s="68">
        <v>1500</v>
      </c>
      <c r="Q81" s="68"/>
      <c r="R81" s="18"/>
      <c r="S81" s="18"/>
      <c r="T81" s="27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17"/>
      <c r="AH81" s="24"/>
      <c r="AI81" s="25"/>
      <c r="AJ81" s="25"/>
    </row>
    <row r="82" spans="1:36" ht="15.6" x14ac:dyDescent="0.3">
      <c r="A82" s="63">
        <v>76</v>
      </c>
      <c r="B82" s="102" t="s">
        <v>3520</v>
      </c>
      <c r="C82" s="102" t="s">
        <v>3521</v>
      </c>
      <c r="D82" s="64" t="s">
        <v>119</v>
      </c>
      <c r="E82" s="68" t="s">
        <v>2678</v>
      </c>
      <c r="F82" s="71" t="s">
        <v>2680</v>
      </c>
      <c r="G82" s="71" t="s">
        <v>41</v>
      </c>
      <c r="H82" s="20"/>
      <c r="I82" s="23"/>
      <c r="J82" s="26"/>
      <c r="K82" s="68" t="s">
        <v>2889</v>
      </c>
      <c r="L82" s="68" t="s">
        <v>2890</v>
      </c>
      <c r="M82" s="68" t="s">
        <v>2891</v>
      </c>
      <c r="N82" s="67">
        <v>21.262627999999999</v>
      </c>
      <c r="O82" s="67">
        <v>92.075237999999999</v>
      </c>
      <c r="P82" s="68">
        <v>1200</v>
      </c>
      <c r="Q82" s="68"/>
      <c r="R82" s="18"/>
      <c r="S82" s="18"/>
      <c r="T82" s="27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17"/>
      <c r="AH82" s="24"/>
      <c r="AI82" s="25"/>
      <c r="AJ82" s="25"/>
    </row>
    <row r="83" spans="1:36" ht="15.6" x14ac:dyDescent="0.3">
      <c r="A83" s="63">
        <v>77</v>
      </c>
      <c r="B83" s="102" t="s">
        <v>3520</v>
      </c>
      <c r="C83" s="102" t="s">
        <v>3521</v>
      </c>
      <c r="D83" s="64" t="s">
        <v>119</v>
      </c>
      <c r="E83" s="68" t="s">
        <v>2678</v>
      </c>
      <c r="F83" s="71" t="s">
        <v>2680</v>
      </c>
      <c r="G83" s="71" t="s">
        <v>41</v>
      </c>
      <c r="H83" s="20"/>
      <c r="I83" s="23"/>
      <c r="J83" s="26"/>
      <c r="K83" s="68" t="s">
        <v>2892</v>
      </c>
      <c r="L83" s="68" t="s">
        <v>2893</v>
      </c>
      <c r="M83" s="68" t="s">
        <v>2894</v>
      </c>
      <c r="N83" s="67">
        <v>21.271135999999998</v>
      </c>
      <c r="O83" s="67">
        <v>92.093035999999998</v>
      </c>
      <c r="P83" s="68">
        <v>400</v>
      </c>
      <c r="Q83" s="68"/>
      <c r="R83" s="18"/>
      <c r="S83" s="18"/>
      <c r="T83" s="27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17"/>
      <c r="AH83" s="24"/>
      <c r="AI83" s="25"/>
      <c r="AJ83" s="25"/>
    </row>
    <row r="84" spans="1:36" ht="15.6" x14ac:dyDescent="0.3">
      <c r="A84" s="63">
        <v>78</v>
      </c>
      <c r="B84" s="102" t="s">
        <v>3520</v>
      </c>
      <c r="C84" s="102" t="s">
        <v>3521</v>
      </c>
      <c r="D84" s="64" t="s">
        <v>119</v>
      </c>
      <c r="E84" s="68" t="s">
        <v>2678</v>
      </c>
      <c r="F84" s="71" t="s">
        <v>2680</v>
      </c>
      <c r="G84" s="71" t="s">
        <v>42</v>
      </c>
      <c r="H84" s="20"/>
      <c r="I84" s="23"/>
      <c r="J84" s="26"/>
      <c r="K84" s="68" t="s">
        <v>1628</v>
      </c>
      <c r="L84" s="68" t="s">
        <v>1629</v>
      </c>
      <c r="M84" s="68" t="s">
        <v>2895</v>
      </c>
      <c r="N84" s="67">
        <v>21.288475999999999</v>
      </c>
      <c r="O84" s="67">
        <v>92.081743000000003</v>
      </c>
      <c r="P84" s="68">
        <v>3000</v>
      </c>
      <c r="Q84" s="68"/>
      <c r="R84" s="18"/>
      <c r="S84" s="18"/>
      <c r="T84" s="27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17"/>
      <c r="AH84" s="24"/>
      <c r="AI84" s="25"/>
      <c r="AJ84" s="25"/>
    </row>
    <row r="85" spans="1:36" ht="15.6" x14ac:dyDescent="0.3">
      <c r="A85" s="63">
        <v>79</v>
      </c>
      <c r="B85" s="102" t="s">
        <v>3520</v>
      </c>
      <c r="C85" s="102" t="s">
        <v>3521</v>
      </c>
      <c r="D85" s="64" t="s">
        <v>119</v>
      </c>
      <c r="E85" s="68" t="s">
        <v>2678</v>
      </c>
      <c r="F85" s="71" t="s">
        <v>2680</v>
      </c>
      <c r="G85" s="71" t="s">
        <v>42</v>
      </c>
      <c r="H85" s="20"/>
      <c r="I85" s="23"/>
      <c r="J85" s="26"/>
      <c r="K85" s="68" t="s">
        <v>2896</v>
      </c>
      <c r="L85" s="68" t="s">
        <v>2897</v>
      </c>
      <c r="M85" s="68" t="s">
        <v>2898</v>
      </c>
      <c r="N85" s="67">
        <v>21.286246999999999</v>
      </c>
      <c r="O85" s="67">
        <v>92.069004000000007</v>
      </c>
      <c r="P85" s="68">
        <v>2000</v>
      </c>
      <c r="Q85" s="68"/>
      <c r="R85" s="18"/>
      <c r="S85" s="18"/>
      <c r="T85" s="27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17"/>
      <c r="AH85" s="24"/>
      <c r="AI85" s="25"/>
      <c r="AJ85" s="25"/>
    </row>
    <row r="86" spans="1:36" ht="15.6" x14ac:dyDescent="0.3">
      <c r="A86" s="63">
        <v>80</v>
      </c>
      <c r="B86" s="102" t="s">
        <v>3520</v>
      </c>
      <c r="C86" s="102" t="s">
        <v>3521</v>
      </c>
      <c r="D86" s="64" t="s">
        <v>119</v>
      </c>
      <c r="E86" s="68" t="s">
        <v>2678</v>
      </c>
      <c r="F86" s="71" t="s">
        <v>2680</v>
      </c>
      <c r="G86" s="71" t="s">
        <v>42</v>
      </c>
      <c r="H86" s="20"/>
      <c r="I86" s="23"/>
      <c r="J86" s="26"/>
      <c r="K86" s="68" t="s">
        <v>2899</v>
      </c>
      <c r="L86" s="68" t="s">
        <v>2900</v>
      </c>
      <c r="M86" s="68" t="s">
        <v>2901</v>
      </c>
      <c r="N86" s="67">
        <v>21.286929000000001</v>
      </c>
      <c r="O86" s="67">
        <v>92.064367000000004</v>
      </c>
      <c r="P86" s="68">
        <v>1500</v>
      </c>
      <c r="Q86" s="68"/>
      <c r="R86" s="18"/>
      <c r="S86" s="18"/>
      <c r="T86" s="27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17"/>
      <c r="AH86" s="24"/>
      <c r="AI86" s="25"/>
      <c r="AJ86" s="25"/>
    </row>
    <row r="87" spans="1:36" ht="15.6" x14ac:dyDescent="0.3">
      <c r="A87" s="63">
        <v>81</v>
      </c>
      <c r="B87" s="102" t="s">
        <v>3520</v>
      </c>
      <c r="C87" s="102" t="s">
        <v>3521</v>
      </c>
      <c r="D87" s="64" t="s">
        <v>119</v>
      </c>
      <c r="E87" s="68" t="s">
        <v>2678</v>
      </c>
      <c r="F87" s="71" t="s">
        <v>2680</v>
      </c>
      <c r="G87" s="71" t="s">
        <v>42</v>
      </c>
      <c r="H87" s="20"/>
      <c r="I87" s="23"/>
      <c r="J87" s="26"/>
      <c r="K87" s="68" t="s">
        <v>2902</v>
      </c>
      <c r="L87" s="68" t="s">
        <v>2903</v>
      </c>
      <c r="M87" s="68" t="s">
        <v>2904</v>
      </c>
      <c r="N87" s="67">
        <v>21.283694000000001</v>
      </c>
      <c r="O87" s="67">
        <v>92.064456000000007</v>
      </c>
      <c r="P87" s="68">
        <v>3000</v>
      </c>
      <c r="Q87" s="68"/>
      <c r="R87" s="43"/>
      <c r="S87" s="43"/>
      <c r="T87" s="27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17"/>
      <c r="AH87" s="24"/>
      <c r="AI87" s="25"/>
      <c r="AJ87" s="25"/>
    </row>
    <row r="88" spans="1:36" ht="15.6" x14ac:dyDescent="0.3">
      <c r="A88" s="63">
        <v>82</v>
      </c>
      <c r="B88" s="102" t="s">
        <v>3520</v>
      </c>
      <c r="C88" s="102" t="s">
        <v>3521</v>
      </c>
      <c r="D88" s="64" t="s">
        <v>119</v>
      </c>
      <c r="E88" s="68" t="s">
        <v>2678</v>
      </c>
      <c r="F88" s="71" t="s">
        <v>2680</v>
      </c>
      <c r="G88" s="71" t="s">
        <v>42</v>
      </c>
      <c r="H88" s="20"/>
      <c r="I88" s="20"/>
      <c r="J88" s="26"/>
      <c r="K88" s="68" t="s">
        <v>2905</v>
      </c>
      <c r="L88" s="68" t="s">
        <v>2906</v>
      </c>
      <c r="M88" s="68" t="s">
        <v>2907</v>
      </c>
      <c r="N88" s="67">
        <v>21.276655000000002</v>
      </c>
      <c r="O88" s="67">
        <v>92.069695999999993</v>
      </c>
      <c r="P88" s="68">
        <v>3000</v>
      </c>
      <c r="Q88" s="68"/>
      <c r="R88" s="18"/>
      <c r="S88" s="18"/>
      <c r="T88" s="22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16"/>
      <c r="AH88" s="24"/>
      <c r="AI88" s="25"/>
      <c r="AJ88" s="25"/>
    </row>
    <row r="89" spans="1:36" ht="15.6" x14ac:dyDescent="0.3">
      <c r="A89" s="63">
        <v>83</v>
      </c>
      <c r="B89" s="102" t="s">
        <v>3520</v>
      </c>
      <c r="C89" s="102" t="s">
        <v>3521</v>
      </c>
      <c r="D89" s="64" t="s">
        <v>119</v>
      </c>
      <c r="E89" s="68" t="s">
        <v>2678</v>
      </c>
      <c r="F89" s="71" t="s">
        <v>2680</v>
      </c>
      <c r="G89" s="71" t="s">
        <v>42</v>
      </c>
      <c r="H89" s="20"/>
      <c r="I89" s="20"/>
      <c r="J89" s="26"/>
      <c r="K89" s="68" t="s">
        <v>2908</v>
      </c>
      <c r="L89" s="68" t="s">
        <v>2909</v>
      </c>
      <c r="M89" s="68" t="s">
        <v>2910</v>
      </c>
      <c r="N89" s="67">
        <v>21.281932000000001</v>
      </c>
      <c r="O89" s="67">
        <v>92.077201000000002</v>
      </c>
      <c r="P89" s="68">
        <v>1000</v>
      </c>
      <c r="Q89" s="68"/>
      <c r="R89" s="18"/>
      <c r="S89" s="18"/>
      <c r="T89" s="27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17"/>
      <c r="AH89" s="24"/>
      <c r="AI89" s="25"/>
      <c r="AJ89" s="25"/>
    </row>
    <row r="90" spans="1:36" ht="15.6" x14ac:dyDescent="0.3">
      <c r="A90" s="63">
        <v>84</v>
      </c>
      <c r="B90" s="102" t="s">
        <v>3520</v>
      </c>
      <c r="C90" s="102" t="s">
        <v>3521</v>
      </c>
      <c r="D90" s="64" t="s">
        <v>119</v>
      </c>
      <c r="E90" s="68" t="s">
        <v>2678</v>
      </c>
      <c r="F90" s="71" t="s">
        <v>2680</v>
      </c>
      <c r="G90" s="71" t="s">
        <v>42</v>
      </c>
      <c r="H90" s="20"/>
      <c r="I90" s="20"/>
      <c r="J90" s="26"/>
      <c r="K90" s="68" t="s">
        <v>2911</v>
      </c>
      <c r="L90" s="68" t="s">
        <v>2912</v>
      </c>
      <c r="M90" s="68" t="s">
        <v>2913</v>
      </c>
      <c r="N90" s="67">
        <v>21.287611999999999</v>
      </c>
      <c r="O90" s="67">
        <v>92.075192999999999</v>
      </c>
      <c r="P90" s="68">
        <v>2000</v>
      </c>
      <c r="Q90" s="68"/>
      <c r="R90" s="18"/>
      <c r="S90" s="18"/>
      <c r="T90" s="27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17"/>
      <c r="AH90" s="24"/>
      <c r="AI90" s="25"/>
      <c r="AJ90" s="25"/>
    </row>
    <row r="91" spans="1:36" ht="15.6" x14ac:dyDescent="0.3">
      <c r="A91" s="63">
        <v>85</v>
      </c>
      <c r="B91" s="102" t="s">
        <v>3520</v>
      </c>
      <c r="C91" s="102" t="s">
        <v>3521</v>
      </c>
      <c r="D91" s="64" t="s">
        <v>119</v>
      </c>
      <c r="E91" s="68" t="s">
        <v>2678</v>
      </c>
      <c r="F91" s="71" t="s">
        <v>2680</v>
      </c>
      <c r="G91" s="71" t="s">
        <v>42</v>
      </c>
      <c r="H91" s="20"/>
      <c r="I91" s="20"/>
      <c r="J91" s="26"/>
      <c r="K91" s="75" t="s">
        <v>133</v>
      </c>
      <c r="L91" s="68" t="s">
        <v>134</v>
      </c>
      <c r="M91" s="68" t="s">
        <v>2914</v>
      </c>
      <c r="N91" s="67">
        <v>21.282342</v>
      </c>
      <c r="O91" s="67">
        <v>92.082617999999997</v>
      </c>
      <c r="P91" s="68">
        <v>500</v>
      </c>
      <c r="Q91" s="68"/>
      <c r="R91" s="18"/>
      <c r="S91" s="18"/>
      <c r="T91" s="27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17"/>
      <c r="AH91" s="24"/>
      <c r="AI91" s="25"/>
      <c r="AJ91" s="25"/>
    </row>
    <row r="92" spans="1:36" ht="15.6" x14ac:dyDescent="0.3">
      <c r="A92" s="63">
        <v>86</v>
      </c>
      <c r="B92" s="102" t="s">
        <v>3520</v>
      </c>
      <c r="C92" s="102" t="s">
        <v>3521</v>
      </c>
      <c r="D92" s="64" t="s">
        <v>119</v>
      </c>
      <c r="E92" s="68" t="s">
        <v>2678</v>
      </c>
      <c r="F92" s="71" t="s">
        <v>2680</v>
      </c>
      <c r="G92" s="71" t="s">
        <v>42</v>
      </c>
      <c r="H92" s="20"/>
      <c r="I92" s="20"/>
      <c r="J92" s="26"/>
      <c r="K92" s="68" t="s">
        <v>2915</v>
      </c>
      <c r="L92" s="68" t="s">
        <v>2916</v>
      </c>
      <c r="M92" s="68" t="s">
        <v>2917</v>
      </c>
      <c r="N92" s="67">
        <v>21.297383</v>
      </c>
      <c r="O92" s="67">
        <v>92.080719999999999</v>
      </c>
      <c r="P92" s="68">
        <v>2200</v>
      </c>
      <c r="Q92" s="68"/>
      <c r="R92" s="18"/>
      <c r="S92" s="18"/>
      <c r="T92" s="27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17"/>
      <c r="AH92" s="24"/>
      <c r="AI92" s="25"/>
      <c r="AJ92" s="25"/>
    </row>
    <row r="93" spans="1:36" ht="15.6" x14ac:dyDescent="0.3">
      <c r="A93" s="63">
        <v>87</v>
      </c>
      <c r="B93" s="102" t="s">
        <v>3520</v>
      </c>
      <c r="C93" s="102" t="s">
        <v>3521</v>
      </c>
      <c r="D93" s="64" t="s">
        <v>119</v>
      </c>
      <c r="E93" s="68" t="s">
        <v>2678</v>
      </c>
      <c r="F93" s="71" t="s">
        <v>2680</v>
      </c>
      <c r="G93" s="71" t="s">
        <v>42</v>
      </c>
      <c r="H93" s="20"/>
      <c r="I93" s="20"/>
      <c r="J93" s="26"/>
      <c r="K93" s="68" t="s">
        <v>2918</v>
      </c>
      <c r="L93" s="68" t="s">
        <v>2919</v>
      </c>
      <c r="M93" s="68" t="s">
        <v>2920</v>
      </c>
      <c r="N93" s="67">
        <v>21.282785000000001</v>
      </c>
      <c r="O93" s="67">
        <v>92.070155999999997</v>
      </c>
      <c r="P93" s="68">
        <v>2000</v>
      </c>
      <c r="Q93" s="68"/>
      <c r="R93" s="18"/>
      <c r="S93" s="18"/>
      <c r="T93" s="27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17"/>
      <c r="AH93" s="24"/>
      <c r="AI93" s="25"/>
      <c r="AJ93" s="25"/>
    </row>
    <row r="94" spans="1:36" ht="15.6" x14ac:dyDescent="0.3">
      <c r="A94" s="63">
        <v>88</v>
      </c>
      <c r="B94" s="102" t="s">
        <v>3520</v>
      </c>
      <c r="C94" s="102" t="s">
        <v>3521</v>
      </c>
      <c r="D94" s="64" t="s">
        <v>119</v>
      </c>
      <c r="E94" s="68" t="s">
        <v>2678</v>
      </c>
      <c r="F94" s="71" t="s">
        <v>2680</v>
      </c>
      <c r="G94" s="71" t="s">
        <v>43</v>
      </c>
      <c r="H94" s="20"/>
      <c r="I94" s="20"/>
      <c r="J94" s="26"/>
      <c r="K94" s="68" t="s">
        <v>2921</v>
      </c>
      <c r="L94" s="68" t="s">
        <v>2922</v>
      </c>
      <c r="M94" s="68" t="s">
        <v>2923</v>
      </c>
      <c r="N94" s="67">
        <v>21.286002</v>
      </c>
      <c r="O94" s="67">
        <v>92.060500000000005</v>
      </c>
      <c r="P94" s="68">
        <v>500</v>
      </c>
      <c r="Q94" s="68"/>
      <c r="R94" s="18"/>
      <c r="S94" s="18"/>
      <c r="T94" s="27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17"/>
      <c r="AH94" s="24"/>
      <c r="AI94" s="25"/>
      <c r="AJ94" s="25"/>
    </row>
    <row r="95" spans="1:36" ht="15.6" x14ac:dyDescent="0.3">
      <c r="A95" s="63">
        <v>89</v>
      </c>
      <c r="B95" s="102" t="s">
        <v>3520</v>
      </c>
      <c r="C95" s="102" t="s">
        <v>3521</v>
      </c>
      <c r="D95" s="64" t="s">
        <v>119</v>
      </c>
      <c r="E95" s="68" t="s">
        <v>2678</v>
      </c>
      <c r="F95" s="71" t="s">
        <v>2680</v>
      </c>
      <c r="G95" s="71" t="s">
        <v>43</v>
      </c>
      <c r="H95" s="20"/>
      <c r="I95" s="20"/>
      <c r="J95" s="26"/>
      <c r="K95" s="68" t="s">
        <v>90</v>
      </c>
      <c r="L95" s="68" t="s">
        <v>91</v>
      </c>
      <c r="M95" s="68" t="s">
        <v>2924</v>
      </c>
      <c r="N95" s="67">
        <v>21.286304999999999</v>
      </c>
      <c r="O95" s="67">
        <v>92.056749999999994</v>
      </c>
      <c r="P95" s="68">
        <v>800</v>
      </c>
      <c r="Q95" s="68"/>
      <c r="R95" s="18"/>
      <c r="S95" s="18"/>
      <c r="T95" s="27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17"/>
      <c r="AH95" s="24"/>
      <c r="AI95" s="25"/>
      <c r="AJ95" s="25"/>
    </row>
    <row r="96" spans="1:36" ht="15.6" x14ac:dyDescent="0.3">
      <c r="A96" s="63">
        <v>90</v>
      </c>
      <c r="B96" s="102" t="s">
        <v>3520</v>
      </c>
      <c r="C96" s="102" t="s">
        <v>3521</v>
      </c>
      <c r="D96" s="64" t="s">
        <v>119</v>
      </c>
      <c r="E96" s="68" t="s">
        <v>2678</v>
      </c>
      <c r="F96" s="71" t="s">
        <v>2680</v>
      </c>
      <c r="G96" s="71" t="s">
        <v>43</v>
      </c>
      <c r="H96" s="20"/>
      <c r="I96" s="20"/>
      <c r="J96" s="26"/>
      <c r="K96" s="68" t="s">
        <v>2925</v>
      </c>
      <c r="L96" s="68" t="s">
        <v>2926</v>
      </c>
      <c r="M96" s="68" t="s">
        <v>2927</v>
      </c>
      <c r="N96" s="67">
        <v>21.287984000000002</v>
      </c>
      <c r="O96" s="67">
        <v>92.050582000000006</v>
      </c>
      <c r="P96" s="68">
        <v>850</v>
      </c>
      <c r="Q96" s="68"/>
      <c r="R96" s="18"/>
      <c r="S96" s="18"/>
      <c r="T96" s="22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17"/>
      <c r="AH96" s="24"/>
      <c r="AI96" s="25"/>
      <c r="AJ96" s="25"/>
    </row>
    <row r="97" spans="1:36" ht="15.6" x14ac:dyDescent="0.3">
      <c r="A97" s="63">
        <v>91</v>
      </c>
      <c r="B97" s="102" t="s">
        <v>3520</v>
      </c>
      <c r="C97" s="102" t="s">
        <v>3521</v>
      </c>
      <c r="D97" s="64" t="s">
        <v>119</v>
      </c>
      <c r="E97" s="68" t="s">
        <v>2678</v>
      </c>
      <c r="F97" s="71" t="s">
        <v>2680</v>
      </c>
      <c r="G97" s="71" t="s">
        <v>43</v>
      </c>
      <c r="H97" s="20"/>
      <c r="I97" s="20"/>
      <c r="J97" s="26"/>
      <c r="K97" s="68" t="s">
        <v>2928</v>
      </c>
      <c r="L97" s="68" t="s">
        <v>2929</v>
      </c>
      <c r="M97" s="68" t="s">
        <v>2930</v>
      </c>
      <c r="N97" s="67">
        <v>21.293464</v>
      </c>
      <c r="O97" s="67">
        <v>92.048970999999995</v>
      </c>
      <c r="P97" s="68">
        <v>800</v>
      </c>
      <c r="Q97" s="68"/>
      <c r="R97" s="18"/>
      <c r="S97" s="18"/>
      <c r="T97" s="27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17"/>
      <c r="AH97" s="24"/>
      <c r="AI97" s="25"/>
      <c r="AJ97" s="25"/>
    </row>
    <row r="98" spans="1:36" ht="15.6" x14ac:dyDescent="0.3">
      <c r="A98" s="63">
        <v>92</v>
      </c>
      <c r="B98" s="102" t="s">
        <v>3520</v>
      </c>
      <c r="C98" s="102" t="s">
        <v>3521</v>
      </c>
      <c r="D98" s="64" t="s">
        <v>119</v>
      </c>
      <c r="E98" s="68" t="s">
        <v>2678</v>
      </c>
      <c r="F98" s="71" t="s">
        <v>2680</v>
      </c>
      <c r="G98" s="71" t="s">
        <v>43</v>
      </c>
      <c r="H98" s="20"/>
      <c r="I98" s="20"/>
      <c r="J98" s="26"/>
      <c r="K98" s="68" t="s">
        <v>2931</v>
      </c>
      <c r="L98" s="68" t="s">
        <v>2932</v>
      </c>
      <c r="M98" s="68" t="s">
        <v>2933</v>
      </c>
      <c r="N98" s="67">
        <v>21.286014999999999</v>
      </c>
      <c r="O98" s="67">
        <v>92.048158999999998</v>
      </c>
      <c r="P98" s="68">
        <v>700</v>
      </c>
      <c r="Q98" s="68"/>
      <c r="R98" s="18"/>
      <c r="S98" s="18"/>
      <c r="T98" s="22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17"/>
      <c r="AH98" s="24"/>
      <c r="AI98" s="25"/>
      <c r="AJ98" s="25"/>
    </row>
    <row r="99" spans="1:36" ht="15.6" x14ac:dyDescent="0.3">
      <c r="A99" s="63">
        <v>93</v>
      </c>
      <c r="B99" s="102" t="s">
        <v>3520</v>
      </c>
      <c r="C99" s="102" t="s">
        <v>3521</v>
      </c>
      <c r="D99" s="64" t="s">
        <v>119</v>
      </c>
      <c r="E99" s="68" t="s">
        <v>2678</v>
      </c>
      <c r="F99" s="71" t="s">
        <v>2680</v>
      </c>
      <c r="G99" s="71" t="s">
        <v>43</v>
      </c>
      <c r="H99" s="20"/>
      <c r="I99" s="20"/>
      <c r="J99" s="26"/>
      <c r="K99" s="68" t="s">
        <v>2934</v>
      </c>
      <c r="L99" s="68" t="s">
        <v>2935</v>
      </c>
      <c r="M99" s="68" t="s">
        <v>2936</v>
      </c>
      <c r="N99" s="67">
        <v>21.28266</v>
      </c>
      <c r="O99" s="67">
        <v>92.057676999999998</v>
      </c>
      <c r="P99" s="68">
        <v>1000</v>
      </c>
      <c r="Q99" s="68"/>
      <c r="R99" s="18"/>
      <c r="S99" s="18"/>
      <c r="T99" s="22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17"/>
      <c r="AH99" s="24"/>
      <c r="AI99" s="25"/>
      <c r="AJ99" s="25"/>
    </row>
    <row r="100" spans="1:36" ht="15.6" x14ac:dyDescent="0.3">
      <c r="A100" s="63">
        <v>94</v>
      </c>
      <c r="B100" s="102" t="s">
        <v>3520</v>
      </c>
      <c r="C100" s="102" t="s">
        <v>3521</v>
      </c>
      <c r="D100" s="64" t="s">
        <v>119</v>
      </c>
      <c r="E100" s="68" t="s">
        <v>2678</v>
      </c>
      <c r="F100" s="71" t="s">
        <v>2680</v>
      </c>
      <c r="G100" s="71" t="s">
        <v>43</v>
      </c>
      <c r="H100" s="20"/>
      <c r="I100" s="20"/>
      <c r="J100" s="21"/>
      <c r="K100" s="68" t="s">
        <v>2937</v>
      </c>
      <c r="L100" s="68" t="s">
        <v>2938</v>
      </c>
      <c r="M100" s="68" t="s">
        <v>2939</v>
      </c>
      <c r="N100" s="67">
        <v>21.282716000000001</v>
      </c>
      <c r="O100" s="67">
        <v>92.050770999999997</v>
      </c>
      <c r="P100" s="68">
        <v>700</v>
      </c>
      <c r="Q100" s="68"/>
      <c r="R100" s="18"/>
      <c r="S100" s="18"/>
      <c r="T100" s="22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17"/>
      <c r="AH100" s="24"/>
      <c r="AI100" s="25"/>
      <c r="AJ100" s="25"/>
    </row>
    <row r="101" spans="1:36" ht="15.6" x14ac:dyDescent="0.3">
      <c r="A101" s="63">
        <v>95</v>
      </c>
      <c r="B101" s="102" t="s">
        <v>3520</v>
      </c>
      <c r="C101" s="102" t="s">
        <v>3521</v>
      </c>
      <c r="D101" s="64" t="s">
        <v>119</v>
      </c>
      <c r="E101" s="68" t="s">
        <v>2678</v>
      </c>
      <c r="F101" s="71" t="s">
        <v>2680</v>
      </c>
      <c r="G101" s="71" t="s">
        <v>43</v>
      </c>
      <c r="H101" s="20"/>
      <c r="I101" s="20"/>
      <c r="J101" s="26"/>
      <c r="K101" s="68" t="s">
        <v>114</v>
      </c>
      <c r="L101" s="68" t="s">
        <v>115</v>
      </c>
      <c r="M101" s="68" t="s">
        <v>2940</v>
      </c>
      <c r="N101" s="67">
        <v>21.283291999999999</v>
      </c>
      <c r="O101" s="67">
        <v>92.054963000000001</v>
      </c>
      <c r="P101" s="68">
        <v>1000</v>
      </c>
      <c r="Q101" s="68"/>
      <c r="R101" s="18"/>
      <c r="S101" s="18"/>
      <c r="T101" s="22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17"/>
      <c r="AH101" s="24"/>
      <c r="AI101" s="25"/>
      <c r="AJ101" s="25"/>
    </row>
    <row r="102" spans="1:36" ht="15.6" x14ac:dyDescent="0.3">
      <c r="A102" s="63">
        <v>96</v>
      </c>
      <c r="B102" s="102" t="s">
        <v>3520</v>
      </c>
      <c r="C102" s="102" t="s">
        <v>3521</v>
      </c>
      <c r="D102" s="64" t="s">
        <v>119</v>
      </c>
      <c r="E102" s="68" t="s">
        <v>2678</v>
      </c>
      <c r="F102" s="71" t="s">
        <v>2680</v>
      </c>
      <c r="G102" s="71" t="s">
        <v>43</v>
      </c>
      <c r="H102" s="20"/>
      <c r="I102" s="20"/>
      <c r="J102" s="26"/>
      <c r="K102" s="68" t="s">
        <v>2941</v>
      </c>
      <c r="L102" s="68" t="s">
        <v>2942</v>
      </c>
      <c r="M102" s="68" t="s">
        <v>2943</v>
      </c>
      <c r="N102" s="67">
        <v>21.283677000000001</v>
      </c>
      <c r="O102" s="67">
        <v>92.059380000000004</v>
      </c>
      <c r="P102" s="68">
        <v>400</v>
      </c>
      <c r="Q102" s="68"/>
      <c r="R102" s="18"/>
      <c r="S102" s="18"/>
      <c r="T102" s="22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17"/>
      <c r="AH102" s="24"/>
      <c r="AI102" s="25"/>
      <c r="AJ102" s="25"/>
    </row>
    <row r="103" spans="1:36" ht="15.6" x14ac:dyDescent="0.3">
      <c r="A103" s="63">
        <v>97</v>
      </c>
      <c r="B103" s="102" t="s">
        <v>3520</v>
      </c>
      <c r="C103" s="102" t="s">
        <v>3521</v>
      </c>
      <c r="D103" s="64" t="s">
        <v>119</v>
      </c>
      <c r="E103" s="68" t="s">
        <v>2678</v>
      </c>
      <c r="F103" s="71" t="s">
        <v>2680</v>
      </c>
      <c r="G103" s="71" t="s">
        <v>44</v>
      </c>
      <c r="H103" s="20"/>
      <c r="I103" s="20"/>
      <c r="J103" s="26"/>
      <c r="K103" s="68" t="s">
        <v>2944</v>
      </c>
      <c r="L103" s="68" t="s">
        <v>2945</v>
      </c>
      <c r="M103" s="68" t="s">
        <v>2946</v>
      </c>
      <c r="N103" s="67">
        <v>21.278255000000001</v>
      </c>
      <c r="O103" s="67">
        <v>92.056844999999996</v>
      </c>
      <c r="P103" s="68">
        <v>2000</v>
      </c>
      <c r="Q103" s="68"/>
      <c r="R103" s="18"/>
      <c r="S103" s="18"/>
      <c r="T103" s="22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17"/>
      <c r="AH103" s="24"/>
      <c r="AI103" s="25"/>
      <c r="AJ103" s="25"/>
    </row>
    <row r="104" spans="1:36" ht="15.6" x14ac:dyDescent="0.3">
      <c r="A104" s="63">
        <v>98</v>
      </c>
      <c r="B104" s="102" t="s">
        <v>3520</v>
      </c>
      <c r="C104" s="102" t="s">
        <v>3521</v>
      </c>
      <c r="D104" s="64" t="s">
        <v>119</v>
      </c>
      <c r="E104" s="68" t="s">
        <v>2678</v>
      </c>
      <c r="F104" s="71" t="s">
        <v>2680</v>
      </c>
      <c r="G104" s="71" t="s">
        <v>44</v>
      </c>
      <c r="H104" s="20"/>
      <c r="I104" s="20"/>
      <c r="J104" s="26"/>
      <c r="K104" s="68" t="s">
        <v>2947</v>
      </c>
      <c r="L104" s="68" t="s">
        <v>2948</v>
      </c>
      <c r="M104" s="68" t="s">
        <v>2949</v>
      </c>
      <c r="N104" s="67">
        <v>21.274272</v>
      </c>
      <c r="O104" s="67">
        <v>92.058536000000004</v>
      </c>
      <c r="P104" s="68">
        <v>3000</v>
      </c>
      <c r="Q104" s="68"/>
      <c r="R104" s="18"/>
      <c r="S104" s="18"/>
      <c r="T104" s="27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17"/>
      <c r="AH104" s="24"/>
      <c r="AI104" s="25"/>
      <c r="AJ104" s="25"/>
    </row>
    <row r="105" spans="1:36" ht="15.6" x14ac:dyDescent="0.3">
      <c r="A105" s="63">
        <v>99</v>
      </c>
      <c r="B105" s="102" t="s">
        <v>3520</v>
      </c>
      <c r="C105" s="102" t="s">
        <v>3521</v>
      </c>
      <c r="D105" s="64" t="s">
        <v>119</v>
      </c>
      <c r="E105" s="68" t="s">
        <v>2678</v>
      </c>
      <c r="F105" s="71" t="s">
        <v>2680</v>
      </c>
      <c r="G105" s="71" t="s">
        <v>44</v>
      </c>
      <c r="H105" s="20"/>
      <c r="I105" s="20"/>
      <c r="J105" s="26"/>
      <c r="K105" s="68" t="s">
        <v>2950</v>
      </c>
      <c r="L105" s="68" t="s">
        <v>2951</v>
      </c>
      <c r="M105" s="68" t="s">
        <v>2952</v>
      </c>
      <c r="N105" s="67">
        <v>21.273350000000001</v>
      </c>
      <c r="O105" s="67">
        <v>92.050481000000005</v>
      </c>
      <c r="P105" s="68">
        <v>5000</v>
      </c>
      <c r="Q105" s="68"/>
      <c r="R105" s="18"/>
      <c r="S105" s="18"/>
      <c r="T105" s="22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17"/>
      <c r="AH105" s="24"/>
      <c r="AI105" s="25"/>
      <c r="AJ105" s="25"/>
    </row>
    <row r="106" spans="1:36" ht="15.6" x14ac:dyDescent="0.3">
      <c r="A106" s="63">
        <v>100</v>
      </c>
      <c r="B106" s="102" t="s">
        <v>3520</v>
      </c>
      <c r="C106" s="102" t="s">
        <v>3521</v>
      </c>
      <c r="D106" s="64" t="s">
        <v>119</v>
      </c>
      <c r="E106" s="68" t="s">
        <v>2678</v>
      </c>
      <c r="F106" s="71" t="s">
        <v>2680</v>
      </c>
      <c r="G106" s="71" t="s">
        <v>44</v>
      </c>
      <c r="H106" s="20"/>
      <c r="I106" s="20"/>
      <c r="J106" s="26"/>
      <c r="K106" s="68" t="s">
        <v>2953</v>
      </c>
      <c r="L106" s="68" t="s">
        <v>2954</v>
      </c>
      <c r="M106" s="68" t="s">
        <v>2955</v>
      </c>
      <c r="N106" s="67">
        <v>21.267548000000001</v>
      </c>
      <c r="O106" s="67">
        <v>92.058224999999993</v>
      </c>
      <c r="P106" s="68">
        <v>3000</v>
      </c>
      <c r="Q106" s="68"/>
      <c r="R106" s="18"/>
      <c r="S106" s="18"/>
      <c r="T106" s="22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17"/>
      <c r="AH106" s="24"/>
      <c r="AI106" s="25"/>
      <c r="AJ106" s="25"/>
    </row>
    <row r="107" spans="1:36" ht="15.6" x14ac:dyDescent="0.3">
      <c r="A107" s="63">
        <v>101</v>
      </c>
      <c r="B107" s="102" t="s">
        <v>3520</v>
      </c>
      <c r="C107" s="102" t="s">
        <v>3521</v>
      </c>
      <c r="D107" s="64" t="s">
        <v>119</v>
      </c>
      <c r="E107" s="68" t="s">
        <v>2678</v>
      </c>
      <c r="F107" s="71" t="s">
        <v>2680</v>
      </c>
      <c r="G107" s="71" t="s">
        <v>44</v>
      </c>
      <c r="H107" s="20"/>
      <c r="I107" s="20"/>
      <c r="J107" s="26"/>
      <c r="K107" s="68" t="s">
        <v>2956</v>
      </c>
      <c r="L107" s="68" t="s">
        <v>2957</v>
      </c>
      <c r="M107" s="68" t="s">
        <v>2958</v>
      </c>
      <c r="N107" s="67">
        <v>21.271508000000001</v>
      </c>
      <c r="O107" s="67">
        <v>92.049104999999997</v>
      </c>
      <c r="P107" s="68">
        <v>1500</v>
      </c>
      <c r="Q107" s="68"/>
      <c r="R107" s="18"/>
      <c r="S107" s="18"/>
      <c r="T107" s="27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17"/>
      <c r="AH107" s="24"/>
      <c r="AI107" s="25"/>
      <c r="AJ107" s="25"/>
    </row>
    <row r="108" spans="1:36" ht="15.6" x14ac:dyDescent="0.3">
      <c r="A108" s="63">
        <v>102</v>
      </c>
      <c r="B108" s="102" t="s">
        <v>3520</v>
      </c>
      <c r="C108" s="102" t="s">
        <v>3521</v>
      </c>
      <c r="D108" s="64" t="s">
        <v>119</v>
      </c>
      <c r="E108" s="68" t="s">
        <v>2678</v>
      </c>
      <c r="F108" s="71" t="s">
        <v>2680</v>
      </c>
      <c r="G108" s="71" t="s">
        <v>44</v>
      </c>
      <c r="H108" s="20"/>
      <c r="I108" s="20"/>
      <c r="J108" s="26"/>
      <c r="K108" s="75" t="s">
        <v>233</v>
      </c>
      <c r="L108" s="68" t="s">
        <v>234</v>
      </c>
      <c r="M108" s="68" t="s">
        <v>2959</v>
      </c>
      <c r="N108" s="67">
        <v>21.273772999999998</v>
      </c>
      <c r="O108" s="67">
        <v>92.053815999999998</v>
      </c>
      <c r="P108" s="68">
        <v>4000</v>
      </c>
      <c r="Q108" s="68"/>
      <c r="R108" s="18"/>
      <c r="S108" s="18"/>
      <c r="T108" s="22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17"/>
      <c r="AH108" s="24"/>
      <c r="AI108" s="25"/>
      <c r="AJ108" s="25"/>
    </row>
    <row r="109" spans="1:36" ht="15.6" x14ac:dyDescent="0.3">
      <c r="A109" s="63">
        <v>103</v>
      </c>
      <c r="B109" s="102" t="s">
        <v>3520</v>
      </c>
      <c r="C109" s="102" t="s">
        <v>3521</v>
      </c>
      <c r="D109" s="64" t="s">
        <v>119</v>
      </c>
      <c r="E109" s="68" t="s">
        <v>2678</v>
      </c>
      <c r="F109" s="71" t="s">
        <v>2680</v>
      </c>
      <c r="G109" s="71" t="s">
        <v>44</v>
      </c>
      <c r="H109" s="20"/>
      <c r="I109" s="20"/>
      <c r="J109" s="26"/>
      <c r="K109" s="68" t="s">
        <v>2960</v>
      </c>
      <c r="L109" s="68" t="s">
        <v>2961</v>
      </c>
      <c r="M109" s="68" t="s">
        <v>2962</v>
      </c>
      <c r="N109" s="67">
        <v>21.258661</v>
      </c>
      <c r="O109" s="67">
        <v>92.053794999999994</v>
      </c>
      <c r="P109" s="68">
        <v>4000</v>
      </c>
      <c r="Q109" s="68"/>
      <c r="R109" s="18"/>
      <c r="S109" s="18"/>
      <c r="T109" s="22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17"/>
      <c r="AH109" s="24"/>
      <c r="AI109" s="25"/>
      <c r="AJ109" s="25"/>
    </row>
    <row r="110" spans="1:36" ht="15.6" x14ac:dyDescent="0.3">
      <c r="A110" s="63">
        <v>104</v>
      </c>
      <c r="B110" s="102" t="s">
        <v>3520</v>
      </c>
      <c r="C110" s="102" t="s">
        <v>3521</v>
      </c>
      <c r="D110" s="64" t="s">
        <v>119</v>
      </c>
      <c r="E110" s="68" t="s">
        <v>2678</v>
      </c>
      <c r="F110" s="71" t="s">
        <v>2680</v>
      </c>
      <c r="G110" s="71" t="s">
        <v>44</v>
      </c>
      <c r="H110" s="20"/>
      <c r="I110" s="20"/>
      <c r="J110" s="26"/>
      <c r="K110" s="68" t="s">
        <v>2963</v>
      </c>
      <c r="L110" s="68" t="s">
        <v>2964</v>
      </c>
      <c r="M110" s="68" t="s">
        <v>2965</v>
      </c>
      <c r="N110" s="67">
        <v>21.264921999999999</v>
      </c>
      <c r="O110" s="67">
        <v>92.055706000000001</v>
      </c>
      <c r="P110" s="68">
        <v>3000</v>
      </c>
      <c r="Q110" s="68"/>
      <c r="R110" s="18"/>
      <c r="S110" s="18"/>
      <c r="T110" s="22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17"/>
      <c r="AH110" s="24"/>
      <c r="AI110" s="25"/>
      <c r="AJ110" s="25"/>
    </row>
    <row r="111" spans="1:36" ht="15.6" x14ac:dyDescent="0.3">
      <c r="A111" s="63">
        <v>105</v>
      </c>
      <c r="B111" s="102" t="s">
        <v>3520</v>
      </c>
      <c r="C111" s="102" t="s">
        <v>3521</v>
      </c>
      <c r="D111" s="64" t="s">
        <v>119</v>
      </c>
      <c r="E111" s="68" t="s">
        <v>2678</v>
      </c>
      <c r="F111" s="71" t="s">
        <v>2680</v>
      </c>
      <c r="G111" s="71" t="s">
        <v>45</v>
      </c>
      <c r="H111" s="20"/>
      <c r="I111" s="20"/>
      <c r="J111" s="26"/>
      <c r="K111" s="68" t="s">
        <v>2966</v>
      </c>
      <c r="L111" s="68" t="s">
        <v>2967</v>
      </c>
      <c r="M111" s="68" t="s">
        <v>2968</v>
      </c>
      <c r="N111" s="67">
        <v>21.245847000000001</v>
      </c>
      <c r="O111" s="67">
        <v>92.055526</v>
      </c>
      <c r="P111" s="68">
        <v>2000</v>
      </c>
      <c r="Q111" s="68"/>
      <c r="R111" s="18"/>
      <c r="S111" s="18"/>
      <c r="T111" s="22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17"/>
      <c r="AH111" s="24"/>
      <c r="AI111" s="25"/>
      <c r="AJ111" s="25"/>
    </row>
    <row r="112" spans="1:36" ht="15.6" x14ac:dyDescent="0.3">
      <c r="A112" s="63">
        <v>106</v>
      </c>
      <c r="B112" s="102" t="s">
        <v>3520</v>
      </c>
      <c r="C112" s="102" t="s">
        <v>3521</v>
      </c>
      <c r="D112" s="64" t="s">
        <v>119</v>
      </c>
      <c r="E112" s="68" t="s">
        <v>2678</v>
      </c>
      <c r="F112" s="71" t="s">
        <v>2680</v>
      </c>
      <c r="G112" s="71" t="s">
        <v>45</v>
      </c>
      <c r="H112" s="20"/>
      <c r="I112" s="20"/>
      <c r="J112" s="26"/>
      <c r="K112" s="68" t="s">
        <v>2969</v>
      </c>
      <c r="L112" s="68" t="s">
        <v>2970</v>
      </c>
      <c r="M112" s="68" t="s">
        <v>2971</v>
      </c>
      <c r="N112" s="67">
        <v>21.252967000000002</v>
      </c>
      <c r="O112" s="67">
        <v>92.058429000000004</v>
      </c>
      <c r="P112" s="68">
        <v>3000</v>
      </c>
      <c r="Q112" s="68"/>
      <c r="R112" s="18"/>
      <c r="S112" s="18"/>
      <c r="T112" s="22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17"/>
      <c r="AH112" s="24"/>
      <c r="AI112" s="25"/>
      <c r="AJ112" s="25"/>
    </row>
    <row r="113" spans="1:36" ht="15.6" x14ac:dyDescent="0.3">
      <c r="A113" s="63">
        <v>107</v>
      </c>
      <c r="B113" s="102" t="s">
        <v>3520</v>
      </c>
      <c r="C113" s="102" t="s">
        <v>3521</v>
      </c>
      <c r="D113" s="64" t="s">
        <v>119</v>
      </c>
      <c r="E113" s="68" t="s">
        <v>2678</v>
      </c>
      <c r="F113" s="71" t="s">
        <v>2680</v>
      </c>
      <c r="G113" s="71" t="s">
        <v>45</v>
      </c>
      <c r="H113" s="20"/>
      <c r="I113" s="20"/>
      <c r="J113" s="26"/>
      <c r="K113" s="68" t="s">
        <v>2972</v>
      </c>
      <c r="L113" s="68" t="s">
        <v>2973</v>
      </c>
      <c r="M113" s="68" t="s">
        <v>2974</v>
      </c>
      <c r="N113" s="67">
        <v>21.252948</v>
      </c>
      <c r="O113" s="67">
        <v>92.053057999999993</v>
      </c>
      <c r="P113" s="68">
        <v>3000</v>
      </c>
      <c r="Q113" s="68"/>
      <c r="R113" s="18"/>
      <c r="S113" s="18"/>
      <c r="T113" s="22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17"/>
      <c r="AH113" s="24"/>
      <c r="AI113" s="25"/>
      <c r="AJ113" s="25"/>
    </row>
    <row r="114" spans="1:36" ht="15.6" x14ac:dyDescent="0.3">
      <c r="A114" s="63">
        <v>108</v>
      </c>
      <c r="B114" s="102" t="s">
        <v>3520</v>
      </c>
      <c r="C114" s="102" t="s">
        <v>3521</v>
      </c>
      <c r="D114" s="64" t="s">
        <v>119</v>
      </c>
      <c r="E114" s="68" t="s">
        <v>2678</v>
      </c>
      <c r="F114" s="71" t="s">
        <v>2680</v>
      </c>
      <c r="G114" s="71" t="s">
        <v>46</v>
      </c>
      <c r="H114" s="20"/>
      <c r="I114" s="20"/>
      <c r="J114" s="26"/>
      <c r="K114" s="68" t="s">
        <v>2975</v>
      </c>
      <c r="L114" s="68" t="s">
        <v>2976</v>
      </c>
      <c r="M114" s="68" t="s">
        <v>2977</v>
      </c>
      <c r="N114" s="67">
        <v>21.244591</v>
      </c>
      <c r="O114" s="67">
        <v>92.050331</v>
      </c>
      <c r="P114" s="68">
        <v>400</v>
      </c>
      <c r="Q114" s="68"/>
      <c r="R114" s="18"/>
      <c r="S114" s="18"/>
      <c r="T114" s="22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17"/>
      <c r="AH114" s="24"/>
      <c r="AI114" s="25"/>
      <c r="AJ114" s="25"/>
    </row>
    <row r="115" spans="1:36" ht="15.6" x14ac:dyDescent="0.3">
      <c r="A115" s="63">
        <v>109</v>
      </c>
      <c r="B115" s="102" t="s">
        <v>3520</v>
      </c>
      <c r="C115" s="102" t="s">
        <v>3521</v>
      </c>
      <c r="D115" s="64" t="s">
        <v>119</v>
      </c>
      <c r="E115" s="68" t="s">
        <v>2678</v>
      </c>
      <c r="F115" s="71" t="s">
        <v>2680</v>
      </c>
      <c r="G115" s="71" t="s">
        <v>46</v>
      </c>
      <c r="H115" s="20"/>
      <c r="I115" s="20"/>
      <c r="J115" s="26"/>
      <c r="K115" s="68" t="s">
        <v>2978</v>
      </c>
      <c r="L115" s="68" t="s">
        <v>2979</v>
      </c>
      <c r="M115" s="68" t="s">
        <v>2980</v>
      </c>
      <c r="N115" s="67">
        <v>21.239487</v>
      </c>
      <c r="O115" s="67">
        <v>92.052533999999994</v>
      </c>
      <c r="P115" s="68">
        <v>1800</v>
      </c>
      <c r="Q115" s="68"/>
      <c r="R115" s="18"/>
      <c r="S115" s="18"/>
      <c r="T115" s="22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17"/>
      <c r="AH115" s="24"/>
      <c r="AI115" s="25"/>
      <c r="AJ115" s="25"/>
    </row>
    <row r="116" spans="1:36" ht="15.6" x14ac:dyDescent="0.3">
      <c r="A116" s="63">
        <v>110</v>
      </c>
      <c r="B116" s="102" t="s">
        <v>3520</v>
      </c>
      <c r="C116" s="102" t="s">
        <v>3521</v>
      </c>
      <c r="D116" s="64" t="s">
        <v>119</v>
      </c>
      <c r="E116" s="68" t="s">
        <v>2678</v>
      </c>
      <c r="F116" s="71" t="s">
        <v>2680</v>
      </c>
      <c r="G116" s="71" t="s">
        <v>46</v>
      </c>
      <c r="H116" s="20"/>
      <c r="I116" s="20"/>
      <c r="J116" s="26"/>
      <c r="K116" s="68" t="s">
        <v>2981</v>
      </c>
      <c r="L116" s="68" t="s">
        <v>2982</v>
      </c>
      <c r="M116" s="68" t="s">
        <v>2983</v>
      </c>
      <c r="N116" s="67">
        <v>21.234169000000001</v>
      </c>
      <c r="O116" s="67">
        <v>92.055060999999995</v>
      </c>
      <c r="P116" s="68">
        <v>300</v>
      </c>
      <c r="Q116" s="68"/>
      <c r="R116" s="18"/>
      <c r="S116" s="18"/>
      <c r="T116" s="22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17"/>
      <c r="AH116" s="24"/>
      <c r="AI116" s="25"/>
      <c r="AJ116" s="25"/>
    </row>
    <row r="117" spans="1:36" ht="15.6" x14ac:dyDescent="0.3">
      <c r="A117" s="63">
        <v>111</v>
      </c>
      <c r="B117" s="102" t="s">
        <v>3520</v>
      </c>
      <c r="C117" s="102" t="s">
        <v>3521</v>
      </c>
      <c r="D117" s="64" t="s">
        <v>119</v>
      </c>
      <c r="E117" s="68" t="s">
        <v>2678</v>
      </c>
      <c r="F117" s="71" t="s">
        <v>2680</v>
      </c>
      <c r="G117" s="71" t="s">
        <v>46</v>
      </c>
      <c r="H117" s="20"/>
      <c r="I117" s="20"/>
      <c r="J117" s="26"/>
      <c r="K117" s="68" t="s">
        <v>2984</v>
      </c>
      <c r="L117" s="68" t="s">
        <v>2985</v>
      </c>
      <c r="M117" s="68" t="s">
        <v>2986</v>
      </c>
      <c r="N117" s="67">
        <v>21.229296999999999</v>
      </c>
      <c r="O117" s="67">
        <v>92.051383999999999</v>
      </c>
      <c r="P117" s="68">
        <v>1000</v>
      </c>
      <c r="Q117" s="68"/>
      <c r="R117" s="18"/>
      <c r="S117" s="18"/>
      <c r="T117" s="22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17"/>
      <c r="AH117" s="24"/>
      <c r="AI117" s="25"/>
      <c r="AJ117" s="25"/>
    </row>
    <row r="118" spans="1:36" ht="15.6" x14ac:dyDescent="0.3">
      <c r="A118" s="63">
        <v>112</v>
      </c>
      <c r="B118" s="102" t="s">
        <v>3520</v>
      </c>
      <c r="C118" s="102" t="s">
        <v>3521</v>
      </c>
      <c r="D118" s="64" t="s">
        <v>119</v>
      </c>
      <c r="E118" s="68" t="s">
        <v>2678</v>
      </c>
      <c r="F118" s="71" t="s">
        <v>2680</v>
      </c>
      <c r="G118" s="71" t="s">
        <v>46</v>
      </c>
      <c r="H118" s="20"/>
      <c r="I118" s="20"/>
      <c r="J118" s="26"/>
      <c r="K118" s="68" t="s">
        <v>2987</v>
      </c>
      <c r="L118" s="68" t="s">
        <v>2988</v>
      </c>
      <c r="M118" s="68" t="s">
        <v>2989</v>
      </c>
      <c r="N118" s="67">
        <v>21.217282000000001</v>
      </c>
      <c r="O118" s="67">
        <v>92.057047999999995</v>
      </c>
      <c r="P118" s="68">
        <v>400</v>
      </c>
      <c r="Q118" s="68"/>
      <c r="R118" s="18"/>
      <c r="S118" s="18"/>
      <c r="T118" s="22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17"/>
      <c r="AH118" s="24"/>
      <c r="AI118" s="25"/>
      <c r="AJ118" s="25"/>
    </row>
    <row r="119" spans="1:36" ht="15.6" x14ac:dyDescent="0.3">
      <c r="A119" s="63">
        <v>113</v>
      </c>
      <c r="B119" s="102" t="s">
        <v>3520</v>
      </c>
      <c r="C119" s="102" t="s">
        <v>3521</v>
      </c>
      <c r="D119" s="64" t="s">
        <v>119</v>
      </c>
      <c r="E119" s="68" t="s">
        <v>2678</v>
      </c>
      <c r="F119" s="71" t="s">
        <v>2680</v>
      </c>
      <c r="G119" s="71" t="s">
        <v>46</v>
      </c>
      <c r="H119" s="20"/>
      <c r="I119" s="20"/>
      <c r="J119" s="26"/>
      <c r="K119" s="68" t="s">
        <v>2990</v>
      </c>
      <c r="L119" s="68" t="s">
        <v>2991</v>
      </c>
      <c r="M119" s="68" t="s">
        <v>2992</v>
      </c>
      <c r="N119" s="67">
        <v>21.234622999999999</v>
      </c>
      <c r="O119" s="67">
        <v>92.050078999999997</v>
      </c>
      <c r="P119" s="68">
        <v>50</v>
      </c>
      <c r="Q119" s="68"/>
      <c r="R119" s="18"/>
      <c r="S119" s="18"/>
      <c r="T119" s="22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17"/>
      <c r="AH119" s="24"/>
      <c r="AI119" s="25"/>
      <c r="AJ119" s="25"/>
    </row>
    <row r="120" spans="1:36" ht="15.6" x14ac:dyDescent="0.3">
      <c r="A120" s="63">
        <v>114</v>
      </c>
      <c r="B120" s="102" t="s">
        <v>3520</v>
      </c>
      <c r="C120" s="102" t="s">
        <v>3521</v>
      </c>
      <c r="D120" s="64" t="s">
        <v>119</v>
      </c>
      <c r="E120" s="68" t="s">
        <v>2678</v>
      </c>
      <c r="F120" s="71" t="s">
        <v>2680</v>
      </c>
      <c r="G120" s="71" t="s">
        <v>47</v>
      </c>
      <c r="H120" s="20"/>
      <c r="I120" s="20"/>
      <c r="J120" s="26"/>
      <c r="K120" s="75" t="s">
        <v>2993</v>
      </c>
      <c r="L120" s="75" t="s">
        <v>2994</v>
      </c>
      <c r="M120" s="68" t="s">
        <v>2995</v>
      </c>
      <c r="N120" s="67">
        <v>21.213882000000002</v>
      </c>
      <c r="O120" s="67">
        <v>92.050724000000002</v>
      </c>
      <c r="P120" s="68">
        <v>4000</v>
      </c>
      <c r="Q120" s="68"/>
      <c r="R120" s="18"/>
      <c r="S120" s="18"/>
      <c r="T120" s="22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17"/>
      <c r="AH120" s="24"/>
      <c r="AI120" s="25"/>
      <c r="AJ120" s="25"/>
    </row>
    <row r="121" spans="1:36" ht="15.6" x14ac:dyDescent="0.3">
      <c r="A121" s="63">
        <v>115</v>
      </c>
      <c r="B121" s="102" t="s">
        <v>3520</v>
      </c>
      <c r="C121" s="102" t="s">
        <v>3521</v>
      </c>
      <c r="D121" s="64" t="s">
        <v>119</v>
      </c>
      <c r="E121" s="68" t="s">
        <v>2678</v>
      </c>
      <c r="F121" s="71" t="s">
        <v>2680</v>
      </c>
      <c r="G121" s="71" t="s">
        <v>47</v>
      </c>
      <c r="H121" s="20"/>
      <c r="I121" s="20"/>
      <c r="J121" s="26"/>
      <c r="K121" s="75" t="s">
        <v>2996</v>
      </c>
      <c r="L121" s="75" t="s">
        <v>2997</v>
      </c>
      <c r="M121" s="68" t="s">
        <v>2998</v>
      </c>
      <c r="N121" s="67">
        <v>21.180971</v>
      </c>
      <c r="O121" s="67">
        <v>92.050426000000002</v>
      </c>
      <c r="P121" s="68">
        <v>1200</v>
      </c>
      <c r="Q121" s="68"/>
      <c r="R121" s="18"/>
      <c r="S121" s="18"/>
      <c r="T121" s="27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17"/>
      <c r="AH121" s="24"/>
      <c r="AI121" s="25"/>
      <c r="AJ121" s="25"/>
    </row>
    <row r="122" spans="1:36" ht="15.6" x14ac:dyDescent="0.3">
      <c r="A122" s="63">
        <v>116</v>
      </c>
      <c r="B122" s="102" t="s">
        <v>3520</v>
      </c>
      <c r="C122" s="102" t="s">
        <v>3521</v>
      </c>
      <c r="D122" s="64" t="s">
        <v>119</v>
      </c>
      <c r="E122" s="68" t="s">
        <v>2678</v>
      </c>
      <c r="F122" s="71" t="s">
        <v>2680</v>
      </c>
      <c r="G122" s="71" t="s">
        <v>47</v>
      </c>
      <c r="H122" s="20"/>
      <c r="I122" s="20"/>
      <c r="J122" s="26"/>
      <c r="K122" s="68" t="s">
        <v>1445</v>
      </c>
      <c r="L122" s="68" t="s">
        <v>2999</v>
      </c>
      <c r="M122" s="68" t="s">
        <v>3000</v>
      </c>
      <c r="N122" s="67">
        <v>21.177102000000001</v>
      </c>
      <c r="O122" s="67">
        <v>92.053116000000003</v>
      </c>
      <c r="P122" s="68">
        <v>700</v>
      </c>
      <c r="Q122" s="68"/>
      <c r="R122" s="18"/>
      <c r="S122" s="18"/>
      <c r="T122" s="27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17"/>
      <c r="AH122" s="24"/>
      <c r="AI122" s="25"/>
      <c r="AJ122" s="25"/>
    </row>
    <row r="123" spans="1:36" ht="15.6" x14ac:dyDescent="0.3">
      <c r="A123" s="63">
        <v>117</v>
      </c>
      <c r="B123" s="102" t="s">
        <v>3520</v>
      </c>
      <c r="C123" s="102" t="s">
        <v>3521</v>
      </c>
      <c r="D123" s="64" t="s">
        <v>119</v>
      </c>
      <c r="E123" s="68" t="s">
        <v>2678</v>
      </c>
      <c r="F123" s="71" t="s">
        <v>2680</v>
      </c>
      <c r="G123" s="71" t="s">
        <v>47</v>
      </c>
      <c r="H123" s="20"/>
      <c r="I123" s="20"/>
      <c r="J123" s="26"/>
      <c r="K123" s="68" t="s">
        <v>3001</v>
      </c>
      <c r="L123" s="68" t="s">
        <v>3002</v>
      </c>
      <c r="M123" s="68" t="s">
        <v>3003</v>
      </c>
      <c r="N123" s="67">
        <v>21.170155999999999</v>
      </c>
      <c r="O123" s="67">
        <v>92.059749999999994</v>
      </c>
      <c r="P123" s="68">
        <v>2000</v>
      </c>
      <c r="Q123" s="68"/>
      <c r="R123" s="18"/>
      <c r="S123" s="18"/>
      <c r="T123" s="22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17"/>
      <c r="AH123" s="24"/>
      <c r="AI123" s="25"/>
      <c r="AJ123" s="25"/>
    </row>
    <row r="124" spans="1:36" ht="15.6" x14ac:dyDescent="0.3">
      <c r="A124" s="63">
        <v>118</v>
      </c>
      <c r="B124" s="102" t="s">
        <v>3520</v>
      </c>
      <c r="C124" s="102" t="s">
        <v>3521</v>
      </c>
      <c r="D124" s="64" t="s">
        <v>119</v>
      </c>
      <c r="E124" s="68" t="s">
        <v>2678</v>
      </c>
      <c r="F124" s="71" t="s">
        <v>2680</v>
      </c>
      <c r="G124" s="71" t="s">
        <v>47</v>
      </c>
      <c r="H124" s="20"/>
      <c r="I124" s="20"/>
      <c r="J124" s="26"/>
      <c r="K124" s="68" t="s">
        <v>3004</v>
      </c>
      <c r="L124" s="68" t="s">
        <v>3005</v>
      </c>
      <c r="M124" s="68" t="s">
        <v>3006</v>
      </c>
      <c r="N124" s="67">
        <v>21.176850999999999</v>
      </c>
      <c r="O124" s="67">
        <v>92.054796999999994</v>
      </c>
      <c r="P124" s="68">
        <v>150</v>
      </c>
      <c r="Q124" s="68"/>
      <c r="R124" s="18"/>
      <c r="S124" s="18"/>
      <c r="T124" s="27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17"/>
      <c r="AH124" s="24"/>
      <c r="AI124" s="25"/>
      <c r="AJ124" s="25"/>
    </row>
    <row r="125" spans="1:36" ht="15.6" x14ac:dyDescent="0.3">
      <c r="A125" s="63">
        <v>119</v>
      </c>
      <c r="B125" s="102" t="s">
        <v>3520</v>
      </c>
      <c r="C125" s="102" t="s">
        <v>3521</v>
      </c>
      <c r="D125" s="64" t="s">
        <v>119</v>
      </c>
      <c r="E125" s="68" t="s">
        <v>2678</v>
      </c>
      <c r="F125" s="71" t="s">
        <v>2680</v>
      </c>
      <c r="G125" s="71" t="s">
        <v>47</v>
      </c>
      <c r="H125" s="20"/>
      <c r="I125" s="20"/>
      <c r="J125" s="26"/>
      <c r="K125" s="68" t="s">
        <v>3007</v>
      </c>
      <c r="L125" s="68" t="s">
        <v>3008</v>
      </c>
      <c r="M125" s="68" t="s">
        <v>3009</v>
      </c>
      <c r="N125" s="67">
        <v>21.156905999999999</v>
      </c>
      <c r="O125" s="67">
        <v>92.071444999999997</v>
      </c>
      <c r="P125" s="68">
        <v>1200</v>
      </c>
      <c r="Q125" s="68"/>
      <c r="R125" s="18"/>
      <c r="S125" s="18"/>
      <c r="T125" s="27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17"/>
      <c r="AH125" s="24"/>
      <c r="AI125" s="25"/>
      <c r="AJ125" s="25"/>
    </row>
    <row r="126" spans="1:36" ht="15.6" x14ac:dyDescent="0.3">
      <c r="A126" s="63">
        <v>120</v>
      </c>
      <c r="B126" s="102" t="s">
        <v>3520</v>
      </c>
      <c r="C126" s="102" t="s">
        <v>3521</v>
      </c>
      <c r="D126" s="64" t="s">
        <v>119</v>
      </c>
      <c r="E126" s="68" t="s">
        <v>2678</v>
      </c>
      <c r="F126" s="71" t="s">
        <v>2680</v>
      </c>
      <c r="G126" s="71" t="s">
        <v>47</v>
      </c>
      <c r="H126" s="20"/>
      <c r="I126" s="20"/>
      <c r="J126" s="26"/>
      <c r="K126" s="68" t="s">
        <v>3010</v>
      </c>
      <c r="L126" s="68" t="s">
        <v>3011</v>
      </c>
      <c r="M126" s="68" t="s">
        <v>3012</v>
      </c>
      <c r="N126" s="67">
        <v>21.144917</v>
      </c>
      <c r="O126" s="67">
        <v>92.080895999999996</v>
      </c>
      <c r="P126" s="68">
        <v>3500</v>
      </c>
      <c r="Q126" s="68"/>
      <c r="R126" s="18"/>
      <c r="S126" s="18"/>
      <c r="T126" s="27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17"/>
      <c r="AH126" s="24"/>
      <c r="AI126" s="25"/>
      <c r="AJ126" s="25"/>
    </row>
    <row r="127" spans="1:36" ht="15.6" x14ac:dyDescent="0.3">
      <c r="A127" s="63">
        <v>121</v>
      </c>
      <c r="B127" s="102" t="s">
        <v>3520</v>
      </c>
      <c r="C127" s="102" t="s">
        <v>3521</v>
      </c>
      <c r="D127" s="64" t="s">
        <v>119</v>
      </c>
      <c r="E127" s="68" t="s">
        <v>2678</v>
      </c>
      <c r="F127" s="71" t="s">
        <v>2680</v>
      </c>
      <c r="G127" s="71" t="s">
        <v>48</v>
      </c>
      <c r="H127" s="20"/>
      <c r="I127" s="20"/>
      <c r="J127" s="26"/>
      <c r="K127" s="68" t="s">
        <v>3013</v>
      </c>
      <c r="L127" s="68" t="s">
        <v>3014</v>
      </c>
      <c r="M127" s="68" t="s">
        <v>3015</v>
      </c>
      <c r="N127" s="67">
        <v>21.111623999999999</v>
      </c>
      <c r="O127" s="67">
        <v>92.117536000000001</v>
      </c>
      <c r="P127" s="68">
        <v>1000</v>
      </c>
      <c r="Q127" s="68"/>
      <c r="R127" s="18"/>
      <c r="S127" s="18"/>
      <c r="T127" s="27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17"/>
      <c r="AH127" s="24"/>
      <c r="AI127" s="25"/>
      <c r="AJ127" s="25"/>
    </row>
    <row r="128" spans="1:36" ht="15.6" x14ac:dyDescent="0.3">
      <c r="A128" s="63">
        <v>122</v>
      </c>
      <c r="B128" s="102" t="s">
        <v>3520</v>
      </c>
      <c r="C128" s="102" t="s">
        <v>3521</v>
      </c>
      <c r="D128" s="64" t="s">
        <v>119</v>
      </c>
      <c r="E128" s="68" t="s">
        <v>2678</v>
      </c>
      <c r="F128" s="71" t="s">
        <v>2680</v>
      </c>
      <c r="G128" s="71" t="s">
        <v>48</v>
      </c>
      <c r="H128" s="20"/>
      <c r="I128" s="20"/>
      <c r="J128" s="26"/>
      <c r="K128" s="68" t="s">
        <v>3016</v>
      </c>
      <c r="L128" s="68" t="s">
        <v>3017</v>
      </c>
      <c r="M128" s="68" t="s">
        <v>3018</v>
      </c>
      <c r="N128" s="67">
        <v>21.108740000000001</v>
      </c>
      <c r="O128" s="67">
        <v>92.113311999999993</v>
      </c>
      <c r="P128" s="68">
        <v>2000</v>
      </c>
      <c r="Q128" s="68"/>
      <c r="R128" s="18"/>
      <c r="S128" s="18"/>
      <c r="T128" s="27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16"/>
      <c r="AH128" s="24"/>
      <c r="AI128" s="25"/>
      <c r="AJ128" s="25"/>
    </row>
    <row r="129" spans="1:36" ht="15.6" x14ac:dyDescent="0.3">
      <c r="A129" s="63">
        <v>123</v>
      </c>
      <c r="B129" s="102" t="s">
        <v>3520</v>
      </c>
      <c r="C129" s="102" t="s">
        <v>3521</v>
      </c>
      <c r="D129" s="64" t="s">
        <v>119</v>
      </c>
      <c r="E129" s="68" t="s">
        <v>2678</v>
      </c>
      <c r="F129" s="71" t="s">
        <v>2680</v>
      </c>
      <c r="G129" s="71" t="s">
        <v>48</v>
      </c>
      <c r="H129" s="20"/>
      <c r="I129" s="20"/>
      <c r="J129" s="26"/>
      <c r="K129" s="68" t="s">
        <v>3019</v>
      </c>
      <c r="L129" s="68" t="s">
        <v>3020</v>
      </c>
      <c r="M129" s="68" t="s">
        <v>3021</v>
      </c>
      <c r="N129" s="67">
        <v>21.120086000000001</v>
      </c>
      <c r="O129" s="67">
        <v>92.101067999999998</v>
      </c>
      <c r="P129" s="68">
        <v>1500</v>
      </c>
      <c r="Q129" s="68"/>
      <c r="R129" s="18"/>
      <c r="S129" s="18"/>
      <c r="T129" s="27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17"/>
      <c r="AH129" s="24"/>
      <c r="AI129" s="25"/>
      <c r="AJ129" s="25"/>
    </row>
    <row r="130" spans="1:36" ht="15.6" x14ac:dyDescent="0.3">
      <c r="A130" s="63">
        <v>124</v>
      </c>
      <c r="B130" s="102" t="s">
        <v>3520</v>
      </c>
      <c r="C130" s="102" t="s">
        <v>3521</v>
      </c>
      <c r="D130" s="64" t="s">
        <v>119</v>
      </c>
      <c r="E130" s="68" t="s">
        <v>2678</v>
      </c>
      <c r="F130" s="71" t="s">
        <v>2680</v>
      </c>
      <c r="G130" s="71" t="s">
        <v>48</v>
      </c>
      <c r="H130" s="20"/>
      <c r="I130" s="20"/>
      <c r="J130" s="26"/>
      <c r="K130" s="68" t="s">
        <v>3022</v>
      </c>
      <c r="L130" s="68" t="s">
        <v>3023</v>
      </c>
      <c r="M130" s="68" t="s">
        <v>3024</v>
      </c>
      <c r="N130" s="67">
        <v>21.129365</v>
      </c>
      <c r="O130" s="67">
        <v>92.094138000000001</v>
      </c>
      <c r="P130" s="68">
        <v>2000</v>
      </c>
      <c r="Q130" s="68"/>
      <c r="R130" s="18"/>
      <c r="S130" s="18"/>
      <c r="T130" s="27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17"/>
      <c r="AH130" s="24"/>
      <c r="AI130" s="25"/>
      <c r="AJ130" s="25"/>
    </row>
    <row r="131" spans="1:36" ht="15.6" x14ac:dyDescent="0.3">
      <c r="A131" s="63">
        <v>125</v>
      </c>
      <c r="B131" s="102" t="s">
        <v>3520</v>
      </c>
      <c r="C131" s="102" t="s">
        <v>3521</v>
      </c>
      <c r="D131" s="64" t="s">
        <v>119</v>
      </c>
      <c r="E131" s="68" t="s">
        <v>2678</v>
      </c>
      <c r="F131" s="71" t="s">
        <v>2680</v>
      </c>
      <c r="G131" s="71" t="s">
        <v>48</v>
      </c>
      <c r="H131" s="20"/>
      <c r="I131" s="20"/>
      <c r="J131" s="26"/>
      <c r="K131" s="68" t="s">
        <v>3025</v>
      </c>
      <c r="L131" s="68" t="s">
        <v>3026</v>
      </c>
      <c r="M131" s="68" t="s">
        <v>3027</v>
      </c>
      <c r="N131" s="67">
        <v>21.135808000000001</v>
      </c>
      <c r="O131" s="67">
        <v>92.089562000000001</v>
      </c>
      <c r="P131" s="68">
        <v>500</v>
      </c>
      <c r="Q131" s="68"/>
      <c r="R131" s="18"/>
      <c r="S131" s="18"/>
      <c r="T131" s="22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17"/>
      <c r="AH131" s="24"/>
      <c r="AI131" s="25"/>
      <c r="AJ131" s="25"/>
    </row>
    <row r="132" spans="1:36" ht="15.6" x14ac:dyDescent="0.3">
      <c r="A132" s="63">
        <v>126</v>
      </c>
      <c r="B132" s="102" t="s">
        <v>3520</v>
      </c>
      <c r="C132" s="102" t="s">
        <v>3521</v>
      </c>
      <c r="D132" s="64" t="s">
        <v>119</v>
      </c>
      <c r="E132" s="68" t="s">
        <v>2678</v>
      </c>
      <c r="F132" s="71" t="s">
        <v>2680</v>
      </c>
      <c r="G132" s="71" t="s">
        <v>48</v>
      </c>
      <c r="H132" s="20"/>
      <c r="I132" s="20"/>
      <c r="J132" s="26"/>
      <c r="K132" s="68" t="s">
        <v>3028</v>
      </c>
      <c r="L132" s="68" t="s">
        <v>3029</v>
      </c>
      <c r="M132" s="68" t="s">
        <v>3030</v>
      </c>
      <c r="N132" s="67">
        <v>21.120455</v>
      </c>
      <c r="O132" s="67">
        <v>92.105142999999998</v>
      </c>
      <c r="P132" s="68">
        <v>200</v>
      </c>
      <c r="Q132" s="68"/>
      <c r="R132" s="18"/>
      <c r="S132" s="18"/>
      <c r="T132" s="22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17"/>
      <c r="AH132" s="24"/>
      <c r="AI132" s="25"/>
      <c r="AJ132" s="25"/>
    </row>
    <row r="133" spans="1:36" ht="15.6" x14ac:dyDescent="0.3">
      <c r="A133" s="63">
        <v>127</v>
      </c>
      <c r="B133" s="102" t="s">
        <v>3520</v>
      </c>
      <c r="C133" s="102" t="s">
        <v>3521</v>
      </c>
      <c r="D133" s="64" t="s">
        <v>119</v>
      </c>
      <c r="E133" s="68" t="s">
        <v>2678</v>
      </c>
      <c r="F133" s="71" t="s">
        <v>2680</v>
      </c>
      <c r="G133" s="71" t="s">
        <v>49</v>
      </c>
      <c r="H133" s="20"/>
      <c r="I133" s="20"/>
      <c r="J133" s="26"/>
      <c r="K133" s="68" t="s">
        <v>3013</v>
      </c>
      <c r="L133" s="68" t="s">
        <v>3014</v>
      </c>
      <c r="M133" s="68" t="s">
        <v>3031</v>
      </c>
      <c r="N133" s="67">
        <v>21.10379</v>
      </c>
      <c r="O133" s="67">
        <v>92.122600000000006</v>
      </c>
      <c r="P133" s="68">
        <v>1500</v>
      </c>
      <c r="Q133" s="68"/>
      <c r="R133" s="18"/>
      <c r="S133" s="18"/>
      <c r="T133" s="22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17"/>
      <c r="AH133" s="24"/>
      <c r="AI133" s="25"/>
      <c r="AJ133" s="25"/>
    </row>
    <row r="134" spans="1:36" ht="15.6" x14ac:dyDescent="0.3">
      <c r="A134" s="63">
        <v>128</v>
      </c>
      <c r="B134" s="102" t="s">
        <v>3520</v>
      </c>
      <c r="C134" s="102" t="s">
        <v>3521</v>
      </c>
      <c r="D134" s="64" t="s">
        <v>119</v>
      </c>
      <c r="E134" s="68" t="s">
        <v>2678</v>
      </c>
      <c r="F134" s="71" t="s">
        <v>2680</v>
      </c>
      <c r="G134" s="71" t="s">
        <v>49</v>
      </c>
      <c r="H134" s="20"/>
      <c r="I134" s="23"/>
      <c r="J134" s="26"/>
      <c r="K134" s="68" t="s">
        <v>3032</v>
      </c>
      <c r="L134" s="68" t="s">
        <v>3033</v>
      </c>
      <c r="M134" s="68" t="s">
        <v>3034</v>
      </c>
      <c r="N134" s="67">
        <v>21.101607000000001</v>
      </c>
      <c r="O134" s="67">
        <v>92.118290000000002</v>
      </c>
      <c r="P134" s="68">
        <v>500</v>
      </c>
      <c r="Q134" s="68"/>
      <c r="R134" s="18"/>
      <c r="S134" s="18"/>
      <c r="T134" s="27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17"/>
      <c r="AH134" s="24"/>
      <c r="AI134" s="25"/>
      <c r="AJ134" s="25"/>
    </row>
    <row r="135" spans="1:36" ht="15.6" x14ac:dyDescent="0.3">
      <c r="A135" s="63">
        <v>129</v>
      </c>
      <c r="B135" s="102" t="s">
        <v>3520</v>
      </c>
      <c r="C135" s="102" t="s">
        <v>3521</v>
      </c>
      <c r="D135" s="64" t="s">
        <v>119</v>
      </c>
      <c r="E135" s="68" t="s">
        <v>2678</v>
      </c>
      <c r="F135" s="71" t="s">
        <v>2680</v>
      </c>
      <c r="G135" s="71" t="s">
        <v>49</v>
      </c>
      <c r="H135" s="20"/>
      <c r="I135" s="23"/>
      <c r="J135" s="26"/>
      <c r="K135" s="68" t="s">
        <v>3035</v>
      </c>
      <c r="L135" s="68" t="s">
        <v>3036</v>
      </c>
      <c r="M135" s="68" t="s">
        <v>3037</v>
      </c>
      <c r="N135" s="67">
        <v>21.097448</v>
      </c>
      <c r="O135" s="67">
        <v>92.130122999999998</v>
      </c>
      <c r="P135" s="68">
        <v>3000</v>
      </c>
      <c r="Q135" s="68"/>
      <c r="R135" s="18"/>
      <c r="S135" s="18"/>
      <c r="T135" s="22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17"/>
      <c r="AH135" s="24"/>
      <c r="AI135" s="25"/>
      <c r="AJ135" s="25"/>
    </row>
    <row r="136" spans="1:36" ht="15.6" x14ac:dyDescent="0.3">
      <c r="A136" s="63">
        <v>130</v>
      </c>
      <c r="B136" s="102" t="s">
        <v>3520</v>
      </c>
      <c r="C136" s="102" t="s">
        <v>3521</v>
      </c>
      <c r="D136" s="64" t="s">
        <v>119</v>
      </c>
      <c r="E136" s="68" t="s">
        <v>2678</v>
      </c>
      <c r="F136" s="71" t="s">
        <v>2680</v>
      </c>
      <c r="G136" s="71" t="s">
        <v>49</v>
      </c>
      <c r="H136" s="20"/>
      <c r="I136" s="23"/>
      <c r="J136" s="26"/>
      <c r="K136" s="68" t="s">
        <v>3038</v>
      </c>
      <c r="L136" s="71" t="s">
        <v>3039</v>
      </c>
      <c r="M136" s="68" t="s">
        <v>3040</v>
      </c>
      <c r="N136" s="67">
        <v>21.091861999999999</v>
      </c>
      <c r="O136" s="67">
        <v>92.129451000000003</v>
      </c>
      <c r="P136" s="68">
        <v>1000</v>
      </c>
      <c r="Q136" s="68"/>
      <c r="R136" s="18"/>
      <c r="S136" s="18"/>
      <c r="T136" s="22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17"/>
      <c r="AH136" s="24"/>
      <c r="AI136" s="25"/>
      <c r="AJ136" s="25"/>
    </row>
    <row r="137" spans="1:36" ht="15.6" x14ac:dyDescent="0.3">
      <c r="A137" s="63">
        <v>131</v>
      </c>
      <c r="B137" s="102" t="s">
        <v>3520</v>
      </c>
      <c r="C137" s="102" t="s">
        <v>3521</v>
      </c>
      <c r="D137" s="64" t="s">
        <v>119</v>
      </c>
      <c r="E137" s="68" t="s">
        <v>2678</v>
      </c>
      <c r="F137" s="71" t="s">
        <v>2680</v>
      </c>
      <c r="G137" s="71" t="s">
        <v>49</v>
      </c>
      <c r="H137" s="20"/>
      <c r="I137" s="23"/>
      <c r="J137" s="26"/>
      <c r="K137" s="68" t="s">
        <v>3041</v>
      </c>
      <c r="L137" s="68" t="s">
        <v>3042</v>
      </c>
      <c r="M137" s="68" t="s">
        <v>3043</v>
      </c>
      <c r="N137" s="67">
        <v>21.091567999999999</v>
      </c>
      <c r="O137" s="67">
        <v>92.135459999999995</v>
      </c>
      <c r="P137" s="68">
        <v>800</v>
      </c>
      <c r="Q137" s="68"/>
      <c r="R137" s="18"/>
      <c r="S137" s="18"/>
      <c r="T137" s="22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17"/>
      <c r="AH137" s="24"/>
      <c r="AI137" s="25"/>
      <c r="AJ137" s="25"/>
    </row>
    <row r="138" spans="1:36" ht="15.6" x14ac:dyDescent="0.3">
      <c r="A138" s="63">
        <v>132</v>
      </c>
      <c r="B138" s="102" t="s">
        <v>3520</v>
      </c>
      <c r="C138" s="102" t="s">
        <v>3521</v>
      </c>
      <c r="D138" s="64" t="s">
        <v>119</v>
      </c>
      <c r="E138" s="68" t="s">
        <v>2678</v>
      </c>
      <c r="F138" s="71" t="s">
        <v>2680</v>
      </c>
      <c r="G138" s="71" t="s">
        <v>49</v>
      </c>
      <c r="H138" s="20"/>
      <c r="I138" s="23"/>
      <c r="J138" s="26"/>
      <c r="K138" s="68" t="s">
        <v>3044</v>
      </c>
      <c r="L138" s="68" t="s">
        <v>3045</v>
      </c>
      <c r="M138" s="68" t="s">
        <v>3046</v>
      </c>
      <c r="N138" s="67">
        <v>21.094132999999999</v>
      </c>
      <c r="O138" s="67">
        <v>92.140219999999999</v>
      </c>
      <c r="P138" s="68">
        <v>600</v>
      </c>
      <c r="Q138" s="68"/>
      <c r="R138" s="18"/>
      <c r="S138" s="18"/>
      <c r="T138" s="27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17"/>
      <c r="AH138" s="24"/>
      <c r="AI138" s="25"/>
      <c r="AJ138" s="25"/>
    </row>
    <row r="139" spans="1:36" ht="15.6" x14ac:dyDescent="0.3">
      <c r="A139" s="63">
        <v>133</v>
      </c>
      <c r="B139" s="102" t="s">
        <v>3520</v>
      </c>
      <c r="C139" s="102" t="s">
        <v>3521</v>
      </c>
      <c r="D139" s="64" t="s">
        <v>119</v>
      </c>
      <c r="E139" s="68" t="s">
        <v>2678</v>
      </c>
      <c r="F139" s="71" t="s">
        <v>2680</v>
      </c>
      <c r="G139" s="71" t="s">
        <v>49</v>
      </c>
      <c r="H139" s="20"/>
      <c r="I139" s="23"/>
      <c r="J139" s="26"/>
      <c r="K139" s="68" t="s">
        <v>3047</v>
      </c>
      <c r="L139" s="68" t="s">
        <v>3048</v>
      </c>
      <c r="M139" s="68" t="s">
        <v>3049</v>
      </c>
      <c r="N139" s="67">
        <v>21.114926000000001</v>
      </c>
      <c r="O139" s="67">
        <v>92.138080000000002</v>
      </c>
      <c r="P139" s="68">
        <v>400</v>
      </c>
      <c r="Q139" s="68"/>
      <c r="R139" s="18"/>
      <c r="S139" s="18"/>
      <c r="T139" s="27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17"/>
      <c r="AH139" s="24"/>
      <c r="AI139" s="25"/>
      <c r="AJ139" s="25"/>
    </row>
    <row r="140" spans="1:36" ht="15.6" x14ac:dyDescent="0.3">
      <c r="A140" s="63">
        <v>134</v>
      </c>
      <c r="B140" s="102" t="s">
        <v>3520</v>
      </c>
      <c r="C140" s="102" t="s">
        <v>3521</v>
      </c>
      <c r="D140" s="64" t="s">
        <v>119</v>
      </c>
      <c r="E140" s="68" t="s">
        <v>2678</v>
      </c>
      <c r="F140" s="71" t="s">
        <v>2680</v>
      </c>
      <c r="G140" s="71" t="s">
        <v>49</v>
      </c>
      <c r="H140" s="20"/>
      <c r="I140" s="23"/>
      <c r="J140" s="26"/>
      <c r="K140" s="68" t="s">
        <v>3050</v>
      </c>
      <c r="L140" s="68" t="s">
        <v>3051</v>
      </c>
      <c r="M140" s="68" t="s">
        <v>3052</v>
      </c>
      <c r="N140" s="67">
        <v>21.090163</v>
      </c>
      <c r="O140" s="67">
        <v>92.143367999999995</v>
      </c>
      <c r="P140" s="68">
        <v>1500</v>
      </c>
      <c r="Q140" s="68"/>
      <c r="R140" s="18"/>
      <c r="S140" s="18"/>
      <c r="T140" s="27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17"/>
      <c r="AH140" s="24"/>
      <c r="AI140" s="25"/>
      <c r="AJ140" s="25"/>
    </row>
    <row r="141" spans="1:36" ht="15.6" x14ac:dyDescent="0.3">
      <c r="A141" s="63">
        <v>135</v>
      </c>
      <c r="B141" s="102" t="s">
        <v>3520</v>
      </c>
      <c r="C141" s="102" t="s">
        <v>3521</v>
      </c>
      <c r="D141" s="64" t="s">
        <v>119</v>
      </c>
      <c r="E141" s="68" t="s">
        <v>2678</v>
      </c>
      <c r="F141" s="71" t="s">
        <v>2681</v>
      </c>
      <c r="G141" s="71" t="s">
        <v>41</v>
      </c>
      <c r="H141" s="20"/>
      <c r="I141" s="23"/>
      <c r="J141" s="26"/>
      <c r="K141" s="71" t="s">
        <v>3053</v>
      </c>
      <c r="L141" s="71" t="s">
        <v>3054</v>
      </c>
      <c r="M141" s="68" t="s">
        <v>3055</v>
      </c>
      <c r="N141" s="67">
        <v>21.196773</v>
      </c>
      <c r="O141" s="67">
        <v>92.172555000000003</v>
      </c>
      <c r="P141" s="68">
        <v>450</v>
      </c>
      <c r="Q141" s="68"/>
      <c r="R141" s="18"/>
      <c r="S141" s="18"/>
      <c r="T141" s="22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17"/>
      <c r="AH141" s="24"/>
      <c r="AI141" s="25"/>
      <c r="AJ141" s="25"/>
    </row>
    <row r="142" spans="1:36" ht="15.6" x14ac:dyDescent="0.3">
      <c r="A142" s="63">
        <v>136</v>
      </c>
      <c r="B142" s="102" t="s">
        <v>3520</v>
      </c>
      <c r="C142" s="102" t="s">
        <v>3521</v>
      </c>
      <c r="D142" s="64" t="s">
        <v>119</v>
      </c>
      <c r="E142" s="68" t="s">
        <v>2678</v>
      </c>
      <c r="F142" s="71" t="s">
        <v>2681</v>
      </c>
      <c r="G142" s="71" t="s">
        <v>41</v>
      </c>
      <c r="H142" s="20"/>
      <c r="I142" s="23"/>
      <c r="J142" s="26"/>
      <c r="K142" s="71" t="s">
        <v>3056</v>
      </c>
      <c r="L142" s="71" t="s">
        <v>3057</v>
      </c>
      <c r="M142" s="68" t="s">
        <v>3058</v>
      </c>
      <c r="N142" s="67">
        <v>21.190109</v>
      </c>
      <c r="O142" s="67">
        <v>92.168603000000004</v>
      </c>
      <c r="P142" s="68">
        <v>150</v>
      </c>
      <c r="Q142" s="68"/>
      <c r="R142" s="18"/>
      <c r="S142" s="18"/>
      <c r="T142" s="27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17"/>
      <c r="AH142" s="24"/>
      <c r="AI142" s="25"/>
      <c r="AJ142" s="25"/>
    </row>
    <row r="143" spans="1:36" ht="15.6" x14ac:dyDescent="0.3">
      <c r="A143" s="63">
        <v>137</v>
      </c>
      <c r="B143" s="102" t="s">
        <v>3520</v>
      </c>
      <c r="C143" s="102" t="s">
        <v>3521</v>
      </c>
      <c r="D143" s="64" t="s">
        <v>119</v>
      </c>
      <c r="E143" s="68" t="s">
        <v>2678</v>
      </c>
      <c r="F143" s="71" t="s">
        <v>2681</v>
      </c>
      <c r="G143" s="71" t="s">
        <v>41</v>
      </c>
      <c r="H143" s="20"/>
      <c r="I143" s="23"/>
      <c r="J143" s="26"/>
      <c r="K143" s="76" t="s">
        <v>3474</v>
      </c>
      <c r="L143" s="71" t="s">
        <v>3492</v>
      </c>
      <c r="M143" s="68" t="s">
        <v>3483</v>
      </c>
      <c r="N143" s="67">
        <v>21.189743</v>
      </c>
      <c r="O143" s="67">
        <v>92.154258999999996</v>
      </c>
      <c r="P143" s="68"/>
      <c r="Q143" s="68"/>
      <c r="R143" s="18"/>
      <c r="S143" s="18"/>
      <c r="T143" s="27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17"/>
      <c r="AH143" s="24"/>
      <c r="AI143" s="25"/>
      <c r="AJ143" s="25"/>
    </row>
    <row r="144" spans="1:36" ht="15.6" x14ac:dyDescent="0.3">
      <c r="A144" s="63">
        <v>138</v>
      </c>
      <c r="B144" s="102" t="s">
        <v>3520</v>
      </c>
      <c r="C144" s="102" t="s">
        <v>3521</v>
      </c>
      <c r="D144" s="64" t="s">
        <v>119</v>
      </c>
      <c r="E144" s="68" t="s">
        <v>2678</v>
      </c>
      <c r="F144" s="71" t="s">
        <v>2681</v>
      </c>
      <c r="G144" s="71" t="s">
        <v>41</v>
      </c>
      <c r="H144" s="20"/>
      <c r="I144" s="23"/>
      <c r="J144" s="26"/>
      <c r="K144" s="76" t="s">
        <v>3475</v>
      </c>
      <c r="L144" s="71" t="s">
        <v>3499</v>
      </c>
      <c r="M144" s="68" t="s">
        <v>3484</v>
      </c>
      <c r="N144" s="67">
        <v>21.197513000000001</v>
      </c>
      <c r="O144" s="67">
        <v>92.142850999999993</v>
      </c>
      <c r="P144" s="68"/>
      <c r="Q144" s="68"/>
      <c r="R144" s="18"/>
      <c r="S144" s="18"/>
      <c r="T144" s="27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17"/>
      <c r="AH144" s="24"/>
      <c r="AI144" s="25"/>
      <c r="AJ144" s="25"/>
    </row>
    <row r="145" spans="1:36" ht="15.6" x14ac:dyDescent="0.3">
      <c r="A145" s="63">
        <v>139</v>
      </c>
      <c r="B145" s="102" t="s">
        <v>3520</v>
      </c>
      <c r="C145" s="102" t="s">
        <v>3521</v>
      </c>
      <c r="D145" s="64" t="s">
        <v>119</v>
      </c>
      <c r="E145" s="68" t="s">
        <v>2678</v>
      </c>
      <c r="F145" s="71" t="s">
        <v>2681</v>
      </c>
      <c r="G145" s="71" t="s">
        <v>41</v>
      </c>
      <c r="H145" s="20"/>
      <c r="I145" s="23"/>
      <c r="J145" s="26"/>
      <c r="K145" s="76" t="s">
        <v>3476</v>
      </c>
      <c r="L145" s="71" t="s">
        <v>3500</v>
      </c>
      <c r="M145" s="68" t="s">
        <v>3485</v>
      </c>
      <c r="N145" s="67">
        <v>21.188976</v>
      </c>
      <c r="O145" s="67">
        <v>92.147589999999994</v>
      </c>
      <c r="P145" s="68"/>
      <c r="Q145" s="68"/>
      <c r="R145" s="18"/>
      <c r="S145" s="18"/>
      <c r="T145" s="27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17"/>
      <c r="AH145" s="24"/>
      <c r="AI145" s="25"/>
      <c r="AJ145" s="25"/>
    </row>
    <row r="146" spans="1:36" ht="15.6" x14ac:dyDescent="0.3">
      <c r="A146" s="63">
        <v>140</v>
      </c>
      <c r="B146" s="102" t="s">
        <v>3520</v>
      </c>
      <c r="C146" s="102" t="s">
        <v>3521</v>
      </c>
      <c r="D146" s="64" t="s">
        <v>119</v>
      </c>
      <c r="E146" s="68" t="s">
        <v>2678</v>
      </c>
      <c r="F146" s="71" t="s">
        <v>2681</v>
      </c>
      <c r="G146" s="71" t="s">
        <v>41</v>
      </c>
      <c r="H146" s="20"/>
      <c r="I146" s="23"/>
      <c r="J146" s="26"/>
      <c r="K146" s="76" t="s">
        <v>3477</v>
      </c>
      <c r="L146" s="71" t="s">
        <v>3501</v>
      </c>
      <c r="M146" s="68" t="s">
        <v>3486</v>
      </c>
      <c r="N146" s="67">
        <v>21.190871000000001</v>
      </c>
      <c r="O146" s="67">
        <v>92.140296000000006</v>
      </c>
      <c r="P146" s="68"/>
      <c r="Q146" s="68"/>
      <c r="R146" s="18"/>
      <c r="S146" s="18"/>
      <c r="T146" s="27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17"/>
      <c r="AH146" s="24"/>
      <c r="AI146" s="25"/>
      <c r="AJ146" s="25"/>
    </row>
    <row r="147" spans="1:36" ht="15.6" x14ac:dyDescent="0.3">
      <c r="A147" s="63">
        <v>141</v>
      </c>
      <c r="B147" s="102" t="s">
        <v>3520</v>
      </c>
      <c r="C147" s="102" t="s">
        <v>3521</v>
      </c>
      <c r="D147" s="64" t="s">
        <v>119</v>
      </c>
      <c r="E147" s="68" t="s">
        <v>2678</v>
      </c>
      <c r="F147" s="71" t="s">
        <v>2681</v>
      </c>
      <c r="G147" s="71" t="s">
        <v>41</v>
      </c>
      <c r="H147" s="20"/>
      <c r="I147" s="23"/>
      <c r="J147" s="26"/>
      <c r="K147" s="76" t="s">
        <v>3478</v>
      </c>
      <c r="L147" s="71" t="s">
        <v>3506</v>
      </c>
      <c r="M147" s="68" t="s">
        <v>3487</v>
      </c>
      <c r="N147" s="67">
        <v>21.194585</v>
      </c>
      <c r="O147" s="67">
        <v>92.134365000000003</v>
      </c>
      <c r="P147" s="68"/>
      <c r="Q147" s="68"/>
      <c r="R147" s="18"/>
      <c r="S147" s="18"/>
      <c r="T147" s="27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17"/>
      <c r="AH147" s="24"/>
      <c r="AI147" s="25"/>
      <c r="AJ147" s="25"/>
    </row>
    <row r="148" spans="1:36" ht="15.6" x14ac:dyDescent="0.3">
      <c r="A148" s="63">
        <v>142</v>
      </c>
      <c r="B148" s="102" t="s">
        <v>3520</v>
      </c>
      <c r="C148" s="102" t="s">
        <v>3521</v>
      </c>
      <c r="D148" s="64" t="s">
        <v>119</v>
      </c>
      <c r="E148" s="68" t="s">
        <v>2678</v>
      </c>
      <c r="F148" s="71" t="s">
        <v>2681</v>
      </c>
      <c r="G148" s="71" t="s">
        <v>41</v>
      </c>
      <c r="H148" s="20"/>
      <c r="I148" s="23"/>
      <c r="J148" s="26"/>
      <c r="K148" s="76" t="s">
        <v>3479</v>
      </c>
      <c r="L148" s="71" t="s">
        <v>3505</v>
      </c>
      <c r="M148" s="68" t="s">
        <v>3488</v>
      </c>
      <c r="N148" s="67">
        <v>21.203122</v>
      </c>
      <c r="O148" s="67">
        <v>92.165296999999995</v>
      </c>
      <c r="P148" s="68"/>
      <c r="Q148" s="68"/>
      <c r="R148" s="18"/>
      <c r="S148" s="18"/>
      <c r="T148" s="27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17"/>
      <c r="AH148" s="24"/>
      <c r="AI148" s="25"/>
      <c r="AJ148" s="25"/>
    </row>
    <row r="149" spans="1:36" ht="15.6" x14ac:dyDescent="0.3">
      <c r="A149" s="63">
        <v>143</v>
      </c>
      <c r="B149" s="102" t="s">
        <v>3520</v>
      </c>
      <c r="C149" s="102" t="s">
        <v>3521</v>
      </c>
      <c r="D149" s="64" t="s">
        <v>119</v>
      </c>
      <c r="E149" s="68" t="s">
        <v>2678</v>
      </c>
      <c r="F149" s="71" t="s">
        <v>2681</v>
      </c>
      <c r="G149" s="71" t="s">
        <v>41</v>
      </c>
      <c r="H149" s="20"/>
      <c r="I149" s="23"/>
      <c r="J149" s="26"/>
      <c r="K149" s="76" t="s">
        <v>3480</v>
      </c>
      <c r="L149" s="71" t="s">
        <v>3504</v>
      </c>
      <c r="M149" s="68" t="s">
        <v>3489</v>
      </c>
      <c r="N149" s="67">
        <v>21.195557999999998</v>
      </c>
      <c r="O149" s="67">
        <v>92.164966000000007</v>
      </c>
      <c r="P149" s="68"/>
      <c r="Q149" s="68"/>
      <c r="R149" s="18"/>
      <c r="S149" s="18"/>
      <c r="T149" s="27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17"/>
      <c r="AH149" s="24"/>
      <c r="AI149" s="25"/>
      <c r="AJ149" s="25"/>
    </row>
    <row r="150" spans="1:36" ht="15.6" x14ac:dyDescent="0.3">
      <c r="A150" s="63">
        <v>144</v>
      </c>
      <c r="B150" s="102" t="s">
        <v>3520</v>
      </c>
      <c r="C150" s="102" t="s">
        <v>3521</v>
      </c>
      <c r="D150" s="64" t="s">
        <v>119</v>
      </c>
      <c r="E150" s="68" t="s">
        <v>2678</v>
      </c>
      <c r="F150" s="71" t="s">
        <v>2681</v>
      </c>
      <c r="G150" s="71" t="s">
        <v>41</v>
      </c>
      <c r="H150" s="20"/>
      <c r="I150" s="23"/>
      <c r="J150" s="26"/>
      <c r="K150" s="76" t="s">
        <v>3481</v>
      </c>
      <c r="L150" s="71" t="s">
        <v>3503</v>
      </c>
      <c r="M150" s="68" t="s">
        <v>3490</v>
      </c>
      <c r="N150" s="67">
        <v>21.19679</v>
      </c>
      <c r="O150" s="67">
        <v>92.154083999999997</v>
      </c>
      <c r="P150" s="68"/>
      <c r="Q150" s="68"/>
      <c r="R150" s="18"/>
      <c r="S150" s="18"/>
      <c r="T150" s="27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17"/>
      <c r="AH150" s="24"/>
      <c r="AI150" s="25"/>
      <c r="AJ150" s="25"/>
    </row>
    <row r="151" spans="1:36" ht="15.6" x14ac:dyDescent="0.3">
      <c r="A151" s="63">
        <v>145</v>
      </c>
      <c r="B151" s="102" t="s">
        <v>3520</v>
      </c>
      <c r="C151" s="102" t="s">
        <v>3521</v>
      </c>
      <c r="D151" s="64" t="s">
        <v>119</v>
      </c>
      <c r="E151" s="68" t="s">
        <v>2678</v>
      </c>
      <c r="F151" s="71" t="s">
        <v>2681</v>
      </c>
      <c r="G151" s="71" t="s">
        <v>41</v>
      </c>
      <c r="H151" s="20"/>
      <c r="I151" s="23"/>
      <c r="J151" s="26"/>
      <c r="K151" s="76" t="s">
        <v>3482</v>
      </c>
      <c r="L151" s="71" t="s">
        <v>3502</v>
      </c>
      <c r="M151" s="68" t="s">
        <v>3491</v>
      </c>
      <c r="N151" s="67">
        <v>21.189990999999999</v>
      </c>
      <c r="O151" s="67">
        <v>92.160313000000002</v>
      </c>
      <c r="P151" s="68"/>
      <c r="Q151" s="68"/>
      <c r="R151" s="18"/>
      <c r="S151" s="18"/>
      <c r="T151" s="27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17"/>
      <c r="AH151" s="24"/>
      <c r="AI151" s="25"/>
      <c r="AJ151" s="25"/>
    </row>
    <row r="152" spans="1:36" ht="15.6" x14ac:dyDescent="0.3">
      <c r="A152" s="63">
        <v>146</v>
      </c>
      <c r="B152" s="102" t="s">
        <v>3520</v>
      </c>
      <c r="C152" s="102" t="s">
        <v>3521</v>
      </c>
      <c r="D152" s="64" t="s">
        <v>119</v>
      </c>
      <c r="E152" s="68" t="s">
        <v>2678</v>
      </c>
      <c r="F152" s="71" t="s">
        <v>2681</v>
      </c>
      <c r="G152" s="71" t="s">
        <v>42</v>
      </c>
      <c r="H152" s="20"/>
      <c r="I152" s="23"/>
      <c r="J152" s="26"/>
      <c r="K152" s="71" t="s">
        <v>3059</v>
      </c>
      <c r="L152" s="71" t="s">
        <v>3060</v>
      </c>
      <c r="M152" s="68" t="s">
        <v>3061</v>
      </c>
      <c r="N152" s="67">
        <v>21.188998000000002</v>
      </c>
      <c r="O152" s="67">
        <v>92.168530000000004</v>
      </c>
      <c r="P152" s="68">
        <v>300</v>
      </c>
      <c r="Q152" s="68"/>
      <c r="R152" s="18"/>
      <c r="S152" s="18"/>
      <c r="T152" s="27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17"/>
      <c r="AH152" s="24"/>
      <c r="AI152" s="25"/>
      <c r="AJ152" s="25"/>
    </row>
    <row r="153" spans="1:36" ht="15.6" x14ac:dyDescent="0.3">
      <c r="A153" s="63">
        <v>147</v>
      </c>
      <c r="B153" s="102" t="s">
        <v>3520</v>
      </c>
      <c r="C153" s="102" t="s">
        <v>3521</v>
      </c>
      <c r="D153" s="64" t="s">
        <v>119</v>
      </c>
      <c r="E153" s="68" t="s">
        <v>2678</v>
      </c>
      <c r="F153" s="71" t="s">
        <v>2681</v>
      </c>
      <c r="G153" s="71" t="s">
        <v>42</v>
      </c>
      <c r="H153" s="20"/>
      <c r="I153" s="23"/>
      <c r="J153" s="26"/>
      <c r="K153" s="71" t="s">
        <v>3062</v>
      </c>
      <c r="L153" s="71" t="s">
        <v>3063</v>
      </c>
      <c r="M153" s="68" t="s">
        <v>3064</v>
      </c>
      <c r="N153" s="67">
        <v>21.184964000000001</v>
      </c>
      <c r="O153" s="67">
        <v>92.168507000000005</v>
      </c>
      <c r="P153" s="68">
        <v>500</v>
      </c>
      <c r="Q153" s="68"/>
      <c r="R153" s="18"/>
      <c r="S153" s="18"/>
      <c r="T153" s="27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17"/>
      <c r="AH153" s="24"/>
      <c r="AI153" s="25"/>
      <c r="AJ153" s="25"/>
    </row>
    <row r="154" spans="1:36" ht="15.6" x14ac:dyDescent="0.3">
      <c r="A154" s="63">
        <v>148</v>
      </c>
      <c r="B154" s="102" t="s">
        <v>3520</v>
      </c>
      <c r="C154" s="102" t="s">
        <v>3521</v>
      </c>
      <c r="D154" s="64" t="s">
        <v>119</v>
      </c>
      <c r="E154" s="68" t="s">
        <v>2678</v>
      </c>
      <c r="F154" s="71" t="s">
        <v>2681</v>
      </c>
      <c r="G154" s="71" t="s">
        <v>42</v>
      </c>
      <c r="H154" s="20"/>
      <c r="I154" s="23"/>
      <c r="J154" s="26"/>
      <c r="K154" s="71" t="s">
        <v>3065</v>
      </c>
      <c r="L154" s="71" t="s">
        <v>3066</v>
      </c>
      <c r="M154" s="68" t="s">
        <v>3067</v>
      </c>
      <c r="N154" s="67">
        <v>21.182511000000002</v>
      </c>
      <c r="O154" s="67">
        <v>92.160864000000004</v>
      </c>
      <c r="P154" s="68">
        <v>250</v>
      </c>
      <c r="Q154" s="68"/>
      <c r="R154" s="18"/>
      <c r="S154" s="18"/>
      <c r="T154" s="22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17"/>
      <c r="AH154" s="24"/>
      <c r="AI154" s="25"/>
      <c r="AJ154" s="25"/>
    </row>
    <row r="155" spans="1:36" ht="15.6" x14ac:dyDescent="0.3">
      <c r="A155" s="63">
        <v>149</v>
      </c>
      <c r="B155" s="102" t="s">
        <v>3520</v>
      </c>
      <c r="C155" s="102" t="s">
        <v>3521</v>
      </c>
      <c r="D155" s="64" t="s">
        <v>119</v>
      </c>
      <c r="E155" s="68" t="s">
        <v>2678</v>
      </c>
      <c r="F155" s="71" t="s">
        <v>2681</v>
      </c>
      <c r="G155" s="71" t="s">
        <v>42</v>
      </c>
      <c r="H155" s="20"/>
      <c r="I155" s="23"/>
      <c r="J155" s="26"/>
      <c r="K155" s="71" t="s">
        <v>3068</v>
      </c>
      <c r="L155" s="71" t="s">
        <v>3069</v>
      </c>
      <c r="M155" s="68" t="s">
        <v>3070</v>
      </c>
      <c r="N155" s="67">
        <v>21.187016</v>
      </c>
      <c r="O155" s="67">
        <v>92.165745999999999</v>
      </c>
      <c r="P155" s="68">
        <v>500</v>
      </c>
      <c r="Q155" s="68"/>
      <c r="R155" s="18"/>
      <c r="S155" s="18"/>
      <c r="T155" s="22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17"/>
      <c r="AH155" s="24"/>
      <c r="AI155" s="25"/>
      <c r="AJ155" s="25"/>
    </row>
    <row r="156" spans="1:36" ht="15.6" x14ac:dyDescent="0.3">
      <c r="A156" s="63">
        <v>150</v>
      </c>
      <c r="B156" s="102" t="s">
        <v>3520</v>
      </c>
      <c r="C156" s="102" t="s">
        <v>3521</v>
      </c>
      <c r="D156" s="64" t="s">
        <v>119</v>
      </c>
      <c r="E156" s="68" t="s">
        <v>2678</v>
      </c>
      <c r="F156" s="71" t="s">
        <v>2681</v>
      </c>
      <c r="G156" s="71" t="s">
        <v>42</v>
      </c>
      <c r="H156" s="20"/>
      <c r="I156" s="23"/>
      <c r="J156" s="26"/>
      <c r="K156" s="71" t="s">
        <v>3071</v>
      </c>
      <c r="L156" s="71" t="s">
        <v>3072</v>
      </c>
      <c r="M156" s="68" t="s">
        <v>3073</v>
      </c>
      <c r="N156" s="67">
        <v>21.174541000000001</v>
      </c>
      <c r="O156" s="67">
        <v>92.163977000000003</v>
      </c>
      <c r="P156" s="68">
        <v>600</v>
      </c>
      <c r="Q156" s="68"/>
      <c r="R156" s="18"/>
      <c r="S156" s="18"/>
      <c r="T156" s="27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17"/>
      <c r="AH156" s="24"/>
      <c r="AI156" s="25"/>
      <c r="AJ156" s="25"/>
    </row>
    <row r="157" spans="1:36" ht="15.6" x14ac:dyDescent="0.3">
      <c r="A157" s="63">
        <v>151</v>
      </c>
      <c r="B157" s="102" t="s">
        <v>3520</v>
      </c>
      <c r="C157" s="102" t="s">
        <v>3521</v>
      </c>
      <c r="D157" s="64" t="s">
        <v>119</v>
      </c>
      <c r="E157" s="68" t="s">
        <v>2678</v>
      </c>
      <c r="F157" s="71" t="s">
        <v>2681</v>
      </c>
      <c r="G157" s="71" t="s">
        <v>43</v>
      </c>
      <c r="H157" s="20"/>
      <c r="I157" s="23"/>
      <c r="J157" s="26"/>
      <c r="K157" s="71" t="s">
        <v>3074</v>
      </c>
      <c r="L157" s="71" t="s">
        <v>3075</v>
      </c>
      <c r="M157" s="68" t="s">
        <v>3076</v>
      </c>
      <c r="N157" s="67">
        <v>21.167218999999999</v>
      </c>
      <c r="O157" s="67">
        <v>92.163642999999993</v>
      </c>
      <c r="P157" s="68">
        <v>1000</v>
      </c>
      <c r="Q157" s="68"/>
      <c r="R157" s="18"/>
      <c r="S157" s="18"/>
      <c r="T157" s="27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17"/>
      <c r="AH157" s="24"/>
      <c r="AI157" s="25"/>
      <c r="AJ157" s="25"/>
    </row>
    <row r="158" spans="1:36" ht="15.6" x14ac:dyDescent="0.3">
      <c r="A158" s="63">
        <v>152</v>
      </c>
      <c r="B158" s="102" t="s">
        <v>3520</v>
      </c>
      <c r="C158" s="102" t="s">
        <v>3521</v>
      </c>
      <c r="D158" s="64" t="s">
        <v>119</v>
      </c>
      <c r="E158" s="68" t="s">
        <v>2678</v>
      </c>
      <c r="F158" s="71" t="s">
        <v>2681</v>
      </c>
      <c r="G158" s="71" t="s">
        <v>43</v>
      </c>
      <c r="H158" s="20"/>
      <c r="I158" s="23"/>
      <c r="J158" s="26"/>
      <c r="K158" s="71" t="s">
        <v>3077</v>
      </c>
      <c r="L158" s="71" t="s">
        <v>3078</v>
      </c>
      <c r="M158" s="68" t="s">
        <v>3079</v>
      </c>
      <c r="N158" s="67">
        <v>21.163542</v>
      </c>
      <c r="O158" s="67">
        <v>92.162907000000004</v>
      </c>
      <c r="P158" s="68">
        <v>300</v>
      </c>
      <c r="Q158" s="68"/>
      <c r="R158" s="18"/>
      <c r="S158" s="18"/>
      <c r="T158" s="27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17"/>
      <c r="AH158" s="24"/>
      <c r="AI158" s="25"/>
      <c r="AJ158" s="25"/>
    </row>
    <row r="159" spans="1:36" ht="15.6" x14ac:dyDescent="0.3">
      <c r="A159" s="63">
        <v>153</v>
      </c>
      <c r="B159" s="102" t="s">
        <v>3520</v>
      </c>
      <c r="C159" s="102" t="s">
        <v>3521</v>
      </c>
      <c r="D159" s="64" t="s">
        <v>119</v>
      </c>
      <c r="E159" s="68" t="s">
        <v>2678</v>
      </c>
      <c r="F159" s="71" t="s">
        <v>2681</v>
      </c>
      <c r="G159" s="71" t="s">
        <v>43</v>
      </c>
      <c r="H159" s="20"/>
      <c r="I159" s="23"/>
      <c r="J159" s="26"/>
      <c r="K159" s="71" t="s">
        <v>3080</v>
      </c>
      <c r="L159" s="71" t="s">
        <v>3081</v>
      </c>
      <c r="M159" s="68" t="s">
        <v>3082</v>
      </c>
      <c r="N159" s="67">
        <v>21.167954000000002</v>
      </c>
      <c r="O159" s="67">
        <v>92.160594000000003</v>
      </c>
      <c r="P159" s="68">
        <v>500</v>
      </c>
      <c r="Q159" s="68"/>
      <c r="R159" s="18"/>
      <c r="S159" s="18"/>
      <c r="T159" s="27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17"/>
      <c r="AH159" s="24"/>
      <c r="AI159" s="25"/>
      <c r="AJ159" s="25"/>
    </row>
    <row r="160" spans="1:36" ht="15.6" x14ac:dyDescent="0.3">
      <c r="A160" s="63">
        <v>154</v>
      </c>
      <c r="B160" s="102" t="s">
        <v>3520</v>
      </c>
      <c r="C160" s="102" t="s">
        <v>3521</v>
      </c>
      <c r="D160" s="64" t="s">
        <v>119</v>
      </c>
      <c r="E160" s="68" t="s">
        <v>2678</v>
      </c>
      <c r="F160" s="71" t="s">
        <v>2681</v>
      </c>
      <c r="G160" s="71" t="s">
        <v>44</v>
      </c>
      <c r="H160" s="20"/>
      <c r="I160" s="23"/>
      <c r="J160" s="26"/>
      <c r="K160" s="75" t="s">
        <v>3083</v>
      </c>
      <c r="L160" s="71" t="s">
        <v>3084</v>
      </c>
      <c r="M160" s="68" t="s">
        <v>3085</v>
      </c>
      <c r="N160" s="67">
        <v>21.172765999999999</v>
      </c>
      <c r="O160" s="67">
        <v>92.144304000000005</v>
      </c>
      <c r="P160" s="68">
        <v>350</v>
      </c>
      <c r="Q160" s="68"/>
      <c r="R160" s="18"/>
      <c r="S160" s="18"/>
      <c r="T160" s="22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17"/>
      <c r="AH160" s="24"/>
      <c r="AI160" s="25"/>
      <c r="AJ160" s="25"/>
    </row>
    <row r="161" spans="1:36" ht="15.6" x14ac:dyDescent="0.3">
      <c r="A161" s="63">
        <v>155</v>
      </c>
      <c r="B161" s="102" t="s">
        <v>3520</v>
      </c>
      <c r="C161" s="102" t="s">
        <v>3521</v>
      </c>
      <c r="D161" s="64" t="s">
        <v>119</v>
      </c>
      <c r="E161" s="68" t="s">
        <v>2678</v>
      </c>
      <c r="F161" s="71" t="s">
        <v>2681</v>
      </c>
      <c r="G161" s="71" t="s">
        <v>44</v>
      </c>
      <c r="H161" s="20"/>
      <c r="I161" s="23"/>
      <c r="J161" s="21"/>
      <c r="K161" s="71" t="s">
        <v>3086</v>
      </c>
      <c r="L161" s="71" t="s">
        <v>3087</v>
      </c>
      <c r="M161" s="68" t="s">
        <v>3088</v>
      </c>
      <c r="N161" s="67">
        <v>21.171693999999999</v>
      </c>
      <c r="O161" s="67">
        <v>92.139813000000004</v>
      </c>
      <c r="P161" s="68">
        <v>650</v>
      </c>
      <c r="Q161" s="68"/>
      <c r="R161" s="18"/>
      <c r="S161" s="18"/>
      <c r="T161" s="27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17"/>
      <c r="AH161" s="24"/>
      <c r="AI161" s="25"/>
      <c r="AJ161" s="25"/>
    </row>
    <row r="162" spans="1:36" ht="15.6" x14ac:dyDescent="0.3">
      <c r="A162" s="63">
        <v>156</v>
      </c>
      <c r="B162" s="102" t="s">
        <v>3520</v>
      </c>
      <c r="C162" s="102" t="s">
        <v>3521</v>
      </c>
      <c r="D162" s="64" t="s">
        <v>119</v>
      </c>
      <c r="E162" s="68" t="s">
        <v>2678</v>
      </c>
      <c r="F162" s="71" t="s">
        <v>2681</v>
      </c>
      <c r="G162" s="71" t="s">
        <v>44</v>
      </c>
      <c r="H162" s="20"/>
      <c r="I162" s="20"/>
      <c r="J162" s="21"/>
      <c r="K162" s="71" t="s">
        <v>3089</v>
      </c>
      <c r="L162" s="71" t="s">
        <v>3090</v>
      </c>
      <c r="M162" s="68" t="s">
        <v>3091</v>
      </c>
      <c r="N162" s="67">
        <v>21.174831000000001</v>
      </c>
      <c r="O162" s="67">
        <v>92.151775999999998</v>
      </c>
      <c r="P162" s="68">
        <v>300</v>
      </c>
      <c r="Q162" s="68"/>
      <c r="R162" s="18"/>
      <c r="S162" s="18"/>
      <c r="T162" s="27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17"/>
      <c r="AH162" s="24"/>
      <c r="AI162" s="25"/>
      <c r="AJ162" s="25"/>
    </row>
    <row r="163" spans="1:36" ht="15.6" x14ac:dyDescent="0.3">
      <c r="A163" s="63">
        <v>157</v>
      </c>
      <c r="B163" s="102" t="s">
        <v>3520</v>
      </c>
      <c r="C163" s="102" t="s">
        <v>3521</v>
      </c>
      <c r="D163" s="64" t="s">
        <v>119</v>
      </c>
      <c r="E163" s="68" t="s">
        <v>2678</v>
      </c>
      <c r="F163" s="71" t="s">
        <v>2681</v>
      </c>
      <c r="G163" s="71" t="s">
        <v>44</v>
      </c>
      <c r="H163" s="20"/>
      <c r="I163" s="20"/>
      <c r="J163" s="21"/>
      <c r="K163" s="71" t="s">
        <v>3092</v>
      </c>
      <c r="L163" s="71" t="s">
        <v>3093</v>
      </c>
      <c r="M163" s="68" t="s">
        <v>3094</v>
      </c>
      <c r="N163" s="67">
        <v>21.174157999999998</v>
      </c>
      <c r="O163" s="67">
        <v>92.157884999999993</v>
      </c>
      <c r="P163" s="68">
        <v>555</v>
      </c>
      <c r="Q163" s="68"/>
      <c r="R163" s="18"/>
      <c r="S163" s="18"/>
      <c r="T163" s="22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17"/>
      <c r="AH163" s="24"/>
      <c r="AI163" s="25"/>
      <c r="AJ163" s="25"/>
    </row>
    <row r="164" spans="1:36" ht="15.6" x14ac:dyDescent="0.3">
      <c r="A164" s="63">
        <v>158</v>
      </c>
      <c r="B164" s="102" t="s">
        <v>3520</v>
      </c>
      <c r="C164" s="102" t="s">
        <v>3521</v>
      </c>
      <c r="D164" s="64" t="s">
        <v>119</v>
      </c>
      <c r="E164" s="68" t="s">
        <v>2678</v>
      </c>
      <c r="F164" s="71" t="s">
        <v>2681</v>
      </c>
      <c r="G164" s="71" t="s">
        <v>44</v>
      </c>
      <c r="H164" s="20"/>
      <c r="I164" s="20"/>
      <c r="J164" s="21"/>
      <c r="K164" s="76" t="s">
        <v>3466</v>
      </c>
      <c r="L164" s="71" t="s">
        <v>3493</v>
      </c>
      <c r="M164" s="68" t="s">
        <v>3470</v>
      </c>
      <c r="N164" s="67">
        <v>21.182759999999998</v>
      </c>
      <c r="O164" s="67">
        <v>92.155749</v>
      </c>
      <c r="P164" s="68"/>
      <c r="Q164" s="68"/>
      <c r="R164" s="18"/>
      <c r="S164" s="18"/>
      <c r="T164" s="22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17"/>
      <c r="AH164" s="24"/>
      <c r="AI164" s="25"/>
      <c r="AJ164" s="25"/>
    </row>
    <row r="165" spans="1:36" ht="15.6" x14ac:dyDescent="0.3">
      <c r="A165" s="63">
        <v>159</v>
      </c>
      <c r="B165" s="102" t="s">
        <v>3520</v>
      </c>
      <c r="C165" s="102" t="s">
        <v>3521</v>
      </c>
      <c r="D165" s="64" t="s">
        <v>119</v>
      </c>
      <c r="E165" s="68" t="s">
        <v>2678</v>
      </c>
      <c r="F165" s="71" t="s">
        <v>2681</v>
      </c>
      <c r="G165" s="71" t="s">
        <v>44</v>
      </c>
      <c r="H165" s="20"/>
      <c r="I165" s="20"/>
      <c r="J165" s="21"/>
      <c r="K165" s="76" t="s">
        <v>3467</v>
      </c>
      <c r="L165" s="71" t="s">
        <v>3494</v>
      </c>
      <c r="M165" s="68" t="s">
        <v>3471</v>
      </c>
      <c r="N165" s="67">
        <v>21.179848</v>
      </c>
      <c r="O165" s="67">
        <v>92.151807000000005</v>
      </c>
      <c r="P165" s="68"/>
      <c r="Q165" s="68"/>
      <c r="R165" s="18"/>
      <c r="S165" s="18"/>
      <c r="T165" s="22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17"/>
      <c r="AH165" s="24"/>
      <c r="AI165" s="25"/>
      <c r="AJ165" s="25"/>
    </row>
    <row r="166" spans="1:36" ht="15.6" x14ac:dyDescent="0.3">
      <c r="A166" s="63">
        <v>160</v>
      </c>
      <c r="B166" s="102" t="s">
        <v>3520</v>
      </c>
      <c r="C166" s="102" t="s">
        <v>3521</v>
      </c>
      <c r="D166" s="64" t="s">
        <v>119</v>
      </c>
      <c r="E166" s="68" t="s">
        <v>2678</v>
      </c>
      <c r="F166" s="71" t="s">
        <v>2681</v>
      </c>
      <c r="G166" s="71" t="s">
        <v>44</v>
      </c>
      <c r="H166" s="20"/>
      <c r="I166" s="20"/>
      <c r="J166" s="21"/>
      <c r="K166" s="76" t="s">
        <v>3468</v>
      </c>
      <c r="L166" s="71" t="s">
        <v>3495</v>
      </c>
      <c r="M166" s="68" t="s">
        <v>3472</v>
      </c>
      <c r="N166" s="67">
        <v>21.178584000000001</v>
      </c>
      <c r="O166" s="67">
        <v>92.139855999999995</v>
      </c>
      <c r="P166" s="68"/>
      <c r="Q166" s="68"/>
      <c r="R166" s="18"/>
      <c r="S166" s="18"/>
      <c r="T166" s="22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17"/>
      <c r="AH166" s="24"/>
      <c r="AI166" s="25"/>
      <c r="AJ166" s="25"/>
    </row>
    <row r="167" spans="1:36" ht="15.6" x14ac:dyDescent="0.3">
      <c r="A167" s="63">
        <v>161</v>
      </c>
      <c r="B167" s="102" t="s">
        <v>3520</v>
      </c>
      <c r="C167" s="102" t="s">
        <v>3521</v>
      </c>
      <c r="D167" s="64" t="s">
        <v>119</v>
      </c>
      <c r="E167" s="68" t="s">
        <v>2678</v>
      </c>
      <c r="F167" s="71" t="s">
        <v>2681</v>
      </c>
      <c r="G167" s="71" t="s">
        <v>44</v>
      </c>
      <c r="H167" s="20"/>
      <c r="I167" s="20"/>
      <c r="J167" s="21"/>
      <c r="K167" s="76" t="s">
        <v>3469</v>
      </c>
      <c r="L167" s="71" t="s">
        <v>3517</v>
      </c>
      <c r="M167" s="68" t="s">
        <v>3473</v>
      </c>
      <c r="N167" s="67">
        <v>21.183284</v>
      </c>
      <c r="O167" s="67">
        <v>92.142385000000004</v>
      </c>
      <c r="P167" s="68"/>
      <c r="Q167" s="68"/>
      <c r="R167" s="18"/>
      <c r="S167" s="18"/>
      <c r="T167" s="22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17"/>
      <c r="AH167" s="24"/>
      <c r="AI167" s="25"/>
      <c r="AJ167" s="25"/>
    </row>
    <row r="168" spans="1:36" ht="15.6" x14ac:dyDescent="0.3">
      <c r="A168" s="63">
        <v>162</v>
      </c>
      <c r="B168" s="102" t="s">
        <v>3520</v>
      </c>
      <c r="C168" s="102" t="s">
        <v>3521</v>
      </c>
      <c r="D168" s="64" t="s">
        <v>119</v>
      </c>
      <c r="E168" s="68" t="s">
        <v>2678</v>
      </c>
      <c r="F168" s="71" t="s">
        <v>2681</v>
      </c>
      <c r="G168" s="71" t="s">
        <v>45</v>
      </c>
      <c r="H168" s="20"/>
      <c r="I168" s="20"/>
      <c r="J168" s="21"/>
      <c r="K168" s="71" t="s">
        <v>3095</v>
      </c>
      <c r="L168" s="71" t="s">
        <v>3096</v>
      </c>
      <c r="M168" s="68" t="s">
        <v>3097</v>
      </c>
      <c r="N168" s="67">
        <v>21.167666000000001</v>
      </c>
      <c r="O168" s="67">
        <v>92.156081</v>
      </c>
      <c r="P168" s="68">
        <v>700</v>
      </c>
      <c r="Q168" s="68"/>
      <c r="R168" s="18"/>
      <c r="S168" s="18"/>
      <c r="T168" s="27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17"/>
      <c r="AH168" s="24"/>
      <c r="AI168" s="25"/>
      <c r="AJ168" s="25"/>
    </row>
    <row r="169" spans="1:36" ht="15.6" x14ac:dyDescent="0.3">
      <c r="A169" s="63">
        <v>163</v>
      </c>
      <c r="B169" s="102" t="s">
        <v>3520</v>
      </c>
      <c r="C169" s="102" t="s">
        <v>3521</v>
      </c>
      <c r="D169" s="64" t="s">
        <v>119</v>
      </c>
      <c r="E169" s="68" t="s">
        <v>2678</v>
      </c>
      <c r="F169" s="71" t="s">
        <v>2681</v>
      </c>
      <c r="G169" s="71" t="s">
        <v>45</v>
      </c>
      <c r="H169" s="20"/>
      <c r="I169" s="20"/>
      <c r="J169" s="21"/>
      <c r="K169" s="71" t="s">
        <v>3098</v>
      </c>
      <c r="L169" s="71" t="s">
        <v>3099</v>
      </c>
      <c r="M169" s="68" t="s">
        <v>3100</v>
      </c>
      <c r="N169" s="67">
        <v>21.163930000000001</v>
      </c>
      <c r="O169" s="67">
        <v>92.157094999999998</v>
      </c>
      <c r="P169" s="68">
        <v>250</v>
      </c>
      <c r="Q169" s="68"/>
      <c r="R169" s="18"/>
      <c r="S169" s="18"/>
      <c r="T169" s="22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17"/>
      <c r="AH169" s="24"/>
      <c r="AI169" s="25"/>
      <c r="AJ169" s="25"/>
    </row>
    <row r="170" spans="1:36" ht="15.6" x14ac:dyDescent="0.3">
      <c r="A170" s="63">
        <v>164</v>
      </c>
      <c r="B170" s="102" t="s">
        <v>3520</v>
      </c>
      <c r="C170" s="102" t="s">
        <v>3521</v>
      </c>
      <c r="D170" s="64" t="s">
        <v>119</v>
      </c>
      <c r="E170" s="68" t="s">
        <v>2678</v>
      </c>
      <c r="F170" s="71" t="s">
        <v>2681</v>
      </c>
      <c r="G170" s="71" t="s">
        <v>45</v>
      </c>
      <c r="H170" s="20"/>
      <c r="I170" s="20"/>
      <c r="J170" s="21"/>
      <c r="K170" s="71" t="s">
        <v>3101</v>
      </c>
      <c r="L170" s="71" t="s">
        <v>3102</v>
      </c>
      <c r="M170" s="68" t="s">
        <v>3103</v>
      </c>
      <c r="N170" s="67">
        <v>21.155697</v>
      </c>
      <c r="O170" s="67">
        <v>92.155488000000005</v>
      </c>
      <c r="P170" s="68">
        <v>200</v>
      </c>
      <c r="Q170" s="68"/>
      <c r="R170" s="18"/>
      <c r="S170" s="18"/>
      <c r="T170" s="22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17"/>
      <c r="AH170" s="24"/>
      <c r="AI170" s="25"/>
      <c r="AJ170" s="25"/>
    </row>
    <row r="171" spans="1:36" ht="15.6" x14ac:dyDescent="0.3">
      <c r="A171" s="63">
        <v>165</v>
      </c>
      <c r="B171" s="102" t="s">
        <v>3520</v>
      </c>
      <c r="C171" s="102" t="s">
        <v>3521</v>
      </c>
      <c r="D171" s="64" t="s">
        <v>119</v>
      </c>
      <c r="E171" s="68" t="s">
        <v>2678</v>
      </c>
      <c r="F171" s="71" t="s">
        <v>2681</v>
      </c>
      <c r="G171" s="71" t="s">
        <v>45</v>
      </c>
      <c r="H171" s="20"/>
      <c r="I171" s="20"/>
      <c r="J171" s="21"/>
      <c r="K171" s="71" t="s">
        <v>3104</v>
      </c>
      <c r="L171" s="71" t="s">
        <v>3105</v>
      </c>
      <c r="M171" s="68" t="s">
        <v>3106</v>
      </c>
      <c r="N171" s="67">
        <v>21.162552999999999</v>
      </c>
      <c r="O171" s="67">
        <v>92.152508999999995</v>
      </c>
      <c r="P171" s="68">
        <v>600</v>
      </c>
      <c r="Q171" s="68"/>
      <c r="R171" s="18"/>
      <c r="S171" s="18"/>
      <c r="T171" s="27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17"/>
      <c r="AH171" s="24"/>
      <c r="AI171" s="25"/>
      <c r="AJ171" s="25"/>
    </row>
    <row r="172" spans="1:36" ht="15.6" x14ac:dyDescent="0.3">
      <c r="A172" s="63">
        <v>166</v>
      </c>
      <c r="B172" s="102" t="s">
        <v>3520</v>
      </c>
      <c r="C172" s="102" t="s">
        <v>3521</v>
      </c>
      <c r="D172" s="64" t="s">
        <v>119</v>
      </c>
      <c r="E172" s="68" t="s">
        <v>2678</v>
      </c>
      <c r="F172" s="71" t="s">
        <v>2681</v>
      </c>
      <c r="G172" s="71" t="s">
        <v>45</v>
      </c>
      <c r="H172" s="20"/>
      <c r="I172" s="20"/>
      <c r="J172" s="21"/>
      <c r="K172" s="71" t="s">
        <v>3107</v>
      </c>
      <c r="L172" s="71" t="s">
        <v>3108</v>
      </c>
      <c r="M172" s="68" t="s">
        <v>3109</v>
      </c>
      <c r="N172" s="67">
        <v>21.168427000000001</v>
      </c>
      <c r="O172" s="67">
        <v>92.151522</v>
      </c>
      <c r="P172" s="68">
        <v>700</v>
      </c>
      <c r="Q172" s="68"/>
      <c r="R172" s="18"/>
      <c r="S172" s="18"/>
      <c r="T172" s="27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17"/>
      <c r="AH172" s="24"/>
      <c r="AI172" s="25"/>
      <c r="AJ172" s="25"/>
    </row>
    <row r="173" spans="1:36" ht="15.6" x14ac:dyDescent="0.3">
      <c r="A173" s="63">
        <v>167</v>
      </c>
      <c r="B173" s="102" t="s">
        <v>3520</v>
      </c>
      <c r="C173" s="102" t="s">
        <v>3521</v>
      </c>
      <c r="D173" s="64" t="s">
        <v>119</v>
      </c>
      <c r="E173" s="68" t="s">
        <v>2678</v>
      </c>
      <c r="F173" s="71" t="s">
        <v>2681</v>
      </c>
      <c r="G173" s="71" t="s">
        <v>45</v>
      </c>
      <c r="H173" s="20"/>
      <c r="I173" s="20"/>
      <c r="J173" s="21"/>
      <c r="K173" s="76" t="s">
        <v>3460</v>
      </c>
      <c r="L173" s="71" t="s">
        <v>3496</v>
      </c>
      <c r="M173" s="68" t="s">
        <v>3463</v>
      </c>
      <c r="N173" s="101">
        <v>21.167026</v>
      </c>
      <c r="O173" s="101">
        <v>92.144114000000002</v>
      </c>
      <c r="P173" s="68"/>
      <c r="Q173" s="68"/>
      <c r="R173" s="18"/>
      <c r="S173" s="18"/>
      <c r="T173" s="27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17"/>
      <c r="AH173" s="24"/>
      <c r="AI173" s="25"/>
      <c r="AJ173" s="25"/>
    </row>
    <row r="174" spans="1:36" ht="15.6" x14ac:dyDescent="0.3">
      <c r="A174" s="63">
        <v>168</v>
      </c>
      <c r="B174" s="102" t="s">
        <v>3520</v>
      </c>
      <c r="C174" s="102" t="s">
        <v>3521</v>
      </c>
      <c r="D174" s="64" t="s">
        <v>119</v>
      </c>
      <c r="E174" s="68" t="s">
        <v>2678</v>
      </c>
      <c r="F174" s="71" t="s">
        <v>2681</v>
      </c>
      <c r="G174" s="71" t="s">
        <v>45</v>
      </c>
      <c r="H174" s="20"/>
      <c r="I174" s="20"/>
      <c r="J174" s="21"/>
      <c r="K174" s="76" t="s">
        <v>3461</v>
      </c>
      <c r="L174" s="71" t="s">
        <v>3497</v>
      </c>
      <c r="M174" s="68" t="s">
        <v>3464</v>
      </c>
      <c r="N174" s="101">
        <v>21.160640000000001</v>
      </c>
      <c r="O174" s="101">
        <v>92.142895999999993</v>
      </c>
      <c r="P174" s="68"/>
      <c r="Q174" s="68"/>
      <c r="R174" s="18"/>
      <c r="S174" s="18"/>
      <c r="T174" s="27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17"/>
      <c r="AH174" s="24"/>
      <c r="AI174" s="25"/>
      <c r="AJ174" s="25"/>
    </row>
    <row r="175" spans="1:36" ht="15.6" x14ac:dyDescent="0.3">
      <c r="A175" s="63">
        <v>169</v>
      </c>
      <c r="B175" s="102" t="s">
        <v>3520</v>
      </c>
      <c r="C175" s="102" t="s">
        <v>3521</v>
      </c>
      <c r="D175" s="64" t="s">
        <v>119</v>
      </c>
      <c r="E175" s="68" t="s">
        <v>2678</v>
      </c>
      <c r="F175" s="71" t="s">
        <v>2681</v>
      </c>
      <c r="G175" s="71" t="s">
        <v>45</v>
      </c>
      <c r="H175" s="20"/>
      <c r="I175" s="20"/>
      <c r="J175" s="21"/>
      <c r="K175" s="76" t="s">
        <v>3462</v>
      </c>
      <c r="L175" s="71" t="s">
        <v>3498</v>
      </c>
      <c r="M175" s="68" t="s">
        <v>3465</v>
      </c>
      <c r="N175" s="101">
        <v>21.156381</v>
      </c>
      <c r="O175" s="101">
        <v>92.149068999999997</v>
      </c>
      <c r="P175" s="68"/>
      <c r="Q175" s="68"/>
      <c r="R175" s="18"/>
      <c r="S175" s="18"/>
      <c r="T175" s="27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17"/>
      <c r="AH175" s="24"/>
      <c r="AI175" s="25"/>
      <c r="AJ175" s="25"/>
    </row>
    <row r="176" spans="1:36" ht="15.6" x14ac:dyDescent="0.3">
      <c r="A176" s="63">
        <v>170</v>
      </c>
      <c r="B176" s="102" t="s">
        <v>3520</v>
      </c>
      <c r="C176" s="102" t="s">
        <v>3521</v>
      </c>
      <c r="D176" s="64" t="s">
        <v>119</v>
      </c>
      <c r="E176" s="68" t="s">
        <v>2678</v>
      </c>
      <c r="F176" s="71" t="s">
        <v>2681</v>
      </c>
      <c r="G176" s="71" t="s">
        <v>46</v>
      </c>
      <c r="H176" s="20"/>
      <c r="I176" s="23"/>
      <c r="J176" s="21"/>
      <c r="K176" s="71" t="s">
        <v>3110</v>
      </c>
      <c r="L176" s="71" t="s">
        <v>3111</v>
      </c>
      <c r="M176" s="68" t="s">
        <v>3112</v>
      </c>
      <c r="N176" s="67">
        <v>21.175825</v>
      </c>
      <c r="O176" s="67">
        <v>92.107782999999998</v>
      </c>
      <c r="P176" s="68">
        <v>1500</v>
      </c>
      <c r="Q176" s="68"/>
      <c r="R176" s="18"/>
      <c r="S176" s="18"/>
      <c r="T176" s="22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17"/>
      <c r="AH176" s="24"/>
      <c r="AI176" s="25"/>
      <c r="AJ176" s="25"/>
    </row>
    <row r="177" spans="1:36" ht="15.6" x14ac:dyDescent="0.3">
      <c r="A177" s="63">
        <v>171</v>
      </c>
      <c r="B177" s="102" t="s">
        <v>3520</v>
      </c>
      <c r="C177" s="102" t="s">
        <v>3521</v>
      </c>
      <c r="D177" s="64" t="s">
        <v>119</v>
      </c>
      <c r="E177" s="68" t="s">
        <v>2678</v>
      </c>
      <c r="F177" s="71" t="s">
        <v>2681</v>
      </c>
      <c r="G177" s="71" t="s">
        <v>46</v>
      </c>
      <c r="H177" s="20"/>
      <c r="I177" s="23"/>
      <c r="J177" s="21"/>
      <c r="K177" s="71" t="s">
        <v>3113</v>
      </c>
      <c r="L177" s="71" t="s">
        <v>3114</v>
      </c>
      <c r="M177" s="68" t="s">
        <v>3115</v>
      </c>
      <c r="N177" s="67">
        <v>21.169519000000001</v>
      </c>
      <c r="O177" s="67">
        <v>92.121933999999996</v>
      </c>
      <c r="P177" s="68">
        <v>250</v>
      </c>
      <c r="Q177" s="68"/>
      <c r="R177" s="18"/>
      <c r="S177" s="18"/>
      <c r="T177" s="22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17"/>
      <c r="AH177" s="24"/>
      <c r="AI177" s="25"/>
      <c r="AJ177" s="25"/>
    </row>
    <row r="178" spans="1:36" ht="15.6" x14ac:dyDescent="0.3">
      <c r="A178" s="63">
        <v>172</v>
      </c>
      <c r="B178" s="102" t="s">
        <v>3520</v>
      </c>
      <c r="C178" s="102" t="s">
        <v>3521</v>
      </c>
      <c r="D178" s="64" t="s">
        <v>119</v>
      </c>
      <c r="E178" s="68" t="s">
        <v>2678</v>
      </c>
      <c r="F178" s="71" t="s">
        <v>2681</v>
      </c>
      <c r="G178" s="71" t="s">
        <v>46</v>
      </c>
      <c r="H178" s="20"/>
      <c r="I178" s="23"/>
      <c r="J178" s="21"/>
      <c r="K178" s="71" t="s">
        <v>3116</v>
      </c>
      <c r="L178" s="71" t="s">
        <v>3117</v>
      </c>
      <c r="M178" s="68" t="s">
        <v>3118</v>
      </c>
      <c r="N178" s="67">
        <v>21.153983</v>
      </c>
      <c r="O178" s="67">
        <v>92.135041000000001</v>
      </c>
      <c r="P178" s="68">
        <v>200</v>
      </c>
      <c r="Q178" s="68"/>
      <c r="R178" s="18"/>
      <c r="S178" s="18"/>
      <c r="T178" s="22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17"/>
      <c r="AH178" s="24"/>
      <c r="AI178" s="25"/>
      <c r="AJ178" s="25"/>
    </row>
    <row r="179" spans="1:36" ht="15.6" x14ac:dyDescent="0.3">
      <c r="A179" s="63">
        <v>173</v>
      </c>
      <c r="B179" s="102" t="s">
        <v>3520</v>
      </c>
      <c r="C179" s="102" t="s">
        <v>3521</v>
      </c>
      <c r="D179" s="64" t="s">
        <v>119</v>
      </c>
      <c r="E179" s="68" t="s">
        <v>2678</v>
      </c>
      <c r="F179" s="71" t="s">
        <v>2681</v>
      </c>
      <c r="G179" s="71" t="s">
        <v>46</v>
      </c>
      <c r="H179" s="20"/>
      <c r="I179" s="23"/>
      <c r="J179" s="21"/>
      <c r="K179" s="71" t="s">
        <v>3119</v>
      </c>
      <c r="L179" s="71" t="s">
        <v>3120</v>
      </c>
      <c r="M179" s="68" t="s">
        <v>3121</v>
      </c>
      <c r="N179" s="67">
        <v>21.164694000000001</v>
      </c>
      <c r="O179" s="67">
        <v>92.118033999999994</v>
      </c>
      <c r="P179" s="68">
        <v>300</v>
      </c>
      <c r="Q179" s="68"/>
      <c r="R179" s="18"/>
      <c r="S179" s="18"/>
      <c r="T179" s="22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17"/>
      <c r="AH179" s="24"/>
      <c r="AI179" s="25"/>
      <c r="AJ179" s="25"/>
    </row>
    <row r="180" spans="1:36" ht="15.6" x14ac:dyDescent="0.3">
      <c r="A180" s="63">
        <v>174</v>
      </c>
      <c r="B180" s="102" t="s">
        <v>3520</v>
      </c>
      <c r="C180" s="102" t="s">
        <v>3521</v>
      </c>
      <c r="D180" s="64" t="s">
        <v>119</v>
      </c>
      <c r="E180" s="68" t="s">
        <v>2678</v>
      </c>
      <c r="F180" s="71" t="s">
        <v>2681</v>
      </c>
      <c r="G180" s="71" t="s">
        <v>46</v>
      </c>
      <c r="H180" s="20"/>
      <c r="I180" s="23"/>
      <c r="J180" s="21"/>
      <c r="K180" s="71" t="s">
        <v>3122</v>
      </c>
      <c r="L180" s="71" t="s">
        <v>3123</v>
      </c>
      <c r="M180" s="68" t="s">
        <v>3124</v>
      </c>
      <c r="N180" s="67">
        <v>21.156666999999999</v>
      </c>
      <c r="O180" s="67">
        <v>92.117131000000001</v>
      </c>
      <c r="P180" s="68">
        <v>200</v>
      </c>
      <c r="Q180" s="68"/>
      <c r="R180" s="18"/>
      <c r="S180" s="18"/>
      <c r="T180" s="22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17"/>
      <c r="AH180" s="24"/>
      <c r="AI180" s="25"/>
      <c r="AJ180" s="25"/>
    </row>
    <row r="181" spans="1:36" ht="15.6" x14ac:dyDescent="0.3">
      <c r="A181" s="63">
        <v>175</v>
      </c>
      <c r="B181" s="102" t="s">
        <v>3520</v>
      </c>
      <c r="C181" s="102" t="s">
        <v>3521</v>
      </c>
      <c r="D181" s="64" t="s">
        <v>119</v>
      </c>
      <c r="E181" s="68" t="s">
        <v>2678</v>
      </c>
      <c r="F181" s="71" t="s">
        <v>2681</v>
      </c>
      <c r="G181" s="71" t="s">
        <v>47</v>
      </c>
      <c r="H181" s="20"/>
      <c r="I181" s="23"/>
      <c r="J181" s="21"/>
      <c r="K181" s="71" t="s">
        <v>3125</v>
      </c>
      <c r="L181" s="71" t="s">
        <v>3126</v>
      </c>
      <c r="M181" s="68" t="s">
        <v>3127</v>
      </c>
      <c r="N181" s="67">
        <v>21.142903</v>
      </c>
      <c r="O181" s="67">
        <v>92.150981999999999</v>
      </c>
      <c r="P181" s="68">
        <v>500</v>
      </c>
      <c r="Q181" s="68"/>
      <c r="R181" s="18"/>
      <c r="S181" s="18"/>
      <c r="T181" s="22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17"/>
      <c r="AH181" s="24"/>
      <c r="AI181" s="25"/>
      <c r="AJ181" s="25"/>
    </row>
    <row r="182" spans="1:36" ht="15.6" x14ac:dyDescent="0.3">
      <c r="A182" s="63">
        <v>176</v>
      </c>
      <c r="B182" s="102" t="s">
        <v>3520</v>
      </c>
      <c r="C182" s="102" t="s">
        <v>3521</v>
      </c>
      <c r="D182" s="64" t="s">
        <v>119</v>
      </c>
      <c r="E182" s="68" t="s">
        <v>2678</v>
      </c>
      <c r="F182" s="71" t="s">
        <v>2681</v>
      </c>
      <c r="G182" s="71" t="s">
        <v>47</v>
      </c>
      <c r="H182" s="20"/>
      <c r="I182" s="23"/>
      <c r="J182" s="21"/>
      <c r="K182" s="71" t="s">
        <v>3128</v>
      </c>
      <c r="L182" s="71" t="s">
        <v>3129</v>
      </c>
      <c r="M182" s="68" t="s">
        <v>3130</v>
      </c>
      <c r="N182" s="67">
        <v>21.149173999999999</v>
      </c>
      <c r="O182" s="67">
        <v>92.148628000000002</v>
      </c>
      <c r="P182" s="68">
        <v>700</v>
      </c>
      <c r="Q182" s="68"/>
      <c r="R182" s="18"/>
      <c r="S182" s="18"/>
      <c r="T182" s="22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17"/>
      <c r="AH182" s="24"/>
      <c r="AI182" s="25"/>
      <c r="AJ182" s="25"/>
    </row>
    <row r="183" spans="1:36" ht="15.6" x14ac:dyDescent="0.3">
      <c r="A183" s="63">
        <v>177</v>
      </c>
      <c r="B183" s="102" t="s">
        <v>3520</v>
      </c>
      <c r="C183" s="102" t="s">
        <v>3521</v>
      </c>
      <c r="D183" s="64" t="s">
        <v>119</v>
      </c>
      <c r="E183" s="68" t="s">
        <v>2678</v>
      </c>
      <c r="F183" s="71" t="s">
        <v>2681</v>
      </c>
      <c r="G183" s="71" t="s">
        <v>47</v>
      </c>
      <c r="H183" s="20"/>
      <c r="I183" s="23"/>
      <c r="J183" s="21"/>
      <c r="K183" s="71" t="s">
        <v>3131</v>
      </c>
      <c r="L183" s="71" t="s">
        <v>3132</v>
      </c>
      <c r="M183" s="68" t="s">
        <v>3133</v>
      </c>
      <c r="N183" s="67">
        <v>21.146474000000001</v>
      </c>
      <c r="O183" s="67">
        <v>92.159649000000002</v>
      </c>
      <c r="P183" s="68">
        <v>800</v>
      </c>
      <c r="Q183" s="68"/>
      <c r="R183" s="18"/>
      <c r="S183" s="18"/>
      <c r="T183" s="22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17"/>
      <c r="AH183" s="24"/>
      <c r="AI183" s="25"/>
      <c r="AJ183" s="25"/>
    </row>
    <row r="184" spans="1:36" ht="15.6" x14ac:dyDescent="0.3">
      <c r="A184" s="63">
        <v>178</v>
      </c>
      <c r="B184" s="102" t="s">
        <v>3520</v>
      </c>
      <c r="C184" s="102" t="s">
        <v>3521</v>
      </c>
      <c r="D184" s="64" t="s">
        <v>119</v>
      </c>
      <c r="E184" s="68" t="s">
        <v>2678</v>
      </c>
      <c r="F184" s="71" t="s">
        <v>2681</v>
      </c>
      <c r="G184" s="71" t="s">
        <v>47</v>
      </c>
      <c r="H184" s="20"/>
      <c r="I184" s="20"/>
      <c r="J184" s="21"/>
      <c r="K184" s="71" t="s">
        <v>3134</v>
      </c>
      <c r="L184" s="71" t="s">
        <v>3135</v>
      </c>
      <c r="M184" s="68" t="s">
        <v>3136</v>
      </c>
      <c r="N184" s="67">
        <v>21.142963999999999</v>
      </c>
      <c r="O184" s="67">
        <v>92.145607999999996</v>
      </c>
      <c r="P184" s="68">
        <v>850</v>
      </c>
      <c r="Q184" s="68"/>
      <c r="R184" s="18"/>
      <c r="S184" s="18"/>
      <c r="T184" s="22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17"/>
      <c r="AH184" s="24"/>
      <c r="AI184" s="25"/>
      <c r="AJ184" s="25"/>
    </row>
    <row r="185" spans="1:36" ht="15.6" x14ac:dyDescent="0.3">
      <c r="A185" s="63">
        <v>179</v>
      </c>
      <c r="B185" s="102" t="s">
        <v>3520</v>
      </c>
      <c r="C185" s="102" t="s">
        <v>3521</v>
      </c>
      <c r="D185" s="64" t="s">
        <v>119</v>
      </c>
      <c r="E185" s="68" t="s">
        <v>2678</v>
      </c>
      <c r="F185" s="71" t="s">
        <v>2681</v>
      </c>
      <c r="G185" s="71" t="s">
        <v>47</v>
      </c>
      <c r="H185" s="20"/>
      <c r="I185" s="20"/>
      <c r="J185" s="23"/>
      <c r="K185" s="71" t="s">
        <v>3137</v>
      </c>
      <c r="L185" s="71" t="s">
        <v>3138</v>
      </c>
      <c r="M185" s="68" t="s">
        <v>3139</v>
      </c>
      <c r="N185" s="67">
        <v>21.146436999999999</v>
      </c>
      <c r="O185" s="67">
        <v>92.156426999999994</v>
      </c>
      <c r="P185" s="68">
        <v>250</v>
      </c>
      <c r="Q185" s="68"/>
      <c r="R185" s="18"/>
      <c r="S185" s="18"/>
      <c r="T185" s="22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17"/>
      <c r="AH185" s="24"/>
      <c r="AI185" s="25"/>
      <c r="AJ185" s="25"/>
    </row>
    <row r="186" spans="1:36" ht="15.6" x14ac:dyDescent="0.3">
      <c r="A186" s="63">
        <v>180</v>
      </c>
      <c r="B186" s="102" t="s">
        <v>3520</v>
      </c>
      <c r="C186" s="102" t="s">
        <v>3521</v>
      </c>
      <c r="D186" s="64" t="s">
        <v>119</v>
      </c>
      <c r="E186" s="68" t="s">
        <v>2678</v>
      </c>
      <c r="F186" s="71" t="s">
        <v>2681</v>
      </c>
      <c r="G186" s="71" t="s">
        <v>47</v>
      </c>
      <c r="H186" s="20"/>
      <c r="I186" s="20"/>
      <c r="J186" s="21"/>
      <c r="K186" s="71" t="s">
        <v>3140</v>
      </c>
      <c r="L186" s="71" t="s">
        <v>3141</v>
      </c>
      <c r="M186" s="68" t="s">
        <v>3142</v>
      </c>
      <c r="N186" s="67">
        <v>21.151758999999998</v>
      </c>
      <c r="O186" s="67">
        <v>92.156170000000003</v>
      </c>
      <c r="P186" s="68">
        <v>950</v>
      </c>
      <c r="Q186" s="68"/>
      <c r="R186" s="18"/>
      <c r="S186" s="18"/>
      <c r="T186" s="22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17"/>
      <c r="AH186" s="24"/>
      <c r="AI186" s="25"/>
      <c r="AJ186" s="25"/>
    </row>
    <row r="187" spans="1:36" ht="15.6" x14ac:dyDescent="0.3">
      <c r="A187" s="63">
        <v>181</v>
      </c>
      <c r="B187" s="102" t="s">
        <v>3520</v>
      </c>
      <c r="C187" s="102" t="s">
        <v>3521</v>
      </c>
      <c r="D187" s="64" t="s">
        <v>119</v>
      </c>
      <c r="E187" s="68" t="s">
        <v>2678</v>
      </c>
      <c r="F187" s="71" t="s">
        <v>2681</v>
      </c>
      <c r="G187" s="71" t="s">
        <v>48</v>
      </c>
      <c r="H187" s="20"/>
      <c r="I187" s="20"/>
      <c r="J187" s="21"/>
      <c r="K187" s="71" t="s">
        <v>3143</v>
      </c>
      <c r="L187" s="71" t="s">
        <v>3144</v>
      </c>
      <c r="M187" s="68" t="s">
        <v>3145</v>
      </c>
      <c r="N187" s="67">
        <v>21.146567000000001</v>
      </c>
      <c r="O187" s="67">
        <v>92.170491999999996</v>
      </c>
      <c r="P187" s="68">
        <v>800</v>
      </c>
      <c r="Q187" s="68"/>
      <c r="R187" s="18"/>
      <c r="S187" s="18"/>
      <c r="T187" s="22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17"/>
      <c r="AH187" s="24"/>
      <c r="AI187" s="25"/>
      <c r="AJ187" s="25"/>
    </row>
    <row r="188" spans="1:36" ht="15.6" x14ac:dyDescent="0.3">
      <c r="A188" s="63">
        <v>182</v>
      </c>
      <c r="B188" s="102" t="s">
        <v>3520</v>
      </c>
      <c r="C188" s="102" t="s">
        <v>3521</v>
      </c>
      <c r="D188" s="64" t="s">
        <v>119</v>
      </c>
      <c r="E188" s="68" t="s">
        <v>2678</v>
      </c>
      <c r="F188" s="71" t="s">
        <v>2681</v>
      </c>
      <c r="G188" s="71" t="s">
        <v>48</v>
      </c>
      <c r="H188" s="20"/>
      <c r="I188" s="20"/>
      <c r="J188" s="21"/>
      <c r="K188" s="71" t="s">
        <v>3146</v>
      </c>
      <c r="L188" s="71" t="s">
        <v>3147</v>
      </c>
      <c r="M188" s="68" t="s">
        <v>3148</v>
      </c>
      <c r="N188" s="67">
        <v>21.149818</v>
      </c>
      <c r="O188" s="67">
        <v>92.168531000000002</v>
      </c>
      <c r="P188" s="68">
        <v>900</v>
      </c>
      <c r="Q188" s="68"/>
      <c r="R188" s="18"/>
      <c r="S188" s="18"/>
      <c r="T188" s="22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17"/>
      <c r="AH188" s="24"/>
      <c r="AI188" s="25"/>
      <c r="AJ188" s="25"/>
    </row>
    <row r="189" spans="1:36" ht="15.6" x14ac:dyDescent="0.3">
      <c r="A189" s="63">
        <v>183</v>
      </c>
      <c r="B189" s="102" t="s">
        <v>3520</v>
      </c>
      <c r="C189" s="102" t="s">
        <v>3521</v>
      </c>
      <c r="D189" s="64" t="s">
        <v>119</v>
      </c>
      <c r="E189" s="68" t="s">
        <v>2678</v>
      </c>
      <c r="F189" s="71" t="s">
        <v>2681</v>
      </c>
      <c r="G189" s="71" t="s">
        <v>48</v>
      </c>
      <c r="H189" s="20"/>
      <c r="I189" s="20"/>
      <c r="J189" s="26"/>
      <c r="K189" s="71" t="s">
        <v>3149</v>
      </c>
      <c r="L189" s="71" t="s">
        <v>3150</v>
      </c>
      <c r="M189" s="68" t="s">
        <v>3151</v>
      </c>
      <c r="N189" s="67">
        <v>21.146993999999999</v>
      </c>
      <c r="O189" s="67">
        <v>92.166169999999994</v>
      </c>
      <c r="P189" s="68">
        <v>200</v>
      </c>
      <c r="Q189" s="68"/>
      <c r="R189" s="18"/>
      <c r="S189" s="18"/>
      <c r="T189" s="22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17"/>
      <c r="AH189" s="24"/>
      <c r="AI189" s="25"/>
      <c r="AJ189" s="25"/>
    </row>
    <row r="190" spans="1:36" ht="15.6" x14ac:dyDescent="0.3">
      <c r="A190" s="63">
        <v>184</v>
      </c>
      <c r="B190" s="102" t="s">
        <v>3520</v>
      </c>
      <c r="C190" s="102" t="s">
        <v>3521</v>
      </c>
      <c r="D190" s="64" t="s">
        <v>119</v>
      </c>
      <c r="E190" s="68" t="s">
        <v>2678</v>
      </c>
      <c r="F190" s="71" t="s">
        <v>2681</v>
      </c>
      <c r="G190" s="71" t="s">
        <v>48</v>
      </c>
      <c r="H190" s="20"/>
      <c r="I190" s="20"/>
      <c r="J190" s="26"/>
      <c r="K190" s="71" t="s">
        <v>3152</v>
      </c>
      <c r="L190" s="71" t="s">
        <v>3153</v>
      </c>
      <c r="M190" s="68" t="s">
        <v>3154</v>
      </c>
      <c r="N190" s="67">
        <v>21.149239000000001</v>
      </c>
      <c r="O190" s="67">
        <v>92.162698000000006</v>
      </c>
      <c r="P190" s="68">
        <v>200</v>
      </c>
      <c r="Q190" s="68"/>
      <c r="R190" s="18"/>
      <c r="S190" s="18"/>
      <c r="T190" s="22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17"/>
      <c r="AH190" s="24"/>
      <c r="AI190" s="25"/>
      <c r="AJ190" s="25"/>
    </row>
    <row r="191" spans="1:36" ht="15.6" x14ac:dyDescent="0.3">
      <c r="A191" s="63">
        <v>185</v>
      </c>
      <c r="B191" s="102" t="s">
        <v>3520</v>
      </c>
      <c r="C191" s="102" t="s">
        <v>3521</v>
      </c>
      <c r="D191" s="64" t="s">
        <v>119</v>
      </c>
      <c r="E191" s="68" t="s">
        <v>2678</v>
      </c>
      <c r="F191" s="71" t="s">
        <v>2681</v>
      </c>
      <c r="G191" s="71" t="s">
        <v>48</v>
      </c>
      <c r="H191" s="20"/>
      <c r="I191" s="23"/>
      <c r="J191" s="26"/>
      <c r="K191" s="71" t="s">
        <v>3155</v>
      </c>
      <c r="L191" s="71" t="s">
        <v>3156</v>
      </c>
      <c r="M191" s="68" t="s">
        <v>3157</v>
      </c>
      <c r="N191" s="67">
        <v>21.151776999999999</v>
      </c>
      <c r="O191" s="67">
        <v>92.160562999999996</v>
      </c>
      <c r="P191" s="68">
        <v>100</v>
      </c>
      <c r="Q191" s="68"/>
      <c r="R191" s="18"/>
      <c r="S191" s="18"/>
      <c r="T191" s="22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17"/>
      <c r="AH191" s="24"/>
      <c r="AI191" s="25"/>
      <c r="AJ191" s="25"/>
    </row>
    <row r="192" spans="1:36" ht="15.6" x14ac:dyDescent="0.3">
      <c r="A192" s="63">
        <v>186</v>
      </c>
      <c r="B192" s="102" t="s">
        <v>3520</v>
      </c>
      <c r="C192" s="102" t="s">
        <v>3521</v>
      </c>
      <c r="D192" s="64" t="s">
        <v>119</v>
      </c>
      <c r="E192" s="68" t="s">
        <v>2678</v>
      </c>
      <c r="F192" s="71" t="s">
        <v>2681</v>
      </c>
      <c r="G192" s="71" t="s">
        <v>49</v>
      </c>
      <c r="H192" s="20"/>
      <c r="I192" s="20"/>
      <c r="J192" s="26"/>
      <c r="K192" s="71" t="s">
        <v>3158</v>
      </c>
      <c r="L192" s="71" t="s">
        <v>3159</v>
      </c>
      <c r="M192" s="68" t="s">
        <v>3160</v>
      </c>
      <c r="N192" s="67">
        <v>21.146889999999999</v>
      </c>
      <c r="O192" s="67">
        <v>92.178956999999997</v>
      </c>
      <c r="P192" s="68">
        <v>600</v>
      </c>
      <c r="Q192" s="68"/>
      <c r="R192" s="18"/>
      <c r="S192" s="18"/>
      <c r="T192" s="27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17"/>
      <c r="AH192" s="24"/>
      <c r="AI192" s="25"/>
      <c r="AJ192" s="25"/>
    </row>
    <row r="193" spans="1:36" ht="15.6" x14ac:dyDescent="0.3">
      <c r="A193" s="63">
        <v>187</v>
      </c>
      <c r="B193" s="102" t="s">
        <v>3520</v>
      </c>
      <c r="C193" s="102" t="s">
        <v>3521</v>
      </c>
      <c r="D193" s="64" t="s">
        <v>119</v>
      </c>
      <c r="E193" s="68" t="s">
        <v>2678</v>
      </c>
      <c r="F193" s="71" t="s">
        <v>2681</v>
      </c>
      <c r="G193" s="71" t="s">
        <v>49</v>
      </c>
      <c r="H193" s="20"/>
      <c r="I193" s="20"/>
      <c r="J193" s="26"/>
      <c r="K193" s="71" t="s">
        <v>3161</v>
      </c>
      <c r="L193" s="71" t="s">
        <v>3162</v>
      </c>
      <c r="M193" s="68" t="s">
        <v>3163</v>
      </c>
      <c r="N193" s="67">
        <v>21.148648999999999</v>
      </c>
      <c r="O193" s="67">
        <v>92.173214000000002</v>
      </c>
      <c r="P193" s="68">
        <v>400</v>
      </c>
      <c r="Q193" s="68"/>
      <c r="R193" s="18"/>
      <c r="S193" s="18"/>
      <c r="T193" s="27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17"/>
      <c r="AH193" s="24"/>
      <c r="AI193" s="25"/>
      <c r="AJ193" s="25"/>
    </row>
    <row r="194" spans="1:36" ht="15.6" x14ac:dyDescent="0.3">
      <c r="A194" s="63">
        <v>188</v>
      </c>
      <c r="B194" s="102" t="s">
        <v>3520</v>
      </c>
      <c r="C194" s="102" t="s">
        <v>3521</v>
      </c>
      <c r="D194" s="64" t="s">
        <v>119</v>
      </c>
      <c r="E194" s="68" t="s">
        <v>2678</v>
      </c>
      <c r="F194" s="71" t="s">
        <v>2681</v>
      </c>
      <c r="G194" s="71" t="s">
        <v>49</v>
      </c>
      <c r="H194" s="20"/>
      <c r="I194" s="20"/>
      <c r="J194" s="26"/>
      <c r="K194" s="71" t="s">
        <v>3164</v>
      </c>
      <c r="L194" s="71" t="s">
        <v>3165</v>
      </c>
      <c r="M194" s="68" t="s">
        <v>3166</v>
      </c>
      <c r="N194" s="67">
        <v>21.147554</v>
      </c>
      <c r="O194" s="67">
        <v>92.175864000000004</v>
      </c>
      <c r="P194" s="68">
        <v>600</v>
      </c>
      <c r="Q194" s="68"/>
      <c r="R194" s="18"/>
      <c r="S194" s="18"/>
      <c r="T194" s="27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17"/>
      <c r="AH194" s="24"/>
      <c r="AI194" s="25"/>
      <c r="AJ194" s="25"/>
    </row>
    <row r="195" spans="1:36" ht="15.6" x14ac:dyDescent="0.3">
      <c r="A195" s="63">
        <v>189</v>
      </c>
      <c r="B195" s="102" t="s">
        <v>3520</v>
      </c>
      <c r="C195" s="102" t="s">
        <v>3521</v>
      </c>
      <c r="D195" s="64" t="s">
        <v>119</v>
      </c>
      <c r="E195" s="68" t="s">
        <v>2678</v>
      </c>
      <c r="F195" s="71" t="s">
        <v>2681</v>
      </c>
      <c r="G195" s="71" t="s">
        <v>49</v>
      </c>
      <c r="H195" s="20"/>
      <c r="I195" s="20"/>
      <c r="J195" s="26"/>
      <c r="K195" s="71" t="s">
        <v>3167</v>
      </c>
      <c r="L195" s="71" t="s">
        <v>3168</v>
      </c>
      <c r="M195" s="68" t="s">
        <v>3169</v>
      </c>
      <c r="N195" s="67">
        <v>21.145136999999998</v>
      </c>
      <c r="O195" s="67">
        <v>92.176304000000002</v>
      </c>
      <c r="P195" s="68">
        <v>300</v>
      </c>
      <c r="Q195" s="68"/>
      <c r="R195" s="18"/>
      <c r="S195" s="18"/>
      <c r="T195" s="27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17"/>
      <c r="AH195" s="24"/>
      <c r="AI195" s="25"/>
      <c r="AJ195" s="25"/>
    </row>
    <row r="196" spans="1:36" ht="15.6" x14ac:dyDescent="0.3">
      <c r="A196" s="63">
        <v>190</v>
      </c>
      <c r="B196" s="102" t="s">
        <v>3520</v>
      </c>
      <c r="C196" s="102" t="s">
        <v>3521</v>
      </c>
      <c r="D196" s="64" t="s">
        <v>119</v>
      </c>
      <c r="E196" s="68" t="s">
        <v>2678</v>
      </c>
      <c r="F196" s="71" t="s">
        <v>2681</v>
      </c>
      <c r="G196" s="71" t="s">
        <v>49</v>
      </c>
      <c r="H196" s="20"/>
      <c r="I196" s="20"/>
      <c r="J196" s="26"/>
      <c r="K196" s="71" t="s">
        <v>3170</v>
      </c>
      <c r="L196" s="71" t="s">
        <v>3171</v>
      </c>
      <c r="M196" s="68" t="s">
        <v>3172</v>
      </c>
      <c r="N196" s="67">
        <v>21.144732000000001</v>
      </c>
      <c r="O196" s="67">
        <v>92.180454999999995</v>
      </c>
      <c r="P196" s="68">
        <v>400</v>
      </c>
      <c r="Q196" s="68"/>
      <c r="R196" s="18"/>
      <c r="S196" s="18"/>
      <c r="T196" s="27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17"/>
      <c r="AH196" s="24"/>
      <c r="AI196" s="25"/>
      <c r="AJ196" s="25"/>
    </row>
    <row r="197" spans="1:36" ht="15.6" x14ac:dyDescent="0.3">
      <c r="A197" s="63">
        <v>191</v>
      </c>
      <c r="B197" s="102" t="s">
        <v>3520</v>
      </c>
      <c r="C197" s="102" t="s">
        <v>3521</v>
      </c>
      <c r="D197" s="64" t="s">
        <v>119</v>
      </c>
      <c r="E197" s="68" t="s">
        <v>2678</v>
      </c>
      <c r="F197" s="71" t="s">
        <v>2681</v>
      </c>
      <c r="G197" s="71" t="s">
        <v>49</v>
      </c>
      <c r="H197" s="20"/>
      <c r="I197" s="20"/>
      <c r="J197" s="26"/>
      <c r="K197" s="69" t="s">
        <v>3173</v>
      </c>
      <c r="L197" s="71" t="s">
        <v>3174</v>
      </c>
      <c r="M197" s="68" t="s">
        <v>3175</v>
      </c>
      <c r="N197" s="67">
        <v>21.150817</v>
      </c>
      <c r="O197" s="67">
        <v>92.175659999999993</v>
      </c>
      <c r="P197" s="68">
        <v>100</v>
      </c>
      <c r="Q197" s="68"/>
      <c r="R197" s="18"/>
      <c r="S197" s="18"/>
      <c r="T197" s="27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17"/>
      <c r="AH197" s="24"/>
      <c r="AI197" s="25"/>
      <c r="AJ197" s="25"/>
    </row>
    <row r="198" spans="1:36" ht="15.6" x14ac:dyDescent="0.3">
      <c r="A198" s="63">
        <v>192</v>
      </c>
      <c r="B198" s="102" t="s">
        <v>3520</v>
      </c>
      <c r="C198" s="102" t="s">
        <v>3521</v>
      </c>
      <c r="D198" s="64" t="s">
        <v>119</v>
      </c>
      <c r="E198" s="68" t="s">
        <v>2678</v>
      </c>
      <c r="F198" s="71" t="s">
        <v>2682</v>
      </c>
      <c r="G198" s="71" t="s">
        <v>41</v>
      </c>
      <c r="H198" s="20"/>
      <c r="I198" s="20"/>
      <c r="J198" s="26"/>
      <c r="K198" s="71" t="s">
        <v>3176</v>
      </c>
      <c r="L198" s="71" t="s">
        <v>3177</v>
      </c>
      <c r="M198" s="68" t="s">
        <v>3178</v>
      </c>
      <c r="N198" s="67">
        <v>21.256435</v>
      </c>
      <c r="O198" s="67">
        <v>92.101871000000003</v>
      </c>
      <c r="P198" s="68">
        <v>2700</v>
      </c>
      <c r="Q198" s="68"/>
      <c r="R198" s="18"/>
      <c r="S198" s="18"/>
      <c r="T198" s="27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17"/>
      <c r="AH198" s="24"/>
      <c r="AI198" s="25"/>
      <c r="AJ198" s="25"/>
    </row>
    <row r="199" spans="1:36" ht="15.6" x14ac:dyDescent="0.3">
      <c r="A199" s="63">
        <v>193</v>
      </c>
      <c r="B199" s="102" t="s">
        <v>3520</v>
      </c>
      <c r="C199" s="102" t="s">
        <v>3521</v>
      </c>
      <c r="D199" s="64" t="s">
        <v>119</v>
      </c>
      <c r="E199" s="68" t="s">
        <v>2678</v>
      </c>
      <c r="F199" s="71" t="s">
        <v>2682</v>
      </c>
      <c r="G199" s="71" t="s">
        <v>41</v>
      </c>
      <c r="H199" s="20"/>
      <c r="I199" s="20"/>
      <c r="J199" s="26"/>
      <c r="K199" s="71" t="s">
        <v>3179</v>
      </c>
      <c r="L199" s="71" t="s">
        <v>3180</v>
      </c>
      <c r="M199" s="68" t="s">
        <v>3181</v>
      </c>
      <c r="N199" s="67">
        <v>21.267422</v>
      </c>
      <c r="O199" s="67">
        <v>92.099076999999994</v>
      </c>
      <c r="P199" s="68">
        <v>400</v>
      </c>
      <c r="Q199" s="68"/>
      <c r="R199" s="18"/>
      <c r="S199" s="18"/>
      <c r="T199" s="27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17"/>
      <c r="AH199" s="24"/>
      <c r="AI199" s="25"/>
      <c r="AJ199" s="25"/>
    </row>
    <row r="200" spans="1:36" ht="15.6" x14ac:dyDescent="0.3">
      <c r="A200" s="63">
        <v>194</v>
      </c>
      <c r="B200" s="102" t="s">
        <v>3520</v>
      </c>
      <c r="C200" s="102" t="s">
        <v>3521</v>
      </c>
      <c r="D200" s="64" t="s">
        <v>119</v>
      </c>
      <c r="E200" s="68" t="s">
        <v>2678</v>
      </c>
      <c r="F200" s="71" t="s">
        <v>2682</v>
      </c>
      <c r="G200" s="71" t="s">
        <v>41</v>
      </c>
      <c r="H200" s="20"/>
      <c r="I200" s="20"/>
      <c r="J200" s="26"/>
      <c r="K200" s="71" t="s">
        <v>3182</v>
      </c>
      <c r="L200" s="71" t="s">
        <v>3183</v>
      </c>
      <c r="M200" s="68" t="s">
        <v>3184</v>
      </c>
      <c r="N200" s="67">
        <v>21.263590000000001</v>
      </c>
      <c r="O200" s="67">
        <v>92.094065999999998</v>
      </c>
      <c r="P200" s="68">
        <v>1000</v>
      </c>
      <c r="Q200" s="68"/>
      <c r="R200" s="18"/>
      <c r="S200" s="18"/>
      <c r="T200" s="27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17"/>
      <c r="AH200" s="24"/>
      <c r="AI200" s="25"/>
      <c r="AJ200" s="25"/>
    </row>
    <row r="201" spans="1:36" ht="15.6" x14ac:dyDescent="0.3">
      <c r="A201" s="63">
        <v>195</v>
      </c>
      <c r="B201" s="102" t="s">
        <v>3520</v>
      </c>
      <c r="C201" s="102" t="s">
        <v>3521</v>
      </c>
      <c r="D201" s="64" t="s">
        <v>119</v>
      </c>
      <c r="E201" s="68" t="s">
        <v>2678</v>
      </c>
      <c r="F201" s="71" t="s">
        <v>2682</v>
      </c>
      <c r="G201" s="71" t="s">
        <v>42</v>
      </c>
      <c r="H201" s="20"/>
      <c r="I201" s="20"/>
      <c r="J201" s="26"/>
      <c r="K201" s="71" t="s">
        <v>3185</v>
      </c>
      <c r="L201" s="71" t="s">
        <v>3186</v>
      </c>
      <c r="M201" s="68" t="s">
        <v>3187</v>
      </c>
      <c r="N201" s="67">
        <v>21.272521000000001</v>
      </c>
      <c r="O201" s="67">
        <v>92.138137999999998</v>
      </c>
      <c r="P201" s="68">
        <v>200</v>
      </c>
      <c r="Q201" s="68"/>
      <c r="R201" s="18"/>
      <c r="S201" s="18"/>
      <c r="T201" s="27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17"/>
      <c r="AH201" s="24"/>
      <c r="AI201" s="25"/>
      <c r="AJ201" s="25"/>
    </row>
    <row r="202" spans="1:36" ht="15.6" x14ac:dyDescent="0.3">
      <c r="A202" s="63">
        <v>196</v>
      </c>
      <c r="B202" s="102" t="s">
        <v>3520</v>
      </c>
      <c r="C202" s="102" t="s">
        <v>3521</v>
      </c>
      <c r="D202" s="64" t="s">
        <v>119</v>
      </c>
      <c r="E202" s="68" t="s">
        <v>2678</v>
      </c>
      <c r="F202" s="71" t="s">
        <v>2682</v>
      </c>
      <c r="G202" s="71" t="s">
        <v>42</v>
      </c>
      <c r="H202" s="20"/>
      <c r="I202" s="20"/>
      <c r="J202" s="26"/>
      <c r="K202" s="71" t="s">
        <v>3188</v>
      </c>
      <c r="L202" s="71" t="s">
        <v>3189</v>
      </c>
      <c r="M202" s="68" t="s">
        <v>3190</v>
      </c>
      <c r="N202" s="67">
        <v>21.268573</v>
      </c>
      <c r="O202" s="67">
        <v>92.127967999999996</v>
      </c>
      <c r="P202" s="68">
        <v>2200</v>
      </c>
      <c r="Q202" s="68"/>
      <c r="R202" s="18"/>
      <c r="S202" s="18"/>
      <c r="T202" s="27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17"/>
      <c r="AH202" s="24"/>
      <c r="AI202" s="25"/>
      <c r="AJ202" s="25"/>
    </row>
    <row r="203" spans="1:36" ht="15.6" x14ac:dyDescent="0.3">
      <c r="A203" s="63">
        <v>197</v>
      </c>
      <c r="B203" s="102" t="s">
        <v>3520</v>
      </c>
      <c r="C203" s="102" t="s">
        <v>3521</v>
      </c>
      <c r="D203" s="64" t="s">
        <v>119</v>
      </c>
      <c r="E203" s="68" t="s">
        <v>2678</v>
      </c>
      <c r="F203" s="71" t="s">
        <v>2682</v>
      </c>
      <c r="G203" s="71" t="s">
        <v>42</v>
      </c>
      <c r="H203" s="20"/>
      <c r="I203" s="20"/>
      <c r="J203" s="26"/>
      <c r="K203" s="71" t="s">
        <v>3191</v>
      </c>
      <c r="L203" s="71" t="s">
        <v>3192</v>
      </c>
      <c r="M203" s="68" t="s">
        <v>3193</v>
      </c>
      <c r="N203" s="67">
        <v>21.267661</v>
      </c>
      <c r="O203" s="67">
        <v>92.118425999999999</v>
      </c>
      <c r="P203" s="68">
        <v>275</v>
      </c>
      <c r="Q203" s="68"/>
      <c r="R203" s="18"/>
      <c r="S203" s="18"/>
      <c r="T203" s="27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17"/>
      <c r="AH203" s="24"/>
      <c r="AI203" s="25"/>
      <c r="AJ203" s="25"/>
    </row>
    <row r="204" spans="1:36" ht="15.6" x14ac:dyDescent="0.3">
      <c r="A204" s="63">
        <v>198</v>
      </c>
      <c r="B204" s="102" t="s">
        <v>3520</v>
      </c>
      <c r="C204" s="102" t="s">
        <v>3521</v>
      </c>
      <c r="D204" s="64" t="s">
        <v>119</v>
      </c>
      <c r="E204" s="68" t="s">
        <v>2678</v>
      </c>
      <c r="F204" s="71" t="s">
        <v>2682</v>
      </c>
      <c r="G204" s="71" t="s">
        <v>42</v>
      </c>
      <c r="H204" s="20"/>
      <c r="I204" s="20"/>
      <c r="J204" s="26"/>
      <c r="K204" s="71" t="s">
        <v>3194</v>
      </c>
      <c r="L204" s="71" t="s">
        <v>3195</v>
      </c>
      <c r="M204" s="68" t="s">
        <v>3196</v>
      </c>
      <c r="N204" s="67">
        <v>21.260504000000001</v>
      </c>
      <c r="O204" s="67">
        <v>92.114706999999996</v>
      </c>
      <c r="P204" s="68">
        <v>250</v>
      </c>
      <c r="Q204" s="68"/>
      <c r="R204" s="18"/>
      <c r="S204" s="18"/>
      <c r="T204" s="27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17"/>
      <c r="AH204" s="24"/>
      <c r="AI204" s="25"/>
      <c r="AJ204" s="25"/>
    </row>
    <row r="205" spans="1:36" ht="15.6" x14ac:dyDescent="0.3">
      <c r="A205" s="63">
        <v>199</v>
      </c>
      <c r="B205" s="102" t="s">
        <v>3520</v>
      </c>
      <c r="C205" s="102" t="s">
        <v>3521</v>
      </c>
      <c r="D205" s="64" t="s">
        <v>119</v>
      </c>
      <c r="E205" s="68" t="s">
        <v>2678</v>
      </c>
      <c r="F205" s="71" t="s">
        <v>2682</v>
      </c>
      <c r="G205" s="71" t="s">
        <v>42</v>
      </c>
      <c r="H205" s="20"/>
      <c r="I205" s="20"/>
      <c r="J205" s="26"/>
      <c r="K205" s="71" t="s">
        <v>3197</v>
      </c>
      <c r="L205" s="71" t="s">
        <v>3198</v>
      </c>
      <c r="M205" s="68" t="s">
        <v>3199</v>
      </c>
      <c r="N205" s="67">
        <v>21.257144</v>
      </c>
      <c r="O205" s="67">
        <v>92.118898000000002</v>
      </c>
      <c r="P205" s="68">
        <v>300</v>
      </c>
      <c r="Q205" s="68"/>
      <c r="R205" s="18"/>
      <c r="S205" s="18"/>
      <c r="T205" s="27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17"/>
      <c r="AH205" s="24"/>
      <c r="AI205" s="25"/>
      <c r="AJ205" s="25"/>
    </row>
    <row r="206" spans="1:36" ht="15.6" x14ac:dyDescent="0.3">
      <c r="A206" s="63">
        <v>200</v>
      </c>
      <c r="B206" s="102" t="s">
        <v>3520</v>
      </c>
      <c r="C206" s="102" t="s">
        <v>3521</v>
      </c>
      <c r="D206" s="64" t="s">
        <v>119</v>
      </c>
      <c r="E206" s="68" t="s">
        <v>2678</v>
      </c>
      <c r="F206" s="71" t="s">
        <v>2682</v>
      </c>
      <c r="G206" s="71" t="s">
        <v>42</v>
      </c>
      <c r="H206" s="20"/>
      <c r="I206" s="20"/>
      <c r="J206" s="26"/>
      <c r="K206" s="71" t="s">
        <v>2682</v>
      </c>
      <c r="L206" s="71" t="s">
        <v>3200</v>
      </c>
      <c r="M206" s="68" t="s">
        <v>3201</v>
      </c>
      <c r="N206" s="67">
        <v>21.251429999999999</v>
      </c>
      <c r="O206" s="67">
        <v>92.124055999999996</v>
      </c>
      <c r="P206" s="68">
        <v>300</v>
      </c>
      <c r="Q206" s="68"/>
      <c r="R206" s="18"/>
      <c r="S206" s="18"/>
      <c r="T206" s="27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17"/>
      <c r="AH206" s="24"/>
      <c r="AI206" s="25"/>
      <c r="AJ206" s="25"/>
    </row>
    <row r="207" spans="1:36" ht="15.6" x14ac:dyDescent="0.3">
      <c r="A207" s="63">
        <v>201</v>
      </c>
      <c r="B207" s="102" t="s">
        <v>3520</v>
      </c>
      <c r="C207" s="102" t="s">
        <v>3521</v>
      </c>
      <c r="D207" s="64" t="s">
        <v>119</v>
      </c>
      <c r="E207" s="68" t="s">
        <v>2678</v>
      </c>
      <c r="F207" s="71" t="s">
        <v>2682</v>
      </c>
      <c r="G207" s="71" t="s">
        <v>42</v>
      </c>
      <c r="H207" s="20"/>
      <c r="I207" s="20"/>
      <c r="J207" s="26"/>
      <c r="K207" s="71" t="s">
        <v>3202</v>
      </c>
      <c r="L207" s="71" t="s">
        <v>3203</v>
      </c>
      <c r="M207" s="68" t="s">
        <v>3204</v>
      </c>
      <c r="N207" s="67">
        <v>21.257247</v>
      </c>
      <c r="O207" s="67">
        <v>92.124713999999997</v>
      </c>
      <c r="P207" s="68">
        <v>300</v>
      </c>
      <c r="Q207" s="68"/>
      <c r="R207" s="18"/>
      <c r="S207" s="18"/>
      <c r="T207" s="27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17"/>
      <c r="AH207" s="24"/>
      <c r="AI207" s="25"/>
      <c r="AJ207" s="25"/>
    </row>
    <row r="208" spans="1:36" ht="15.6" x14ac:dyDescent="0.3">
      <c r="A208" s="63">
        <v>202</v>
      </c>
      <c r="B208" s="102" t="s">
        <v>3520</v>
      </c>
      <c r="C208" s="102" t="s">
        <v>3521</v>
      </c>
      <c r="D208" s="64" t="s">
        <v>119</v>
      </c>
      <c r="E208" s="68" t="s">
        <v>2678</v>
      </c>
      <c r="F208" s="71" t="s">
        <v>2682</v>
      </c>
      <c r="G208" s="71" t="s">
        <v>42</v>
      </c>
      <c r="H208" s="20"/>
      <c r="I208" s="20"/>
      <c r="J208" s="26"/>
      <c r="K208" s="71" t="s">
        <v>3205</v>
      </c>
      <c r="L208" s="71" t="s">
        <v>3206</v>
      </c>
      <c r="M208" s="68" t="s">
        <v>3207</v>
      </c>
      <c r="N208" s="67">
        <v>21.258365000000001</v>
      </c>
      <c r="O208" s="67">
        <v>92.130392999999998</v>
      </c>
      <c r="P208" s="68">
        <v>350</v>
      </c>
      <c r="Q208" s="68"/>
      <c r="R208" s="18"/>
      <c r="S208" s="18"/>
      <c r="T208" s="27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17"/>
      <c r="AH208" s="24"/>
      <c r="AI208" s="25"/>
      <c r="AJ208" s="25"/>
    </row>
    <row r="209" spans="1:36" ht="15.6" x14ac:dyDescent="0.3">
      <c r="A209" s="63">
        <v>203</v>
      </c>
      <c r="B209" s="102" t="s">
        <v>3520</v>
      </c>
      <c r="C209" s="102" t="s">
        <v>3521</v>
      </c>
      <c r="D209" s="64" t="s">
        <v>119</v>
      </c>
      <c r="E209" s="68" t="s">
        <v>2678</v>
      </c>
      <c r="F209" s="71" t="s">
        <v>2682</v>
      </c>
      <c r="G209" s="71" t="s">
        <v>42</v>
      </c>
      <c r="H209" s="20"/>
      <c r="I209" s="20"/>
      <c r="J209" s="26"/>
      <c r="K209" s="71" t="s">
        <v>3208</v>
      </c>
      <c r="L209" s="71" t="s">
        <v>3209</v>
      </c>
      <c r="M209" s="68" t="s">
        <v>3210</v>
      </c>
      <c r="N209" s="67">
        <v>21.266124000000001</v>
      </c>
      <c r="O209" s="67">
        <v>92.134833999999998</v>
      </c>
      <c r="P209" s="68">
        <v>150</v>
      </c>
      <c r="Q209" s="68"/>
      <c r="R209" s="18"/>
      <c r="S209" s="18"/>
      <c r="T209" s="27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17"/>
      <c r="AH209" s="24"/>
      <c r="AI209" s="25"/>
      <c r="AJ209" s="25"/>
    </row>
    <row r="210" spans="1:36" ht="15.6" x14ac:dyDescent="0.3">
      <c r="A210" s="63">
        <v>204</v>
      </c>
      <c r="B210" s="102" t="s">
        <v>3520</v>
      </c>
      <c r="C210" s="102" t="s">
        <v>3521</v>
      </c>
      <c r="D210" s="64" t="s">
        <v>119</v>
      </c>
      <c r="E210" s="68" t="s">
        <v>2678</v>
      </c>
      <c r="F210" s="71" t="s">
        <v>2682</v>
      </c>
      <c r="G210" s="71" t="s">
        <v>42</v>
      </c>
      <c r="H210" s="20"/>
      <c r="I210" s="20"/>
      <c r="J210" s="26"/>
      <c r="K210" s="71" t="s">
        <v>3211</v>
      </c>
      <c r="L210" s="71" t="s">
        <v>3212</v>
      </c>
      <c r="M210" s="68" t="s">
        <v>3213</v>
      </c>
      <c r="N210" s="67">
        <v>21.261671</v>
      </c>
      <c r="O210" s="67">
        <v>92.120714000000007</v>
      </c>
      <c r="P210" s="68">
        <v>280</v>
      </c>
      <c r="Q210" s="68"/>
      <c r="R210" s="18"/>
      <c r="S210" s="18"/>
      <c r="T210" s="27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17"/>
      <c r="AH210" s="24"/>
      <c r="AI210" s="25"/>
      <c r="AJ210" s="25"/>
    </row>
    <row r="211" spans="1:36" ht="15.6" x14ac:dyDescent="0.3">
      <c r="A211" s="63">
        <v>205</v>
      </c>
      <c r="B211" s="102" t="s">
        <v>3520</v>
      </c>
      <c r="C211" s="102" t="s">
        <v>3521</v>
      </c>
      <c r="D211" s="64" t="s">
        <v>119</v>
      </c>
      <c r="E211" s="68" t="s">
        <v>2678</v>
      </c>
      <c r="F211" s="71" t="s">
        <v>2682</v>
      </c>
      <c r="G211" s="71" t="s">
        <v>43</v>
      </c>
      <c r="H211" s="20"/>
      <c r="I211" s="20"/>
      <c r="J211" s="26"/>
      <c r="K211" s="71" t="s">
        <v>3214</v>
      </c>
      <c r="L211" s="71" t="s">
        <v>3215</v>
      </c>
      <c r="M211" s="68" t="s">
        <v>3216</v>
      </c>
      <c r="N211" s="67">
        <v>21.253639</v>
      </c>
      <c r="O211" s="67">
        <v>92.110461999999998</v>
      </c>
      <c r="P211" s="68">
        <v>1000</v>
      </c>
      <c r="Q211" s="68"/>
      <c r="R211" s="18"/>
      <c r="S211" s="18"/>
      <c r="T211" s="27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17"/>
      <c r="AH211" s="24"/>
      <c r="AI211" s="25"/>
      <c r="AJ211" s="25"/>
    </row>
    <row r="212" spans="1:36" ht="15.6" x14ac:dyDescent="0.3">
      <c r="A212" s="63">
        <v>206</v>
      </c>
      <c r="B212" s="102" t="s">
        <v>3520</v>
      </c>
      <c r="C212" s="102" t="s">
        <v>3521</v>
      </c>
      <c r="D212" s="64" t="s">
        <v>119</v>
      </c>
      <c r="E212" s="68" t="s">
        <v>2678</v>
      </c>
      <c r="F212" s="71" t="s">
        <v>2682</v>
      </c>
      <c r="G212" s="71" t="s">
        <v>43</v>
      </c>
      <c r="H212" s="20"/>
      <c r="I212" s="20"/>
      <c r="J212" s="26"/>
      <c r="K212" s="71" t="s">
        <v>3217</v>
      </c>
      <c r="L212" s="71" t="s">
        <v>3218</v>
      </c>
      <c r="M212" s="68" t="s">
        <v>3219</v>
      </c>
      <c r="N212" s="67">
        <v>21.244104</v>
      </c>
      <c r="O212" s="67">
        <v>92.110123000000002</v>
      </c>
      <c r="P212" s="68">
        <v>1000</v>
      </c>
      <c r="Q212" s="68"/>
      <c r="R212" s="18"/>
      <c r="S212" s="18"/>
      <c r="T212" s="27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17"/>
      <c r="AH212" s="24"/>
      <c r="AI212" s="25"/>
      <c r="AJ212" s="25"/>
    </row>
    <row r="213" spans="1:36" ht="15.6" x14ac:dyDescent="0.3">
      <c r="A213" s="63">
        <v>207</v>
      </c>
      <c r="B213" s="102" t="s">
        <v>3520</v>
      </c>
      <c r="C213" s="102" t="s">
        <v>3521</v>
      </c>
      <c r="D213" s="64" t="s">
        <v>119</v>
      </c>
      <c r="E213" s="68" t="s">
        <v>2678</v>
      </c>
      <c r="F213" s="71" t="s">
        <v>2682</v>
      </c>
      <c r="G213" s="71" t="s">
        <v>43</v>
      </c>
      <c r="H213" s="20"/>
      <c r="I213" s="20"/>
      <c r="J213" s="26"/>
      <c r="K213" s="71" t="s">
        <v>3220</v>
      </c>
      <c r="L213" s="71" t="s">
        <v>3221</v>
      </c>
      <c r="M213" s="68" t="s">
        <v>3222</v>
      </c>
      <c r="N213" s="67">
        <v>21.249638999999998</v>
      </c>
      <c r="O213" s="67">
        <v>92.123493999999994</v>
      </c>
      <c r="P213" s="68">
        <v>800</v>
      </c>
      <c r="Q213" s="68"/>
      <c r="R213" s="18"/>
      <c r="S213" s="18"/>
      <c r="T213" s="27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17"/>
      <c r="AH213" s="24"/>
      <c r="AI213" s="25"/>
      <c r="AJ213" s="25"/>
    </row>
    <row r="214" spans="1:36" ht="15.6" x14ac:dyDescent="0.3">
      <c r="A214" s="63">
        <v>208</v>
      </c>
      <c r="B214" s="102" t="s">
        <v>3520</v>
      </c>
      <c r="C214" s="102" t="s">
        <v>3521</v>
      </c>
      <c r="D214" s="64" t="s">
        <v>119</v>
      </c>
      <c r="E214" s="68" t="s">
        <v>2678</v>
      </c>
      <c r="F214" s="71" t="s">
        <v>2682</v>
      </c>
      <c r="G214" s="71" t="s">
        <v>43</v>
      </c>
      <c r="H214" s="20"/>
      <c r="I214" s="20"/>
      <c r="J214" s="26"/>
      <c r="K214" s="71" t="s">
        <v>3223</v>
      </c>
      <c r="L214" s="71" t="s">
        <v>3224</v>
      </c>
      <c r="M214" s="68" t="s">
        <v>3225</v>
      </c>
      <c r="N214" s="67">
        <v>21.244676999999999</v>
      </c>
      <c r="O214" s="67">
        <v>92.121212</v>
      </c>
      <c r="P214" s="68">
        <v>300</v>
      </c>
      <c r="Q214" s="68"/>
      <c r="R214" s="18"/>
      <c r="S214" s="18"/>
      <c r="T214" s="27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17"/>
      <c r="AH214" s="24"/>
      <c r="AI214" s="25"/>
      <c r="AJ214" s="25"/>
    </row>
    <row r="215" spans="1:36" ht="15.6" x14ac:dyDescent="0.3">
      <c r="A215" s="63">
        <v>209</v>
      </c>
      <c r="B215" s="102" t="s">
        <v>3520</v>
      </c>
      <c r="C215" s="102" t="s">
        <v>3521</v>
      </c>
      <c r="D215" s="64" t="s">
        <v>119</v>
      </c>
      <c r="E215" s="68" t="s">
        <v>2678</v>
      </c>
      <c r="F215" s="71" t="s">
        <v>2682</v>
      </c>
      <c r="G215" s="71" t="s">
        <v>43</v>
      </c>
      <c r="H215" s="20"/>
      <c r="I215" s="20"/>
      <c r="J215" s="26"/>
      <c r="K215" s="71" t="s">
        <v>3226</v>
      </c>
      <c r="L215" s="71" t="s">
        <v>3227</v>
      </c>
      <c r="M215" s="68" t="s">
        <v>3228</v>
      </c>
      <c r="N215" s="67">
        <v>21.238959999999999</v>
      </c>
      <c r="O215" s="67">
        <v>92.123217999999994</v>
      </c>
      <c r="P215" s="68">
        <v>800</v>
      </c>
      <c r="Q215" s="68"/>
      <c r="R215" s="18"/>
      <c r="S215" s="18"/>
      <c r="T215" s="27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17"/>
      <c r="AH215" s="24"/>
      <c r="AI215" s="25"/>
      <c r="AJ215" s="25"/>
    </row>
    <row r="216" spans="1:36" ht="15.6" x14ac:dyDescent="0.3">
      <c r="A216" s="63">
        <v>210</v>
      </c>
      <c r="B216" s="102" t="s">
        <v>3520</v>
      </c>
      <c r="C216" s="102" t="s">
        <v>3521</v>
      </c>
      <c r="D216" s="64" t="s">
        <v>119</v>
      </c>
      <c r="E216" s="68" t="s">
        <v>2678</v>
      </c>
      <c r="F216" s="71" t="s">
        <v>2682</v>
      </c>
      <c r="G216" s="71" t="s">
        <v>43</v>
      </c>
      <c r="H216" s="20"/>
      <c r="I216" s="20"/>
      <c r="J216" s="26"/>
      <c r="K216" s="71" t="s">
        <v>3229</v>
      </c>
      <c r="L216" s="71" t="s">
        <v>3230</v>
      </c>
      <c r="M216" s="68" t="s">
        <v>3231</v>
      </c>
      <c r="N216" s="67">
        <v>21.231268</v>
      </c>
      <c r="O216" s="67">
        <v>92.126863</v>
      </c>
      <c r="P216" s="68">
        <v>600</v>
      </c>
      <c r="Q216" s="68"/>
      <c r="R216" s="18"/>
      <c r="S216" s="18"/>
      <c r="T216" s="27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17"/>
      <c r="AH216" s="24"/>
      <c r="AI216" s="25"/>
      <c r="AJ216" s="25"/>
    </row>
    <row r="217" spans="1:36" ht="15.6" x14ac:dyDescent="0.3">
      <c r="A217" s="63">
        <v>211</v>
      </c>
      <c r="B217" s="102" t="s">
        <v>3520</v>
      </c>
      <c r="C217" s="102" t="s">
        <v>3521</v>
      </c>
      <c r="D217" s="64" t="s">
        <v>119</v>
      </c>
      <c r="E217" s="68" t="s">
        <v>2678</v>
      </c>
      <c r="F217" s="71" t="s">
        <v>2682</v>
      </c>
      <c r="G217" s="71" t="s">
        <v>43</v>
      </c>
      <c r="H217" s="20"/>
      <c r="I217" s="20"/>
      <c r="J217" s="26"/>
      <c r="K217" s="71" t="s">
        <v>3232</v>
      </c>
      <c r="L217" s="71" t="s">
        <v>3233</v>
      </c>
      <c r="M217" s="68" t="s">
        <v>3234</v>
      </c>
      <c r="N217" s="67">
        <v>21.218904999999999</v>
      </c>
      <c r="O217" s="67">
        <v>92.119298999999998</v>
      </c>
      <c r="P217" s="68">
        <v>1000</v>
      </c>
      <c r="Q217" s="68"/>
      <c r="R217" s="18"/>
      <c r="S217" s="18"/>
      <c r="T217" s="27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17"/>
      <c r="AH217" s="24"/>
      <c r="AI217" s="25"/>
      <c r="AJ217" s="25"/>
    </row>
    <row r="218" spans="1:36" ht="15.6" x14ac:dyDescent="0.3">
      <c r="A218" s="63">
        <v>212</v>
      </c>
      <c r="B218" s="102" t="s">
        <v>3520</v>
      </c>
      <c r="C218" s="102" t="s">
        <v>3521</v>
      </c>
      <c r="D218" s="64" t="s">
        <v>119</v>
      </c>
      <c r="E218" s="68" t="s">
        <v>2678</v>
      </c>
      <c r="F218" s="71" t="s">
        <v>2682</v>
      </c>
      <c r="G218" s="71" t="s">
        <v>43</v>
      </c>
      <c r="H218" s="20"/>
      <c r="I218" s="20"/>
      <c r="J218" s="26"/>
      <c r="K218" s="71" t="s">
        <v>3235</v>
      </c>
      <c r="L218" s="71" t="s">
        <v>3236</v>
      </c>
      <c r="M218" s="68" t="s">
        <v>3237</v>
      </c>
      <c r="N218" s="67">
        <v>21.218651000000001</v>
      </c>
      <c r="O218" s="67">
        <v>92.131501999999998</v>
      </c>
      <c r="P218" s="68">
        <v>200</v>
      </c>
      <c r="Q218" s="68"/>
      <c r="R218" s="18"/>
      <c r="S218" s="18"/>
      <c r="T218" s="27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17"/>
      <c r="AH218" s="24"/>
      <c r="AI218" s="25"/>
      <c r="AJ218" s="25"/>
    </row>
    <row r="219" spans="1:36" ht="15.6" x14ac:dyDescent="0.3">
      <c r="A219" s="63">
        <v>213</v>
      </c>
      <c r="B219" s="102" t="s">
        <v>3520</v>
      </c>
      <c r="C219" s="102" t="s">
        <v>3521</v>
      </c>
      <c r="D219" s="64" t="s">
        <v>119</v>
      </c>
      <c r="E219" s="68" t="s">
        <v>2678</v>
      </c>
      <c r="F219" s="71" t="s">
        <v>2682</v>
      </c>
      <c r="G219" s="71" t="s">
        <v>43</v>
      </c>
      <c r="H219" s="20"/>
      <c r="I219" s="20"/>
      <c r="J219" s="26"/>
      <c r="K219" s="71" t="s">
        <v>3238</v>
      </c>
      <c r="L219" s="71" t="s">
        <v>3239</v>
      </c>
      <c r="M219" s="68" t="s">
        <v>3240</v>
      </c>
      <c r="N219" s="67">
        <v>21.205233</v>
      </c>
      <c r="O219" s="67">
        <v>92.120993999999996</v>
      </c>
      <c r="P219" s="68">
        <v>200</v>
      </c>
      <c r="Q219" s="68"/>
      <c r="R219" s="18"/>
      <c r="S219" s="18"/>
      <c r="T219" s="27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17"/>
      <c r="AH219" s="24"/>
      <c r="AI219" s="25"/>
      <c r="AJ219" s="25"/>
    </row>
    <row r="220" spans="1:36" ht="15.6" x14ac:dyDescent="0.3">
      <c r="A220" s="63">
        <v>214</v>
      </c>
      <c r="B220" s="102" t="s">
        <v>3520</v>
      </c>
      <c r="C220" s="102" t="s">
        <v>3521</v>
      </c>
      <c r="D220" s="64" t="s">
        <v>119</v>
      </c>
      <c r="E220" s="68" t="s">
        <v>2678</v>
      </c>
      <c r="F220" s="71" t="s">
        <v>2682</v>
      </c>
      <c r="G220" s="71" t="s">
        <v>44</v>
      </c>
      <c r="H220" s="20"/>
      <c r="I220" s="20"/>
      <c r="J220" s="26"/>
      <c r="K220" s="71" t="s">
        <v>3241</v>
      </c>
      <c r="L220" s="71" t="s">
        <v>3242</v>
      </c>
      <c r="M220" s="68" t="s">
        <v>3243</v>
      </c>
      <c r="N220" s="67">
        <v>21.263093999999999</v>
      </c>
      <c r="O220" s="67">
        <v>92.147199000000001</v>
      </c>
      <c r="P220" s="68">
        <v>1500</v>
      </c>
      <c r="Q220" s="68"/>
      <c r="R220" s="18"/>
      <c r="S220" s="18"/>
      <c r="T220" s="27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17"/>
      <c r="AH220" s="24"/>
      <c r="AI220" s="25"/>
      <c r="AJ220" s="25"/>
    </row>
    <row r="221" spans="1:36" ht="15.6" x14ac:dyDescent="0.3">
      <c r="A221" s="63">
        <v>215</v>
      </c>
      <c r="B221" s="102" t="s">
        <v>3520</v>
      </c>
      <c r="C221" s="102" t="s">
        <v>3521</v>
      </c>
      <c r="D221" s="64" t="s">
        <v>119</v>
      </c>
      <c r="E221" s="68" t="s">
        <v>2678</v>
      </c>
      <c r="F221" s="71" t="s">
        <v>2682</v>
      </c>
      <c r="G221" s="71" t="s">
        <v>44</v>
      </c>
      <c r="H221" s="20"/>
      <c r="I221" s="20"/>
      <c r="J221" s="26"/>
      <c r="K221" s="71" t="s">
        <v>3244</v>
      </c>
      <c r="L221" s="71" t="s">
        <v>3245</v>
      </c>
      <c r="M221" s="68" t="s">
        <v>3246</v>
      </c>
      <c r="N221" s="67">
        <v>21.264344000000001</v>
      </c>
      <c r="O221" s="67">
        <v>92.159709000000007</v>
      </c>
      <c r="P221" s="68">
        <v>2350</v>
      </c>
      <c r="Q221" s="68"/>
      <c r="R221" s="18"/>
      <c r="S221" s="18"/>
      <c r="T221" s="27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17"/>
      <c r="AH221" s="24"/>
      <c r="AI221" s="25"/>
      <c r="AJ221" s="25"/>
    </row>
    <row r="222" spans="1:36" ht="15.6" x14ac:dyDescent="0.3">
      <c r="A222" s="63">
        <v>216</v>
      </c>
      <c r="B222" s="102" t="s">
        <v>3520</v>
      </c>
      <c r="C222" s="102" t="s">
        <v>3521</v>
      </c>
      <c r="D222" s="64" t="s">
        <v>119</v>
      </c>
      <c r="E222" s="68" t="s">
        <v>2678</v>
      </c>
      <c r="F222" s="71" t="s">
        <v>2682</v>
      </c>
      <c r="G222" s="71" t="s">
        <v>44</v>
      </c>
      <c r="H222" s="20"/>
      <c r="I222" s="20"/>
      <c r="J222" s="26"/>
      <c r="K222" s="71" t="s">
        <v>3247</v>
      </c>
      <c r="L222" s="71" t="s">
        <v>3248</v>
      </c>
      <c r="M222" s="68" t="s">
        <v>3249</v>
      </c>
      <c r="N222" s="67">
        <v>21.269292</v>
      </c>
      <c r="O222" s="67">
        <v>92.155861999999999</v>
      </c>
      <c r="P222" s="68">
        <v>850</v>
      </c>
      <c r="Q222" s="68"/>
      <c r="R222" s="18"/>
      <c r="S222" s="18"/>
      <c r="T222" s="27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17"/>
      <c r="AH222" s="24"/>
      <c r="AI222" s="25"/>
      <c r="AJ222" s="25"/>
    </row>
    <row r="223" spans="1:36" ht="15.6" x14ac:dyDescent="0.3">
      <c r="A223" s="63">
        <v>217</v>
      </c>
      <c r="B223" s="102" t="s">
        <v>3520</v>
      </c>
      <c r="C223" s="102" t="s">
        <v>3521</v>
      </c>
      <c r="D223" s="64" t="s">
        <v>119</v>
      </c>
      <c r="E223" s="68" t="s">
        <v>2678</v>
      </c>
      <c r="F223" s="71" t="s">
        <v>2682</v>
      </c>
      <c r="G223" s="71" t="s">
        <v>45</v>
      </c>
      <c r="H223" s="20"/>
      <c r="I223" s="20"/>
      <c r="J223" s="26"/>
      <c r="K223" s="71" t="s">
        <v>3250</v>
      </c>
      <c r="L223" s="71" t="s">
        <v>3251</v>
      </c>
      <c r="M223" s="68" t="s">
        <v>3252</v>
      </c>
      <c r="N223" s="67">
        <v>21.254774000000001</v>
      </c>
      <c r="O223" s="67">
        <v>92.131900000000002</v>
      </c>
      <c r="P223" s="68">
        <v>400</v>
      </c>
      <c r="Q223" s="68"/>
      <c r="R223" s="18"/>
      <c r="S223" s="18"/>
      <c r="T223" s="27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17"/>
      <c r="AH223" s="24"/>
      <c r="AI223" s="25"/>
      <c r="AJ223" s="25"/>
    </row>
    <row r="224" spans="1:36" ht="15.6" x14ac:dyDescent="0.3">
      <c r="A224" s="63">
        <v>218</v>
      </c>
      <c r="B224" s="102" t="s">
        <v>3520</v>
      </c>
      <c r="C224" s="102" t="s">
        <v>3521</v>
      </c>
      <c r="D224" s="64" t="s">
        <v>119</v>
      </c>
      <c r="E224" s="68" t="s">
        <v>2678</v>
      </c>
      <c r="F224" s="71" t="s">
        <v>2682</v>
      </c>
      <c r="G224" s="71" t="s">
        <v>45</v>
      </c>
      <c r="H224" s="20"/>
      <c r="I224" s="20"/>
      <c r="J224" s="26"/>
      <c r="K224" s="71" t="s">
        <v>3253</v>
      </c>
      <c r="L224" s="71" t="s">
        <v>3254</v>
      </c>
      <c r="M224" s="68" t="s">
        <v>3255</v>
      </c>
      <c r="N224" s="67">
        <v>21.250049000000001</v>
      </c>
      <c r="O224" s="67">
        <v>92.144786999999994</v>
      </c>
      <c r="P224" s="68">
        <v>700</v>
      </c>
      <c r="Q224" s="68"/>
      <c r="R224" s="18"/>
      <c r="S224" s="18"/>
      <c r="T224" s="27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17"/>
      <c r="AH224" s="24"/>
      <c r="AI224" s="25"/>
      <c r="AJ224" s="25"/>
    </row>
    <row r="225" spans="1:36" ht="15.6" x14ac:dyDescent="0.3">
      <c r="A225" s="63">
        <v>219</v>
      </c>
      <c r="B225" s="102" t="s">
        <v>3520</v>
      </c>
      <c r="C225" s="102" t="s">
        <v>3521</v>
      </c>
      <c r="D225" s="64" t="s">
        <v>119</v>
      </c>
      <c r="E225" s="68" t="s">
        <v>2678</v>
      </c>
      <c r="F225" s="71" t="s">
        <v>2682</v>
      </c>
      <c r="G225" s="71" t="s">
        <v>45</v>
      </c>
      <c r="H225" s="20"/>
      <c r="I225" s="20"/>
      <c r="J225" s="26"/>
      <c r="K225" s="71" t="s">
        <v>3256</v>
      </c>
      <c r="L225" s="71" t="s">
        <v>3257</v>
      </c>
      <c r="M225" s="68" t="s">
        <v>3258</v>
      </c>
      <c r="N225" s="67">
        <v>21.251014999999999</v>
      </c>
      <c r="O225" s="67">
        <v>92.139464000000004</v>
      </c>
      <c r="P225" s="68">
        <v>1000</v>
      </c>
      <c r="Q225" s="68"/>
      <c r="R225" s="18"/>
      <c r="S225" s="18"/>
      <c r="T225" s="27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17"/>
      <c r="AH225" s="24"/>
      <c r="AI225" s="25"/>
      <c r="AJ225" s="25"/>
    </row>
    <row r="226" spans="1:36" ht="15.6" x14ac:dyDescent="0.3">
      <c r="A226" s="63">
        <v>220</v>
      </c>
      <c r="B226" s="102" t="s">
        <v>3520</v>
      </c>
      <c r="C226" s="102" t="s">
        <v>3521</v>
      </c>
      <c r="D226" s="64" t="s">
        <v>119</v>
      </c>
      <c r="E226" s="68" t="s">
        <v>2678</v>
      </c>
      <c r="F226" s="71" t="s">
        <v>2682</v>
      </c>
      <c r="G226" s="71" t="s">
        <v>45</v>
      </c>
      <c r="H226" s="20"/>
      <c r="I226" s="20"/>
      <c r="J226" s="26"/>
      <c r="K226" s="71" t="s">
        <v>3259</v>
      </c>
      <c r="L226" s="71" t="s">
        <v>3260</v>
      </c>
      <c r="M226" s="68" t="s">
        <v>3261</v>
      </c>
      <c r="N226" s="67">
        <v>21.250792000000001</v>
      </c>
      <c r="O226" s="67">
        <v>92.131377999999998</v>
      </c>
      <c r="P226" s="68">
        <v>200</v>
      </c>
      <c r="Q226" s="68"/>
      <c r="R226" s="18"/>
      <c r="S226" s="18"/>
      <c r="T226" s="27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17"/>
      <c r="AH226" s="24"/>
      <c r="AI226" s="25"/>
      <c r="AJ226" s="25"/>
    </row>
    <row r="227" spans="1:36" ht="15.6" x14ac:dyDescent="0.3">
      <c r="A227" s="63">
        <v>221</v>
      </c>
      <c r="B227" s="102" t="s">
        <v>3520</v>
      </c>
      <c r="C227" s="102" t="s">
        <v>3521</v>
      </c>
      <c r="D227" s="64" t="s">
        <v>119</v>
      </c>
      <c r="E227" s="68" t="s">
        <v>2678</v>
      </c>
      <c r="F227" s="71" t="s">
        <v>2682</v>
      </c>
      <c r="G227" s="71" t="s">
        <v>45</v>
      </c>
      <c r="H227" s="20"/>
      <c r="I227" s="20"/>
      <c r="J227" s="26"/>
      <c r="K227" s="71" t="s">
        <v>3262</v>
      </c>
      <c r="L227" s="71" t="s">
        <v>3263</v>
      </c>
      <c r="M227" s="68" t="s">
        <v>3264</v>
      </c>
      <c r="N227" s="67">
        <v>21.254331000000001</v>
      </c>
      <c r="O227" s="67">
        <v>92.128302000000005</v>
      </c>
      <c r="P227" s="68">
        <v>200</v>
      </c>
      <c r="Q227" s="68"/>
      <c r="R227" s="18"/>
      <c r="S227" s="18"/>
      <c r="T227" s="27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17"/>
      <c r="AH227" s="24"/>
      <c r="AI227" s="25"/>
      <c r="AJ227" s="25"/>
    </row>
    <row r="228" spans="1:36" ht="15.6" x14ac:dyDescent="0.3">
      <c r="A228" s="63">
        <v>222</v>
      </c>
      <c r="B228" s="102" t="s">
        <v>3520</v>
      </c>
      <c r="C228" s="102" t="s">
        <v>3521</v>
      </c>
      <c r="D228" s="64" t="s">
        <v>119</v>
      </c>
      <c r="E228" s="68" t="s">
        <v>2678</v>
      </c>
      <c r="F228" s="71" t="s">
        <v>2682</v>
      </c>
      <c r="G228" s="71" t="s">
        <v>45</v>
      </c>
      <c r="H228" s="20"/>
      <c r="I228" s="20"/>
      <c r="J228" s="26"/>
      <c r="K228" s="71" t="s">
        <v>3265</v>
      </c>
      <c r="L228" s="71" t="s">
        <v>3266</v>
      </c>
      <c r="M228" s="68" t="s">
        <v>3267</v>
      </c>
      <c r="N228" s="67">
        <v>21.245633999999999</v>
      </c>
      <c r="O228" s="67">
        <v>92.140917000000002</v>
      </c>
      <c r="P228" s="68">
        <v>500</v>
      </c>
      <c r="Q228" s="68"/>
      <c r="R228" s="18"/>
      <c r="S228" s="18"/>
      <c r="T228" s="27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17"/>
      <c r="AH228" s="24"/>
      <c r="AI228" s="25"/>
      <c r="AJ228" s="25"/>
    </row>
    <row r="229" spans="1:36" ht="15.6" x14ac:dyDescent="0.3">
      <c r="A229" s="63">
        <v>223</v>
      </c>
      <c r="B229" s="102" t="s">
        <v>3520</v>
      </c>
      <c r="C229" s="102" t="s">
        <v>3521</v>
      </c>
      <c r="D229" s="64" t="s">
        <v>119</v>
      </c>
      <c r="E229" s="68" t="s">
        <v>2678</v>
      </c>
      <c r="F229" s="71" t="s">
        <v>2682</v>
      </c>
      <c r="G229" s="71" t="s">
        <v>45</v>
      </c>
      <c r="H229" s="20"/>
      <c r="I229" s="20"/>
      <c r="J229" s="26"/>
      <c r="K229" s="71" t="s">
        <v>3268</v>
      </c>
      <c r="L229" s="71" t="s">
        <v>3269</v>
      </c>
      <c r="M229" s="68" t="s">
        <v>3270</v>
      </c>
      <c r="N229" s="67">
        <v>21.248227</v>
      </c>
      <c r="O229" s="67">
        <v>92.147757999999996</v>
      </c>
      <c r="P229" s="68">
        <v>500</v>
      </c>
      <c r="Q229" s="68"/>
      <c r="R229" s="18"/>
      <c r="S229" s="18"/>
      <c r="T229" s="27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17"/>
      <c r="AH229" s="24"/>
      <c r="AI229" s="25"/>
      <c r="AJ229" s="25"/>
    </row>
    <row r="230" spans="1:36" ht="15.6" x14ac:dyDescent="0.3">
      <c r="A230" s="63">
        <v>224</v>
      </c>
      <c r="B230" s="102" t="s">
        <v>3520</v>
      </c>
      <c r="C230" s="102" t="s">
        <v>3521</v>
      </c>
      <c r="D230" s="64" t="s">
        <v>119</v>
      </c>
      <c r="E230" s="68" t="s">
        <v>2678</v>
      </c>
      <c r="F230" s="71" t="s">
        <v>2682</v>
      </c>
      <c r="G230" s="71" t="s">
        <v>45</v>
      </c>
      <c r="H230" s="20"/>
      <c r="I230" s="20"/>
      <c r="J230" s="26"/>
      <c r="K230" s="71" t="s">
        <v>3271</v>
      </c>
      <c r="L230" s="71" t="s">
        <v>3272</v>
      </c>
      <c r="M230" s="68" t="s">
        <v>3273</v>
      </c>
      <c r="N230" s="67">
        <v>21.257656000000001</v>
      </c>
      <c r="O230" s="67">
        <v>92.141097000000002</v>
      </c>
      <c r="P230" s="68">
        <v>500</v>
      </c>
      <c r="Q230" s="68"/>
      <c r="R230" s="18"/>
      <c r="S230" s="18"/>
      <c r="T230" s="27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17"/>
      <c r="AH230" s="24"/>
      <c r="AI230" s="25"/>
      <c r="AJ230" s="25"/>
    </row>
    <row r="231" spans="1:36" ht="15.6" x14ac:dyDescent="0.3">
      <c r="A231" s="63">
        <v>225</v>
      </c>
      <c r="B231" s="102" t="s">
        <v>3520</v>
      </c>
      <c r="C231" s="102" t="s">
        <v>3521</v>
      </c>
      <c r="D231" s="64" t="s">
        <v>119</v>
      </c>
      <c r="E231" s="68" t="s">
        <v>2678</v>
      </c>
      <c r="F231" s="71" t="s">
        <v>2682</v>
      </c>
      <c r="G231" s="71" t="s">
        <v>45</v>
      </c>
      <c r="H231" s="20"/>
      <c r="I231" s="20"/>
      <c r="J231" s="26"/>
      <c r="K231" s="68" t="s">
        <v>3274</v>
      </c>
      <c r="L231" s="68" t="s">
        <v>3275</v>
      </c>
      <c r="M231" s="68" t="s">
        <v>3276</v>
      </c>
      <c r="N231" s="67">
        <v>21.256457999999999</v>
      </c>
      <c r="O231" s="67">
        <v>92.145244000000005</v>
      </c>
      <c r="P231" s="68">
        <v>250</v>
      </c>
      <c r="Q231" s="68"/>
      <c r="R231" s="18"/>
      <c r="S231" s="18"/>
      <c r="T231" s="27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17"/>
      <c r="AH231" s="24"/>
      <c r="AI231" s="25"/>
      <c r="AJ231" s="25"/>
    </row>
    <row r="232" spans="1:36" ht="15.6" x14ac:dyDescent="0.3">
      <c r="A232" s="63">
        <v>226</v>
      </c>
      <c r="B232" s="102" t="s">
        <v>3520</v>
      </c>
      <c r="C232" s="102" t="s">
        <v>3521</v>
      </c>
      <c r="D232" s="64" t="s">
        <v>119</v>
      </c>
      <c r="E232" s="68" t="s">
        <v>2678</v>
      </c>
      <c r="F232" s="71" t="s">
        <v>2682</v>
      </c>
      <c r="G232" s="71" t="s">
        <v>45</v>
      </c>
      <c r="H232" s="20"/>
      <c r="I232" s="20"/>
      <c r="J232" s="26"/>
      <c r="K232" s="71" t="s">
        <v>3277</v>
      </c>
      <c r="L232" s="71" t="s">
        <v>3278</v>
      </c>
      <c r="M232" s="68" t="s">
        <v>3279</v>
      </c>
      <c r="N232" s="67">
        <v>21.247422</v>
      </c>
      <c r="O232" s="67">
        <v>92.136753999999996</v>
      </c>
      <c r="P232" s="68">
        <v>500</v>
      </c>
      <c r="Q232" s="68"/>
      <c r="R232" s="18"/>
      <c r="S232" s="18"/>
      <c r="T232" s="22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17"/>
      <c r="AH232" s="24"/>
      <c r="AI232" s="25"/>
      <c r="AJ232" s="25"/>
    </row>
    <row r="233" spans="1:36" ht="15.6" x14ac:dyDescent="0.3">
      <c r="A233" s="63">
        <v>227</v>
      </c>
      <c r="B233" s="102" t="s">
        <v>3520</v>
      </c>
      <c r="C233" s="102" t="s">
        <v>3521</v>
      </c>
      <c r="D233" s="64" t="s">
        <v>119</v>
      </c>
      <c r="E233" s="68" t="s">
        <v>2678</v>
      </c>
      <c r="F233" s="71" t="s">
        <v>2682</v>
      </c>
      <c r="G233" s="71" t="s">
        <v>46</v>
      </c>
      <c r="H233" s="20"/>
      <c r="I233" s="20"/>
      <c r="J233" s="26"/>
      <c r="K233" s="71" t="s">
        <v>3280</v>
      </c>
      <c r="L233" s="71" t="s">
        <v>3281</v>
      </c>
      <c r="M233" s="68" t="s">
        <v>3282</v>
      </c>
      <c r="N233" s="67">
        <v>21.233235000000001</v>
      </c>
      <c r="O233" s="67">
        <v>92.135559999999998</v>
      </c>
      <c r="P233" s="68">
        <v>1800</v>
      </c>
      <c r="Q233" s="68"/>
      <c r="R233" s="18"/>
      <c r="S233" s="18"/>
      <c r="T233" s="27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17"/>
      <c r="AH233" s="24"/>
      <c r="AI233" s="25"/>
      <c r="AJ233" s="25"/>
    </row>
    <row r="234" spans="1:36" ht="15.6" x14ac:dyDescent="0.3">
      <c r="A234" s="63">
        <v>228</v>
      </c>
      <c r="B234" s="102" t="s">
        <v>3520</v>
      </c>
      <c r="C234" s="102" t="s">
        <v>3521</v>
      </c>
      <c r="D234" s="64" t="s">
        <v>119</v>
      </c>
      <c r="E234" s="68" t="s">
        <v>2678</v>
      </c>
      <c r="F234" s="71" t="s">
        <v>2682</v>
      </c>
      <c r="G234" s="71" t="s">
        <v>46</v>
      </c>
      <c r="H234" s="20"/>
      <c r="I234" s="20"/>
      <c r="J234" s="26"/>
      <c r="K234" s="71" t="s">
        <v>3283</v>
      </c>
      <c r="L234" s="71" t="s">
        <v>3284</v>
      </c>
      <c r="M234" s="68" t="s">
        <v>3285</v>
      </c>
      <c r="N234" s="67">
        <v>21.22062</v>
      </c>
      <c r="O234" s="67">
        <v>92.143359000000004</v>
      </c>
      <c r="P234" s="68">
        <v>300</v>
      </c>
      <c r="Q234" s="68"/>
      <c r="R234" s="18"/>
      <c r="S234" s="18"/>
      <c r="T234" s="27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17"/>
      <c r="AH234" s="24"/>
      <c r="AI234" s="25"/>
      <c r="AJ234" s="25"/>
    </row>
    <row r="235" spans="1:36" ht="15.6" x14ac:dyDescent="0.3">
      <c r="A235" s="63">
        <v>229</v>
      </c>
      <c r="B235" s="102" t="s">
        <v>3520</v>
      </c>
      <c r="C235" s="102" t="s">
        <v>3521</v>
      </c>
      <c r="D235" s="64" t="s">
        <v>119</v>
      </c>
      <c r="E235" s="68" t="s">
        <v>2678</v>
      </c>
      <c r="F235" s="71" t="s">
        <v>2682</v>
      </c>
      <c r="G235" s="71" t="s">
        <v>46</v>
      </c>
      <c r="H235" s="20"/>
      <c r="I235" s="20"/>
      <c r="J235" s="26"/>
      <c r="K235" s="68" t="s">
        <v>164</v>
      </c>
      <c r="L235" s="68" t="s">
        <v>2122</v>
      </c>
      <c r="M235" s="68" t="s">
        <v>3286</v>
      </c>
      <c r="N235" s="67">
        <v>21.240908000000001</v>
      </c>
      <c r="O235" s="67">
        <v>92.131846999999993</v>
      </c>
      <c r="P235" s="68">
        <v>1800</v>
      </c>
      <c r="Q235" s="68"/>
      <c r="R235" s="18"/>
      <c r="S235" s="18"/>
      <c r="T235" s="27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17"/>
      <c r="AH235" s="24"/>
      <c r="AI235" s="25"/>
      <c r="AJ235" s="25"/>
    </row>
    <row r="236" spans="1:36" ht="15.6" x14ac:dyDescent="0.3">
      <c r="A236" s="63">
        <v>230</v>
      </c>
      <c r="B236" s="102" t="s">
        <v>3520</v>
      </c>
      <c r="C236" s="102" t="s">
        <v>3521</v>
      </c>
      <c r="D236" s="64" t="s">
        <v>119</v>
      </c>
      <c r="E236" s="68" t="s">
        <v>2678</v>
      </c>
      <c r="F236" s="71" t="s">
        <v>2682</v>
      </c>
      <c r="G236" s="71" t="s">
        <v>46</v>
      </c>
      <c r="H236" s="20"/>
      <c r="I236" s="20"/>
      <c r="J236" s="26"/>
      <c r="K236" s="71" t="s">
        <v>3287</v>
      </c>
      <c r="L236" s="69" t="s">
        <v>3288</v>
      </c>
      <c r="M236" s="68" t="s">
        <v>3289</v>
      </c>
      <c r="N236" s="67">
        <v>21.238951</v>
      </c>
      <c r="O236" s="67">
        <v>92.143338999999997</v>
      </c>
      <c r="P236" s="68">
        <v>800</v>
      </c>
      <c r="Q236" s="68"/>
      <c r="R236" s="18"/>
      <c r="S236" s="18"/>
      <c r="T236" s="27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17"/>
      <c r="AH236" s="24"/>
      <c r="AI236" s="25"/>
      <c r="AJ236" s="25"/>
    </row>
    <row r="237" spans="1:36" ht="15.6" x14ac:dyDescent="0.3">
      <c r="A237" s="63">
        <v>231</v>
      </c>
      <c r="B237" s="102" t="s">
        <v>3520</v>
      </c>
      <c r="C237" s="102" t="s">
        <v>3521</v>
      </c>
      <c r="D237" s="64" t="s">
        <v>119</v>
      </c>
      <c r="E237" s="68" t="s">
        <v>2678</v>
      </c>
      <c r="F237" s="71" t="s">
        <v>2682</v>
      </c>
      <c r="G237" s="71" t="s">
        <v>46</v>
      </c>
      <c r="H237" s="20"/>
      <c r="I237" s="20"/>
      <c r="J237" s="26"/>
      <c r="K237" s="71" t="s">
        <v>3290</v>
      </c>
      <c r="L237" s="71" t="s">
        <v>3291</v>
      </c>
      <c r="M237" s="68" t="s">
        <v>3292</v>
      </c>
      <c r="N237" s="67">
        <v>21.244097</v>
      </c>
      <c r="O237" s="67">
        <v>92.137653999999998</v>
      </c>
      <c r="P237" s="68">
        <v>600</v>
      </c>
      <c r="Q237" s="68"/>
      <c r="R237" s="18"/>
      <c r="S237" s="18"/>
      <c r="T237" s="27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17"/>
      <c r="AH237" s="24"/>
      <c r="AI237" s="25"/>
      <c r="AJ237" s="25"/>
    </row>
    <row r="238" spans="1:36" ht="15.6" x14ac:dyDescent="0.3">
      <c r="A238" s="63">
        <v>232</v>
      </c>
      <c r="B238" s="102" t="s">
        <v>3520</v>
      </c>
      <c r="C238" s="102" t="s">
        <v>3521</v>
      </c>
      <c r="D238" s="64" t="s">
        <v>119</v>
      </c>
      <c r="E238" s="68" t="s">
        <v>2678</v>
      </c>
      <c r="F238" s="71" t="s">
        <v>2682</v>
      </c>
      <c r="G238" s="71" t="s">
        <v>46</v>
      </c>
      <c r="H238" s="20"/>
      <c r="I238" s="20"/>
      <c r="J238" s="26"/>
      <c r="K238" s="71" t="s">
        <v>3293</v>
      </c>
      <c r="L238" s="71" t="s">
        <v>3294</v>
      </c>
      <c r="M238" s="68" t="s">
        <v>3295</v>
      </c>
      <c r="N238" s="67">
        <v>21.235047000000002</v>
      </c>
      <c r="O238" s="67">
        <v>92.152797000000007</v>
      </c>
      <c r="P238" s="68">
        <v>800</v>
      </c>
      <c r="Q238" s="68"/>
      <c r="R238" s="18"/>
      <c r="S238" s="18"/>
      <c r="T238" s="27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17"/>
      <c r="AH238" s="24"/>
      <c r="AI238" s="25"/>
      <c r="AJ238" s="25"/>
    </row>
    <row r="239" spans="1:36" ht="15.6" x14ac:dyDescent="0.3">
      <c r="A239" s="63">
        <v>233</v>
      </c>
      <c r="B239" s="102" t="s">
        <v>3520</v>
      </c>
      <c r="C239" s="102" t="s">
        <v>3521</v>
      </c>
      <c r="D239" s="64" t="s">
        <v>119</v>
      </c>
      <c r="E239" s="68" t="s">
        <v>2678</v>
      </c>
      <c r="F239" s="71" t="s">
        <v>2682</v>
      </c>
      <c r="G239" s="71" t="s">
        <v>46</v>
      </c>
      <c r="H239" s="20"/>
      <c r="I239" s="20"/>
      <c r="J239" s="26"/>
      <c r="K239" s="71" t="s">
        <v>3296</v>
      </c>
      <c r="L239" s="71" t="s">
        <v>3297</v>
      </c>
      <c r="M239" s="68" t="s">
        <v>3298</v>
      </c>
      <c r="N239" s="67">
        <v>21.234435000000001</v>
      </c>
      <c r="O239" s="67">
        <v>92.127726999999993</v>
      </c>
      <c r="P239" s="68">
        <v>200</v>
      </c>
      <c r="Q239" s="68"/>
      <c r="R239" s="18"/>
      <c r="S239" s="18"/>
      <c r="T239" s="27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17"/>
      <c r="AH239" s="24"/>
      <c r="AI239" s="25"/>
      <c r="AJ239" s="25"/>
    </row>
    <row r="240" spans="1:36" ht="15.6" x14ac:dyDescent="0.3">
      <c r="A240" s="63">
        <v>234</v>
      </c>
      <c r="B240" s="102" t="s">
        <v>3520</v>
      </c>
      <c r="C240" s="102" t="s">
        <v>3521</v>
      </c>
      <c r="D240" s="64" t="s">
        <v>119</v>
      </c>
      <c r="E240" s="68" t="s">
        <v>2678</v>
      </c>
      <c r="F240" s="71" t="s">
        <v>2682</v>
      </c>
      <c r="G240" s="71" t="s">
        <v>46</v>
      </c>
      <c r="H240" s="20"/>
      <c r="I240" s="20"/>
      <c r="J240" s="26"/>
      <c r="K240" s="71" t="s">
        <v>3299</v>
      </c>
      <c r="L240" s="71" t="s">
        <v>3300</v>
      </c>
      <c r="M240" s="68" t="s">
        <v>3301</v>
      </c>
      <c r="N240" s="67">
        <v>21.224724999999999</v>
      </c>
      <c r="O240" s="67">
        <v>92.140491999999995</v>
      </c>
      <c r="P240" s="68">
        <v>400</v>
      </c>
      <c r="Q240" s="68"/>
      <c r="R240" s="18"/>
      <c r="S240" s="18"/>
      <c r="T240" s="27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17"/>
      <c r="AH240" s="24"/>
      <c r="AI240" s="25"/>
      <c r="AJ240" s="25"/>
    </row>
    <row r="241" spans="1:36" ht="15.6" x14ac:dyDescent="0.3">
      <c r="A241" s="63">
        <v>235</v>
      </c>
      <c r="B241" s="102" t="s">
        <v>3520</v>
      </c>
      <c r="C241" s="102" t="s">
        <v>3521</v>
      </c>
      <c r="D241" s="64" t="s">
        <v>119</v>
      </c>
      <c r="E241" s="68" t="s">
        <v>2678</v>
      </c>
      <c r="F241" s="71" t="s">
        <v>2682</v>
      </c>
      <c r="G241" s="71" t="s">
        <v>46</v>
      </c>
      <c r="H241" s="20"/>
      <c r="I241" s="20"/>
      <c r="J241" s="26"/>
      <c r="K241" s="69" t="s">
        <v>70</v>
      </c>
      <c r="L241" s="71" t="s">
        <v>726</v>
      </c>
      <c r="M241" s="68" t="s">
        <v>3302</v>
      </c>
      <c r="N241" s="67">
        <v>21.239698000000001</v>
      </c>
      <c r="O241" s="67">
        <v>92.136038999999997</v>
      </c>
      <c r="P241" s="68">
        <v>300</v>
      </c>
      <c r="Q241" s="68"/>
      <c r="R241" s="18"/>
      <c r="S241" s="18"/>
      <c r="T241" s="27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17"/>
      <c r="AH241" s="24"/>
      <c r="AI241" s="25"/>
      <c r="AJ241" s="25"/>
    </row>
    <row r="242" spans="1:36" ht="15.6" x14ac:dyDescent="0.3">
      <c r="A242" s="63">
        <v>236</v>
      </c>
      <c r="B242" s="102" t="s">
        <v>3520</v>
      </c>
      <c r="C242" s="102" t="s">
        <v>3521</v>
      </c>
      <c r="D242" s="64" t="s">
        <v>119</v>
      </c>
      <c r="E242" s="68" t="s">
        <v>2678</v>
      </c>
      <c r="F242" s="71" t="s">
        <v>2682</v>
      </c>
      <c r="G242" s="71" t="s">
        <v>46</v>
      </c>
      <c r="H242" s="20"/>
      <c r="I242" s="20"/>
      <c r="J242" s="26"/>
      <c r="K242" s="71" t="s">
        <v>3303</v>
      </c>
      <c r="L242" s="71" t="s">
        <v>3304</v>
      </c>
      <c r="M242" s="68" t="s">
        <v>3305</v>
      </c>
      <c r="N242" s="67">
        <v>21.233957</v>
      </c>
      <c r="O242" s="67">
        <v>92.144972999999993</v>
      </c>
      <c r="P242" s="68">
        <v>680</v>
      </c>
      <c r="Q242" s="68"/>
      <c r="R242" s="18"/>
      <c r="S242" s="18"/>
      <c r="T242" s="27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17"/>
      <c r="AH242" s="24"/>
      <c r="AI242" s="25"/>
      <c r="AJ242" s="25"/>
    </row>
    <row r="243" spans="1:36" ht="15.6" x14ac:dyDescent="0.3">
      <c r="A243" s="63">
        <v>237</v>
      </c>
      <c r="B243" s="102" t="s">
        <v>3520</v>
      </c>
      <c r="C243" s="102" t="s">
        <v>3521</v>
      </c>
      <c r="D243" s="64" t="s">
        <v>119</v>
      </c>
      <c r="E243" s="68" t="s">
        <v>2678</v>
      </c>
      <c r="F243" s="98" t="s">
        <v>2682</v>
      </c>
      <c r="G243" s="99" t="s">
        <v>46</v>
      </c>
      <c r="H243" s="20"/>
      <c r="I243" s="20"/>
      <c r="J243" s="26"/>
      <c r="K243" s="69" t="s">
        <v>94</v>
      </c>
      <c r="L243" s="71" t="s">
        <v>242</v>
      </c>
      <c r="M243" s="98" t="s">
        <v>3306</v>
      </c>
      <c r="N243" s="67">
        <v>21.249839999999999</v>
      </c>
      <c r="O243" s="67">
        <v>92.130235999999996</v>
      </c>
      <c r="P243" s="98">
        <v>80</v>
      </c>
      <c r="Q243" s="98"/>
      <c r="R243" s="18"/>
      <c r="S243" s="18"/>
      <c r="T243" s="27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17"/>
      <c r="AH243" s="24"/>
      <c r="AI243" s="25"/>
      <c r="AJ243" s="25"/>
    </row>
    <row r="244" spans="1:36" ht="15.6" x14ac:dyDescent="0.3">
      <c r="A244" s="63">
        <v>238</v>
      </c>
      <c r="B244" s="102" t="s">
        <v>3520</v>
      </c>
      <c r="C244" s="102" t="s">
        <v>3521</v>
      </c>
      <c r="D244" s="64" t="s">
        <v>119</v>
      </c>
      <c r="E244" s="68" t="s">
        <v>2678</v>
      </c>
      <c r="F244" s="71" t="s">
        <v>2682</v>
      </c>
      <c r="G244" s="71" t="s">
        <v>46</v>
      </c>
      <c r="H244" s="20"/>
      <c r="I244" s="20"/>
      <c r="J244" s="26"/>
      <c r="K244" s="71" t="s">
        <v>3307</v>
      </c>
      <c r="L244" s="71" t="s">
        <v>3308</v>
      </c>
      <c r="M244" s="68" t="s">
        <v>3309</v>
      </c>
      <c r="N244" s="67">
        <v>21.236944999999999</v>
      </c>
      <c r="O244" s="67">
        <v>92.157782999999995</v>
      </c>
      <c r="P244" s="68">
        <v>100</v>
      </c>
      <c r="Q244" s="68"/>
      <c r="R244" s="18"/>
      <c r="S244" s="18"/>
      <c r="T244" s="27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17"/>
      <c r="AH244" s="24"/>
      <c r="AI244" s="25"/>
      <c r="AJ244" s="25"/>
    </row>
    <row r="245" spans="1:36" ht="15.6" x14ac:dyDescent="0.3">
      <c r="A245" s="63">
        <v>239</v>
      </c>
      <c r="B245" s="102" t="s">
        <v>3520</v>
      </c>
      <c r="C245" s="102" t="s">
        <v>3521</v>
      </c>
      <c r="D245" s="64" t="s">
        <v>119</v>
      </c>
      <c r="E245" s="68" t="s">
        <v>2678</v>
      </c>
      <c r="F245" s="71" t="s">
        <v>2682</v>
      </c>
      <c r="G245" s="71" t="s">
        <v>47</v>
      </c>
      <c r="H245" s="20"/>
      <c r="I245" s="20"/>
      <c r="J245" s="26"/>
      <c r="K245" s="71" t="s">
        <v>3310</v>
      </c>
      <c r="L245" s="71" t="s">
        <v>3311</v>
      </c>
      <c r="M245" s="68" t="s">
        <v>3312</v>
      </c>
      <c r="N245" s="67">
        <v>21.255099000000001</v>
      </c>
      <c r="O245" s="67">
        <v>92.151267000000004</v>
      </c>
      <c r="P245" s="68">
        <v>450</v>
      </c>
      <c r="Q245" s="68"/>
      <c r="R245" s="18"/>
      <c r="S245" s="18"/>
      <c r="T245" s="27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17"/>
      <c r="AH245" s="24"/>
      <c r="AI245" s="25"/>
      <c r="AJ245" s="25"/>
    </row>
    <row r="246" spans="1:36" ht="15.6" x14ac:dyDescent="0.3">
      <c r="A246" s="63">
        <v>240</v>
      </c>
      <c r="B246" s="102" t="s">
        <v>3520</v>
      </c>
      <c r="C246" s="102" t="s">
        <v>3521</v>
      </c>
      <c r="D246" s="64" t="s">
        <v>119</v>
      </c>
      <c r="E246" s="68" t="s">
        <v>2678</v>
      </c>
      <c r="F246" s="71" t="s">
        <v>2682</v>
      </c>
      <c r="G246" s="71" t="s">
        <v>47</v>
      </c>
      <c r="H246" s="20"/>
      <c r="I246" s="20"/>
      <c r="J246" s="26"/>
      <c r="K246" s="71" t="s">
        <v>3313</v>
      </c>
      <c r="L246" s="71" t="s">
        <v>3314</v>
      </c>
      <c r="M246" s="68" t="s">
        <v>3315</v>
      </c>
      <c r="N246" s="67">
        <v>21.253896000000001</v>
      </c>
      <c r="O246" s="67">
        <v>92.159087</v>
      </c>
      <c r="P246" s="68">
        <v>1100</v>
      </c>
      <c r="Q246" s="68"/>
      <c r="R246" s="18"/>
      <c r="S246" s="18"/>
      <c r="T246" s="27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17"/>
      <c r="AH246" s="24"/>
      <c r="AI246" s="25"/>
      <c r="AJ246" s="25"/>
    </row>
    <row r="247" spans="1:36" ht="15.6" x14ac:dyDescent="0.3">
      <c r="A247" s="63">
        <v>241</v>
      </c>
      <c r="B247" s="102" t="s">
        <v>3520</v>
      </c>
      <c r="C247" s="102" t="s">
        <v>3521</v>
      </c>
      <c r="D247" s="64" t="s">
        <v>119</v>
      </c>
      <c r="E247" s="68" t="s">
        <v>2678</v>
      </c>
      <c r="F247" s="71" t="s">
        <v>2682</v>
      </c>
      <c r="G247" s="71" t="s">
        <v>47</v>
      </c>
      <c r="H247" s="20"/>
      <c r="I247" s="20"/>
      <c r="J247" s="26"/>
      <c r="K247" s="75" t="s">
        <v>233</v>
      </c>
      <c r="L247" s="71" t="s">
        <v>234</v>
      </c>
      <c r="M247" s="68" t="s">
        <v>3316</v>
      </c>
      <c r="N247" s="67">
        <v>21.259744000000001</v>
      </c>
      <c r="O247" s="67">
        <v>92.168499999999995</v>
      </c>
      <c r="P247" s="68">
        <v>1000</v>
      </c>
      <c r="Q247" s="68"/>
      <c r="R247" s="18"/>
      <c r="S247" s="18"/>
      <c r="T247" s="27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17"/>
      <c r="AH247" s="24"/>
      <c r="AI247" s="25"/>
      <c r="AJ247" s="25"/>
    </row>
    <row r="248" spans="1:36" ht="15.6" x14ac:dyDescent="0.3">
      <c r="A248" s="63">
        <v>242</v>
      </c>
      <c r="B248" s="102" t="s">
        <v>3520</v>
      </c>
      <c r="C248" s="102" t="s">
        <v>3521</v>
      </c>
      <c r="D248" s="64" t="s">
        <v>119</v>
      </c>
      <c r="E248" s="68" t="s">
        <v>2678</v>
      </c>
      <c r="F248" s="71" t="s">
        <v>2682</v>
      </c>
      <c r="G248" s="71" t="s">
        <v>47</v>
      </c>
      <c r="H248" s="20"/>
      <c r="I248" s="20"/>
      <c r="J248" s="26"/>
      <c r="K248" s="71" t="s">
        <v>3317</v>
      </c>
      <c r="L248" s="71" t="s">
        <v>3318</v>
      </c>
      <c r="M248" s="68" t="s">
        <v>3319</v>
      </c>
      <c r="N248" s="67">
        <v>21.264762000000001</v>
      </c>
      <c r="O248" s="67">
        <v>92.168661</v>
      </c>
      <c r="P248" s="68">
        <v>200</v>
      </c>
      <c r="Q248" s="68"/>
      <c r="R248" s="18"/>
      <c r="S248" s="18"/>
      <c r="T248" s="27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17"/>
      <c r="AH248" s="24"/>
      <c r="AI248" s="25"/>
      <c r="AJ248" s="25"/>
    </row>
    <row r="249" spans="1:36" ht="15.6" x14ac:dyDescent="0.3">
      <c r="A249" s="63">
        <v>243</v>
      </c>
      <c r="B249" s="102" t="s">
        <v>3520</v>
      </c>
      <c r="C249" s="102" t="s">
        <v>3521</v>
      </c>
      <c r="D249" s="64" t="s">
        <v>119</v>
      </c>
      <c r="E249" s="68" t="s">
        <v>2678</v>
      </c>
      <c r="F249" s="71" t="s">
        <v>2682</v>
      </c>
      <c r="G249" s="71" t="s">
        <v>47</v>
      </c>
      <c r="H249" s="20"/>
      <c r="I249" s="20"/>
      <c r="J249" s="26"/>
      <c r="K249" s="71" t="s">
        <v>64</v>
      </c>
      <c r="L249" s="71" t="s">
        <v>3320</v>
      </c>
      <c r="M249" s="68" t="s">
        <v>3321</v>
      </c>
      <c r="N249" s="67">
        <v>21.255773000000001</v>
      </c>
      <c r="O249" s="67">
        <v>92.177406000000005</v>
      </c>
      <c r="P249" s="68">
        <v>500</v>
      </c>
      <c r="Q249" s="68"/>
      <c r="R249" s="18"/>
      <c r="S249" s="18"/>
      <c r="T249" s="27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17"/>
      <c r="AH249" s="24"/>
      <c r="AI249" s="25"/>
      <c r="AJ249" s="25"/>
    </row>
    <row r="250" spans="1:36" ht="15.6" x14ac:dyDescent="0.3">
      <c r="A250" s="63">
        <v>244</v>
      </c>
      <c r="B250" s="102" t="s">
        <v>3520</v>
      </c>
      <c r="C250" s="102" t="s">
        <v>3521</v>
      </c>
      <c r="D250" s="64" t="s">
        <v>119</v>
      </c>
      <c r="E250" s="68" t="s">
        <v>2678</v>
      </c>
      <c r="F250" s="71" t="s">
        <v>2682</v>
      </c>
      <c r="G250" s="71" t="s">
        <v>48</v>
      </c>
      <c r="H250" s="20"/>
      <c r="I250" s="20"/>
      <c r="J250" s="26"/>
      <c r="K250" s="71" t="s">
        <v>3322</v>
      </c>
      <c r="L250" s="71" t="s">
        <v>3323</v>
      </c>
      <c r="M250" s="68" t="s">
        <v>3324</v>
      </c>
      <c r="N250" s="67">
        <v>21.246254</v>
      </c>
      <c r="O250" s="67">
        <v>92.173281000000003</v>
      </c>
      <c r="P250" s="68">
        <v>1200</v>
      </c>
      <c r="Q250" s="68"/>
      <c r="R250" s="18"/>
      <c r="S250" s="18"/>
      <c r="T250" s="27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17"/>
      <c r="AH250" s="24"/>
      <c r="AI250" s="25"/>
      <c r="AJ250" s="25"/>
    </row>
    <row r="251" spans="1:36" ht="15.6" x14ac:dyDescent="0.3">
      <c r="A251" s="63">
        <v>245</v>
      </c>
      <c r="B251" s="102" t="s">
        <v>3520</v>
      </c>
      <c r="C251" s="102" t="s">
        <v>3521</v>
      </c>
      <c r="D251" s="64" t="s">
        <v>119</v>
      </c>
      <c r="E251" s="68" t="s">
        <v>2678</v>
      </c>
      <c r="F251" s="71" t="s">
        <v>2682</v>
      </c>
      <c r="G251" s="71" t="s">
        <v>48</v>
      </c>
      <c r="H251" s="20"/>
      <c r="I251" s="20"/>
      <c r="J251" s="26"/>
      <c r="K251" s="71" t="s">
        <v>3325</v>
      </c>
      <c r="L251" s="71" t="s">
        <v>3326</v>
      </c>
      <c r="M251" s="68" t="s">
        <v>3327</v>
      </c>
      <c r="N251" s="67">
        <v>21.248909000000001</v>
      </c>
      <c r="O251" s="67">
        <v>92.160328000000007</v>
      </c>
      <c r="P251" s="68">
        <v>1100</v>
      </c>
      <c r="Q251" s="68"/>
      <c r="R251" s="18"/>
      <c r="S251" s="18"/>
      <c r="T251" s="27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17"/>
      <c r="AH251" s="24"/>
      <c r="AI251" s="25"/>
      <c r="AJ251" s="25"/>
    </row>
    <row r="252" spans="1:36" ht="15.6" x14ac:dyDescent="0.3">
      <c r="A252" s="63">
        <v>246</v>
      </c>
      <c r="B252" s="102" t="s">
        <v>3520</v>
      </c>
      <c r="C252" s="102" t="s">
        <v>3521</v>
      </c>
      <c r="D252" s="64" t="s">
        <v>119</v>
      </c>
      <c r="E252" s="68" t="s">
        <v>2678</v>
      </c>
      <c r="F252" s="71" t="s">
        <v>2682</v>
      </c>
      <c r="G252" s="71" t="s">
        <v>48</v>
      </c>
      <c r="H252" s="20"/>
      <c r="I252" s="20"/>
      <c r="J252" s="26"/>
      <c r="K252" s="71" t="s">
        <v>3328</v>
      </c>
      <c r="L252" s="71" t="s">
        <v>3329</v>
      </c>
      <c r="M252" s="68" t="s">
        <v>3330</v>
      </c>
      <c r="N252" s="67">
        <v>21.241371000000001</v>
      </c>
      <c r="O252" s="67">
        <v>92.165739000000002</v>
      </c>
      <c r="P252" s="68">
        <v>700</v>
      </c>
      <c r="Q252" s="68"/>
      <c r="R252" s="18"/>
      <c r="S252" s="18"/>
      <c r="T252" s="27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17"/>
      <c r="AH252" s="24"/>
      <c r="AI252" s="25"/>
      <c r="AJ252" s="25"/>
    </row>
    <row r="253" spans="1:36" ht="15.6" x14ac:dyDescent="0.3">
      <c r="A253" s="63">
        <v>247</v>
      </c>
      <c r="B253" s="102" t="s">
        <v>3520</v>
      </c>
      <c r="C253" s="102" t="s">
        <v>3521</v>
      </c>
      <c r="D253" s="64" t="s">
        <v>119</v>
      </c>
      <c r="E253" s="68" t="s">
        <v>2678</v>
      </c>
      <c r="F253" s="71" t="s">
        <v>2682</v>
      </c>
      <c r="G253" s="71" t="s">
        <v>48</v>
      </c>
      <c r="H253" s="20"/>
      <c r="I253" s="20"/>
      <c r="J253" s="26"/>
      <c r="K253" s="71" t="s">
        <v>3331</v>
      </c>
      <c r="L253" s="71" t="s">
        <v>3332</v>
      </c>
      <c r="M253" s="68" t="s">
        <v>3333</v>
      </c>
      <c r="N253" s="67">
        <v>21.239909000000001</v>
      </c>
      <c r="O253" s="67">
        <v>92.159869999999998</v>
      </c>
      <c r="P253" s="68">
        <v>200</v>
      </c>
      <c r="Q253" s="68"/>
      <c r="R253" s="18"/>
      <c r="S253" s="18"/>
      <c r="T253" s="27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17"/>
      <c r="AH253" s="24"/>
      <c r="AI253" s="25"/>
      <c r="AJ253" s="25"/>
    </row>
    <row r="254" spans="1:36" ht="15.6" x14ac:dyDescent="0.3">
      <c r="A254" s="63">
        <v>248</v>
      </c>
      <c r="B254" s="102" t="s">
        <v>3520</v>
      </c>
      <c r="C254" s="102" t="s">
        <v>3521</v>
      </c>
      <c r="D254" s="64" t="s">
        <v>119</v>
      </c>
      <c r="E254" s="68" t="s">
        <v>2678</v>
      </c>
      <c r="F254" s="71" t="s">
        <v>2682</v>
      </c>
      <c r="G254" s="71" t="s">
        <v>48</v>
      </c>
      <c r="H254" s="20"/>
      <c r="I254" s="20"/>
      <c r="J254" s="26"/>
      <c r="K254" s="71" t="s">
        <v>3334</v>
      </c>
      <c r="L254" s="71" t="s">
        <v>3335</v>
      </c>
      <c r="M254" s="68" t="s">
        <v>3336</v>
      </c>
      <c r="N254" s="67">
        <v>21.243454</v>
      </c>
      <c r="O254" s="67">
        <v>92.157837999999998</v>
      </c>
      <c r="P254" s="68">
        <v>150</v>
      </c>
      <c r="Q254" s="68"/>
      <c r="R254" s="18"/>
      <c r="S254" s="18"/>
      <c r="T254" s="27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17"/>
      <c r="AH254" s="24"/>
      <c r="AI254" s="25"/>
      <c r="AJ254" s="25"/>
    </row>
    <row r="255" spans="1:36" ht="15.6" x14ac:dyDescent="0.3">
      <c r="A255" s="63">
        <v>249</v>
      </c>
      <c r="B255" s="102" t="s">
        <v>3520</v>
      </c>
      <c r="C255" s="102" t="s">
        <v>3521</v>
      </c>
      <c r="D255" s="64" t="s">
        <v>119</v>
      </c>
      <c r="E255" s="68" t="s">
        <v>2678</v>
      </c>
      <c r="F255" s="71" t="s">
        <v>2682</v>
      </c>
      <c r="G255" s="71" t="s">
        <v>48</v>
      </c>
      <c r="H255" s="20"/>
      <c r="I255" s="20"/>
      <c r="J255" s="26"/>
      <c r="K255" s="68" t="s">
        <v>197</v>
      </c>
      <c r="L255" s="68" t="s">
        <v>198</v>
      </c>
      <c r="M255" s="68" t="s">
        <v>3337</v>
      </c>
      <c r="N255" s="67">
        <v>21.235554</v>
      </c>
      <c r="O255" s="67">
        <v>92.161784999999995</v>
      </c>
      <c r="P255" s="68">
        <v>350</v>
      </c>
      <c r="Q255" s="68"/>
      <c r="R255" s="18"/>
      <c r="S255" s="18"/>
      <c r="T255" s="27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17"/>
      <c r="AH255" s="24"/>
      <c r="AI255" s="25"/>
      <c r="AJ255" s="25"/>
    </row>
    <row r="256" spans="1:36" ht="15.6" x14ac:dyDescent="0.3">
      <c r="A256" s="63">
        <v>250</v>
      </c>
      <c r="B256" s="102" t="s">
        <v>3520</v>
      </c>
      <c r="C256" s="102" t="s">
        <v>3521</v>
      </c>
      <c r="D256" s="64" t="s">
        <v>119</v>
      </c>
      <c r="E256" s="68" t="s">
        <v>2678</v>
      </c>
      <c r="F256" s="71" t="s">
        <v>2682</v>
      </c>
      <c r="G256" s="71" t="s">
        <v>48</v>
      </c>
      <c r="H256" s="20"/>
      <c r="I256" s="20"/>
      <c r="J256" s="26"/>
      <c r="K256" s="71" t="s">
        <v>3338</v>
      </c>
      <c r="L256" s="71" t="s">
        <v>3339</v>
      </c>
      <c r="M256" s="68" t="s">
        <v>3340</v>
      </c>
      <c r="N256" s="67">
        <v>21.234503</v>
      </c>
      <c r="O256" s="67">
        <v>92.163889999999995</v>
      </c>
      <c r="P256" s="68">
        <v>200</v>
      </c>
      <c r="Q256" s="68"/>
      <c r="R256" s="18"/>
      <c r="S256" s="18"/>
      <c r="T256" s="27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17"/>
      <c r="AH256" s="24"/>
      <c r="AI256" s="25"/>
      <c r="AJ256" s="25"/>
    </row>
    <row r="257" spans="1:36" ht="15.6" x14ac:dyDescent="0.3">
      <c r="A257" s="63">
        <v>251</v>
      </c>
      <c r="B257" s="102" t="s">
        <v>3520</v>
      </c>
      <c r="C257" s="102" t="s">
        <v>3521</v>
      </c>
      <c r="D257" s="64" t="s">
        <v>119</v>
      </c>
      <c r="E257" s="68" t="s">
        <v>2678</v>
      </c>
      <c r="F257" s="71" t="s">
        <v>2682</v>
      </c>
      <c r="G257" s="71" t="s">
        <v>49</v>
      </c>
      <c r="H257" s="20"/>
      <c r="I257" s="20"/>
      <c r="J257" s="26"/>
      <c r="K257" s="71" t="s">
        <v>3341</v>
      </c>
      <c r="L257" s="71" t="s">
        <v>3342</v>
      </c>
      <c r="M257" s="68" t="s">
        <v>3343</v>
      </c>
      <c r="N257" s="67">
        <v>21.226368000000001</v>
      </c>
      <c r="O257" s="67">
        <v>92.164953999999994</v>
      </c>
      <c r="P257" s="68">
        <v>1500</v>
      </c>
      <c r="Q257" s="68"/>
      <c r="R257" s="18"/>
      <c r="S257" s="18"/>
      <c r="T257" s="27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17"/>
      <c r="AH257" s="24"/>
      <c r="AI257" s="25"/>
      <c r="AJ257" s="25"/>
    </row>
    <row r="258" spans="1:36" ht="15.6" x14ac:dyDescent="0.3">
      <c r="A258" s="63">
        <v>252</v>
      </c>
      <c r="B258" s="102" t="s">
        <v>3520</v>
      </c>
      <c r="C258" s="102" t="s">
        <v>3521</v>
      </c>
      <c r="D258" s="64" t="s">
        <v>119</v>
      </c>
      <c r="E258" s="68" t="s">
        <v>2678</v>
      </c>
      <c r="F258" s="71" t="s">
        <v>2682</v>
      </c>
      <c r="G258" s="71" t="s">
        <v>49</v>
      </c>
      <c r="H258" s="20"/>
      <c r="I258" s="20"/>
      <c r="J258" s="26"/>
      <c r="K258" s="71" t="s">
        <v>3344</v>
      </c>
      <c r="L258" s="71" t="s">
        <v>3345</v>
      </c>
      <c r="M258" s="68" t="s">
        <v>3346</v>
      </c>
      <c r="N258" s="67">
        <v>21.223901999999999</v>
      </c>
      <c r="O258" s="67">
        <v>92.159300999999999</v>
      </c>
      <c r="P258" s="68">
        <v>1000</v>
      </c>
      <c r="Q258" s="68"/>
      <c r="R258" s="18"/>
      <c r="S258" s="18"/>
      <c r="T258" s="27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17"/>
      <c r="AH258" s="24"/>
      <c r="AI258" s="25"/>
      <c r="AJ258" s="25"/>
    </row>
    <row r="259" spans="1:36" ht="15.6" x14ac:dyDescent="0.3">
      <c r="A259" s="63">
        <v>253</v>
      </c>
      <c r="B259" s="102" t="s">
        <v>3520</v>
      </c>
      <c r="C259" s="102" t="s">
        <v>3521</v>
      </c>
      <c r="D259" s="64" t="s">
        <v>119</v>
      </c>
      <c r="E259" s="68" t="s">
        <v>2678</v>
      </c>
      <c r="F259" s="71" t="s">
        <v>2682</v>
      </c>
      <c r="G259" s="71" t="s">
        <v>49</v>
      </c>
      <c r="H259" s="20"/>
      <c r="I259" s="20"/>
      <c r="J259" s="26"/>
      <c r="K259" s="71" t="s">
        <v>3347</v>
      </c>
      <c r="L259" s="71" t="s">
        <v>3348</v>
      </c>
      <c r="M259" s="68" t="s">
        <v>3349</v>
      </c>
      <c r="N259" s="67">
        <v>21.232296000000002</v>
      </c>
      <c r="O259" s="67">
        <v>92.159211999999997</v>
      </c>
      <c r="P259" s="68">
        <v>500</v>
      </c>
      <c r="Q259" s="68"/>
      <c r="R259" s="18"/>
      <c r="S259" s="18"/>
      <c r="T259" s="27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17"/>
      <c r="AH259" s="24"/>
      <c r="AI259" s="25"/>
      <c r="AJ259" s="25"/>
    </row>
    <row r="260" spans="1:36" ht="15.6" x14ac:dyDescent="0.3">
      <c r="A260" s="63">
        <v>254</v>
      </c>
      <c r="B260" s="102" t="s">
        <v>3520</v>
      </c>
      <c r="C260" s="102" t="s">
        <v>3521</v>
      </c>
      <c r="D260" s="64" t="s">
        <v>119</v>
      </c>
      <c r="E260" s="68" t="s">
        <v>2678</v>
      </c>
      <c r="F260" s="71" t="s">
        <v>2682</v>
      </c>
      <c r="G260" s="71" t="s">
        <v>49</v>
      </c>
      <c r="H260" s="20"/>
      <c r="I260" s="20"/>
      <c r="J260" s="26"/>
      <c r="K260" s="71" t="s">
        <v>3350</v>
      </c>
      <c r="L260" s="71" t="s">
        <v>3351</v>
      </c>
      <c r="M260" s="68" t="s">
        <v>3352</v>
      </c>
      <c r="N260" s="67">
        <v>21.233540999999999</v>
      </c>
      <c r="O260" s="67">
        <v>92.171629999999993</v>
      </c>
      <c r="P260" s="68">
        <v>500</v>
      </c>
      <c r="Q260" s="68"/>
      <c r="R260" s="18"/>
      <c r="S260" s="18"/>
      <c r="T260" s="22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17"/>
      <c r="AH260" s="24"/>
      <c r="AI260" s="25"/>
      <c r="AJ260" s="25"/>
    </row>
    <row r="261" spans="1:36" ht="15.6" x14ac:dyDescent="0.3">
      <c r="A261" s="63">
        <v>255</v>
      </c>
      <c r="B261" s="102" t="s">
        <v>3520</v>
      </c>
      <c r="C261" s="102" t="s">
        <v>3521</v>
      </c>
      <c r="D261" s="64" t="s">
        <v>119</v>
      </c>
      <c r="E261" s="68" t="s">
        <v>2678</v>
      </c>
      <c r="F261" s="71" t="s">
        <v>2682</v>
      </c>
      <c r="G261" s="71" t="s">
        <v>49</v>
      </c>
      <c r="H261" s="20"/>
      <c r="I261" s="20"/>
      <c r="J261" s="26"/>
      <c r="K261" s="71" t="s">
        <v>3268</v>
      </c>
      <c r="L261" s="71" t="s">
        <v>3269</v>
      </c>
      <c r="M261" s="68" t="s">
        <v>3353</v>
      </c>
      <c r="N261" s="67">
        <v>21.242673</v>
      </c>
      <c r="O261" s="67">
        <v>92.149508999999995</v>
      </c>
      <c r="P261" s="68">
        <v>1000</v>
      </c>
      <c r="Q261" s="68"/>
      <c r="R261" s="18"/>
      <c r="S261" s="18"/>
      <c r="T261" s="27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17"/>
      <c r="AH261" s="24"/>
      <c r="AI261" s="25"/>
      <c r="AJ261" s="25"/>
    </row>
    <row r="262" spans="1:36" ht="15.6" x14ac:dyDescent="0.3">
      <c r="A262" s="63">
        <v>256</v>
      </c>
      <c r="B262" s="102" t="s">
        <v>3520</v>
      </c>
      <c r="C262" s="102" t="s">
        <v>3521</v>
      </c>
      <c r="D262" s="64" t="s">
        <v>119</v>
      </c>
      <c r="E262" s="68" t="s">
        <v>2678</v>
      </c>
      <c r="F262" s="71" t="s">
        <v>2682</v>
      </c>
      <c r="G262" s="71" t="s">
        <v>49</v>
      </c>
      <c r="H262" s="20"/>
      <c r="I262" s="20"/>
      <c r="J262" s="28"/>
      <c r="K262" s="71" t="s">
        <v>3334</v>
      </c>
      <c r="L262" s="71" t="s">
        <v>3335</v>
      </c>
      <c r="M262" s="68" t="s">
        <v>3354</v>
      </c>
      <c r="N262" s="67">
        <v>21.243993</v>
      </c>
      <c r="O262" s="67">
        <v>92.154876999999999</v>
      </c>
      <c r="P262" s="68">
        <v>1000</v>
      </c>
      <c r="Q262" s="68"/>
      <c r="R262" s="18"/>
      <c r="S262" s="18"/>
      <c r="T262" s="27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17"/>
      <c r="AH262" s="24"/>
      <c r="AI262" s="25"/>
      <c r="AJ262" s="25"/>
    </row>
    <row r="263" spans="1:36" ht="15.6" x14ac:dyDescent="0.3">
      <c r="A263" s="63">
        <v>257</v>
      </c>
      <c r="B263" s="102" t="s">
        <v>3520</v>
      </c>
      <c r="C263" s="102" t="s">
        <v>3521</v>
      </c>
      <c r="D263" s="64" t="s">
        <v>119</v>
      </c>
      <c r="E263" s="68" t="s">
        <v>2678</v>
      </c>
      <c r="F263" s="71" t="s">
        <v>2682</v>
      </c>
      <c r="G263" s="71" t="s">
        <v>49</v>
      </c>
      <c r="H263" s="20"/>
      <c r="I263" s="20"/>
      <c r="J263" s="28"/>
      <c r="K263" s="76" t="s">
        <v>3440</v>
      </c>
      <c r="L263" s="71" t="s">
        <v>3507</v>
      </c>
      <c r="M263" s="68" t="s">
        <v>3450</v>
      </c>
      <c r="N263" s="101">
        <v>21.216342000000001</v>
      </c>
      <c r="O263" s="101">
        <v>92.155902999999995</v>
      </c>
      <c r="P263" s="68"/>
      <c r="Q263" s="68"/>
      <c r="R263" s="18"/>
      <c r="S263" s="18"/>
      <c r="T263" s="27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17"/>
      <c r="AH263" s="24"/>
      <c r="AI263" s="25"/>
      <c r="AJ263" s="25"/>
    </row>
    <row r="264" spans="1:36" ht="15.6" x14ac:dyDescent="0.3">
      <c r="A264" s="63">
        <v>258</v>
      </c>
      <c r="B264" s="102" t="s">
        <v>3520</v>
      </c>
      <c r="C264" s="102" t="s">
        <v>3521</v>
      </c>
      <c r="D264" s="64" t="s">
        <v>119</v>
      </c>
      <c r="E264" s="68" t="s">
        <v>2678</v>
      </c>
      <c r="F264" s="71" t="s">
        <v>2682</v>
      </c>
      <c r="G264" s="71" t="s">
        <v>49</v>
      </c>
      <c r="H264" s="20"/>
      <c r="I264" s="20"/>
      <c r="J264" s="28"/>
      <c r="K264" s="76" t="s">
        <v>3441</v>
      </c>
      <c r="L264" s="71" t="s">
        <v>3508</v>
      </c>
      <c r="M264" s="68" t="s">
        <v>3451</v>
      </c>
      <c r="N264" s="101">
        <v>21.213419999999999</v>
      </c>
      <c r="O264" s="101">
        <v>92.152348000000003</v>
      </c>
      <c r="P264" s="68"/>
      <c r="Q264" s="68"/>
      <c r="R264" s="18"/>
      <c r="S264" s="18"/>
      <c r="T264" s="27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17"/>
      <c r="AH264" s="24"/>
      <c r="AI264" s="25"/>
      <c r="AJ264" s="25"/>
    </row>
    <row r="265" spans="1:36" ht="15.6" x14ac:dyDescent="0.3">
      <c r="A265" s="63">
        <v>259</v>
      </c>
      <c r="B265" s="102" t="s">
        <v>3520</v>
      </c>
      <c r="C265" s="102" t="s">
        <v>3521</v>
      </c>
      <c r="D265" s="64" t="s">
        <v>119</v>
      </c>
      <c r="E265" s="68" t="s">
        <v>2678</v>
      </c>
      <c r="F265" s="71" t="s">
        <v>2682</v>
      </c>
      <c r="G265" s="71" t="s">
        <v>49</v>
      </c>
      <c r="H265" s="20"/>
      <c r="I265" s="20"/>
      <c r="J265" s="28"/>
      <c r="K265" s="76" t="s">
        <v>3442</v>
      </c>
      <c r="L265" s="71" t="s">
        <v>3509</v>
      </c>
      <c r="M265" s="68" t="s">
        <v>3452</v>
      </c>
      <c r="N265" s="101">
        <v>21.207808</v>
      </c>
      <c r="O265" s="101">
        <v>92.164336000000006</v>
      </c>
      <c r="P265" s="68"/>
      <c r="Q265" s="68"/>
      <c r="R265" s="18"/>
      <c r="S265" s="18"/>
      <c r="T265" s="27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17"/>
      <c r="AH265" s="24"/>
      <c r="AI265" s="25"/>
      <c r="AJ265" s="25"/>
    </row>
    <row r="266" spans="1:36" ht="15.6" x14ac:dyDescent="0.3">
      <c r="A266" s="63">
        <v>260</v>
      </c>
      <c r="B266" s="102" t="s">
        <v>3520</v>
      </c>
      <c r="C266" s="102" t="s">
        <v>3521</v>
      </c>
      <c r="D266" s="64" t="s">
        <v>119</v>
      </c>
      <c r="E266" s="68" t="s">
        <v>2678</v>
      </c>
      <c r="F266" s="71" t="s">
        <v>2682</v>
      </c>
      <c r="G266" s="71" t="s">
        <v>49</v>
      </c>
      <c r="H266" s="20"/>
      <c r="I266" s="20"/>
      <c r="J266" s="28"/>
      <c r="K266" s="76" t="s">
        <v>3443</v>
      </c>
      <c r="L266" s="71" t="s">
        <v>3510</v>
      </c>
      <c r="M266" s="68" t="s">
        <v>3453</v>
      </c>
      <c r="N266" s="101">
        <v>21.208917</v>
      </c>
      <c r="O266" s="101">
        <v>92.158197999999999</v>
      </c>
      <c r="P266" s="68"/>
      <c r="Q266" s="68"/>
      <c r="R266" s="18"/>
      <c r="S266" s="18"/>
      <c r="T266" s="27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17"/>
      <c r="AH266" s="24"/>
      <c r="AI266" s="25"/>
      <c r="AJ266" s="25"/>
    </row>
    <row r="267" spans="1:36" ht="15.6" x14ac:dyDescent="0.3">
      <c r="A267" s="63">
        <v>261</v>
      </c>
      <c r="B267" s="102" t="s">
        <v>3520</v>
      </c>
      <c r="C267" s="102" t="s">
        <v>3521</v>
      </c>
      <c r="D267" s="64" t="s">
        <v>119</v>
      </c>
      <c r="E267" s="68" t="s">
        <v>2678</v>
      </c>
      <c r="F267" s="71" t="s">
        <v>2682</v>
      </c>
      <c r="G267" s="71" t="s">
        <v>49</v>
      </c>
      <c r="H267" s="20"/>
      <c r="I267" s="20"/>
      <c r="J267" s="28"/>
      <c r="K267" s="76" t="s">
        <v>3444</v>
      </c>
      <c r="L267" s="71" t="s">
        <v>3511</v>
      </c>
      <c r="M267" s="68" t="s">
        <v>3454</v>
      </c>
      <c r="N267" s="101">
        <v>21.209166</v>
      </c>
      <c r="O267" s="101">
        <v>92.149163999999999</v>
      </c>
      <c r="P267" s="68"/>
      <c r="Q267" s="68"/>
      <c r="R267" s="18"/>
      <c r="S267" s="18"/>
      <c r="T267" s="27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17"/>
      <c r="AH267" s="24"/>
      <c r="AI267" s="25"/>
      <c r="AJ267" s="25"/>
    </row>
    <row r="268" spans="1:36" ht="15.6" x14ac:dyDescent="0.3">
      <c r="A268" s="63">
        <v>262</v>
      </c>
      <c r="B268" s="102" t="s">
        <v>3520</v>
      </c>
      <c r="C268" s="102" t="s">
        <v>3521</v>
      </c>
      <c r="D268" s="64" t="s">
        <v>119</v>
      </c>
      <c r="E268" s="68" t="s">
        <v>2678</v>
      </c>
      <c r="F268" s="71" t="s">
        <v>2682</v>
      </c>
      <c r="G268" s="71" t="s">
        <v>49</v>
      </c>
      <c r="H268" s="20"/>
      <c r="I268" s="20"/>
      <c r="J268" s="28"/>
      <c r="K268" s="76" t="s">
        <v>3445</v>
      </c>
      <c r="L268" s="71" t="s">
        <v>3512</v>
      </c>
      <c r="M268" s="68" t="s">
        <v>3455</v>
      </c>
      <c r="N268" s="101">
        <v>21.208248999999999</v>
      </c>
      <c r="O268" s="101">
        <v>92.142885000000007</v>
      </c>
      <c r="P268" s="68"/>
      <c r="Q268" s="68"/>
      <c r="R268" s="18"/>
      <c r="S268" s="18"/>
      <c r="T268" s="27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17"/>
      <c r="AH268" s="24"/>
      <c r="AI268" s="25"/>
      <c r="AJ268" s="25"/>
    </row>
    <row r="269" spans="1:36" ht="15.6" x14ac:dyDescent="0.3">
      <c r="A269" s="63">
        <v>263</v>
      </c>
      <c r="B269" s="102" t="s">
        <v>3520</v>
      </c>
      <c r="C269" s="102" t="s">
        <v>3521</v>
      </c>
      <c r="D269" s="64" t="s">
        <v>119</v>
      </c>
      <c r="E269" s="68" t="s">
        <v>2678</v>
      </c>
      <c r="F269" s="71" t="s">
        <v>2682</v>
      </c>
      <c r="G269" s="71" t="s">
        <v>49</v>
      </c>
      <c r="H269" s="20"/>
      <c r="I269" s="20"/>
      <c r="J269" s="28"/>
      <c r="K269" s="76" t="s">
        <v>3446</v>
      </c>
      <c r="L269" s="71" t="s">
        <v>3516</v>
      </c>
      <c r="M269" s="68" t="s">
        <v>3456</v>
      </c>
      <c r="N269" s="101">
        <v>21.206271999999998</v>
      </c>
      <c r="O269" s="101">
        <v>92.136679000000001</v>
      </c>
      <c r="P269" s="68"/>
      <c r="Q269" s="68"/>
      <c r="R269" s="18"/>
      <c r="S269" s="18"/>
      <c r="T269" s="27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17"/>
      <c r="AH269" s="24"/>
      <c r="AI269" s="25"/>
      <c r="AJ269" s="25"/>
    </row>
    <row r="270" spans="1:36" ht="15.6" x14ac:dyDescent="0.3">
      <c r="A270" s="63">
        <v>264</v>
      </c>
      <c r="B270" s="102" t="s">
        <v>3520</v>
      </c>
      <c r="C270" s="102" t="s">
        <v>3521</v>
      </c>
      <c r="D270" s="64" t="s">
        <v>119</v>
      </c>
      <c r="E270" s="68" t="s">
        <v>2678</v>
      </c>
      <c r="F270" s="71" t="s">
        <v>2682</v>
      </c>
      <c r="G270" s="71" t="s">
        <v>49</v>
      </c>
      <c r="H270" s="20"/>
      <c r="I270" s="20"/>
      <c r="J270" s="28"/>
      <c r="K270" s="76" t="s">
        <v>3447</v>
      </c>
      <c r="L270" s="71" t="s">
        <v>3513</v>
      </c>
      <c r="M270" s="68" t="s">
        <v>3457</v>
      </c>
      <c r="N270" s="101">
        <v>21.202200000000001</v>
      </c>
      <c r="O270" s="101">
        <v>92.150813999999997</v>
      </c>
      <c r="P270" s="68"/>
      <c r="Q270" s="68"/>
      <c r="R270" s="18"/>
      <c r="S270" s="18"/>
      <c r="T270" s="27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17"/>
      <c r="AH270" s="24"/>
      <c r="AI270" s="25"/>
      <c r="AJ270" s="25"/>
    </row>
    <row r="271" spans="1:36" ht="15.6" x14ac:dyDescent="0.3">
      <c r="A271" s="63">
        <v>265</v>
      </c>
      <c r="B271" s="102" t="s">
        <v>3520</v>
      </c>
      <c r="C271" s="102" t="s">
        <v>3521</v>
      </c>
      <c r="D271" s="64" t="s">
        <v>119</v>
      </c>
      <c r="E271" s="68" t="s">
        <v>2678</v>
      </c>
      <c r="F271" s="71" t="s">
        <v>2682</v>
      </c>
      <c r="G271" s="71" t="s">
        <v>49</v>
      </c>
      <c r="H271" s="20"/>
      <c r="I271" s="20"/>
      <c r="J271" s="28"/>
      <c r="K271" s="76" t="s">
        <v>3448</v>
      </c>
      <c r="L271" s="71" t="s">
        <v>3514</v>
      </c>
      <c r="M271" s="68" t="s">
        <v>3458</v>
      </c>
      <c r="N271" s="101">
        <v>21.203942000000001</v>
      </c>
      <c r="O271" s="101">
        <v>92.156858999999997</v>
      </c>
      <c r="P271" s="68"/>
      <c r="Q271" s="68"/>
      <c r="R271" s="18"/>
      <c r="S271" s="18"/>
      <c r="T271" s="27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17"/>
      <c r="AH271" s="24"/>
      <c r="AI271" s="25"/>
      <c r="AJ271" s="25"/>
    </row>
    <row r="272" spans="1:36" ht="15.6" x14ac:dyDescent="0.3">
      <c r="A272" s="63">
        <v>266</v>
      </c>
      <c r="B272" s="102" t="s">
        <v>3520</v>
      </c>
      <c r="C272" s="102" t="s">
        <v>3521</v>
      </c>
      <c r="D272" s="64" t="s">
        <v>119</v>
      </c>
      <c r="E272" s="68" t="s">
        <v>2678</v>
      </c>
      <c r="F272" s="71" t="s">
        <v>2682</v>
      </c>
      <c r="G272" s="71" t="s">
        <v>49</v>
      </c>
      <c r="H272" s="20"/>
      <c r="I272" s="20"/>
      <c r="J272" s="28"/>
      <c r="K272" s="76" t="s">
        <v>3449</v>
      </c>
      <c r="L272" s="71" t="s">
        <v>3515</v>
      </c>
      <c r="M272" s="68" t="s">
        <v>3459</v>
      </c>
      <c r="N272" s="101">
        <v>21.212011</v>
      </c>
      <c r="O272" s="101">
        <v>92.164021000000005</v>
      </c>
      <c r="P272" s="68"/>
      <c r="Q272" s="68"/>
      <c r="R272" s="18"/>
      <c r="S272" s="18"/>
      <c r="T272" s="27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17"/>
      <c r="AH272" s="24"/>
      <c r="AI272" s="25"/>
      <c r="AJ272" s="25"/>
    </row>
    <row r="273" spans="1:36" ht="15.6" x14ac:dyDescent="0.3">
      <c r="A273" s="63">
        <v>267</v>
      </c>
      <c r="B273" s="102" t="s">
        <v>3520</v>
      </c>
      <c r="C273" s="102" t="s">
        <v>3521</v>
      </c>
      <c r="D273" s="64" t="s">
        <v>119</v>
      </c>
      <c r="E273" s="68" t="s">
        <v>2678</v>
      </c>
      <c r="F273" s="71" t="s">
        <v>2683</v>
      </c>
      <c r="G273" s="71" t="s">
        <v>41</v>
      </c>
      <c r="H273" s="20"/>
      <c r="I273" s="20"/>
      <c r="J273" s="26"/>
      <c r="K273" s="71" t="s">
        <v>3355</v>
      </c>
      <c r="L273" s="71" t="s">
        <v>3356</v>
      </c>
      <c r="M273" s="68" t="s">
        <v>3357</v>
      </c>
      <c r="N273" s="67">
        <v>21.278003999999999</v>
      </c>
      <c r="O273" s="67">
        <v>92.102429999999998</v>
      </c>
      <c r="P273" s="68">
        <v>500</v>
      </c>
      <c r="Q273" s="68"/>
      <c r="R273" s="18"/>
      <c r="S273" s="18"/>
      <c r="T273" s="27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17"/>
      <c r="AH273" s="24"/>
      <c r="AI273" s="25"/>
      <c r="AJ273" s="25"/>
    </row>
    <row r="274" spans="1:36" ht="15.6" x14ac:dyDescent="0.3">
      <c r="A274" s="63">
        <v>268</v>
      </c>
      <c r="B274" s="102" t="s">
        <v>3520</v>
      </c>
      <c r="C274" s="102" t="s">
        <v>3521</v>
      </c>
      <c r="D274" s="64" t="s">
        <v>119</v>
      </c>
      <c r="E274" s="68" t="s">
        <v>2678</v>
      </c>
      <c r="F274" s="71" t="s">
        <v>2683</v>
      </c>
      <c r="G274" s="71" t="s">
        <v>41</v>
      </c>
      <c r="H274" s="20"/>
      <c r="I274" s="20"/>
      <c r="J274" s="26"/>
      <c r="K274" s="75" t="s">
        <v>1512</v>
      </c>
      <c r="L274" s="75" t="s">
        <v>1513</v>
      </c>
      <c r="M274" s="68" t="s">
        <v>3358</v>
      </c>
      <c r="N274" s="67">
        <v>21.278134999999999</v>
      </c>
      <c r="O274" s="67">
        <v>92.106076999999999</v>
      </c>
      <c r="P274" s="68">
        <v>800</v>
      </c>
      <c r="Q274" s="68"/>
      <c r="R274" s="18"/>
      <c r="S274" s="18"/>
      <c r="T274" s="27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17"/>
      <c r="AH274" s="24"/>
      <c r="AI274" s="25"/>
      <c r="AJ274" s="25"/>
    </row>
    <row r="275" spans="1:36" ht="15.6" x14ac:dyDescent="0.3">
      <c r="A275" s="63">
        <v>269</v>
      </c>
      <c r="B275" s="102" t="s">
        <v>3520</v>
      </c>
      <c r="C275" s="102" t="s">
        <v>3521</v>
      </c>
      <c r="D275" s="64" t="s">
        <v>119</v>
      </c>
      <c r="E275" s="68" t="s">
        <v>2678</v>
      </c>
      <c r="F275" s="71" t="s">
        <v>2683</v>
      </c>
      <c r="G275" s="71" t="s">
        <v>41</v>
      </c>
      <c r="H275" s="20"/>
      <c r="I275" s="20"/>
      <c r="J275" s="26"/>
      <c r="K275" s="75" t="s">
        <v>3359</v>
      </c>
      <c r="L275" s="75" t="s">
        <v>3360</v>
      </c>
      <c r="M275" s="68" t="s">
        <v>3361</v>
      </c>
      <c r="N275" s="67">
        <v>21.278728999999998</v>
      </c>
      <c r="O275" s="67">
        <v>92.112223999999998</v>
      </c>
      <c r="P275" s="68">
        <v>800</v>
      </c>
      <c r="Q275" s="68"/>
      <c r="R275" s="18"/>
      <c r="S275" s="18"/>
      <c r="T275" s="27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17"/>
      <c r="AH275" s="24"/>
      <c r="AI275" s="25"/>
      <c r="AJ275" s="25"/>
    </row>
    <row r="276" spans="1:36" ht="15.6" x14ac:dyDescent="0.3">
      <c r="A276" s="63">
        <v>270</v>
      </c>
      <c r="B276" s="102" t="s">
        <v>3520</v>
      </c>
      <c r="C276" s="102" t="s">
        <v>3521</v>
      </c>
      <c r="D276" s="64" t="s">
        <v>119</v>
      </c>
      <c r="E276" s="68" t="s">
        <v>2678</v>
      </c>
      <c r="F276" s="71" t="s">
        <v>2683</v>
      </c>
      <c r="G276" s="71" t="s">
        <v>41</v>
      </c>
      <c r="H276" s="20"/>
      <c r="I276" s="20"/>
      <c r="J276" s="26"/>
      <c r="K276" s="75" t="s">
        <v>3362</v>
      </c>
      <c r="L276" s="75" t="s">
        <v>3363</v>
      </c>
      <c r="M276" s="68" t="s">
        <v>3364</v>
      </c>
      <c r="N276" s="67">
        <v>21.280481000000002</v>
      </c>
      <c r="O276" s="67">
        <v>92.120176999999998</v>
      </c>
      <c r="P276" s="68">
        <v>600</v>
      </c>
      <c r="Q276" s="68"/>
      <c r="R276" s="18"/>
      <c r="S276" s="18"/>
      <c r="T276" s="27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17"/>
      <c r="AH276" s="24"/>
      <c r="AI276" s="25"/>
      <c r="AJ276" s="25"/>
    </row>
    <row r="277" spans="1:36" ht="15.6" x14ac:dyDescent="0.3">
      <c r="A277" s="63">
        <v>271</v>
      </c>
      <c r="B277" s="102" t="s">
        <v>3520</v>
      </c>
      <c r="C277" s="102" t="s">
        <v>3521</v>
      </c>
      <c r="D277" s="64" t="s">
        <v>119</v>
      </c>
      <c r="E277" s="68" t="s">
        <v>2678</v>
      </c>
      <c r="F277" s="71" t="s">
        <v>2683</v>
      </c>
      <c r="G277" s="71" t="s">
        <v>41</v>
      </c>
      <c r="H277" s="20"/>
      <c r="I277" s="20"/>
      <c r="J277" s="23"/>
      <c r="K277" s="75" t="s">
        <v>3365</v>
      </c>
      <c r="L277" s="75" t="s">
        <v>3366</v>
      </c>
      <c r="M277" s="68" t="s">
        <v>3367</v>
      </c>
      <c r="N277" s="67">
        <v>21.283386</v>
      </c>
      <c r="O277" s="67">
        <v>92.123997000000003</v>
      </c>
      <c r="P277" s="68">
        <v>300</v>
      </c>
      <c r="Q277" s="68"/>
      <c r="R277" s="18"/>
      <c r="S277" s="18"/>
      <c r="T277" s="27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17"/>
      <c r="AH277" s="24"/>
      <c r="AI277" s="25"/>
      <c r="AJ277" s="25"/>
    </row>
    <row r="278" spans="1:36" ht="15.6" x14ac:dyDescent="0.3">
      <c r="A278" s="63">
        <v>272</v>
      </c>
      <c r="B278" s="102" t="s">
        <v>3520</v>
      </c>
      <c r="C278" s="102" t="s">
        <v>3521</v>
      </c>
      <c r="D278" s="64" t="s">
        <v>119</v>
      </c>
      <c r="E278" s="68" t="s">
        <v>2678</v>
      </c>
      <c r="F278" s="71" t="s">
        <v>2683</v>
      </c>
      <c r="G278" s="71" t="s">
        <v>41</v>
      </c>
      <c r="H278" s="20"/>
      <c r="I278" s="20"/>
      <c r="J278" s="26"/>
      <c r="K278" s="68" t="s">
        <v>262</v>
      </c>
      <c r="L278" s="69" t="s">
        <v>263</v>
      </c>
      <c r="M278" s="68" t="s">
        <v>3368</v>
      </c>
      <c r="N278" s="67">
        <v>21.28351</v>
      </c>
      <c r="O278" s="67">
        <v>92.128670999999997</v>
      </c>
      <c r="P278" s="68">
        <v>400</v>
      </c>
      <c r="Q278" s="68"/>
      <c r="R278" s="18"/>
      <c r="S278" s="18"/>
      <c r="T278" s="27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17"/>
      <c r="AH278" s="24"/>
      <c r="AI278" s="25"/>
      <c r="AJ278" s="25"/>
    </row>
    <row r="279" spans="1:36" ht="15.6" x14ac:dyDescent="0.3">
      <c r="A279" s="63">
        <v>273</v>
      </c>
      <c r="B279" s="102" t="s">
        <v>3520</v>
      </c>
      <c r="C279" s="102" t="s">
        <v>3521</v>
      </c>
      <c r="D279" s="64" t="s">
        <v>119</v>
      </c>
      <c r="E279" s="68" t="s">
        <v>2678</v>
      </c>
      <c r="F279" s="71" t="s">
        <v>2683</v>
      </c>
      <c r="G279" s="71" t="s">
        <v>41</v>
      </c>
      <c r="H279" s="20"/>
      <c r="I279" s="20"/>
      <c r="J279" s="26"/>
      <c r="K279" s="75" t="s">
        <v>3369</v>
      </c>
      <c r="L279" s="75" t="s">
        <v>3370</v>
      </c>
      <c r="M279" s="68" t="s">
        <v>3371</v>
      </c>
      <c r="N279" s="67">
        <v>21.290164000000001</v>
      </c>
      <c r="O279" s="67">
        <v>92.127536000000006</v>
      </c>
      <c r="P279" s="68">
        <v>500</v>
      </c>
      <c r="Q279" s="68"/>
      <c r="R279" s="18"/>
      <c r="S279" s="18"/>
      <c r="T279" s="27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17"/>
      <c r="AH279" s="24"/>
      <c r="AI279" s="25"/>
      <c r="AJ279" s="25"/>
    </row>
    <row r="280" spans="1:36" ht="15.6" x14ac:dyDescent="0.3">
      <c r="A280" s="63">
        <v>274</v>
      </c>
      <c r="B280" s="102" t="s">
        <v>3520</v>
      </c>
      <c r="C280" s="102" t="s">
        <v>3521</v>
      </c>
      <c r="D280" s="64" t="s">
        <v>119</v>
      </c>
      <c r="E280" s="68" t="s">
        <v>2678</v>
      </c>
      <c r="F280" s="71" t="s">
        <v>2683</v>
      </c>
      <c r="G280" s="71" t="s">
        <v>41</v>
      </c>
      <c r="H280" s="20"/>
      <c r="I280" s="20"/>
      <c r="J280" s="26"/>
      <c r="K280" s="68" t="s">
        <v>568</v>
      </c>
      <c r="L280" s="100" t="s">
        <v>3372</v>
      </c>
      <c r="M280" s="68" t="s">
        <v>3373</v>
      </c>
      <c r="N280" s="67">
        <v>21.290313999999999</v>
      </c>
      <c r="O280" s="67">
        <v>92.129718999999994</v>
      </c>
      <c r="P280" s="68">
        <v>600</v>
      </c>
      <c r="Q280" s="68"/>
      <c r="R280" s="18"/>
      <c r="S280" s="18"/>
      <c r="T280" s="27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17"/>
      <c r="AH280" s="24"/>
      <c r="AI280" s="25"/>
      <c r="AJ280" s="25"/>
    </row>
    <row r="281" spans="1:36" ht="15.6" x14ac:dyDescent="0.3">
      <c r="A281" s="63">
        <v>275</v>
      </c>
      <c r="B281" s="102" t="s">
        <v>3520</v>
      </c>
      <c r="C281" s="102" t="s">
        <v>3521</v>
      </c>
      <c r="D281" s="64" t="s">
        <v>119</v>
      </c>
      <c r="E281" s="68" t="s">
        <v>2678</v>
      </c>
      <c r="F281" s="71" t="s">
        <v>2683</v>
      </c>
      <c r="G281" s="71" t="s">
        <v>42</v>
      </c>
      <c r="H281" s="20"/>
      <c r="I281" s="20"/>
      <c r="J281" s="26"/>
      <c r="K281" s="68" t="s">
        <v>262</v>
      </c>
      <c r="L281" s="69" t="s">
        <v>263</v>
      </c>
      <c r="M281" s="68" t="s">
        <v>3374</v>
      </c>
      <c r="N281" s="67">
        <v>21.285185999999999</v>
      </c>
      <c r="O281" s="67">
        <v>92.137116000000006</v>
      </c>
      <c r="P281" s="68">
        <v>2500</v>
      </c>
      <c r="Q281" s="68"/>
      <c r="R281" s="18"/>
      <c r="S281" s="18"/>
      <c r="T281" s="27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17"/>
      <c r="AH281" s="24"/>
      <c r="AI281" s="25"/>
      <c r="AJ281" s="25"/>
    </row>
    <row r="282" spans="1:36" ht="15.6" x14ac:dyDescent="0.3">
      <c r="A282" s="63">
        <v>276</v>
      </c>
      <c r="B282" s="102" t="s">
        <v>3520</v>
      </c>
      <c r="C282" s="102" t="s">
        <v>3521</v>
      </c>
      <c r="D282" s="64" t="s">
        <v>119</v>
      </c>
      <c r="E282" s="68" t="s">
        <v>2678</v>
      </c>
      <c r="F282" s="71" t="s">
        <v>2683</v>
      </c>
      <c r="G282" s="71" t="s">
        <v>42</v>
      </c>
      <c r="H282" s="20"/>
      <c r="I282" s="20"/>
      <c r="J282" s="26"/>
      <c r="K282" s="75" t="s">
        <v>72</v>
      </c>
      <c r="L282" s="75" t="s">
        <v>73</v>
      </c>
      <c r="M282" s="68" t="s">
        <v>3375</v>
      </c>
      <c r="N282" s="67">
        <v>21.288699000000001</v>
      </c>
      <c r="O282" s="67">
        <v>92.141840999999999</v>
      </c>
      <c r="P282" s="68">
        <v>250</v>
      </c>
      <c r="Q282" s="68"/>
      <c r="R282" s="18"/>
      <c r="S282" s="18"/>
      <c r="T282" s="27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17"/>
      <c r="AH282" s="24"/>
      <c r="AI282" s="25"/>
      <c r="AJ282" s="25"/>
    </row>
    <row r="283" spans="1:36" ht="15.6" x14ac:dyDescent="0.3">
      <c r="A283" s="63">
        <v>277</v>
      </c>
      <c r="B283" s="102" t="s">
        <v>3520</v>
      </c>
      <c r="C283" s="102" t="s">
        <v>3521</v>
      </c>
      <c r="D283" s="64" t="s">
        <v>119</v>
      </c>
      <c r="E283" s="68" t="s">
        <v>2678</v>
      </c>
      <c r="F283" s="71" t="s">
        <v>2683</v>
      </c>
      <c r="G283" s="71" t="s">
        <v>42</v>
      </c>
      <c r="H283" s="20"/>
      <c r="I283" s="20"/>
      <c r="J283" s="26"/>
      <c r="K283" s="75" t="s">
        <v>67</v>
      </c>
      <c r="L283" s="75" t="s">
        <v>68</v>
      </c>
      <c r="M283" s="68" t="s">
        <v>3376</v>
      </c>
      <c r="N283" s="67">
        <v>21.292504000000001</v>
      </c>
      <c r="O283" s="67">
        <v>92.139240000000001</v>
      </c>
      <c r="P283" s="68">
        <v>800</v>
      </c>
      <c r="Q283" s="68"/>
      <c r="R283" s="18"/>
      <c r="S283" s="18"/>
      <c r="T283" s="27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17"/>
      <c r="AH283" s="24"/>
      <c r="AI283" s="25"/>
      <c r="AJ283" s="25"/>
    </row>
    <row r="284" spans="1:36" ht="15.6" x14ac:dyDescent="0.3">
      <c r="A284" s="63">
        <v>278</v>
      </c>
      <c r="B284" s="102" t="s">
        <v>3520</v>
      </c>
      <c r="C284" s="102" t="s">
        <v>3521</v>
      </c>
      <c r="D284" s="64" t="s">
        <v>119</v>
      </c>
      <c r="E284" s="68" t="s">
        <v>2678</v>
      </c>
      <c r="F284" s="71" t="s">
        <v>2683</v>
      </c>
      <c r="G284" s="71" t="s">
        <v>42</v>
      </c>
      <c r="H284" s="20"/>
      <c r="I284" s="20"/>
      <c r="J284" s="26"/>
      <c r="K284" s="75" t="s">
        <v>88</v>
      </c>
      <c r="L284" s="75" t="s">
        <v>89</v>
      </c>
      <c r="M284" s="68" t="s">
        <v>3377</v>
      </c>
      <c r="N284" s="67">
        <v>21.296555000000001</v>
      </c>
      <c r="O284" s="67">
        <v>92.140259999999998</v>
      </c>
      <c r="P284" s="68">
        <v>1200</v>
      </c>
      <c r="Q284" s="68"/>
      <c r="R284" s="18"/>
      <c r="S284" s="18"/>
      <c r="T284" s="27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17"/>
      <c r="AH284" s="24"/>
      <c r="AI284" s="25"/>
      <c r="AJ284" s="25"/>
    </row>
    <row r="285" spans="1:36" ht="15.6" x14ac:dyDescent="0.3">
      <c r="A285" s="63">
        <v>279</v>
      </c>
      <c r="B285" s="102" t="s">
        <v>3520</v>
      </c>
      <c r="C285" s="102" t="s">
        <v>3521</v>
      </c>
      <c r="D285" s="64" t="s">
        <v>119</v>
      </c>
      <c r="E285" s="68" t="s">
        <v>2678</v>
      </c>
      <c r="F285" s="71" t="s">
        <v>2683</v>
      </c>
      <c r="G285" s="71" t="s">
        <v>42</v>
      </c>
      <c r="H285" s="20"/>
      <c r="I285" s="20"/>
      <c r="J285" s="26"/>
      <c r="K285" s="75" t="s">
        <v>3378</v>
      </c>
      <c r="L285" s="75" t="s">
        <v>3379</v>
      </c>
      <c r="M285" s="68" t="s">
        <v>3380</v>
      </c>
      <c r="N285" s="67">
        <v>21.293264000000001</v>
      </c>
      <c r="O285" s="67">
        <v>92.133916999999997</v>
      </c>
      <c r="P285" s="68">
        <v>500</v>
      </c>
      <c r="Q285" s="68"/>
      <c r="R285" s="18"/>
      <c r="S285" s="18"/>
      <c r="T285" s="22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17"/>
      <c r="AH285" s="24"/>
      <c r="AI285" s="25"/>
      <c r="AJ285" s="25"/>
    </row>
    <row r="286" spans="1:36" ht="15.6" x14ac:dyDescent="0.3">
      <c r="A286" s="63">
        <v>280</v>
      </c>
      <c r="B286" s="102" t="s">
        <v>3520</v>
      </c>
      <c r="C286" s="102" t="s">
        <v>3521</v>
      </c>
      <c r="D286" s="64" t="s">
        <v>119</v>
      </c>
      <c r="E286" s="68" t="s">
        <v>2678</v>
      </c>
      <c r="F286" s="71" t="s">
        <v>2683</v>
      </c>
      <c r="G286" s="71" t="s">
        <v>42</v>
      </c>
      <c r="H286" s="20"/>
      <c r="I286" s="20"/>
      <c r="J286" s="26"/>
      <c r="K286" s="75" t="s">
        <v>3381</v>
      </c>
      <c r="L286" s="75" t="s">
        <v>3382</v>
      </c>
      <c r="M286" s="68" t="s">
        <v>3383</v>
      </c>
      <c r="N286" s="67">
        <v>21.293604999999999</v>
      </c>
      <c r="O286" s="67">
        <v>92.130696999999998</v>
      </c>
      <c r="P286" s="68">
        <v>500</v>
      </c>
      <c r="Q286" s="68"/>
      <c r="R286" s="18"/>
      <c r="S286" s="18"/>
      <c r="T286" s="27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17"/>
      <c r="AH286" s="24"/>
      <c r="AI286" s="25"/>
      <c r="AJ286" s="25"/>
    </row>
    <row r="287" spans="1:36" ht="15.6" x14ac:dyDescent="0.3">
      <c r="A287" s="63">
        <v>281</v>
      </c>
      <c r="B287" s="102" t="s">
        <v>3520</v>
      </c>
      <c r="C287" s="102" t="s">
        <v>3521</v>
      </c>
      <c r="D287" s="64" t="s">
        <v>119</v>
      </c>
      <c r="E287" s="68" t="s">
        <v>2678</v>
      </c>
      <c r="F287" s="71" t="s">
        <v>2683</v>
      </c>
      <c r="G287" s="71" t="s">
        <v>42</v>
      </c>
      <c r="H287" s="20"/>
      <c r="I287" s="20"/>
      <c r="J287" s="26"/>
      <c r="K287" s="68" t="s">
        <v>568</v>
      </c>
      <c r="L287" s="100" t="s">
        <v>3372</v>
      </c>
      <c r="M287" s="68" t="s">
        <v>3384</v>
      </c>
      <c r="N287" s="67">
        <v>21.289697</v>
      </c>
      <c r="O287" s="67">
        <v>92.130706000000004</v>
      </c>
      <c r="P287" s="68">
        <v>400</v>
      </c>
      <c r="Q287" s="68"/>
      <c r="R287" s="18"/>
      <c r="S287" s="18"/>
      <c r="T287" s="27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17"/>
      <c r="AH287" s="24"/>
      <c r="AI287" s="25"/>
      <c r="AJ287" s="25"/>
    </row>
    <row r="288" spans="1:36" ht="15.6" x14ac:dyDescent="0.3">
      <c r="A288" s="63">
        <v>282</v>
      </c>
      <c r="B288" s="102" t="s">
        <v>3520</v>
      </c>
      <c r="C288" s="102" t="s">
        <v>3521</v>
      </c>
      <c r="D288" s="64" t="s">
        <v>119</v>
      </c>
      <c r="E288" s="68" t="s">
        <v>2678</v>
      </c>
      <c r="F288" s="71" t="s">
        <v>2683</v>
      </c>
      <c r="G288" s="71" t="s">
        <v>42</v>
      </c>
      <c r="H288" s="20"/>
      <c r="I288" s="20"/>
      <c r="J288" s="26"/>
      <c r="K288" s="75" t="s">
        <v>3385</v>
      </c>
      <c r="L288" s="75" t="s">
        <v>3386</v>
      </c>
      <c r="M288" s="68" t="s">
        <v>3387</v>
      </c>
      <c r="N288" s="67">
        <v>21.290783000000001</v>
      </c>
      <c r="O288" s="67">
        <v>92.133054000000001</v>
      </c>
      <c r="P288" s="68">
        <v>500</v>
      </c>
      <c r="Q288" s="68"/>
      <c r="R288" s="18"/>
      <c r="S288" s="18"/>
      <c r="T288" s="27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17"/>
      <c r="AH288" s="24"/>
      <c r="AI288" s="25"/>
      <c r="AJ288" s="25"/>
    </row>
    <row r="289" spans="1:36" ht="15.6" x14ac:dyDescent="0.3">
      <c r="A289" s="63">
        <v>283</v>
      </c>
      <c r="B289" s="102" t="s">
        <v>3520</v>
      </c>
      <c r="C289" s="102" t="s">
        <v>3521</v>
      </c>
      <c r="D289" s="64" t="s">
        <v>119</v>
      </c>
      <c r="E289" s="68" t="s">
        <v>2678</v>
      </c>
      <c r="F289" s="71" t="s">
        <v>2683</v>
      </c>
      <c r="G289" s="71" t="s">
        <v>43</v>
      </c>
      <c r="H289" s="20"/>
      <c r="I289" s="20"/>
      <c r="J289" s="26"/>
      <c r="K289" s="75" t="s">
        <v>88</v>
      </c>
      <c r="L289" s="75" t="s">
        <v>89</v>
      </c>
      <c r="M289" s="68" t="s">
        <v>3388</v>
      </c>
      <c r="N289" s="67">
        <v>21.295141999999998</v>
      </c>
      <c r="O289" s="67">
        <v>92.149270999999999</v>
      </c>
      <c r="P289" s="68">
        <v>1000</v>
      </c>
      <c r="Q289" s="68"/>
      <c r="R289" s="18"/>
      <c r="S289" s="18"/>
      <c r="T289" s="27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17"/>
      <c r="AH289" s="24"/>
      <c r="AI289" s="25"/>
      <c r="AJ289" s="25"/>
    </row>
    <row r="290" spans="1:36" ht="15.6" x14ac:dyDescent="0.3">
      <c r="A290" s="63">
        <v>284</v>
      </c>
      <c r="B290" s="102" t="s">
        <v>3520</v>
      </c>
      <c r="C290" s="102" t="s">
        <v>3521</v>
      </c>
      <c r="D290" s="64" t="s">
        <v>119</v>
      </c>
      <c r="E290" s="68" t="s">
        <v>2678</v>
      </c>
      <c r="F290" s="71" t="s">
        <v>2683</v>
      </c>
      <c r="G290" s="71" t="s">
        <v>43</v>
      </c>
      <c r="H290" s="20"/>
      <c r="I290" s="20"/>
      <c r="J290" s="26"/>
      <c r="K290" s="75" t="s">
        <v>67</v>
      </c>
      <c r="L290" s="75" t="s">
        <v>68</v>
      </c>
      <c r="M290" s="68" t="s">
        <v>3389</v>
      </c>
      <c r="N290" s="67">
        <v>21.292432999999999</v>
      </c>
      <c r="O290" s="67">
        <v>92.145787999999996</v>
      </c>
      <c r="P290" s="68">
        <v>800</v>
      </c>
      <c r="Q290" s="68"/>
      <c r="R290" s="18"/>
      <c r="S290" s="18"/>
      <c r="T290" s="27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17"/>
      <c r="AH290" s="24"/>
      <c r="AI290" s="25"/>
      <c r="AJ290" s="25"/>
    </row>
    <row r="291" spans="1:36" ht="15.6" x14ac:dyDescent="0.3">
      <c r="A291" s="63">
        <v>285</v>
      </c>
      <c r="B291" s="102" t="s">
        <v>3520</v>
      </c>
      <c r="C291" s="102" t="s">
        <v>3521</v>
      </c>
      <c r="D291" s="64" t="s">
        <v>119</v>
      </c>
      <c r="E291" s="68" t="s">
        <v>2678</v>
      </c>
      <c r="F291" s="71" t="s">
        <v>2683</v>
      </c>
      <c r="G291" s="71" t="s">
        <v>43</v>
      </c>
      <c r="H291" s="20"/>
      <c r="I291" s="20"/>
      <c r="J291" s="26"/>
      <c r="K291" s="75" t="s">
        <v>3390</v>
      </c>
      <c r="L291" s="75" t="s">
        <v>3391</v>
      </c>
      <c r="M291" s="68" t="s">
        <v>3392</v>
      </c>
      <c r="N291" s="67">
        <v>21.286632000000001</v>
      </c>
      <c r="O291" s="67">
        <v>92.146249999999995</v>
      </c>
      <c r="P291" s="68">
        <v>400</v>
      </c>
      <c r="Q291" s="68"/>
      <c r="R291" s="18"/>
      <c r="S291" s="18"/>
      <c r="T291" s="27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17"/>
      <c r="AH291" s="24"/>
      <c r="AI291" s="25"/>
      <c r="AJ291" s="25"/>
    </row>
    <row r="292" spans="1:36" ht="15.6" x14ac:dyDescent="0.3">
      <c r="A292" s="63">
        <v>286</v>
      </c>
      <c r="B292" s="102" t="s">
        <v>3520</v>
      </c>
      <c r="C292" s="102" t="s">
        <v>3521</v>
      </c>
      <c r="D292" s="64" t="s">
        <v>119</v>
      </c>
      <c r="E292" s="68" t="s">
        <v>2678</v>
      </c>
      <c r="F292" s="71" t="s">
        <v>2683</v>
      </c>
      <c r="G292" s="71" t="s">
        <v>43</v>
      </c>
      <c r="H292" s="20"/>
      <c r="I292" s="20"/>
      <c r="J292" s="23"/>
      <c r="K292" s="75" t="s">
        <v>2084</v>
      </c>
      <c r="L292" s="75" t="s">
        <v>2085</v>
      </c>
      <c r="M292" s="68" t="s">
        <v>3393</v>
      </c>
      <c r="N292" s="67">
        <v>21.289145000000001</v>
      </c>
      <c r="O292" s="67">
        <v>92.156610000000001</v>
      </c>
      <c r="P292" s="68">
        <v>1000</v>
      </c>
      <c r="Q292" s="68"/>
      <c r="R292" s="18"/>
      <c r="S292" s="18"/>
      <c r="T292" s="27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17"/>
      <c r="AH292" s="24"/>
      <c r="AI292" s="25"/>
      <c r="AJ292" s="25"/>
    </row>
    <row r="293" spans="1:36" ht="15.6" x14ac:dyDescent="0.3">
      <c r="A293" s="63">
        <v>287</v>
      </c>
      <c r="B293" s="102" t="s">
        <v>3520</v>
      </c>
      <c r="C293" s="102" t="s">
        <v>3521</v>
      </c>
      <c r="D293" s="64" t="s">
        <v>119</v>
      </c>
      <c r="E293" s="68" t="s">
        <v>2678</v>
      </c>
      <c r="F293" s="71" t="s">
        <v>2683</v>
      </c>
      <c r="G293" s="71" t="s">
        <v>43</v>
      </c>
      <c r="H293" s="20"/>
      <c r="I293" s="20"/>
      <c r="J293" s="23"/>
      <c r="K293" s="75" t="s">
        <v>3394</v>
      </c>
      <c r="L293" s="75" t="s">
        <v>3395</v>
      </c>
      <c r="M293" s="68" t="s">
        <v>3396</v>
      </c>
      <c r="N293" s="67">
        <v>21.292161</v>
      </c>
      <c r="O293" s="67">
        <v>92.159695999999997</v>
      </c>
      <c r="P293" s="68">
        <v>1000</v>
      </c>
      <c r="Q293" s="68"/>
      <c r="R293" s="18"/>
      <c r="S293" s="18"/>
      <c r="T293" s="27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17"/>
      <c r="AH293" s="24"/>
      <c r="AI293" s="25"/>
      <c r="AJ293" s="25"/>
    </row>
    <row r="294" spans="1:36" ht="15.6" x14ac:dyDescent="0.3">
      <c r="A294" s="63">
        <v>288</v>
      </c>
      <c r="B294" s="102" t="s">
        <v>3520</v>
      </c>
      <c r="C294" s="102" t="s">
        <v>3521</v>
      </c>
      <c r="D294" s="64" t="s">
        <v>119</v>
      </c>
      <c r="E294" s="68" t="s">
        <v>2678</v>
      </c>
      <c r="F294" s="71" t="s">
        <v>2683</v>
      </c>
      <c r="G294" s="71" t="s">
        <v>43</v>
      </c>
      <c r="H294" s="20"/>
      <c r="I294" s="20"/>
      <c r="J294" s="23"/>
      <c r="K294" s="75" t="s">
        <v>3397</v>
      </c>
      <c r="L294" s="75" t="s">
        <v>3398</v>
      </c>
      <c r="M294" s="68" t="s">
        <v>3399</v>
      </c>
      <c r="N294" s="67">
        <v>21.297224</v>
      </c>
      <c r="O294" s="67">
        <v>92.156800000000004</v>
      </c>
      <c r="P294" s="68">
        <v>1400</v>
      </c>
      <c r="Q294" s="68"/>
      <c r="R294" s="18"/>
      <c r="S294" s="18"/>
      <c r="T294" s="22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17"/>
      <c r="AH294" s="24"/>
      <c r="AI294" s="25"/>
      <c r="AJ294" s="25"/>
    </row>
    <row r="295" spans="1:36" ht="15.6" x14ac:dyDescent="0.3">
      <c r="A295" s="63">
        <v>289</v>
      </c>
      <c r="B295" s="102" t="s">
        <v>3520</v>
      </c>
      <c r="C295" s="102" t="s">
        <v>3521</v>
      </c>
      <c r="D295" s="64" t="s">
        <v>119</v>
      </c>
      <c r="E295" s="68" t="s">
        <v>2678</v>
      </c>
      <c r="F295" s="71" t="s">
        <v>2683</v>
      </c>
      <c r="G295" s="71" t="s">
        <v>44</v>
      </c>
      <c r="H295" s="20"/>
      <c r="I295" s="20"/>
      <c r="J295" s="23"/>
      <c r="K295" s="75" t="s">
        <v>3400</v>
      </c>
      <c r="L295" s="75" t="s">
        <v>3401</v>
      </c>
      <c r="M295" s="68" t="s">
        <v>3402</v>
      </c>
      <c r="N295" s="67">
        <v>21.284382999999998</v>
      </c>
      <c r="O295" s="67">
        <v>92.147859999999994</v>
      </c>
      <c r="P295" s="68">
        <v>1500</v>
      </c>
      <c r="Q295" s="68"/>
      <c r="R295" s="18"/>
      <c r="S295" s="18"/>
      <c r="T295" s="27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17"/>
      <c r="AH295" s="24"/>
      <c r="AI295" s="25"/>
      <c r="AJ295" s="25"/>
    </row>
    <row r="296" spans="1:36" ht="15.6" x14ac:dyDescent="0.3">
      <c r="A296" s="63">
        <v>290</v>
      </c>
      <c r="B296" s="102" t="s">
        <v>3520</v>
      </c>
      <c r="C296" s="102" t="s">
        <v>3521</v>
      </c>
      <c r="D296" s="64" t="s">
        <v>119</v>
      </c>
      <c r="E296" s="68" t="s">
        <v>2678</v>
      </c>
      <c r="F296" s="71" t="s">
        <v>2683</v>
      </c>
      <c r="G296" s="71" t="s">
        <v>44</v>
      </c>
      <c r="H296" s="20"/>
      <c r="I296" s="20"/>
      <c r="J296" s="23"/>
      <c r="K296" s="75" t="s">
        <v>64</v>
      </c>
      <c r="L296" s="71" t="s">
        <v>3320</v>
      </c>
      <c r="M296" s="68" t="s">
        <v>3403</v>
      </c>
      <c r="N296" s="67">
        <v>21.285136999999999</v>
      </c>
      <c r="O296" s="67">
        <v>92.157128</v>
      </c>
      <c r="P296" s="68">
        <v>1000</v>
      </c>
      <c r="Q296" s="68"/>
      <c r="R296" s="18"/>
      <c r="S296" s="18"/>
      <c r="T296" s="27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17"/>
      <c r="AH296" s="24"/>
      <c r="AI296" s="25"/>
      <c r="AJ296" s="25"/>
    </row>
    <row r="297" spans="1:36" ht="15.6" x14ac:dyDescent="0.3">
      <c r="A297" s="63">
        <v>291</v>
      </c>
      <c r="B297" s="102" t="s">
        <v>3520</v>
      </c>
      <c r="C297" s="102" t="s">
        <v>3521</v>
      </c>
      <c r="D297" s="64" t="s">
        <v>119</v>
      </c>
      <c r="E297" s="68" t="s">
        <v>2678</v>
      </c>
      <c r="F297" s="71" t="s">
        <v>2683</v>
      </c>
      <c r="G297" s="71" t="s">
        <v>44</v>
      </c>
      <c r="H297" s="20"/>
      <c r="I297" s="20"/>
      <c r="J297" s="23"/>
      <c r="K297" s="68" t="s">
        <v>60</v>
      </c>
      <c r="L297" s="75" t="s">
        <v>61</v>
      </c>
      <c r="M297" s="68" t="s">
        <v>3404</v>
      </c>
      <c r="N297" s="67">
        <v>21.280042999999999</v>
      </c>
      <c r="O297" s="67">
        <v>92.143878999999998</v>
      </c>
      <c r="P297" s="68">
        <v>1200</v>
      </c>
      <c r="Q297" s="68"/>
      <c r="R297" s="18"/>
      <c r="S297" s="18"/>
      <c r="T297" s="27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17"/>
      <c r="AH297" s="24"/>
      <c r="AI297" s="25"/>
      <c r="AJ297" s="25"/>
    </row>
    <row r="298" spans="1:36" ht="15.6" x14ac:dyDescent="0.3">
      <c r="A298" s="63">
        <v>292</v>
      </c>
      <c r="B298" s="102" t="s">
        <v>3520</v>
      </c>
      <c r="C298" s="102" t="s">
        <v>3521</v>
      </c>
      <c r="D298" s="64" t="s">
        <v>119</v>
      </c>
      <c r="E298" s="68" t="s">
        <v>2678</v>
      </c>
      <c r="F298" s="71" t="s">
        <v>2683</v>
      </c>
      <c r="G298" s="71" t="s">
        <v>44</v>
      </c>
      <c r="H298" s="20"/>
      <c r="I298" s="20"/>
      <c r="J298" s="23"/>
      <c r="K298" s="75" t="s">
        <v>3405</v>
      </c>
      <c r="L298" s="75" t="s">
        <v>3406</v>
      </c>
      <c r="M298" s="68" t="s">
        <v>3407</v>
      </c>
      <c r="N298" s="67">
        <v>21.280650999999999</v>
      </c>
      <c r="O298" s="67">
        <v>92.137673000000007</v>
      </c>
      <c r="P298" s="68">
        <v>1500</v>
      </c>
      <c r="Q298" s="68"/>
      <c r="R298" s="18"/>
      <c r="S298" s="18"/>
      <c r="T298" s="27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17"/>
      <c r="AH298" s="24"/>
      <c r="AI298" s="25"/>
      <c r="AJ298" s="25"/>
    </row>
    <row r="299" spans="1:36" ht="15.6" x14ac:dyDescent="0.3">
      <c r="A299" s="63">
        <v>293</v>
      </c>
      <c r="B299" s="102" t="s">
        <v>3520</v>
      </c>
      <c r="C299" s="102" t="s">
        <v>3521</v>
      </c>
      <c r="D299" s="64" t="s">
        <v>119</v>
      </c>
      <c r="E299" s="68" t="s">
        <v>2678</v>
      </c>
      <c r="F299" s="71" t="s">
        <v>2683</v>
      </c>
      <c r="G299" s="71" t="s">
        <v>45</v>
      </c>
      <c r="H299" s="20"/>
      <c r="I299" s="20"/>
      <c r="J299" s="23"/>
      <c r="K299" s="75" t="s">
        <v>3247</v>
      </c>
      <c r="L299" s="75" t="s">
        <v>3248</v>
      </c>
      <c r="M299" s="68" t="s">
        <v>3408</v>
      </c>
      <c r="N299" s="67">
        <v>21.274104999999999</v>
      </c>
      <c r="O299" s="67">
        <v>92.157150999999999</v>
      </c>
      <c r="P299" s="68">
        <v>4000</v>
      </c>
      <c r="Q299" s="68"/>
      <c r="R299" s="18"/>
      <c r="S299" s="18"/>
      <c r="T299" s="27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17"/>
      <c r="AH299" s="24"/>
      <c r="AI299" s="25"/>
      <c r="AJ299" s="25"/>
    </row>
    <row r="300" spans="1:36" x14ac:dyDescent="0.3">
      <c r="A300" s="63">
        <v>294</v>
      </c>
      <c r="B300" s="102" t="s">
        <v>3520</v>
      </c>
      <c r="C300" s="102" t="s">
        <v>3521</v>
      </c>
      <c r="D300" s="64" t="s">
        <v>119</v>
      </c>
      <c r="E300" s="68" t="s">
        <v>2678</v>
      </c>
      <c r="F300" s="71" t="s">
        <v>2683</v>
      </c>
      <c r="G300" s="71" t="s">
        <v>45</v>
      </c>
      <c r="H300" s="23"/>
      <c r="I300" s="23"/>
      <c r="J300" s="23"/>
      <c r="K300" s="75" t="s">
        <v>3409</v>
      </c>
      <c r="L300" s="75" t="s">
        <v>3410</v>
      </c>
      <c r="M300" s="68" t="s">
        <v>3411</v>
      </c>
      <c r="N300" s="67">
        <v>21.270897999999999</v>
      </c>
      <c r="O300" s="67">
        <v>92.166882999999999</v>
      </c>
      <c r="P300" s="68">
        <v>2500</v>
      </c>
      <c r="Q300" s="68"/>
      <c r="R300" s="18"/>
      <c r="S300" s="18"/>
      <c r="T300" s="27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17"/>
      <c r="AH300" s="24"/>
      <c r="AI300" s="25"/>
      <c r="AJ300" s="25"/>
    </row>
    <row r="301" spans="1:36" x14ac:dyDescent="0.3">
      <c r="A301" s="63">
        <v>295</v>
      </c>
      <c r="B301" s="102" t="s">
        <v>3520</v>
      </c>
      <c r="C301" s="102" t="s">
        <v>3521</v>
      </c>
      <c r="D301" s="64" t="s">
        <v>119</v>
      </c>
      <c r="E301" s="68" t="s">
        <v>2678</v>
      </c>
      <c r="F301" s="71" t="s">
        <v>2683</v>
      </c>
      <c r="G301" s="71" t="s">
        <v>45</v>
      </c>
      <c r="H301" s="23"/>
      <c r="I301" s="23"/>
      <c r="J301" s="23"/>
      <c r="K301" s="75" t="s">
        <v>3412</v>
      </c>
      <c r="L301" s="75" t="s">
        <v>3413</v>
      </c>
      <c r="M301" s="68" t="s">
        <v>3414</v>
      </c>
      <c r="N301" s="67">
        <v>21.279177000000001</v>
      </c>
      <c r="O301" s="67">
        <v>92.151092000000006</v>
      </c>
      <c r="P301" s="68">
        <v>400</v>
      </c>
      <c r="Q301" s="68"/>
      <c r="R301" s="18"/>
      <c r="S301" s="18"/>
      <c r="T301" s="27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17"/>
      <c r="AH301" s="24"/>
      <c r="AI301" s="25"/>
      <c r="AJ301" s="25"/>
    </row>
    <row r="302" spans="1:36" x14ac:dyDescent="0.3">
      <c r="A302" s="63">
        <v>296</v>
      </c>
      <c r="B302" s="102" t="s">
        <v>3520</v>
      </c>
      <c r="C302" s="102" t="s">
        <v>3521</v>
      </c>
      <c r="D302" s="64" t="s">
        <v>119</v>
      </c>
      <c r="E302" s="68" t="s">
        <v>2678</v>
      </c>
      <c r="F302" s="71" t="s">
        <v>2683</v>
      </c>
      <c r="G302" s="71" t="s">
        <v>46</v>
      </c>
      <c r="H302" s="23"/>
      <c r="I302" s="23"/>
      <c r="J302" s="23"/>
      <c r="K302" s="75" t="s">
        <v>3415</v>
      </c>
      <c r="L302" s="75" t="s">
        <v>3416</v>
      </c>
      <c r="M302" s="68" t="s">
        <v>3417</v>
      </c>
      <c r="N302" s="67">
        <v>21.271757000000001</v>
      </c>
      <c r="O302" s="67">
        <v>92.143306999999993</v>
      </c>
      <c r="P302" s="68">
        <v>2000</v>
      </c>
      <c r="Q302" s="68"/>
      <c r="R302" s="18"/>
      <c r="S302" s="18"/>
      <c r="T302" s="27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17"/>
      <c r="AH302" s="24"/>
      <c r="AI302" s="25"/>
      <c r="AJ302" s="25"/>
    </row>
    <row r="303" spans="1:36" x14ac:dyDescent="0.3">
      <c r="A303" s="63">
        <v>297</v>
      </c>
      <c r="B303" s="102" t="s">
        <v>3520</v>
      </c>
      <c r="C303" s="102" t="s">
        <v>3521</v>
      </c>
      <c r="D303" s="64" t="s">
        <v>119</v>
      </c>
      <c r="E303" s="68" t="s">
        <v>2678</v>
      </c>
      <c r="F303" s="71" t="s">
        <v>2683</v>
      </c>
      <c r="G303" s="71" t="s">
        <v>46</v>
      </c>
      <c r="H303" s="23"/>
      <c r="I303" s="23"/>
      <c r="J303" s="23"/>
      <c r="K303" s="75" t="s">
        <v>3418</v>
      </c>
      <c r="L303" s="75" t="s">
        <v>3419</v>
      </c>
      <c r="M303" s="68" t="s">
        <v>3420</v>
      </c>
      <c r="N303" s="67">
        <v>21.276150999999999</v>
      </c>
      <c r="O303" s="67">
        <v>92.133455999999995</v>
      </c>
      <c r="P303" s="68">
        <v>1000</v>
      </c>
      <c r="Q303" s="68"/>
      <c r="R303" s="18"/>
      <c r="S303" s="18"/>
      <c r="T303" s="27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17"/>
      <c r="AH303" s="24"/>
      <c r="AI303" s="25"/>
      <c r="AJ303" s="25"/>
    </row>
    <row r="304" spans="1:36" x14ac:dyDescent="0.3">
      <c r="A304" s="63">
        <v>298</v>
      </c>
      <c r="B304" s="102" t="s">
        <v>3520</v>
      </c>
      <c r="C304" s="102" t="s">
        <v>3521</v>
      </c>
      <c r="D304" s="64" t="s">
        <v>119</v>
      </c>
      <c r="E304" s="68" t="s">
        <v>2678</v>
      </c>
      <c r="F304" s="71" t="s">
        <v>2683</v>
      </c>
      <c r="G304" s="71" t="s">
        <v>46</v>
      </c>
      <c r="H304" s="23"/>
      <c r="I304" s="23"/>
      <c r="J304" s="23"/>
      <c r="K304" s="75" t="s">
        <v>3421</v>
      </c>
      <c r="L304" s="75" t="s">
        <v>3422</v>
      </c>
      <c r="M304" s="68" t="s">
        <v>3423</v>
      </c>
      <c r="N304" s="67">
        <v>21.279039999999998</v>
      </c>
      <c r="O304" s="67">
        <v>92.128782000000001</v>
      </c>
      <c r="P304" s="68">
        <v>1300</v>
      </c>
      <c r="Q304" s="68"/>
      <c r="R304" s="18"/>
      <c r="S304" s="18"/>
      <c r="T304" s="27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17"/>
      <c r="AH304" s="24"/>
      <c r="AI304" s="25"/>
      <c r="AJ304" s="25"/>
    </row>
    <row r="305" spans="1:36" x14ac:dyDescent="0.3">
      <c r="A305" s="63">
        <v>299</v>
      </c>
      <c r="B305" s="102" t="s">
        <v>3520</v>
      </c>
      <c r="C305" s="102" t="s">
        <v>3521</v>
      </c>
      <c r="D305" s="64" t="s">
        <v>119</v>
      </c>
      <c r="E305" s="68" t="s">
        <v>2678</v>
      </c>
      <c r="F305" s="71" t="s">
        <v>2683</v>
      </c>
      <c r="G305" s="71" t="s">
        <v>47</v>
      </c>
      <c r="H305" s="23"/>
      <c r="I305" s="23"/>
      <c r="J305" s="23"/>
      <c r="K305" s="75" t="s">
        <v>2857</v>
      </c>
      <c r="L305" s="68" t="s">
        <v>2858</v>
      </c>
      <c r="M305" s="68" t="s">
        <v>3424</v>
      </c>
      <c r="N305" s="67">
        <v>21.270264000000001</v>
      </c>
      <c r="O305" s="67">
        <v>92.114941999999999</v>
      </c>
      <c r="P305" s="68">
        <v>3500</v>
      </c>
      <c r="Q305" s="68"/>
      <c r="R305" s="18"/>
      <c r="S305" s="18"/>
      <c r="T305" s="27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17"/>
      <c r="AH305" s="24"/>
      <c r="AI305" s="25"/>
      <c r="AJ305" s="25"/>
    </row>
    <row r="306" spans="1:36" x14ac:dyDescent="0.3">
      <c r="A306" s="63">
        <v>300</v>
      </c>
      <c r="B306" s="102" t="s">
        <v>3520</v>
      </c>
      <c r="C306" s="102" t="s">
        <v>3521</v>
      </c>
      <c r="D306" s="64" t="s">
        <v>119</v>
      </c>
      <c r="E306" s="68" t="s">
        <v>2678</v>
      </c>
      <c r="F306" s="71" t="s">
        <v>2683</v>
      </c>
      <c r="G306" s="71" t="s">
        <v>47</v>
      </c>
      <c r="H306" s="23"/>
      <c r="I306" s="23"/>
      <c r="J306" s="23"/>
      <c r="K306" s="75" t="s">
        <v>3425</v>
      </c>
      <c r="L306" s="75" t="s">
        <v>3426</v>
      </c>
      <c r="M306" s="68" t="s">
        <v>3427</v>
      </c>
      <c r="N306" s="67">
        <v>21.272383999999999</v>
      </c>
      <c r="O306" s="67">
        <v>92.118770999999995</v>
      </c>
      <c r="P306" s="68">
        <v>1300</v>
      </c>
      <c r="Q306" s="68"/>
      <c r="R306" s="18"/>
      <c r="S306" s="18"/>
      <c r="T306" s="22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17"/>
      <c r="AH306" s="24"/>
      <c r="AI306" s="25"/>
      <c r="AJ306" s="25"/>
    </row>
    <row r="307" spans="1:36" x14ac:dyDescent="0.3">
      <c r="A307" s="63">
        <v>301</v>
      </c>
      <c r="B307" s="102" t="s">
        <v>3520</v>
      </c>
      <c r="C307" s="102" t="s">
        <v>3521</v>
      </c>
      <c r="D307" s="64" t="s">
        <v>119</v>
      </c>
      <c r="E307" s="68" t="s">
        <v>2678</v>
      </c>
      <c r="F307" s="71" t="s">
        <v>2683</v>
      </c>
      <c r="G307" s="71" t="s">
        <v>48</v>
      </c>
      <c r="H307" s="23"/>
      <c r="I307" s="23"/>
      <c r="J307" s="23"/>
      <c r="K307" s="75" t="s">
        <v>3428</v>
      </c>
      <c r="L307" s="75" t="s">
        <v>3429</v>
      </c>
      <c r="M307" s="68" t="s">
        <v>3430</v>
      </c>
      <c r="N307" s="67">
        <v>21.273831999999999</v>
      </c>
      <c r="O307" s="67">
        <v>92.107658000000001</v>
      </c>
      <c r="P307" s="68">
        <v>2000</v>
      </c>
      <c r="Q307" s="68"/>
      <c r="R307" s="18"/>
      <c r="S307" s="18"/>
      <c r="T307" s="22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17"/>
      <c r="AH307" s="24"/>
      <c r="AI307" s="25"/>
      <c r="AJ307" s="25"/>
    </row>
    <row r="308" spans="1:36" x14ac:dyDescent="0.3">
      <c r="A308" s="63">
        <v>302</v>
      </c>
      <c r="B308" s="102" t="s">
        <v>3520</v>
      </c>
      <c r="C308" s="102" t="s">
        <v>3521</v>
      </c>
      <c r="D308" s="64" t="s">
        <v>119</v>
      </c>
      <c r="E308" s="68" t="s">
        <v>2678</v>
      </c>
      <c r="F308" s="71" t="s">
        <v>2683</v>
      </c>
      <c r="G308" s="71" t="s">
        <v>48</v>
      </c>
      <c r="H308" s="23"/>
      <c r="I308" s="23"/>
      <c r="J308" s="23"/>
      <c r="K308" s="75" t="s">
        <v>3431</v>
      </c>
      <c r="L308" s="75" t="s">
        <v>3432</v>
      </c>
      <c r="M308" s="68" t="s">
        <v>3433</v>
      </c>
      <c r="N308" s="67">
        <v>21.276077000000001</v>
      </c>
      <c r="O308" s="67">
        <v>92.121998000000005</v>
      </c>
      <c r="P308" s="68">
        <v>1500</v>
      </c>
      <c r="Q308" s="68"/>
      <c r="R308" s="18"/>
      <c r="S308" s="18"/>
      <c r="T308" s="27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17"/>
      <c r="AH308" s="24"/>
      <c r="AI308" s="25"/>
      <c r="AJ308" s="25"/>
    </row>
    <row r="309" spans="1:36" x14ac:dyDescent="0.3">
      <c r="A309" s="63">
        <v>303</v>
      </c>
      <c r="B309" s="102" t="s">
        <v>3520</v>
      </c>
      <c r="C309" s="102" t="s">
        <v>3521</v>
      </c>
      <c r="D309" s="64" t="s">
        <v>119</v>
      </c>
      <c r="E309" s="68" t="s">
        <v>2678</v>
      </c>
      <c r="F309" s="71" t="s">
        <v>2683</v>
      </c>
      <c r="G309" s="71" t="s">
        <v>49</v>
      </c>
      <c r="H309" s="23"/>
      <c r="I309" s="23"/>
      <c r="J309" s="23"/>
      <c r="K309" s="75" t="s">
        <v>3434</v>
      </c>
      <c r="L309" s="75" t="s">
        <v>3435</v>
      </c>
      <c r="M309" s="68" t="s">
        <v>3436</v>
      </c>
      <c r="N309" s="67">
        <v>21.273610000000001</v>
      </c>
      <c r="O309" s="67">
        <v>92.101785000000007</v>
      </c>
      <c r="P309" s="68">
        <v>400</v>
      </c>
      <c r="Q309" s="68"/>
      <c r="R309" s="18"/>
      <c r="S309" s="18"/>
      <c r="T309" s="22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17"/>
      <c r="AH309" s="24"/>
      <c r="AI309" s="25"/>
      <c r="AJ309" s="25"/>
    </row>
    <row r="310" spans="1:36" x14ac:dyDescent="0.3">
      <c r="A310" s="63">
        <v>304</v>
      </c>
      <c r="B310" s="102" t="s">
        <v>3520</v>
      </c>
      <c r="C310" s="102" t="s">
        <v>3521</v>
      </c>
      <c r="D310" s="64" t="s">
        <v>119</v>
      </c>
      <c r="E310" s="68" t="s">
        <v>2678</v>
      </c>
      <c r="F310" s="71" t="s">
        <v>2683</v>
      </c>
      <c r="G310" s="71" t="s">
        <v>49</v>
      </c>
      <c r="H310" s="23"/>
      <c r="I310" s="23"/>
      <c r="J310" s="23"/>
      <c r="K310" s="75" t="s">
        <v>3437</v>
      </c>
      <c r="L310" s="75" t="s">
        <v>3438</v>
      </c>
      <c r="M310" s="68" t="s">
        <v>3439</v>
      </c>
      <c r="N310" s="67">
        <v>21.266748</v>
      </c>
      <c r="O310" s="67">
        <v>92.108423999999999</v>
      </c>
      <c r="P310" s="68">
        <v>1500</v>
      </c>
      <c r="Q310" s="68"/>
      <c r="R310" s="18"/>
      <c r="S310" s="18"/>
      <c r="T310" s="22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17"/>
      <c r="AH310" s="24"/>
      <c r="AI310" s="25"/>
      <c r="AJ310" s="25"/>
    </row>
  </sheetData>
  <mergeCells count="3">
    <mergeCell ref="G1:G2"/>
    <mergeCell ref="A5:D5"/>
    <mergeCell ref="U5:AF5"/>
  </mergeCells>
  <conditionalFormatting sqref="M7:M310">
    <cfRule type="duplicateValues" dxfId="6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34"/>
  <sheetViews>
    <sheetView workbookViewId="0">
      <pane xSplit="12" ySplit="6" topLeftCell="AE7" activePane="bottomRight" state="frozen"/>
      <selection pane="topRight" activeCell="K1" sqref="K1"/>
      <selection pane="bottomLeft" activeCell="A6" sqref="A6"/>
      <selection pane="bottomRight" activeCell="U5" sqref="U5:AF5"/>
    </sheetView>
  </sheetViews>
  <sheetFormatPr defaultRowHeight="14.4" x14ac:dyDescent="0.3"/>
  <cols>
    <col min="1" max="1" width="4.109375" style="65" customWidth="1"/>
    <col min="2" max="2" width="10.109375" style="65" customWidth="1"/>
    <col min="3" max="3" width="11.5546875" style="65" customWidth="1"/>
    <col min="4" max="4" width="9.5546875" style="65" customWidth="1"/>
    <col min="5" max="5" width="14.77734375" style="65" customWidth="1"/>
    <col min="6" max="6" width="15.44140625" style="65" customWidth="1"/>
    <col min="7" max="7" width="6.88671875" style="65" customWidth="1"/>
    <col min="8" max="8" width="19.6640625" style="4" customWidth="1"/>
    <col min="9" max="9" width="7.21875" style="4" customWidth="1"/>
    <col min="10" max="10" width="15.6640625" style="4" customWidth="1"/>
    <col min="11" max="11" width="23.44140625" style="4" customWidth="1"/>
    <col min="12" max="12" width="19.21875" style="4" customWidth="1"/>
    <col min="13" max="13" width="8.33203125" style="4" customWidth="1"/>
    <col min="14" max="14" width="9.6640625" style="4" customWidth="1"/>
    <col min="15" max="15" width="10.44140625" style="4" customWidth="1"/>
    <col min="16" max="17" width="8.6640625" style="4" customWidth="1"/>
    <col min="18" max="18" width="7.33203125" style="4" customWidth="1"/>
    <col min="19" max="19" width="7.44140625" style="4" customWidth="1"/>
    <col min="20" max="20" width="7.33203125" style="4" customWidth="1"/>
    <col min="21" max="32" width="4.77734375" style="4" customWidth="1"/>
    <col min="33" max="33" width="15" style="4" customWidth="1"/>
    <col min="34" max="16384" width="8.88671875" style="4"/>
  </cols>
  <sheetData>
    <row r="1" spans="1:36" s="13" customFormat="1" x14ac:dyDescent="0.3">
      <c r="A1" s="55"/>
      <c r="B1" s="55"/>
      <c r="C1" s="55"/>
      <c r="D1" s="55"/>
      <c r="E1" s="55"/>
      <c r="F1" s="55"/>
      <c r="G1" s="165" t="s">
        <v>23</v>
      </c>
      <c r="H1" s="46" t="s">
        <v>0</v>
      </c>
      <c r="I1" s="47">
        <f>COUNTIF(I7:I734,"SK(H)")</f>
        <v>0</v>
      </c>
      <c r="J1" s="46" t="s">
        <v>1</v>
      </c>
      <c r="K1" s="46">
        <f>COUNTA(J7:J750)</f>
        <v>0</v>
      </c>
      <c r="L1" s="9"/>
      <c r="M1" s="9"/>
      <c r="N1" s="9"/>
      <c r="O1" s="9"/>
      <c r="Z1" s="11"/>
      <c r="AA1" s="8"/>
      <c r="AB1" s="8"/>
      <c r="AC1" s="8"/>
      <c r="AD1" s="11"/>
      <c r="AE1" s="11"/>
      <c r="AF1" s="11" t="s">
        <v>2</v>
      </c>
      <c r="AG1" s="11"/>
      <c r="AH1" s="10"/>
      <c r="AI1" s="12"/>
      <c r="AJ1" s="8"/>
    </row>
    <row r="2" spans="1:36" s="13" customFormat="1" x14ac:dyDescent="0.3">
      <c r="A2" s="55"/>
      <c r="B2" s="55"/>
      <c r="C2" s="55"/>
      <c r="D2" s="56"/>
      <c r="E2" s="57"/>
      <c r="F2" s="57"/>
      <c r="G2" s="165"/>
      <c r="H2" s="46" t="s">
        <v>3</v>
      </c>
      <c r="I2" s="47">
        <f>COUNTIF(I7:I735,"SHW(H)")</f>
        <v>0</v>
      </c>
      <c r="J2" s="46" t="s">
        <v>5</v>
      </c>
      <c r="K2" s="46">
        <f>COUNTA(K7:K415)</f>
        <v>409</v>
      </c>
      <c r="L2" s="9"/>
      <c r="M2" s="9"/>
      <c r="N2" s="9"/>
      <c r="O2" s="9"/>
      <c r="Z2" s="11"/>
      <c r="AA2" s="8"/>
      <c r="AB2" s="8"/>
      <c r="AC2" s="8"/>
      <c r="AD2" s="11"/>
      <c r="AE2" s="11"/>
      <c r="AF2" s="11" t="s">
        <v>4</v>
      </c>
      <c r="AG2" s="11"/>
      <c r="AH2" s="10"/>
      <c r="AI2" s="8"/>
      <c r="AJ2" s="8"/>
    </row>
    <row r="3" spans="1:36" s="13" customFormat="1" x14ac:dyDescent="0.3">
      <c r="A3" s="55"/>
      <c r="B3" s="55"/>
      <c r="C3" s="55"/>
      <c r="D3" s="56"/>
      <c r="E3" s="57"/>
      <c r="F3" s="57"/>
      <c r="G3" s="162"/>
      <c r="H3" s="9"/>
      <c r="I3" s="164"/>
      <c r="J3" s="9"/>
      <c r="K3" s="9"/>
      <c r="L3" s="9"/>
      <c r="M3" s="9"/>
      <c r="N3" s="9"/>
      <c r="O3" s="9"/>
      <c r="Z3" s="11"/>
      <c r="AA3" s="8"/>
      <c r="AB3" s="8"/>
      <c r="AC3" s="8"/>
      <c r="AD3" s="11"/>
      <c r="AE3" s="11"/>
      <c r="AF3" s="11" t="s">
        <v>6</v>
      </c>
      <c r="AG3" s="11"/>
      <c r="AH3" s="10"/>
      <c r="AI3" s="8"/>
      <c r="AJ3" s="8"/>
    </row>
    <row r="4" spans="1:36" s="13" customFormat="1" x14ac:dyDescent="0.3">
      <c r="A4" s="55"/>
      <c r="B4" s="55"/>
      <c r="C4" s="55"/>
      <c r="D4" s="55"/>
      <c r="E4" s="58"/>
      <c r="F4" s="58"/>
      <c r="G4" s="55"/>
      <c r="H4" s="8"/>
      <c r="I4" s="8"/>
      <c r="K4" s="11"/>
      <c r="L4" s="11"/>
      <c r="M4" s="11"/>
      <c r="N4" s="11"/>
      <c r="O4" s="11"/>
      <c r="Z4" s="11"/>
      <c r="AA4" s="8"/>
      <c r="AB4" s="8"/>
      <c r="AC4" s="8"/>
      <c r="AD4" s="11"/>
      <c r="AE4" s="11"/>
      <c r="AG4" s="11"/>
      <c r="AH4" s="10"/>
    </row>
    <row r="5" spans="1:36" ht="19.8" customHeight="1" x14ac:dyDescent="0.3">
      <c r="A5" s="166" t="s">
        <v>7</v>
      </c>
      <c r="B5" s="166"/>
      <c r="C5" s="166"/>
      <c r="D5" s="166"/>
      <c r="E5" s="66" t="s">
        <v>1203</v>
      </c>
      <c r="F5" s="66"/>
      <c r="G5" s="66"/>
      <c r="H5" s="2"/>
      <c r="I5" s="1"/>
      <c r="J5" s="1"/>
      <c r="K5" s="15"/>
      <c r="L5" s="15"/>
      <c r="M5" s="15"/>
      <c r="N5" s="15"/>
      <c r="O5" s="15"/>
      <c r="P5" s="5"/>
      <c r="Q5" s="5"/>
      <c r="R5" s="5"/>
      <c r="S5" s="5"/>
      <c r="T5" s="1"/>
      <c r="U5" s="167" t="s">
        <v>4489</v>
      </c>
      <c r="V5" s="167"/>
      <c r="W5" s="167"/>
      <c r="X5" s="167"/>
      <c r="Y5" s="167"/>
      <c r="Z5" s="167"/>
      <c r="AA5" s="167"/>
      <c r="AB5" s="167"/>
      <c r="AC5" s="167"/>
      <c r="AD5" s="167"/>
      <c r="AE5" s="167"/>
      <c r="AF5" s="167"/>
      <c r="AG5" s="6"/>
      <c r="AH5" s="3"/>
      <c r="AI5" s="7"/>
      <c r="AJ5" s="7"/>
    </row>
    <row r="6" spans="1:36" s="14" customFormat="1" ht="84.6" customHeight="1" x14ac:dyDescent="0.3">
      <c r="A6" s="60" t="s">
        <v>8</v>
      </c>
      <c r="B6" s="61" t="s">
        <v>3518</v>
      </c>
      <c r="C6" s="61" t="s">
        <v>3519</v>
      </c>
      <c r="D6" s="61" t="s">
        <v>9</v>
      </c>
      <c r="E6" s="61" t="s">
        <v>10</v>
      </c>
      <c r="F6" s="61" t="s">
        <v>11</v>
      </c>
      <c r="G6" s="62" t="s">
        <v>3523</v>
      </c>
      <c r="H6" s="19" t="s">
        <v>12</v>
      </c>
      <c r="I6" s="19" t="s">
        <v>13</v>
      </c>
      <c r="J6" s="48" t="s">
        <v>14</v>
      </c>
      <c r="K6" s="53" t="s">
        <v>34</v>
      </c>
      <c r="L6" s="53" t="s">
        <v>35</v>
      </c>
      <c r="M6" s="53" t="s">
        <v>40</v>
      </c>
      <c r="N6" s="53" t="s">
        <v>36</v>
      </c>
      <c r="O6" s="53" t="s">
        <v>37</v>
      </c>
      <c r="P6" s="19" t="s">
        <v>15</v>
      </c>
      <c r="Q6" s="19" t="s">
        <v>3522</v>
      </c>
      <c r="R6" s="19" t="s">
        <v>33</v>
      </c>
      <c r="S6" s="19" t="s">
        <v>38</v>
      </c>
      <c r="T6" s="19" t="s">
        <v>39</v>
      </c>
      <c r="U6" s="44" t="s">
        <v>26</v>
      </c>
      <c r="V6" s="45" t="s">
        <v>27</v>
      </c>
      <c r="W6" s="45" t="s">
        <v>16</v>
      </c>
      <c r="X6" s="45" t="s">
        <v>17</v>
      </c>
      <c r="Y6" s="45" t="s">
        <v>18</v>
      </c>
      <c r="Z6" s="45" t="s">
        <v>19</v>
      </c>
      <c r="AA6" s="45" t="s">
        <v>20</v>
      </c>
      <c r="AB6" s="45" t="s">
        <v>28</v>
      </c>
      <c r="AC6" s="45" t="s">
        <v>29</v>
      </c>
      <c r="AD6" s="45" t="s">
        <v>30</v>
      </c>
      <c r="AE6" s="45" t="s">
        <v>31</v>
      </c>
      <c r="AF6" s="45" t="s">
        <v>32</v>
      </c>
      <c r="AG6" s="49" t="s">
        <v>25</v>
      </c>
      <c r="AH6" s="50" t="s">
        <v>24</v>
      </c>
      <c r="AI6" s="51" t="s">
        <v>21</v>
      </c>
      <c r="AJ6" s="52" t="s">
        <v>22</v>
      </c>
    </row>
    <row r="7" spans="1:36" ht="15.6" x14ac:dyDescent="0.3">
      <c r="A7" s="63">
        <v>1</v>
      </c>
      <c r="B7" s="102" t="s">
        <v>3520</v>
      </c>
      <c r="C7" s="102" t="s">
        <v>3521</v>
      </c>
      <c r="D7" s="64" t="s">
        <v>119</v>
      </c>
      <c r="E7" s="68" t="s">
        <v>1203</v>
      </c>
      <c r="F7" s="71" t="s">
        <v>1204</v>
      </c>
      <c r="G7" s="68" t="s">
        <v>41</v>
      </c>
      <c r="H7" s="20"/>
      <c r="I7" s="20"/>
      <c r="J7" s="21"/>
      <c r="K7" s="68" t="s">
        <v>1215</v>
      </c>
      <c r="L7" s="68" t="s">
        <v>1216</v>
      </c>
      <c r="M7" s="68" t="s">
        <v>1217</v>
      </c>
      <c r="N7" s="67">
        <v>21.427417999999999</v>
      </c>
      <c r="O7" s="67">
        <v>92.076899999999995</v>
      </c>
      <c r="P7" s="68">
        <v>500</v>
      </c>
      <c r="Q7" s="68"/>
      <c r="R7" s="18"/>
      <c r="S7" s="18"/>
      <c r="T7" s="22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16"/>
      <c r="AH7" s="24"/>
      <c r="AI7" s="25"/>
      <c r="AJ7" s="25"/>
    </row>
    <row r="8" spans="1:36" ht="15.6" x14ac:dyDescent="0.3">
      <c r="A8" s="63">
        <v>2</v>
      </c>
      <c r="B8" s="102" t="s">
        <v>3520</v>
      </c>
      <c r="C8" s="102" t="s">
        <v>3521</v>
      </c>
      <c r="D8" s="64" t="s">
        <v>119</v>
      </c>
      <c r="E8" s="68" t="s">
        <v>1203</v>
      </c>
      <c r="F8" s="71" t="s">
        <v>1204</v>
      </c>
      <c r="G8" s="68" t="s">
        <v>41</v>
      </c>
      <c r="H8" s="20"/>
      <c r="I8" s="20"/>
      <c r="J8" s="21"/>
      <c r="K8" s="68" t="s">
        <v>139</v>
      </c>
      <c r="L8" s="68" t="s">
        <v>140</v>
      </c>
      <c r="M8" s="68" t="s">
        <v>1218</v>
      </c>
      <c r="N8" s="67">
        <v>21.425253999999999</v>
      </c>
      <c r="O8" s="67">
        <v>92.077644000000006</v>
      </c>
      <c r="P8" s="68">
        <v>400</v>
      </c>
      <c r="Q8" s="68"/>
      <c r="R8" s="18"/>
      <c r="S8" s="18"/>
      <c r="T8" s="22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17"/>
      <c r="AH8" s="24"/>
      <c r="AI8" s="25"/>
      <c r="AJ8" s="25"/>
    </row>
    <row r="9" spans="1:36" ht="15.6" x14ac:dyDescent="0.3">
      <c r="A9" s="63">
        <v>3</v>
      </c>
      <c r="B9" s="102" t="s">
        <v>3520</v>
      </c>
      <c r="C9" s="102" t="s">
        <v>3521</v>
      </c>
      <c r="D9" s="64" t="s">
        <v>119</v>
      </c>
      <c r="E9" s="68" t="s">
        <v>1203</v>
      </c>
      <c r="F9" s="71" t="s">
        <v>1204</v>
      </c>
      <c r="G9" s="68" t="s">
        <v>41</v>
      </c>
      <c r="H9" s="20"/>
      <c r="I9" s="20"/>
      <c r="J9" s="21"/>
      <c r="K9" s="68" t="s">
        <v>1219</v>
      </c>
      <c r="L9" s="68" t="s">
        <v>1220</v>
      </c>
      <c r="M9" s="68" t="s">
        <v>1221</v>
      </c>
      <c r="N9" s="67">
        <v>21.423839999999998</v>
      </c>
      <c r="O9" s="67">
        <v>92.079018000000005</v>
      </c>
      <c r="P9" s="68">
        <v>2000</v>
      </c>
      <c r="Q9" s="68"/>
      <c r="R9" s="18"/>
      <c r="S9" s="18"/>
      <c r="T9" s="22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17"/>
      <c r="AH9" s="24"/>
      <c r="AI9" s="25"/>
      <c r="AJ9" s="25"/>
    </row>
    <row r="10" spans="1:36" ht="15.6" x14ac:dyDescent="0.3">
      <c r="A10" s="63">
        <v>4</v>
      </c>
      <c r="B10" s="102" t="s">
        <v>3520</v>
      </c>
      <c r="C10" s="102" t="s">
        <v>3521</v>
      </c>
      <c r="D10" s="64" t="s">
        <v>119</v>
      </c>
      <c r="E10" s="68" t="s">
        <v>1203</v>
      </c>
      <c r="F10" s="71" t="s">
        <v>1204</v>
      </c>
      <c r="G10" s="68" t="s">
        <v>41</v>
      </c>
      <c r="H10" s="20"/>
      <c r="I10" s="20"/>
      <c r="J10" s="21"/>
      <c r="K10" s="68" t="s">
        <v>112</v>
      </c>
      <c r="L10" s="68" t="s">
        <v>113</v>
      </c>
      <c r="M10" s="68" t="s">
        <v>1222</v>
      </c>
      <c r="N10" s="67">
        <v>21.429099000000001</v>
      </c>
      <c r="O10" s="67">
        <v>92.078462000000002</v>
      </c>
      <c r="P10" s="68">
        <v>100</v>
      </c>
      <c r="Q10" s="68"/>
      <c r="R10" s="18"/>
      <c r="S10" s="18"/>
      <c r="T10" s="22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17"/>
      <c r="AH10" s="24"/>
      <c r="AI10" s="25"/>
      <c r="AJ10" s="25"/>
    </row>
    <row r="11" spans="1:36" ht="15.6" x14ac:dyDescent="0.3">
      <c r="A11" s="63">
        <v>5</v>
      </c>
      <c r="B11" s="102" t="s">
        <v>3520</v>
      </c>
      <c r="C11" s="102" t="s">
        <v>3521</v>
      </c>
      <c r="D11" s="64" t="s">
        <v>119</v>
      </c>
      <c r="E11" s="68" t="s">
        <v>1203</v>
      </c>
      <c r="F11" s="71" t="s">
        <v>1204</v>
      </c>
      <c r="G11" s="68" t="s">
        <v>42</v>
      </c>
      <c r="H11" s="20"/>
      <c r="I11" s="20"/>
      <c r="J11" s="21"/>
      <c r="K11" s="68" t="s">
        <v>1223</v>
      </c>
      <c r="L11" s="68" t="s">
        <v>1224</v>
      </c>
      <c r="M11" s="68" t="s">
        <v>1225</v>
      </c>
      <c r="N11" s="67">
        <v>21.420259999999999</v>
      </c>
      <c r="O11" s="67">
        <v>92.080822999999995</v>
      </c>
      <c r="P11" s="68">
        <v>1500</v>
      </c>
      <c r="Q11" s="68"/>
      <c r="R11" s="18"/>
      <c r="S11" s="18"/>
      <c r="T11" s="22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16"/>
      <c r="AH11" s="24"/>
      <c r="AI11" s="25"/>
      <c r="AJ11" s="25"/>
    </row>
    <row r="12" spans="1:36" ht="15.6" x14ac:dyDescent="0.3">
      <c r="A12" s="63">
        <v>6</v>
      </c>
      <c r="B12" s="102" t="s">
        <v>3520</v>
      </c>
      <c r="C12" s="102" t="s">
        <v>3521</v>
      </c>
      <c r="D12" s="64" t="s">
        <v>119</v>
      </c>
      <c r="E12" s="68" t="s">
        <v>1203</v>
      </c>
      <c r="F12" s="71" t="s">
        <v>1204</v>
      </c>
      <c r="G12" s="68" t="s">
        <v>42</v>
      </c>
      <c r="H12" s="20"/>
      <c r="I12" s="20"/>
      <c r="J12" s="21"/>
      <c r="K12" s="68" t="s">
        <v>1226</v>
      </c>
      <c r="L12" s="68" t="s">
        <v>1227</v>
      </c>
      <c r="M12" s="68" t="s">
        <v>1228</v>
      </c>
      <c r="N12" s="67">
        <v>21.419353000000001</v>
      </c>
      <c r="O12" s="67">
        <v>92.075823999999997</v>
      </c>
      <c r="P12" s="68">
        <v>800</v>
      </c>
      <c r="Q12" s="68"/>
      <c r="R12" s="18"/>
      <c r="S12" s="18"/>
      <c r="T12" s="22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17"/>
      <c r="AH12" s="24"/>
      <c r="AI12" s="25"/>
      <c r="AJ12" s="25"/>
    </row>
    <row r="13" spans="1:36" ht="15.6" x14ac:dyDescent="0.3">
      <c r="A13" s="63">
        <v>7</v>
      </c>
      <c r="B13" s="102" t="s">
        <v>3520</v>
      </c>
      <c r="C13" s="102" t="s">
        <v>3521</v>
      </c>
      <c r="D13" s="64" t="s">
        <v>119</v>
      </c>
      <c r="E13" s="68" t="s">
        <v>1203</v>
      </c>
      <c r="F13" s="71" t="s">
        <v>1204</v>
      </c>
      <c r="G13" s="68" t="s">
        <v>42</v>
      </c>
      <c r="H13" s="20"/>
      <c r="I13" s="20"/>
      <c r="J13" s="21"/>
      <c r="K13" s="68" t="s">
        <v>1229</v>
      </c>
      <c r="L13" s="68" t="s">
        <v>1230</v>
      </c>
      <c r="M13" s="68" t="s">
        <v>1231</v>
      </c>
      <c r="N13" s="67">
        <v>21.414277999999999</v>
      </c>
      <c r="O13" s="67">
        <v>92.076930000000004</v>
      </c>
      <c r="P13" s="68">
        <v>700</v>
      </c>
      <c r="Q13" s="68"/>
      <c r="R13" s="18"/>
      <c r="S13" s="18"/>
      <c r="T13" s="22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17"/>
      <c r="AH13" s="24"/>
      <c r="AI13" s="25"/>
      <c r="AJ13" s="25"/>
    </row>
    <row r="14" spans="1:36" ht="15.6" x14ac:dyDescent="0.3">
      <c r="A14" s="63">
        <v>8</v>
      </c>
      <c r="B14" s="102" t="s">
        <v>3520</v>
      </c>
      <c r="C14" s="102" t="s">
        <v>3521</v>
      </c>
      <c r="D14" s="64" t="s">
        <v>119</v>
      </c>
      <c r="E14" s="68" t="s">
        <v>1203</v>
      </c>
      <c r="F14" s="71" t="s">
        <v>1204</v>
      </c>
      <c r="G14" s="68" t="s">
        <v>43</v>
      </c>
      <c r="H14" s="26"/>
      <c r="I14" s="20"/>
      <c r="J14" s="21"/>
      <c r="K14" s="68" t="s">
        <v>1232</v>
      </c>
      <c r="L14" s="68" t="s">
        <v>1233</v>
      </c>
      <c r="M14" s="68" t="s">
        <v>1234</v>
      </c>
      <c r="N14" s="67">
        <v>21.419433000000001</v>
      </c>
      <c r="O14" s="67">
        <v>92.083673000000005</v>
      </c>
      <c r="P14" s="68">
        <v>700</v>
      </c>
      <c r="Q14" s="68"/>
      <c r="R14" s="18"/>
      <c r="S14" s="18"/>
      <c r="T14" s="27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16"/>
      <c r="AH14" s="24"/>
      <c r="AI14" s="25"/>
      <c r="AJ14" s="25"/>
    </row>
    <row r="15" spans="1:36" ht="15.6" x14ac:dyDescent="0.3">
      <c r="A15" s="63">
        <v>9</v>
      </c>
      <c r="B15" s="102" t="s">
        <v>3520</v>
      </c>
      <c r="C15" s="102" t="s">
        <v>3521</v>
      </c>
      <c r="D15" s="64" t="s">
        <v>119</v>
      </c>
      <c r="E15" s="68" t="s">
        <v>1203</v>
      </c>
      <c r="F15" s="71" t="s">
        <v>1204</v>
      </c>
      <c r="G15" s="68" t="s">
        <v>43</v>
      </c>
      <c r="H15" s="26"/>
      <c r="I15" s="20"/>
      <c r="J15" s="21"/>
      <c r="K15" s="68" t="s">
        <v>1235</v>
      </c>
      <c r="L15" s="68" t="s">
        <v>1236</v>
      </c>
      <c r="M15" s="68" t="s">
        <v>1237</v>
      </c>
      <c r="N15" s="67">
        <v>21.418268999999999</v>
      </c>
      <c r="O15" s="67">
        <v>92.086246000000003</v>
      </c>
      <c r="P15" s="68">
        <v>1000</v>
      </c>
      <c r="Q15" s="68"/>
      <c r="R15" s="18"/>
      <c r="S15" s="18"/>
      <c r="T15" s="27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17"/>
      <c r="AH15" s="24"/>
      <c r="AI15" s="25"/>
      <c r="AJ15" s="25"/>
    </row>
    <row r="16" spans="1:36" ht="15.6" x14ac:dyDescent="0.3">
      <c r="A16" s="63">
        <v>10</v>
      </c>
      <c r="B16" s="102" t="s">
        <v>3520</v>
      </c>
      <c r="C16" s="102" t="s">
        <v>3521</v>
      </c>
      <c r="D16" s="64" t="s">
        <v>119</v>
      </c>
      <c r="E16" s="68" t="s">
        <v>1203</v>
      </c>
      <c r="F16" s="71" t="s">
        <v>1204</v>
      </c>
      <c r="G16" s="68" t="s">
        <v>43</v>
      </c>
      <c r="H16" s="26"/>
      <c r="I16" s="20"/>
      <c r="J16" s="21"/>
      <c r="K16" s="68" t="s">
        <v>1238</v>
      </c>
      <c r="L16" s="68" t="s">
        <v>1239</v>
      </c>
      <c r="M16" s="68" t="s">
        <v>1240</v>
      </c>
      <c r="N16" s="67">
        <v>21.417895999999999</v>
      </c>
      <c r="O16" s="67">
        <v>92.087770000000006</v>
      </c>
      <c r="P16" s="68">
        <v>1200</v>
      </c>
      <c r="Q16" s="68"/>
      <c r="R16" s="18"/>
      <c r="S16" s="18"/>
      <c r="T16" s="27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17"/>
      <c r="AH16" s="24"/>
      <c r="AI16" s="25"/>
      <c r="AJ16" s="25"/>
    </row>
    <row r="17" spans="1:36" ht="15.6" x14ac:dyDescent="0.3">
      <c r="A17" s="63">
        <v>11</v>
      </c>
      <c r="B17" s="102" t="s">
        <v>3520</v>
      </c>
      <c r="C17" s="102" t="s">
        <v>3521</v>
      </c>
      <c r="D17" s="64" t="s">
        <v>119</v>
      </c>
      <c r="E17" s="68" t="s">
        <v>1203</v>
      </c>
      <c r="F17" s="71" t="s">
        <v>1204</v>
      </c>
      <c r="G17" s="68" t="s">
        <v>43</v>
      </c>
      <c r="H17" s="26"/>
      <c r="I17" s="20"/>
      <c r="J17" s="28"/>
      <c r="K17" s="68" t="s">
        <v>1241</v>
      </c>
      <c r="L17" s="68" t="s">
        <v>1242</v>
      </c>
      <c r="M17" s="68" t="s">
        <v>1243</v>
      </c>
      <c r="N17" s="67">
        <v>21.418334000000002</v>
      </c>
      <c r="O17" s="67">
        <v>92.084433000000004</v>
      </c>
      <c r="P17" s="68">
        <v>100</v>
      </c>
      <c r="Q17" s="68"/>
      <c r="R17" s="18"/>
      <c r="S17" s="18"/>
      <c r="T17" s="27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17"/>
      <c r="AH17" s="24"/>
      <c r="AI17" s="25"/>
      <c r="AJ17" s="25"/>
    </row>
    <row r="18" spans="1:36" ht="15.6" x14ac:dyDescent="0.3">
      <c r="A18" s="63">
        <v>12</v>
      </c>
      <c r="B18" s="102" t="s">
        <v>3520</v>
      </c>
      <c r="C18" s="102" t="s">
        <v>3521</v>
      </c>
      <c r="D18" s="64" t="s">
        <v>119</v>
      </c>
      <c r="E18" s="68" t="s">
        <v>1203</v>
      </c>
      <c r="F18" s="71" t="s">
        <v>1204</v>
      </c>
      <c r="G18" s="68" t="s">
        <v>44</v>
      </c>
      <c r="H18" s="26"/>
      <c r="I18" s="20"/>
      <c r="J18" s="21"/>
      <c r="K18" s="68" t="s">
        <v>1244</v>
      </c>
      <c r="L18" s="68" t="s">
        <v>1245</v>
      </c>
      <c r="M18" s="68" t="s">
        <v>1246</v>
      </c>
      <c r="N18" s="67">
        <v>21.417939000000001</v>
      </c>
      <c r="O18" s="67">
        <v>92.091778000000005</v>
      </c>
      <c r="P18" s="68">
        <v>1000</v>
      </c>
      <c r="Q18" s="68"/>
      <c r="R18" s="18"/>
      <c r="S18" s="18"/>
      <c r="T18" s="27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17"/>
      <c r="AH18" s="24"/>
      <c r="AI18" s="25"/>
      <c r="AJ18" s="25"/>
    </row>
    <row r="19" spans="1:36" ht="15.6" x14ac:dyDescent="0.3">
      <c r="A19" s="63">
        <v>13</v>
      </c>
      <c r="B19" s="102" t="s">
        <v>3520</v>
      </c>
      <c r="C19" s="102" t="s">
        <v>3521</v>
      </c>
      <c r="D19" s="64" t="s">
        <v>119</v>
      </c>
      <c r="E19" s="68" t="s">
        <v>1203</v>
      </c>
      <c r="F19" s="71" t="s">
        <v>1204</v>
      </c>
      <c r="G19" s="68" t="s">
        <v>44</v>
      </c>
      <c r="H19" s="26"/>
      <c r="I19" s="20"/>
      <c r="J19" s="21"/>
      <c r="K19" s="68" t="s">
        <v>1247</v>
      </c>
      <c r="L19" s="68" t="s">
        <v>1248</v>
      </c>
      <c r="M19" s="68" t="s">
        <v>1249</v>
      </c>
      <c r="N19" s="67">
        <v>21.421589999999998</v>
      </c>
      <c r="O19" s="67">
        <v>92.089585</v>
      </c>
      <c r="P19" s="68">
        <v>350</v>
      </c>
      <c r="Q19" s="68"/>
      <c r="R19" s="18"/>
      <c r="S19" s="18"/>
      <c r="T19" s="27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17"/>
      <c r="AH19" s="24"/>
      <c r="AI19" s="25"/>
      <c r="AJ19" s="25"/>
    </row>
    <row r="20" spans="1:36" ht="15.6" x14ac:dyDescent="0.3">
      <c r="A20" s="63">
        <v>14</v>
      </c>
      <c r="B20" s="102" t="s">
        <v>3520</v>
      </c>
      <c r="C20" s="102" t="s">
        <v>3521</v>
      </c>
      <c r="D20" s="64" t="s">
        <v>119</v>
      </c>
      <c r="E20" s="68" t="s">
        <v>1203</v>
      </c>
      <c r="F20" s="71" t="s">
        <v>1204</v>
      </c>
      <c r="G20" s="68" t="s">
        <v>44</v>
      </c>
      <c r="H20" s="26"/>
      <c r="I20" s="20"/>
      <c r="J20" s="21"/>
      <c r="K20" s="71" t="s">
        <v>1250</v>
      </c>
      <c r="L20" s="68" t="s">
        <v>1251</v>
      </c>
      <c r="M20" s="68" t="s">
        <v>1252</v>
      </c>
      <c r="N20" s="67">
        <v>21.423075000000001</v>
      </c>
      <c r="O20" s="67">
        <v>92.088989999999995</v>
      </c>
      <c r="P20" s="68">
        <v>600</v>
      </c>
      <c r="Q20" s="68"/>
      <c r="R20" s="18"/>
      <c r="S20" s="18"/>
      <c r="T20" s="27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17"/>
      <c r="AH20" s="24"/>
      <c r="AI20" s="25"/>
      <c r="AJ20" s="25"/>
    </row>
    <row r="21" spans="1:36" ht="15.6" x14ac:dyDescent="0.3">
      <c r="A21" s="63">
        <v>15</v>
      </c>
      <c r="B21" s="102" t="s">
        <v>3520</v>
      </c>
      <c r="C21" s="102" t="s">
        <v>3521</v>
      </c>
      <c r="D21" s="64" t="s">
        <v>119</v>
      </c>
      <c r="E21" s="68" t="s">
        <v>1203</v>
      </c>
      <c r="F21" s="71" t="s">
        <v>1204</v>
      </c>
      <c r="G21" s="68" t="s">
        <v>44</v>
      </c>
      <c r="H21" s="26"/>
      <c r="I21" s="20"/>
      <c r="J21" s="21"/>
      <c r="K21" s="71" t="s">
        <v>1253</v>
      </c>
      <c r="L21" s="68" t="s">
        <v>1254</v>
      </c>
      <c r="M21" s="68" t="s">
        <v>1255</v>
      </c>
      <c r="N21" s="67">
        <v>21.424388</v>
      </c>
      <c r="O21" s="67">
        <v>92.087423999999999</v>
      </c>
      <c r="P21" s="68">
        <v>800</v>
      </c>
      <c r="Q21" s="68"/>
      <c r="R21" s="18"/>
      <c r="S21" s="18"/>
      <c r="T21" s="22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17"/>
      <c r="AH21" s="24"/>
      <c r="AI21" s="25"/>
      <c r="AJ21" s="25"/>
    </row>
    <row r="22" spans="1:36" ht="15.6" x14ac:dyDescent="0.3">
      <c r="A22" s="63">
        <v>16</v>
      </c>
      <c r="B22" s="102" t="s">
        <v>3520</v>
      </c>
      <c r="C22" s="102" t="s">
        <v>3521</v>
      </c>
      <c r="D22" s="64" t="s">
        <v>119</v>
      </c>
      <c r="E22" s="68" t="s">
        <v>1203</v>
      </c>
      <c r="F22" s="71" t="s">
        <v>1204</v>
      </c>
      <c r="G22" s="68" t="s">
        <v>44</v>
      </c>
      <c r="H22" s="26"/>
      <c r="I22" s="20"/>
      <c r="J22" s="21"/>
      <c r="K22" s="68" t="s">
        <v>1256</v>
      </c>
      <c r="L22" s="68" t="s">
        <v>1257</v>
      </c>
      <c r="M22" s="68" t="s">
        <v>1258</v>
      </c>
      <c r="N22" s="67">
        <v>21.426190999999999</v>
      </c>
      <c r="O22" s="67">
        <v>92.084413999999995</v>
      </c>
      <c r="P22" s="68">
        <v>800</v>
      </c>
      <c r="Q22" s="68"/>
      <c r="R22" s="18"/>
      <c r="S22" s="18"/>
      <c r="T22" s="27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17"/>
      <c r="AH22" s="24"/>
      <c r="AI22" s="25"/>
      <c r="AJ22" s="25"/>
    </row>
    <row r="23" spans="1:36" ht="15.6" x14ac:dyDescent="0.3">
      <c r="A23" s="63">
        <v>17</v>
      </c>
      <c r="B23" s="102" t="s">
        <v>3520</v>
      </c>
      <c r="C23" s="102" t="s">
        <v>3521</v>
      </c>
      <c r="D23" s="64" t="s">
        <v>119</v>
      </c>
      <c r="E23" s="68" t="s">
        <v>1203</v>
      </c>
      <c r="F23" s="71" t="s">
        <v>1204</v>
      </c>
      <c r="G23" s="68" t="s">
        <v>44</v>
      </c>
      <c r="H23" s="20"/>
      <c r="I23" s="20"/>
      <c r="J23" s="21"/>
      <c r="K23" s="68" t="s">
        <v>1259</v>
      </c>
      <c r="L23" s="68" t="s">
        <v>1260</v>
      </c>
      <c r="M23" s="68" t="s">
        <v>1261</v>
      </c>
      <c r="N23" s="67">
        <v>21.42887</v>
      </c>
      <c r="O23" s="67">
        <v>92.080502999999993</v>
      </c>
      <c r="P23" s="68">
        <v>250</v>
      </c>
      <c r="Q23" s="68"/>
      <c r="R23" s="18"/>
      <c r="S23" s="18"/>
      <c r="T23" s="27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17"/>
      <c r="AH23" s="24"/>
      <c r="AI23" s="25"/>
      <c r="AJ23" s="25"/>
    </row>
    <row r="24" spans="1:36" ht="15.6" x14ac:dyDescent="0.3">
      <c r="A24" s="63">
        <v>18</v>
      </c>
      <c r="B24" s="102" t="s">
        <v>3520</v>
      </c>
      <c r="C24" s="102" t="s">
        <v>3521</v>
      </c>
      <c r="D24" s="64" t="s">
        <v>119</v>
      </c>
      <c r="E24" s="68" t="s">
        <v>1203</v>
      </c>
      <c r="F24" s="71" t="s">
        <v>1204</v>
      </c>
      <c r="G24" s="68" t="s">
        <v>45</v>
      </c>
      <c r="H24" s="20"/>
      <c r="I24" s="20"/>
      <c r="J24" s="21"/>
      <c r="K24" s="68" t="s">
        <v>1262</v>
      </c>
      <c r="L24" s="68" t="s">
        <v>1263</v>
      </c>
      <c r="M24" s="68" t="s">
        <v>1264</v>
      </c>
      <c r="N24" s="67">
        <v>21.437766</v>
      </c>
      <c r="O24" s="67">
        <v>92.073680999999993</v>
      </c>
      <c r="P24" s="68">
        <v>1500</v>
      </c>
      <c r="Q24" s="68"/>
      <c r="R24" s="18"/>
      <c r="S24" s="18"/>
      <c r="T24" s="27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17"/>
      <c r="AH24" s="24"/>
      <c r="AI24" s="25"/>
      <c r="AJ24" s="25"/>
    </row>
    <row r="25" spans="1:36" ht="15.6" x14ac:dyDescent="0.3">
      <c r="A25" s="63">
        <v>19</v>
      </c>
      <c r="B25" s="102" t="s">
        <v>3520</v>
      </c>
      <c r="C25" s="102" t="s">
        <v>3521</v>
      </c>
      <c r="D25" s="64" t="s">
        <v>119</v>
      </c>
      <c r="E25" s="68" t="s">
        <v>1203</v>
      </c>
      <c r="F25" s="71" t="s">
        <v>1204</v>
      </c>
      <c r="G25" s="68" t="s">
        <v>45</v>
      </c>
      <c r="H25" s="20"/>
      <c r="I25" s="20"/>
      <c r="J25" s="21"/>
      <c r="K25" s="68" t="s">
        <v>1265</v>
      </c>
      <c r="L25" s="68" t="s">
        <v>1266</v>
      </c>
      <c r="M25" s="68" t="s">
        <v>1267</v>
      </c>
      <c r="N25" s="67">
        <v>21.435711000000001</v>
      </c>
      <c r="O25" s="67">
        <v>92.074451999999994</v>
      </c>
      <c r="P25" s="68">
        <v>1000</v>
      </c>
      <c r="Q25" s="68"/>
      <c r="R25" s="18"/>
      <c r="S25" s="18"/>
      <c r="T25" s="27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17"/>
      <c r="AH25" s="24"/>
      <c r="AI25" s="25"/>
      <c r="AJ25" s="25"/>
    </row>
    <row r="26" spans="1:36" ht="15.6" x14ac:dyDescent="0.3">
      <c r="A26" s="63">
        <v>20</v>
      </c>
      <c r="B26" s="102" t="s">
        <v>3520</v>
      </c>
      <c r="C26" s="102" t="s">
        <v>3521</v>
      </c>
      <c r="D26" s="64" t="s">
        <v>119</v>
      </c>
      <c r="E26" s="68" t="s">
        <v>1203</v>
      </c>
      <c r="F26" s="71" t="s">
        <v>1204</v>
      </c>
      <c r="G26" s="68" t="s">
        <v>45</v>
      </c>
      <c r="H26" s="20"/>
      <c r="I26" s="20"/>
      <c r="J26" s="21"/>
      <c r="K26" s="69" t="s">
        <v>53</v>
      </c>
      <c r="L26" s="68" t="s">
        <v>54</v>
      </c>
      <c r="M26" s="68" t="s">
        <v>1268</v>
      </c>
      <c r="N26" s="67">
        <v>21.435040000000001</v>
      </c>
      <c r="O26" s="67">
        <v>92.075740999999994</v>
      </c>
      <c r="P26" s="68">
        <v>400</v>
      </c>
      <c r="Q26" s="68"/>
      <c r="R26" s="18"/>
      <c r="S26" s="18"/>
      <c r="T26" s="27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17"/>
      <c r="AH26" s="24"/>
      <c r="AI26" s="25"/>
      <c r="AJ26" s="25"/>
    </row>
    <row r="27" spans="1:36" ht="15.6" x14ac:dyDescent="0.3">
      <c r="A27" s="63">
        <v>21</v>
      </c>
      <c r="B27" s="102" t="s">
        <v>3520</v>
      </c>
      <c r="C27" s="102" t="s">
        <v>3521</v>
      </c>
      <c r="D27" s="64" t="s">
        <v>119</v>
      </c>
      <c r="E27" s="68" t="s">
        <v>1203</v>
      </c>
      <c r="F27" s="71" t="s">
        <v>1204</v>
      </c>
      <c r="G27" s="68" t="s">
        <v>45</v>
      </c>
      <c r="H27" s="20"/>
      <c r="I27" s="20"/>
      <c r="J27" s="21"/>
      <c r="K27" s="68" t="s">
        <v>75</v>
      </c>
      <c r="L27" s="68" t="s">
        <v>228</v>
      </c>
      <c r="M27" s="68" t="s">
        <v>1269</v>
      </c>
      <c r="N27" s="67">
        <v>21.432248999999999</v>
      </c>
      <c r="O27" s="67">
        <v>92.079950999999994</v>
      </c>
      <c r="P27" s="68">
        <v>600</v>
      </c>
      <c r="Q27" s="68"/>
      <c r="R27" s="18"/>
      <c r="S27" s="18"/>
      <c r="T27" s="22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17"/>
      <c r="AH27" s="24"/>
      <c r="AI27" s="25"/>
      <c r="AJ27" s="25"/>
    </row>
    <row r="28" spans="1:36" ht="15.6" x14ac:dyDescent="0.3">
      <c r="A28" s="63">
        <v>22</v>
      </c>
      <c r="B28" s="102" t="s">
        <v>3520</v>
      </c>
      <c r="C28" s="102" t="s">
        <v>3521</v>
      </c>
      <c r="D28" s="64" t="s">
        <v>119</v>
      </c>
      <c r="E28" s="68" t="s">
        <v>1203</v>
      </c>
      <c r="F28" s="71" t="s">
        <v>1204</v>
      </c>
      <c r="G28" s="68" t="s">
        <v>46</v>
      </c>
      <c r="H28" s="20"/>
      <c r="I28" s="20"/>
      <c r="J28" s="21"/>
      <c r="K28" s="68" t="s">
        <v>1270</v>
      </c>
      <c r="L28" s="68" t="s">
        <v>1271</v>
      </c>
      <c r="M28" s="68" t="s">
        <v>1272</v>
      </c>
      <c r="N28" s="67">
        <v>21.441302</v>
      </c>
      <c r="O28" s="67">
        <v>92.080526000000006</v>
      </c>
      <c r="P28" s="68">
        <v>1500</v>
      </c>
      <c r="Q28" s="68"/>
      <c r="R28" s="18"/>
      <c r="S28" s="18"/>
      <c r="T28" s="27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17"/>
      <c r="AH28" s="24"/>
      <c r="AI28" s="25"/>
      <c r="AJ28" s="25"/>
    </row>
    <row r="29" spans="1:36" ht="15.6" x14ac:dyDescent="0.3">
      <c r="A29" s="63">
        <v>23</v>
      </c>
      <c r="B29" s="102" t="s">
        <v>3520</v>
      </c>
      <c r="C29" s="102" t="s">
        <v>3521</v>
      </c>
      <c r="D29" s="64" t="s">
        <v>119</v>
      </c>
      <c r="E29" s="68" t="s">
        <v>1203</v>
      </c>
      <c r="F29" s="71" t="s">
        <v>1204</v>
      </c>
      <c r="G29" s="68" t="s">
        <v>46</v>
      </c>
      <c r="H29" s="20"/>
      <c r="I29" s="20"/>
      <c r="J29" s="21"/>
      <c r="K29" s="68" t="s">
        <v>1273</v>
      </c>
      <c r="L29" s="68" t="s">
        <v>1274</v>
      </c>
      <c r="M29" s="68" t="s">
        <v>1275</v>
      </c>
      <c r="N29" s="67">
        <v>21.443615999999999</v>
      </c>
      <c r="O29" s="67">
        <v>92.076547000000005</v>
      </c>
      <c r="P29" s="68">
        <v>1200</v>
      </c>
      <c r="Q29" s="68"/>
      <c r="R29" s="18"/>
      <c r="S29" s="18"/>
      <c r="T29" s="27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17"/>
      <c r="AH29" s="24"/>
      <c r="AI29" s="25"/>
      <c r="AJ29" s="25"/>
    </row>
    <row r="30" spans="1:36" ht="15.6" x14ac:dyDescent="0.3">
      <c r="A30" s="63">
        <v>24</v>
      </c>
      <c r="B30" s="102" t="s">
        <v>3520</v>
      </c>
      <c r="C30" s="102" t="s">
        <v>3521</v>
      </c>
      <c r="D30" s="64" t="s">
        <v>119</v>
      </c>
      <c r="E30" s="68" t="s">
        <v>1203</v>
      </c>
      <c r="F30" s="71" t="s">
        <v>1204</v>
      </c>
      <c r="G30" s="68" t="s">
        <v>47</v>
      </c>
      <c r="H30" s="20"/>
      <c r="I30" s="20"/>
      <c r="J30" s="21"/>
      <c r="K30" s="68" t="s">
        <v>1276</v>
      </c>
      <c r="L30" s="68" t="s">
        <v>1277</v>
      </c>
      <c r="M30" s="68" t="s">
        <v>1278</v>
      </c>
      <c r="N30" s="67">
        <v>21.450717000000001</v>
      </c>
      <c r="O30" s="67">
        <v>92.067357000000001</v>
      </c>
      <c r="P30" s="68">
        <v>550</v>
      </c>
      <c r="Q30" s="68"/>
      <c r="R30" s="18"/>
      <c r="S30" s="18"/>
      <c r="T30" s="27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17"/>
      <c r="AH30" s="24"/>
      <c r="AI30" s="25"/>
      <c r="AJ30" s="25"/>
    </row>
    <row r="31" spans="1:36" ht="15.6" x14ac:dyDescent="0.3">
      <c r="A31" s="63">
        <v>25</v>
      </c>
      <c r="B31" s="102" t="s">
        <v>3520</v>
      </c>
      <c r="C31" s="102" t="s">
        <v>3521</v>
      </c>
      <c r="D31" s="64" t="s">
        <v>119</v>
      </c>
      <c r="E31" s="68" t="s">
        <v>1203</v>
      </c>
      <c r="F31" s="71" t="s">
        <v>1204</v>
      </c>
      <c r="G31" s="68" t="s">
        <v>47</v>
      </c>
      <c r="H31" s="20"/>
      <c r="I31" s="20"/>
      <c r="J31" s="21"/>
      <c r="K31" s="68" t="s">
        <v>1279</v>
      </c>
      <c r="L31" s="68" t="s">
        <v>1280</v>
      </c>
      <c r="M31" s="68" t="s">
        <v>1281</v>
      </c>
      <c r="N31" s="67">
        <v>21.451355</v>
      </c>
      <c r="O31" s="67">
        <v>92.065888999999999</v>
      </c>
      <c r="P31" s="68">
        <v>650</v>
      </c>
      <c r="Q31" s="68"/>
      <c r="R31" s="18"/>
      <c r="S31" s="18"/>
      <c r="T31" s="27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17"/>
      <c r="AH31" s="24"/>
      <c r="AI31" s="25"/>
      <c r="AJ31" s="25"/>
    </row>
    <row r="32" spans="1:36" ht="15.6" x14ac:dyDescent="0.3">
      <c r="A32" s="63">
        <v>26</v>
      </c>
      <c r="B32" s="102" t="s">
        <v>3520</v>
      </c>
      <c r="C32" s="102" t="s">
        <v>3521</v>
      </c>
      <c r="D32" s="64" t="s">
        <v>119</v>
      </c>
      <c r="E32" s="68" t="s">
        <v>1203</v>
      </c>
      <c r="F32" s="71" t="s">
        <v>1204</v>
      </c>
      <c r="G32" s="68" t="s">
        <v>47</v>
      </c>
      <c r="H32" s="20"/>
      <c r="I32" s="20"/>
      <c r="J32" s="21"/>
      <c r="K32" s="68" t="s">
        <v>1282</v>
      </c>
      <c r="L32" s="68" t="s">
        <v>1283</v>
      </c>
      <c r="M32" s="68" t="s">
        <v>1284</v>
      </c>
      <c r="N32" s="67">
        <v>21.457045999999998</v>
      </c>
      <c r="O32" s="67">
        <v>92.065191999999996</v>
      </c>
      <c r="P32" s="68">
        <v>300</v>
      </c>
      <c r="Q32" s="68"/>
      <c r="R32" s="18"/>
      <c r="S32" s="18"/>
      <c r="T32" s="27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17"/>
      <c r="AH32" s="24"/>
      <c r="AI32" s="25"/>
      <c r="AJ32" s="25"/>
    </row>
    <row r="33" spans="1:36" ht="15.6" x14ac:dyDescent="0.3">
      <c r="A33" s="63">
        <v>27</v>
      </c>
      <c r="B33" s="102" t="s">
        <v>3520</v>
      </c>
      <c r="C33" s="102" t="s">
        <v>3521</v>
      </c>
      <c r="D33" s="64" t="s">
        <v>119</v>
      </c>
      <c r="E33" s="68" t="s">
        <v>1203</v>
      </c>
      <c r="F33" s="71" t="s">
        <v>1204</v>
      </c>
      <c r="G33" s="68" t="s">
        <v>47</v>
      </c>
      <c r="H33" s="20"/>
      <c r="I33" s="20"/>
      <c r="J33" s="21"/>
      <c r="K33" s="68" t="s">
        <v>1285</v>
      </c>
      <c r="L33" s="68" t="s">
        <v>1286</v>
      </c>
      <c r="M33" s="68" t="s">
        <v>1287</v>
      </c>
      <c r="N33" s="67">
        <v>21.452818000000001</v>
      </c>
      <c r="O33" s="67">
        <v>92.069558999999998</v>
      </c>
      <c r="P33" s="68">
        <v>500</v>
      </c>
      <c r="Q33" s="68"/>
      <c r="R33" s="18"/>
      <c r="S33" s="18"/>
      <c r="T33" s="27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17"/>
      <c r="AH33" s="24"/>
      <c r="AI33" s="25"/>
      <c r="AJ33" s="25"/>
    </row>
    <row r="34" spans="1:36" ht="15.6" x14ac:dyDescent="0.3">
      <c r="A34" s="63">
        <v>28</v>
      </c>
      <c r="B34" s="102" t="s">
        <v>3520</v>
      </c>
      <c r="C34" s="102" t="s">
        <v>3521</v>
      </c>
      <c r="D34" s="64" t="s">
        <v>119</v>
      </c>
      <c r="E34" s="68" t="s">
        <v>1203</v>
      </c>
      <c r="F34" s="71" t="s">
        <v>1204</v>
      </c>
      <c r="G34" s="68" t="s">
        <v>47</v>
      </c>
      <c r="H34" s="20"/>
      <c r="I34" s="23"/>
      <c r="J34" s="21"/>
      <c r="K34" s="68" t="s">
        <v>1288</v>
      </c>
      <c r="L34" s="68" t="s">
        <v>1289</v>
      </c>
      <c r="M34" s="68" t="s">
        <v>1290</v>
      </c>
      <c r="N34" s="67">
        <v>21.451499999999999</v>
      </c>
      <c r="O34" s="67">
        <v>92.069604999999996</v>
      </c>
      <c r="P34" s="68">
        <v>480</v>
      </c>
      <c r="Q34" s="68"/>
      <c r="R34" s="18"/>
      <c r="S34" s="18"/>
      <c r="T34" s="27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17"/>
      <c r="AH34" s="24"/>
      <c r="AI34" s="25"/>
      <c r="AJ34" s="25"/>
    </row>
    <row r="35" spans="1:36" ht="15.6" x14ac:dyDescent="0.3">
      <c r="A35" s="63">
        <v>29</v>
      </c>
      <c r="B35" s="102" t="s">
        <v>3520</v>
      </c>
      <c r="C35" s="102" t="s">
        <v>3521</v>
      </c>
      <c r="D35" s="64" t="s">
        <v>119</v>
      </c>
      <c r="E35" s="68" t="s">
        <v>1203</v>
      </c>
      <c r="F35" s="71" t="s">
        <v>1204</v>
      </c>
      <c r="G35" s="68" t="s">
        <v>47</v>
      </c>
      <c r="H35" s="20"/>
      <c r="I35" s="23"/>
      <c r="J35" s="21"/>
      <c r="K35" s="68" t="s">
        <v>1291</v>
      </c>
      <c r="L35" s="68" t="s">
        <v>1292</v>
      </c>
      <c r="M35" s="68" t="s">
        <v>1293</v>
      </c>
      <c r="N35" s="67">
        <v>21.449714</v>
      </c>
      <c r="O35" s="67">
        <v>92.071019000000007</v>
      </c>
      <c r="P35" s="68">
        <v>250</v>
      </c>
      <c r="Q35" s="68"/>
      <c r="R35" s="18"/>
      <c r="S35" s="18"/>
      <c r="T35" s="27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17"/>
      <c r="AH35" s="24"/>
      <c r="AI35" s="29"/>
      <c r="AJ35" s="29"/>
    </row>
    <row r="36" spans="1:36" ht="15.6" x14ac:dyDescent="0.3">
      <c r="A36" s="63">
        <v>30</v>
      </c>
      <c r="B36" s="102" t="s">
        <v>3520</v>
      </c>
      <c r="C36" s="102" t="s">
        <v>3521</v>
      </c>
      <c r="D36" s="64" t="s">
        <v>119</v>
      </c>
      <c r="E36" s="68" t="s">
        <v>1203</v>
      </c>
      <c r="F36" s="71" t="s">
        <v>1204</v>
      </c>
      <c r="G36" s="68" t="s">
        <v>48</v>
      </c>
      <c r="H36" s="20"/>
      <c r="I36" s="23"/>
      <c r="J36" s="21"/>
      <c r="K36" s="68" t="s">
        <v>1294</v>
      </c>
      <c r="L36" s="68" t="s">
        <v>1295</v>
      </c>
      <c r="M36" s="68" t="s">
        <v>1296</v>
      </c>
      <c r="N36" s="67">
        <v>21.435068000000001</v>
      </c>
      <c r="O36" s="67">
        <v>92.071102999999994</v>
      </c>
      <c r="P36" s="68">
        <v>1200</v>
      </c>
      <c r="Q36" s="68"/>
      <c r="R36" s="18"/>
      <c r="S36" s="18"/>
      <c r="T36" s="27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17"/>
      <c r="AH36" s="24"/>
      <c r="AI36" s="30"/>
      <c r="AJ36" s="30"/>
    </row>
    <row r="37" spans="1:36" ht="15.6" x14ac:dyDescent="0.3">
      <c r="A37" s="63">
        <v>31</v>
      </c>
      <c r="B37" s="102" t="s">
        <v>3520</v>
      </c>
      <c r="C37" s="102" t="s">
        <v>3521</v>
      </c>
      <c r="D37" s="64" t="s">
        <v>119</v>
      </c>
      <c r="E37" s="68" t="s">
        <v>1203</v>
      </c>
      <c r="F37" s="71" t="s">
        <v>1204</v>
      </c>
      <c r="G37" s="68" t="s">
        <v>48</v>
      </c>
      <c r="H37" s="20"/>
      <c r="I37" s="23"/>
      <c r="J37" s="21"/>
      <c r="K37" s="68" t="s">
        <v>1297</v>
      </c>
      <c r="L37" s="68" t="s">
        <v>1298</v>
      </c>
      <c r="M37" s="68" t="s">
        <v>1299</v>
      </c>
      <c r="N37" s="67">
        <v>21.437916999999999</v>
      </c>
      <c r="O37" s="67">
        <v>92.068473999999995</v>
      </c>
      <c r="P37" s="68">
        <v>1400</v>
      </c>
      <c r="Q37" s="68"/>
      <c r="R37" s="18"/>
      <c r="S37" s="18"/>
      <c r="T37" s="27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17"/>
      <c r="AH37" s="24"/>
      <c r="AI37" s="31"/>
      <c r="AJ37" s="31"/>
    </row>
    <row r="38" spans="1:36" ht="15.6" x14ac:dyDescent="0.3">
      <c r="A38" s="63">
        <v>32</v>
      </c>
      <c r="B38" s="102" t="s">
        <v>3520</v>
      </c>
      <c r="C38" s="102" t="s">
        <v>3521</v>
      </c>
      <c r="D38" s="64" t="s">
        <v>119</v>
      </c>
      <c r="E38" s="68" t="s">
        <v>1203</v>
      </c>
      <c r="F38" s="71" t="s">
        <v>1204</v>
      </c>
      <c r="G38" s="68" t="s">
        <v>48</v>
      </c>
      <c r="H38" s="20"/>
      <c r="I38" s="23"/>
      <c r="J38" s="21"/>
      <c r="K38" s="68" t="s">
        <v>1300</v>
      </c>
      <c r="L38" s="68" t="s">
        <v>1301</v>
      </c>
      <c r="M38" s="68" t="s">
        <v>1302</v>
      </c>
      <c r="N38" s="67">
        <v>21.440093000000001</v>
      </c>
      <c r="O38" s="67">
        <v>92.072277999999997</v>
      </c>
      <c r="P38" s="68">
        <v>1300</v>
      </c>
      <c r="Q38" s="68"/>
      <c r="R38" s="18"/>
      <c r="S38" s="18"/>
      <c r="T38" s="22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17"/>
      <c r="AH38" s="24"/>
      <c r="AI38" s="31"/>
      <c r="AJ38" s="31"/>
    </row>
    <row r="39" spans="1:36" ht="15.6" x14ac:dyDescent="0.3">
      <c r="A39" s="63">
        <v>33</v>
      </c>
      <c r="B39" s="102" t="s">
        <v>3520</v>
      </c>
      <c r="C39" s="102" t="s">
        <v>3521</v>
      </c>
      <c r="D39" s="64" t="s">
        <v>119</v>
      </c>
      <c r="E39" s="68" t="s">
        <v>1203</v>
      </c>
      <c r="F39" s="71" t="s">
        <v>1204</v>
      </c>
      <c r="G39" s="68" t="s">
        <v>49</v>
      </c>
      <c r="H39" s="20"/>
      <c r="I39" s="23"/>
      <c r="J39" s="21"/>
      <c r="K39" s="68" t="s">
        <v>1303</v>
      </c>
      <c r="L39" s="68" t="s">
        <v>1304</v>
      </c>
      <c r="M39" s="68" t="s">
        <v>1305</v>
      </c>
      <c r="N39" s="67">
        <v>21.426428999999999</v>
      </c>
      <c r="O39" s="67">
        <v>92.070099999999996</v>
      </c>
      <c r="P39" s="68">
        <v>500</v>
      </c>
      <c r="Q39" s="68"/>
      <c r="R39" s="18"/>
      <c r="S39" s="18"/>
      <c r="T39" s="22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17"/>
      <c r="AH39" s="24"/>
      <c r="AI39" s="29"/>
      <c r="AJ39" s="29"/>
    </row>
    <row r="40" spans="1:36" ht="15.6" x14ac:dyDescent="0.3">
      <c r="A40" s="63">
        <v>34</v>
      </c>
      <c r="B40" s="102" t="s">
        <v>3520</v>
      </c>
      <c r="C40" s="102" t="s">
        <v>3521</v>
      </c>
      <c r="D40" s="64" t="s">
        <v>119</v>
      </c>
      <c r="E40" s="68" t="s">
        <v>1203</v>
      </c>
      <c r="F40" s="71" t="s">
        <v>1204</v>
      </c>
      <c r="G40" s="68" t="s">
        <v>49</v>
      </c>
      <c r="H40" s="20"/>
      <c r="I40" s="23"/>
      <c r="J40" s="21"/>
      <c r="K40" s="68" t="s">
        <v>872</v>
      </c>
      <c r="L40" s="68" t="s">
        <v>873</v>
      </c>
      <c r="M40" s="68" t="s">
        <v>1306</v>
      </c>
      <c r="N40" s="67">
        <v>21.431615000000001</v>
      </c>
      <c r="O40" s="67">
        <v>92.069198999999998</v>
      </c>
      <c r="P40" s="68">
        <v>450</v>
      </c>
      <c r="Q40" s="68"/>
      <c r="R40" s="43"/>
      <c r="S40" s="43"/>
      <c r="T40" s="22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17"/>
      <c r="AH40" s="24"/>
      <c r="AI40" s="29"/>
      <c r="AJ40" s="29"/>
    </row>
    <row r="41" spans="1:36" ht="15.6" x14ac:dyDescent="0.3">
      <c r="A41" s="63">
        <v>35</v>
      </c>
      <c r="B41" s="102" t="s">
        <v>3520</v>
      </c>
      <c r="C41" s="102" t="s">
        <v>3521</v>
      </c>
      <c r="D41" s="64" t="s">
        <v>119</v>
      </c>
      <c r="E41" s="68" t="s">
        <v>1203</v>
      </c>
      <c r="F41" s="71" t="s">
        <v>1204</v>
      </c>
      <c r="G41" s="68" t="s">
        <v>49</v>
      </c>
      <c r="H41" s="20"/>
      <c r="I41" s="23"/>
      <c r="J41" s="21"/>
      <c r="K41" s="68" t="s">
        <v>1307</v>
      </c>
      <c r="L41" s="68" t="s">
        <v>1308</v>
      </c>
      <c r="M41" s="68" t="s">
        <v>1309</v>
      </c>
      <c r="N41" s="67">
        <v>21.422944999999999</v>
      </c>
      <c r="O41" s="67">
        <v>92.072650999999993</v>
      </c>
      <c r="P41" s="68">
        <v>350</v>
      </c>
      <c r="Q41" s="68"/>
      <c r="R41" s="18"/>
      <c r="S41" s="18"/>
      <c r="T41" s="22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17"/>
      <c r="AH41" s="24"/>
      <c r="AI41" s="25"/>
      <c r="AJ41" s="25"/>
    </row>
    <row r="42" spans="1:36" ht="15.6" x14ac:dyDescent="0.3">
      <c r="A42" s="63">
        <v>36</v>
      </c>
      <c r="B42" s="102" t="s">
        <v>3520</v>
      </c>
      <c r="C42" s="102" t="s">
        <v>3521</v>
      </c>
      <c r="D42" s="64" t="s">
        <v>119</v>
      </c>
      <c r="E42" s="68" t="s">
        <v>1203</v>
      </c>
      <c r="F42" s="71" t="s">
        <v>1204</v>
      </c>
      <c r="G42" s="68" t="s">
        <v>49</v>
      </c>
      <c r="H42" s="20"/>
      <c r="I42" s="23"/>
      <c r="J42" s="21"/>
      <c r="K42" s="68" t="s">
        <v>1310</v>
      </c>
      <c r="L42" s="68" t="s">
        <v>1311</v>
      </c>
      <c r="M42" s="68" t="s">
        <v>1312</v>
      </c>
      <c r="N42" s="67">
        <v>21.426459999999999</v>
      </c>
      <c r="O42" s="67">
        <v>92.072248000000002</v>
      </c>
      <c r="P42" s="68">
        <v>1000</v>
      </c>
      <c r="Q42" s="68"/>
      <c r="R42" s="18"/>
      <c r="S42" s="18"/>
      <c r="T42" s="22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17"/>
      <c r="AH42" s="24"/>
      <c r="AI42" s="25"/>
      <c r="AJ42" s="25"/>
    </row>
    <row r="43" spans="1:36" ht="15.6" x14ac:dyDescent="0.3">
      <c r="A43" s="63">
        <v>37</v>
      </c>
      <c r="B43" s="102" t="s">
        <v>3520</v>
      </c>
      <c r="C43" s="102" t="s">
        <v>3521</v>
      </c>
      <c r="D43" s="64" t="s">
        <v>119</v>
      </c>
      <c r="E43" s="68" t="s">
        <v>1203</v>
      </c>
      <c r="F43" s="68" t="s">
        <v>1205</v>
      </c>
      <c r="G43" s="68" t="s">
        <v>41</v>
      </c>
      <c r="H43" s="20"/>
      <c r="I43" s="23"/>
      <c r="J43" s="20"/>
      <c r="K43" s="68" t="s">
        <v>1313</v>
      </c>
      <c r="L43" s="68" t="s">
        <v>1314</v>
      </c>
      <c r="M43" s="68" t="s">
        <v>1315</v>
      </c>
      <c r="N43" s="67">
        <v>21.416255</v>
      </c>
      <c r="O43" s="67">
        <v>92.058578999999995</v>
      </c>
      <c r="P43" s="74">
        <v>500</v>
      </c>
      <c r="Q43" s="74"/>
      <c r="R43" s="18"/>
      <c r="S43" s="18"/>
      <c r="T43" s="22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17"/>
      <c r="AH43" s="24"/>
      <c r="AI43" s="25"/>
      <c r="AJ43" s="25"/>
    </row>
    <row r="44" spans="1:36" ht="15.6" x14ac:dyDescent="0.3">
      <c r="A44" s="63">
        <v>38</v>
      </c>
      <c r="B44" s="102" t="s">
        <v>3520</v>
      </c>
      <c r="C44" s="102" t="s">
        <v>3521</v>
      </c>
      <c r="D44" s="64" t="s">
        <v>119</v>
      </c>
      <c r="E44" s="68" t="s">
        <v>1203</v>
      </c>
      <c r="F44" s="68" t="s">
        <v>1205</v>
      </c>
      <c r="G44" s="68" t="s">
        <v>41</v>
      </c>
      <c r="H44" s="20"/>
      <c r="I44" s="23"/>
      <c r="J44" s="21"/>
      <c r="K44" s="68" t="s">
        <v>1316</v>
      </c>
      <c r="L44" s="68" t="s">
        <v>1317</v>
      </c>
      <c r="M44" s="68" t="s">
        <v>1318</v>
      </c>
      <c r="N44" s="67">
        <v>21.418558999999998</v>
      </c>
      <c r="O44" s="67">
        <v>92.057378</v>
      </c>
      <c r="P44" s="74">
        <v>300</v>
      </c>
      <c r="Q44" s="74"/>
      <c r="R44" s="18"/>
      <c r="S44" s="18"/>
      <c r="T44" s="22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17"/>
      <c r="AH44" s="24"/>
      <c r="AI44" s="32"/>
      <c r="AJ44" s="32"/>
    </row>
    <row r="45" spans="1:36" ht="15.6" x14ac:dyDescent="0.3">
      <c r="A45" s="63">
        <v>39</v>
      </c>
      <c r="B45" s="102" t="s">
        <v>3520</v>
      </c>
      <c r="C45" s="102" t="s">
        <v>3521</v>
      </c>
      <c r="D45" s="64" t="s">
        <v>119</v>
      </c>
      <c r="E45" s="68" t="s">
        <v>1203</v>
      </c>
      <c r="F45" s="68" t="s">
        <v>1205</v>
      </c>
      <c r="G45" s="68" t="s">
        <v>41</v>
      </c>
      <c r="H45" s="20"/>
      <c r="I45" s="23"/>
      <c r="J45" s="21"/>
      <c r="K45" s="68" t="s">
        <v>547</v>
      </c>
      <c r="L45" s="68" t="s">
        <v>548</v>
      </c>
      <c r="M45" s="68" t="s">
        <v>1319</v>
      </c>
      <c r="N45" s="67">
        <v>21.415037999999999</v>
      </c>
      <c r="O45" s="67">
        <v>92.055025000000001</v>
      </c>
      <c r="P45" s="74">
        <v>200</v>
      </c>
      <c r="Q45" s="74"/>
      <c r="R45" s="18"/>
      <c r="S45" s="18"/>
      <c r="T45" s="22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17"/>
      <c r="AH45" s="24"/>
      <c r="AI45" s="33"/>
      <c r="AJ45" s="33"/>
    </row>
    <row r="46" spans="1:36" ht="15.6" x14ac:dyDescent="0.3">
      <c r="A46" s="63">
        <v>40</v>
      </c>
      <c r="B46" s="102" t="s">
        <v>3520</v>
      </c>
      <c r="C46" s="102" t="s">
        <v>3521</v>
      </c>
      <c r="D46" s="64" t="s">
        <v>119</v>
      </c>
      <c r="E46" s="68" t="s">
        <v>1203</v>
      </c>
      <c r="F46" s="68" t="s">
        <v>1205</v>
      </c>
      <c r="G46" s="68" t="s">
        <v>41</v>
      </c>
      <c r="H46" s="20"/>
      <c r="I46" s="23"/>
      <c r="J46" s="21"/>
      <c r="K46" s="68" t="s">
        <v>1320</v>
      </c>
      <c r="L46" s="68" t="s">
        <v>1321</v>
      </c>
      <c r="M46" s="68" t="s">
        <v>1322</v>
      </c>
      <c r="N46" s="67">
        <v>21.418210999999999</v>
      </c>
      <c r="O46" s="67">
        <v>92.055035000000004</v>
      </c>
      <c r="P46" s="74">
        <v>580</v>
      </c>
      <c r="Q46" s="74"/>
      <c r="R46" s="18"/>
      <c r="S46" s="18"/>
      <c r="T46" s="22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17"/>
      <c r="AH46" s="24"/>
      <c r="AI46" s="33"/>
      <c r="AJ46" s="33"/>
    </row>
    <row r="47" spans="1:36" ht="15.6" x14ac:dyDescent="0.3">
      <c r="A47" s="63">
        <v>41</v>
      </c>
      <c r="B47" s="102" t="s">
        <v>3520</v>
      </c>
      <c r="C47" s="102" t="s">
        <v>3521</v>
      </c>
      <c r="D47" s="64" t="s">
        <v>119</v>
      </c>
      <c r="E47" s="68" t="s">
        <v>1203</v>
      </c>
      <c r="F47" s="68" t="s">
        <v>1205</v>
      </c>
      <c r="G47" s="68" t="s">
        <v>41</v>
      </c>
      <c r="H47" s="20"/>
      <c r="I47" s="23"/>
      <c r="J47" s="21"/>
      <c r="K47" s="68" t="s">
        <v>62</v>
      </c>
      <c r="L47" s="68" t="s">
        <v>63</v>
      </c>
      <c r="M47" s="68" t="s">
        <v>1323</v>
      </c>
      <c r="N47" s="67">
        <v>21.417280999999999</v>
      </c>
      <c r="O47" s="67">
        <v>92.051490000000001</v>
      </c>
      <c r="P47" s="74">
        <v>550</v>
      </c>
      <c r="Q47" s="74"/>
      <c r="R47" s="18"/>
      <c r="S47" s="18"/>
      <c r="T47" s="22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17"/>
      <c r="AH47" s="24"/>
      <c r="AI47" s="33"/>
      <c r="AJ47" s="33"/>
    </row>
    <row r="48" spans="1:36" ht="15.6" x14ac:dyDescent="0.3">
      <c r="A48" s="63">
        <v>42</v>
      </c>
      <c r="B48" s="102" t="s">
        <v>3520</v>
      </c>
      <c r="C48" s="102" t="s">
        <v>3521</v>
      </c>
      <c r="D48" s="64" t="s">
        <v>119</v>
      </c>
      <c r="E48" s="68" t="s">
        <v>1203</v>
      </c>
      <c r="F48" s="68" t="s">
        <v>1205</v>
      </c>
      <c r="G48" s="68" t="s">
        <v>41</v>
      </c>
      <c r="H48" s="20"/>
      <c r="I48" s="23"/>
      <c r="J48" s="21"/>
      <c r="K48" s="68" t="s">
        <v>1324</v>
      </c>
      <c r="L48" s="68" t="s">
        <v>1325</v>
      </c>
      <c r="M48" s="68" t="s">
        <v>1326</v>
      </c>
      <c r="N48" s="67">
        <v>21.418838999999998</v>
      </c>
      <c r="O48" s="67">
        <v>92.050047000000006</v>
      </c>
      <c r="P48" s="74">
        <v>350</v>
      </c>
      <c r="Q48" s="74"/>
      <c r="R48" s="18"/>
      <c r="S48" s="18"/>
      <c r="T48" s="22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34"/>
      <c r="AH48" s="24"/>
      <c r="AI48" s="35"/>
      <c r="AJ48" s="35"/>
    </row>
    <row r="49" spans="1:36" ht="15.6" x14ac:dyDescent="0.3">
      <c r="A49" s="63">
        <v>43</v>
      </c>
      <c r="B49" s="102" t="s">
        <v>3520</v>
      </c>
      <c r="C49" s="102" t="s">
        <v>3521</v>
      </c>
      <c r="D49" s="64" t="s">
        <v>119</v>
      </c>
      <c r="E49" s="68" t="s">
        <v>1203</v>
      </c>
      <c r="F49" s="68" t="s">
        <v>1205</v>
      </c>
      <c r="G49" s="68" t="s">
        <v>41</v>
      </c>
      <c r="H49" s="20"/>
      <c r="I49" s="23"/>
      <c r="J49" s="21"/>
      <c r="K49" s="69" t="s">
        <v>236</v>
      </c>
      <c r="L49" s="69" t="s">
        <v>237</v>
      </c>
      <c r="M49" s="68" t="s">
        <v>1327</v>
      </c>
      <c r="N49" s="67">
        <v>21.418951</v>
      </c>
      <c r="O49" s="67">
        <v>92.051687999999999</v>
      </c>
      <c r="P49" s="74">
        <v>160</v>
      </c>
      <c r="Q49" s="74"/>
      <c r="R49" s="18"/>
      <c r="S49" s="18"/>
      <c r="T49" s="27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17"/>
      <c r="AH49" s="24"/>
      <c r="AI49" s="33"/>
      <c r="AJ49" s="33"/>
    </row>
    <row r="50" spans="1:36" ht="15.6" x14ac:dyDescent="0.3">
      <c r="A50" s="63">
        <v>44</v>
      </c>
      <c r="B50" s="102" t="s">
        <v>3520</v>
      </c>
      <c r="C50" s="102" t="s">
        <v>3521</v>
      </c>
      <c r="D50" s="64" t="s">
        <v>119</v>
      </c>
      <c r="E50" s="68" t="s">
        <v>1203</v>
      </c>
      <c r="F50" s="68" t="s">
        <v>1205</v>
      </c>
      <c r="G50" s="68" t="s">
        <v>41</v>
      </c>
      <c r="H50" s="20"/>
      <c r="I50" s="23"/>
      <c r="J50" s="26"/>
      <c r="K50" s="68" t="s">
        <v>1328</v>
      </c>
      <c r="L50" s="68" t="s">
        <v>1329</v>
      </c>
      <c r="M50" s="68" t="s">
        <v>1330</v>
      </c>
      <c r="N50" s="67">
        <v>21.419788</v>
      </c>
      <c r="O50" s="67">
        <v>92.048393000000004</v>
      </c>
      <c r="P50" s="74">
        <v>100</v>
      </c>
      <c r="Q50" s="74"/>
      <c r="R50" s="18"/>
      <c r="S50" s="18"/>
      <c r="T50" s="27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17"/>
      <c r="AH50" s="24"/>
      <c r="AI50" s="33"/>
      <c r="AJ50" s="33"/>
    </row>
    <row r="51" spans="1:36" ht="15.6" x14ac:dyDescent="0.3">
      <c r="A51" s="63">
        <v>45</v>
      </c>
      <c r="B51" s="102" t="s">
        <v>3520</v>
      </c>
      <c r="C51" s="102" t="s">
        <v>3521</v>
      </c>
      <c r="D51" s="64" t="s">
        <v>119</v>
      </c>
      <c r="E51" s="68" t="s">
        <v>1203</v>
      </c>
      <c r="F51" s="68" t="s">
        <v>1205</v>
      </c>
      <c r="G51" s="68" t="s">
        <v>41</v>
      </c>
      <c r="H51" s="20"/>
      <c r="I51" s="23"/>
      <c r="J51" s="26"/>
      <c r="K51" s="68" t="s">
        <v>1331</v>
      </c>
      <c r="L51" s="68" t="s">
        <v>1332</v>
      </c>
      <c r="M51" s="68" t="s">
        <v>1333</v>
      </c>
      <c r="N51" s="67">
        <v>21.420390000000001</v>
      </c>
      <c r="O51" s="67">
        <v>92.046694000000002</v>
      </c>
      <c r="P51" s="74">
        <v>1150</v>
      </c>
      <c r="Q51" s="74"/>
      <c r="R51" s="18"/>
      <c r="S51" s="18"/>
      <c r="T51" s="27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17"/>
      <c r="AH51" s="24"/>
      <c r="AI51" s="25"/>
      <c r="AJ51" s="25"/>
    </row>
    <row r="52" spans="1:36" ht="15.6" x14ac:dyDescent="0.3">
      <c r="A52" s="63">
        <v>46</v>
      </c>
      <c r="B52" s="102" t="s">
        <v>3520</v>
      </c>
      <c r="C52" s="102" t="s">
        <v>3521</v>
      </c>
      <c r="D52" s="64" t="s">
        <v>119</v>
      </c>
      <c r="E52" s="68" t="s">
        <v>1203</v>
      </c>
      <c r="F52" s="68" t="s">
        <v>1205</v>
      </c>
      <c r="G52" s="68" t="s">
        <v>42</v>
      </c>
      <c r="H52" s="20"/>
      <c r="I52" s="23"/>
      <c r="J52" s="26"/>
      <c r="K52" s="69" t="s">
        <v>1334</v>
      </c>
      <c r="L52" s="69" t="s">
        <v>1335</v>
      </c>
      <c r="M52" s="68" t="s">
        <v>1336</v>
      </c>
      <c r="N52" s="67">
        <v>21.419250000000002</v>
      </c>
      <c r="O52" s="67">
        <v>92.068820000000002</v>
      </c>
      <c r="P52" s="74">
        <v>800</v>
      </c>
      <c r="Q52" s="74"/>
      <c r="R52" s="18"/>
      <c r="S52" s="18"/>
      <c r="T52" s="27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17"/>
      <c r="AH52" s="24"/>
      <c r="AI52" s="25"/>
      <c r="AJ52" s="25"/>
    </row>
    <row r="53" spans="1:36" ht="15.6" x14ac:dyDescent="0.3">
      <c r="A53" s="63">
        <v>47</v>
      </c>
      <c r="B53" s="102" t="s">
        <v>3520</v>
      </c>
      <c r="C53" s="102" t="s">
        <v>3521</v>
      </c>
      <c r="D53" s="64" t="s">
        <v>119</v>
      </c>
      <c r="E53" s="68" t="s">
        <v>1203</v>
      </c>
      <c r="F53" s="68" t="s">
        <v>1205</v>
      </c>
      <c r="G53" s="68" t="s">
        <v>42</v>
      </c>
      <c r="H53" s="20"/>
      <c r="I53" s="23"/>
      <c r="J53" s="26"/>
      <c r="K53" s="68" t="s">
        <v>1337</v>
      </c>
      <c r="L53" s="68" t="s">
        <v>1338</v>
      </c>
      <c r="M53" s="68" t="s">
        <v>1339</v>
      </c>
      <c r="N53" s="67">
        <v>21.419243000000002</v>
      </c>
      <c r="O53" s="67">
        <v>92.066473000000002</v>
      </c>
      <c r="P53" s="74">
        <v>1800</v>
      </c>
      <c r="Q53" s="74"/>
      <c r="R53" s="18"/>
      <c r="S53" s="18"/>
      <c r="T53" s="27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17"/>
      <c r="AH53" s="24"/>
      <c r="AI53" s="25"/>
      <c r="AJ53" s="25"/>
    </row>
    <row r="54" spans="1:36" ht="15.6" x14ac:dyDescent="0.3">
      <c r="A54" s="63">
        <v>48</v>
      </c>
      <c r="B54" s="102" t="s">
        <v>3520</v>
      </c>
      <c r="C54" s="102" t="s">
        <v>3521</v>
      </c>
      <c r="D54" s="64" t="s">
        <v>119</v>
      </c>
      <c r="E54" s="68" t="s">
        <v>1203</v>
      </c>
      <c r="F54" s="68" t="s">
        <v>1205</v>
      </c>
      <c r="G54" s="68" t="s">
        <v>42</v>
      </c>
      <c r="H54" s="36"/>
      <c r="I54" s="20"/>
      <c r="J54" s="26"/>
      <c r="K54" s="69" t="s">
        <v>1340</v>
      </c>
      <c r="L54" s="68" t="s">
        <v>1341</v>
      </c>
      <c r="M54" s="68" t="s">
        <v>1342</v>
      </c>
      <c r="N54" s="67">
        <v>21.419412000000001</v>
      </c>
      <c r="O54" s="67">
        <v>92.063888000000006</v>
      </c>
      <c r="P54" s="74">
        <v>280</v>
      </c>
      <c r="Q54" s="74"/>
      <c r="R54" s="18"/>
      <c r="S54" s="18"/>
      <c r="T54" s="22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17"/>
      <c r="AH54" s="24"/>
      <c r="AI54" s="25"/>
      <c r="AJ54" s="25"/>
    </row>
    <row r="55" spans="1:36" ht="15.6" x14ac:dyDescent="0.3">
      <c r="A55" s="63">
        <v>49</v>
      </c>
      <c r="B55" s="102" t="s">
        <v>3520</v>
      </c>
      <c r="C55" s="102" t="s">
        <v>3521</v>
      </c>
      <c r="D55" s="64" t="s">
        <v>119</v>
      </c>
      <c r="E55" s="68" t="s">
        <v>1203</v>
      </c>
      <c r="F55" s="68" t="s">
        <v>1205</v>
      </c>
      <c r="G55" s="68" t="s">
        <v>42</v>
      </c>
      <c r="H55" s="20"/>
      <c r="I55" s="20"/>
      <c r="J55" s="26"/>
      <c r="K55" s="68" t="s">
        <v>1343</v>
      </c>
      <c r="L55" s="68" t="s">
        <v>1344</v>
      </c>
      <c r="M55" s="68" t="s">
        <v>1345</v>
      </c>
      <c r="N55" s="67">
        <v>21.41929</v>
      </c>
      <c r="O55" s="67">
        <v>92.060857999999996</v>
      </c>
      <c r="P55" s="74">
        <v>2200</v>
      </c>
      <c r="Q55" s="74"/>
      <c r="R55" s="18"/>
      <c r="S55" s="18"/>
      <c r="T55" s="22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17"/>
      <c r="AH55" s="24"/>
      <c r="AI55" s="25"/>
      <c r="AJ55" s="25"/>
    </row>
    <row r="56" spans="1:36" ht="15.6" x14ac:dyDescent="0.3">
      <c r="A56" s="63">
        <v>50</v>
      </c>
      <c r="B56" s="102" t="s">
        <v>3520</v>
      </c>
      <c r="C56" s="102" t="s">
        <v>3521</v>
      </c>
      <c r="D56" s="64" t="s">
        <v>119</v>
      </c>
      <c r="E56" s="68" t="s">
        <v>1203</v>
      </c>
      <c r="F56" s="68" t="s">
        <v>1205</v>
      </c>
      <c r="G56" s="68" t="s">
        <v>42</v>
      </c>
      <c r="H56" s="20"/>
      <c r="I56" s="20"/>
      <c r="J56" s="26"/>
      <c r="K56" s="68" t="s">
        <v>1346</v>
      </c>
      <c r="L56" s="68" t="s">
        <v>1347</v>
      </c>
      <c r="M56" s="68" t="s">
        <v>1348</v>
      </c>
      <c r="N56" s="67">
        <v>21.415717000000001</v>
      </c>
      <c r="O56" s="67">
        <v>92.062016</v>
      </c>
      <c r="P56" s="74">
        <v>850</v>
      </c>
      <c r="Q56" s="74"/>
      <c r="R56" s="18"/>
      <c r="S56" s="18"/>
      <c r="T56" s="22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17"/>
      <c r="AH56" s="24"/>
      <c r="AI56" s="25"/>
      <c r="AJ56" s="25"/>
    </row>
    <row r="57" spans="1:36" ht="15.6" x14ac:dyDescent="0.3">
      <c r="A57" s="63">
        <v>51</v>
      </c>
      <c r="B57" s="102" t="s">
        <v>3520</v>
      </c>
      <c r="C57" s="102" t="s">
        <v>3521</v>
      </c>
      <c r="D57" s="64" t="s">
        <v>119</v>
      </c>
      <c r="E57" s="68" t="s">
        <v>1203</v>
      </c>
      <c r="F57" s="68" t="s">
        <v>1205</v>
      </c>
      <c r="G57" s="68" t="s">
        <v>42</v>
      </c>
      <c r="H57" s="20"/>
      <c r="I57" s="20"/>
      <c r="J57" s="26"/>
      <c r="K57" s="68" t="s">
        <v>1349</v>
      </c>
      <c r="L57" s="68" t="s">
        <v>1350</v>
      </c>
      <c r="M57" s="68" t="s">
        <v>1351</v>
      </c>
      <c r="N57" s="67">
        <v>21.415980000000001</v>
      </c>
      <c r="O57" s="67">
        <v>92.060027000000005</v>
      </c>
      <c r="P57" s="74">
        <v>1700</v>
      </c>
      <c r="Q57" s="74"/>
      <c r="R57" s="18"/>
      <c r="S57" s="18"/>
      <c r="T57" s="22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17"/>
      <c r="AH57" s="24"/>
      <c r="AI57" s="25"/>
      <c r="AJ57" s="25"/>
    </row>
    <row r="58" spans="1:36" ht="15.6" x14ac:dyDescent="0.3">
      <c r="A58" s="63">
        <v>52</v>
      </c>
      <c r="B58" s="102" t="s">
        <v>3520</v>
      </c>
      <c r="C58" s="102" t="s">
        <v>3521</v>
      </c>
      <c r="D58" s="64" t="s">
        <v>119</v>
      </c>
      <c r="E58" s="68" t="s">
        <v>1203</v>
      </c>
      <c r="F58" s="68" t="s">
        <v>1205</v>
      </c>
      <c r="G58" s="68" t="s">
        <v>43</v>
      </c>
      <c r="H58" s="20"/>
      <c r="I58" s="20"/>
      <c r="J58" s="26"/>
      <c r="K58" s="68" t="s">
        <v>1352</v>
      </c>
      <c r="L58" s="68" t="s">
        <v>1353</v>
      </c>
      <c r="M58" s="68" t="s">
        <v>1354</v>
      </c>
      <c r="N58" s="67">
        <v>21.419225000000001</v>
      </c>
      <c r="O58" s="67">
        <v>92.071162000000001</v>
      </c>
      <c r="P58" s="74">
        <v>1200</v>
      </c>
      <c r="Q58" s="74"/>
      <c r="R58" s="18"/>
      <c r="S58" s="18"/>
      <c r="T58" s="22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17"/>
      <c r="AH58" s="24"/>
      <c r="AI58" s="25"/>
      <c r="AJ58" s="25"/>
    </row>
    <row r="59" spans="1:36" ht="15.6" x14ac:dyDescent="0.3">
      <c r="A59" s="63">
        <v>53</v>
      </c>
      <c r="B59" s="102" t="s">
        <v>3520</v>
      </c>
      <c r="C59" s="102" t="s">
        <v>3521</v>
      </c>
      <c r="D59" s="64" t="s">
        <v>119</v>
      </c>
      <c r="E59" s="68" t="s">
        <v>1203</v>
      </c>
      <c r="F59" s="68" t="s">
        <v>1205</v>
      </c>
      <c r="G59" s="68" t="s">
        <v>43</v>
      </c>
      <c r="H59" s="20"/>
      <c r="I59" s="20"/>
      <c r="J59" s="26"/>
      <c r="K59" s="68" t="s">
        <v>1355</v>
      </c>
      <c r="L59" s="68" t="s">
        <v>1356</v>
      </c>
      <c r="M59" s="68" t="s">
        <v>1357</v>
      </c>
      <c r="N59" s="67">
        <v>21.418569999999999</v>
      </c>
      <c r="O59" s="67">
        <v>92.072924999999998</v>
      </c>
      <c r="P59" s="74">
        <v>800</v>
      </c>
      <c r="Q59" s="74"/>
      <c r="R59" s="18"/>
      <c r="S59" s="18"/>
      <c r="T59" s="22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17"/>
      <c r="AH59" s="24"/>
      <c r="AI59" s="25"/>
      <c r="AJ59" s="25"/>
    </row>
    <row r="60" spans="1:36" ht="15.6" x14ac:dyDescent="0.3">
      <c r="A60" s="63">
        <v>54</v>
      </c>
      <c r="B60" s="102" t="s">
        <v>3520</v>
      </c>
      <c r="C60" s="102" t="s">
        <v>3521</v>
      </c>
      <c r="D60" s="64" t="s">
        <v>119</v>
      </c>
      <c r="E60" s="68" t="s">
        <v>1203</v>
      </c>
      <c r="F60" s="68" t="s">
        <v>1205</v>
      </c>
      <c r="G60" s="68" t="s">
        <v>43</v>
      </c>
      <c r="H60" s="20"/>
      <c r="I60" s="20"/>
      <c r="J60" s="26"/>
      <c r="K60" s="68" t="s">
        <v>1358</v>
      </c>
      <c r="L60" s="68" t="s">
        <v>1359</v>
      </c>
      <c r="M60" s="68" t="s">
        <v>1360</v>
      </c>
      <c r="N60" s="67">
        <v>21.415642999999999</v>
      </c>
      <c r="O60" s="67">
        <v>92.074523999999997</v>
      </c>
      <c r="P60" s="74">
        <v>1000</v>
      </c>
      <c r="Q60" s="74"/>
      <c r="R60" s="18"/>
      <c r="S60" s="18"/>
      <c r="T60" s="22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17"/>
      <c r="AH60" s="24"/>
      <c r="AI60" s="25"/>
      <c r="AJ60" s="25"/>
    </row>
    <row r="61" spans="1:36" ht="15.6" x14ac:dyDescent="0.3">
      <c r="A61" s="63">
        <v>55</v>
      </c>
      <c r="B61" s="102" t="s">
        <v>3520</v>
      </c>
      <c r="C61" s="102" t="s">
        <v>3521</v>
      </c>
      <c r="D61" s="64" t="s">
        <v>119</v>
      </c>
      <c r="E61" s="68" t="s">
        <v>1203</v>
      </c>
      <c r="F61" s="68" t="s">
        <v>1205</v>
      </c>
      <c r="G61" s="68" t="s">
        <v>43</v>
      </c>
      <c r="H61" s="20"/>
      <c r="I61" s="20"/>
      <c r="J61" s="26"/>
      <c r="K61" s="68" t="s">
        <v>1361</v>
      </c>
      <c r="L61" s="68" t="s">
        <v>1362</v>
      </c>
      <c r="M61" s="68" t="s">
        <v>1363</v>
      </c>
      <c r="N61" s="67">
        <v>21.411591000000001</v>
      </c>
      <c r="O61" s="67">
        <v>92.075046</v>
      </c>
      <c r="P61" s="74">
        <v>800</v>
      </c>
      <c r="Q61" s="74"/>
      <c r="R61" s="18"/>
      <c r="S61" s="18"/>
      <c r="T61" s="22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17"/>
      <c r="AH61" s="24"/>
      <c r="AI61" s="25"/>
      <c r="AJ61" s="25"/>
    </row>
    <row r="62" spans="1:36" ht="15.6" x14ac:dyDescent="0.3">
      <c r="A62" s="63">
        <v>56</v>
      </c>
      <c r="B62" s="102" t="s">
        <v>3520</v>
      </c>
      <c r="C62" s="102" t="s">
        <v>3521</v>
      </c>
      <c r="D62" s="64" t="s">
        <v>119</v>
      </c>
      <c r="E62" s="68" t="s">
        <v>1203</v>
      </c>
      <c r="F62" s="68" t="s">
        <v>1205</v>
      </c>
      <c r="G62" s="68" t="s">
        <v>43</v>
      </c>
      <c r="H62" s="20"/>
      <c r="I62" s="20"/>
      <c r="J62" s="26"/>
      <c r="K62" s="68" t="s">
        <v>1364</v>
      </c>
      <c r="L62" s="68" t="s">
        <v>1365</v>
      </c>
      <c r="M62" s="68" t="s">
        <v>1366</v>
      </c>
      <c r="N62" s="67">
        <v>21.412091</v>
      </c>
      <c r="O62" s="67">
        <v>92.078399000000005</v>
      </c>
      <c r="P62" s="74">
        <v>1100</v>
      </c>
      <c r="Q62" s="74"/>
      <c r="R62" s="18"/>
      <c r="S62" s="18"/>
      <c r="T62" s="27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17"/>
      <c r="AH62" s="24"/>
      <c r="AI62" s="25"/>
      <c r="AJ62" s="25"/>
    </row>
    <row r="63" spans="1:36" ht="15.6" x14ac:dyDescent="0.3">
      <c r="A63" s="63">
        <v>57</v>
      </c>
      <c r="B63" s="102" t="s">
        <v>3520</v>
      </c>
      <c r="C63" s="102" t="s">
        <v>3521</v>
      </c>
      <c r="D63" s="64" t="s">
        <v>119</v>
      </c>
      <c r="E63" s="68" t="s">
        <v>1203</v>
      </c>
      <c r="F63" s="68" t="s">
        <v>1205</v>
      </c>
      <c r="G63" s="68" t="s">
        <v>44</v>
      </c>
      <c r="H63" s="20"/>
      <c r="I63" s="20"/>
      <c r="J63" s="26"/>
      <c r="K63" s="68" t="s">
        <v>1367</v>
      </c>
      <c r="L63" s="68" t="s">
        <v>1368</v>
      </c>
      <c r="M63" s="68" t="s">
        <v>1369</v>
      </c>
      <c r="N63" s="67">
        <v>21.410225000000001</v>
      </c>
      <c r="O63" s="67">
        <v>92.079860999999994</v>
      </c>
      <c r="P63" s="74">
        <v>1300</v>
      </c>
      <c r="Q63" s="74"/>
      <c r="R63" s="18"/>
      <c r="S63" s="18"/>
      <c r="T63" s="22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17"/>
      <c r="AH63" s="24"/>
      <c r="AI63" s="25"/>
      <c r="AJ63" s="25"/>
    </row>
    <row r="64" spans="1:36" ht="15.6" x14ac:dyDescent="0.3">
      <c r="A64" s="63">
        <v>58</v>
      </c>
      <c r="B64" s="102" t="s">
        <v>3520</v>
      </c>
      <c r="C64" s="102" t="s">
        <v>3521</v>
      </c>
      <c r="D64" s="64" t="s">
        <v>119</v>
      </c>
      <c r="E64" s="68" t="s">
        <v>1203</v>
      </c>
      <c r="F64" s="68" t="s">
        <v>1205</v>
      </c>
      <c r="G64" s="68" t="s">
        <v>44</v>
      </c>
      <c r="H64" s="20"/>
      <c r="I64" s="20"/>
      <c r="J64" s="26"/>
      <c r="K64" s="68" t="s">
        <v>1370</v>
      </c>
      <c r="L64" s="68" t="s">
        <v>1371</v>
      </c>
      <c r="M64" s="68" t="s">
        <v>1372</v>
      </c>
      <c r="N64" s="67">
        <v>21.411857999999999</v>
      </c>
      <c r="O64" s="67">
        <v>92.081576999999996</v>
      </c>
      <c r="P64" s="74">
        <v>600</v>
      </c>
      <c r="Q64" s="74"/>
      <c r="R64" s="18"/>
      <c r="S64" s="18"/>
      <c r="T64" s="22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17"/>
      <c r="AH64" s="24"/>
      <c r="AI64" s="25"/>
      <c r="AJ64" s="25"/>
    </row>
    <row r="65" spans="1:36" ht="15.6" x14ac:dyDescent="0.3">
      <c r="A65" s="63">
        <v>59</v>
      </c>
      <c r="B65" s="102" t="s">
        <v>3520</v>
      </c>
      <c r="C65" s="102" t="s">
        <v>3521</v>
      </c>
      <c r="D65" s="64" t="s">
        <v>119</v>
      </c>
      <c r="E65" s="68" t="s">
        <v>1203</v>
      </c>
      <c r="F65" s="68" t="s">
        <v>1205</v>
      </c>
      <c r="G65" s="68" t="s">
        <v>44</v>
      </c>
      <c r="H65" s="20"/>
      <c r="I65" s="20"/>
      <c r="J65" s="26"/>
      <c r="K65" s="68" t="s">
        <v>1373</v>
      </c>
      <c r="L65" s="68" t="s">
        <v>1374</v>
      </c>
      <c r="M65" s="68" t="s">
        <v>1375</v>
      </c>
      <c r="N65" s="67">
        <v>21.404496000000002</v>
      </c>
      <c r="O65" s="67">
        <v>92.076600999999997</v>
      </c>
      <c r="P65" s="74">
        <v>55</v>
      </c>
      <c r="Q65" s="74"/>
      <c r="R65" s="18"/>
      <c r="S65" s="18"/>
      <c r="T65" s="22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17"/>
      <c r="AH65" s="24"/>
      <c r="AI65" s="25"/>
      <c r="AJ65" s="25"/>
    </row>
    <row r="66" spans="1:36" ht="15.6" x14ac:dyDescent="0.3">
      <c r="A66" s="63">
        <v>60</v>
      </c>
      <c r="B66" s="102" t="s">
        <v>3520</v>
      </c>
      <c r="C66" s="102" t="s">
        <v>3521</v>
      </c>
      <c r="D66" s="64" t="s">
        <v>119</v>
      </c>
      <c r="E66" s="68" t="s">
        <v>1203</v>
      </c>
      <c r="F66" s="68" t="s">
        <v>1205</v>
      </c>
      <c r="G66" s="68" t="s">
        <v>44</v>
      </c>
      <c r="H66" s="20"/>
      <c r="I66" s="20"/>
      <c r="J66" s="26"/>
      <c r="K66" s="68" t="s">
        <v>1376</v>
      </c>
      <c r="L66" s="68" t="s">
        <v>1377</v>
      </c>
      <c r="M66" s="68" t="s">
        <v>1378</v>
      </c>
      <c r="N66" s="67">
        <v>21.399258</v>
      </c>
      <c r="O66" s="67">
        <v>92.076848999999996</v>
      </c>
      <c r="P66" s="74">
        <v>700</v>
      </c>
      <c r="Q66" s="74"/>
      <c r="R66" s="18"/>
      <c r="S66" s="18"/>
      <c r="T66" s="22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17"/>
      <c r="AH66" s="24"/>
      <c r="AI66" s="25"/>
      <c r="AJ66" s="25"/>
    </row>
    <row r="67" spans="1:36" ht="15.6" x14ac:dyDescent="0.3">
      <c r="A67" s="63">
        <v>61</v>
      </c>
      <c r="B67" s="102" t="s">
        <v>3520</v>
      </c>
      <c r="C67" s="102" t="s">
        <v>3521</v>
      </c>
      <c r="D67" s="64" t="s">
        <v>119</v>
      </c>
      <c r="E67" s="68" t="s">
        <v>1203</v>
      </c>
      <c r="F67" s="68" t="s">
        <v>1205</v>
      </c>
      <c r="G67" s="68" t="s">
        <v>44</v>
      </c>
      <c r="H67" s="20"/>
      <c r="I67" s="20"/>
      <c r="J67" s="26"/>
      <c r="K67" s="68" t="s">
        <v>1379</v>
      </c>
      <c r="L67" s="68" t="s">
        <v>1380</v>
      </c>
      <c r="M67" s="68" t="s">
        <v>1381</v>
      </c>
      <c r="N67" s="67">
        <v>21.390761999999999</v>
      </c>
      <c r="O67" s="67">
        <v>92.078778999999997</v>
      </c>
      <c r="P67" s="74">
        <v>700</v>
      </c>
      <c r="Q67" s="74"/>
      <c r="R67" s="18"/>
      <c r="S67" s="18"/>
      <c r="T67" s="22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17"/>
      <c r="AH67" s="24"/>
      <c r="AI67" s="25"/>
      <c r="AJ67" s="25"/>
    </row>
    <row r="68" spans="1:36" ht="15.6" x14ac:dyDescent="0.3">
      <c r="A68" s="63">
        <v>62</v>
      </c>
      <c r="B68" s="102" t="s">
        <v>3520</v>
      </c>
      <c r="C68" s="102" t="s">
        <v>3521</v>
      </c>
      <c r="D68" s="64" t="s">
        <v>119</v>
      </c>
      <c r="E68" s="68" t="s">
        <v>1203</v>
      </c>
      <c r="F68" s="68" t="s">
        <v>1205</v>
      </c>
      <c r="G68" s="68" t="s">
        <v>45</v>
      </c>
      <c r="H68" s="20"/>
      <c r="I68" s="20"/>
      <c r="J68" s="26"/>
      <c r="K68" s="68" t="s">
        <v>1382</v>
      </c>
      <c r="L68" s="68" t="s">
        <v>1383</v>
      </c>
      <c r="M68" s="68" t="s">
        <v>1384</v>
      </c>
      <c r="N68" s="67">
        <v>21.389002000000001</v>
      </c>
      <c r="O68" s="67">
        <v>92.070521999999997</v>
      </c>
      <c r="P68" s="74">
        <v>1400</v>
      </c>
      <c r="Q68" s="74"/>
      <c r="R68" s="18"/>
      <c r="S68" s="18"/>
      <c r="T68" s="22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17"/>
      <c r="AH68" s="24"/>
      <c r="AI68" s="25"/>
      <c r="AJ68" s="25"/>
    </row>
    <row r="69" spans="1:36" ht="15.6" x14ac:dyDescent="0.3">
      <c r="A69" s="63">
        <v>63</v>
      </c>
      <c r="B69" s="102" t="s">
        <v>3520</v>
      </c>
      <c r="C69" s="102" t="s">
        <v>3521</v>
      </c>
      <c r="D69" s="64" t="s">
        <v>119</v>
      </c>
      <c r="E69" s="68" t="s">
        <v>1203</v>
      </c>
      <c r="F69" s="68" t="s">
        <v>1205</v>
      </c>
      <c r="G69" s="68" t="s">
        <v>45</v>
      </c>
      <c r="H69" s="20"/>
      <c r="I69" s="20"/>
      <c r="J69" s="26"/>
      <c r="K69" s="68" t="s">
        <v>1385</v>
      </c>
      <c r="L69" s="68" t="s">
        <v>1386</v>
      </c>
      <c r="M69" s="68" t="s">
        <v>1387</v>
      </c>
      <c r="N69" s="67">
        <v>21.389517999999999</v>
      </c>
      <c r="O69" s="67">
        <v>92.073526999999999</v>
      </c>
      <c r="P69" s="74">
        <v>240</v>
      </c>
      <c r="Q69" s="74"/>
      <c r="R69" s="18"/>
      <c r="S69" s="18"/>
      <c r="T69" s="22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17"/>
      <c r="AH69" s="24"/>
      <c r="AI69" s="25"/>
      <c r="AJ69" s="25"/>
    </row>
    <row r="70" spans="1:36" ht="15.6" x14ac:dyDescent="0.3">
      <c r="A70" s="63">
        <v>64</v>
      </c>
      <c r="B70" s="102" t="s">
        <v>3520</v>
      </c>
      <c r="C70" s="102" t="s">
        <v>3521</v>
      </c>
      <c r="D70" s="64" t="s">
        <v>119</v>
      </c>
      <c r="E70" s="68" t="s">
        <v>1203</v>
      </c>
      <c r="F70" s="68" t="s">
        <v>1205</v>
      </c>
      <c r="G70" s="68" t="s">
        <v>45</v>
      </c>
      <c r="H70" s="20"/>
      <c r="I70" s="20"/>
      <c r="J70" s="26"/>
      <c r="K70" s="68" t="s">
        <v>1388</v>
      </c>
      <c r="L70" s="68" t="s">
        <v>1389</v>
      </c>
      <c r="M70" s="68" t="s">
        <v>1390</v>
      </c>
      <c r="N70" s="67">
        <v>21.395247999999999</v>
      </c>
      <c r="O70" s="67">
        <v>92.068887000000004</v>
      </c>
      <c r="P70" s="74">
        <v>700</v>
      </c>
      <c r="Q70" s="74"/>
      <c r="R70" s="18"/>
      <c r="S70" s="18"/>
      <c r="T70" s="22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17"/>
      <c r="AH70" s="24"/>
      <c r="AI70" s="25"/>
      <c r="AJ70" s="25"/>
    </row>
    <row r="71" spans="1:36" ht="15.6" x14ac:dyDescent="0.3">
      <c r="A71" s="63">
        <v>65</v>
      </c>
      <c r="B71" s="102" t="s">
        <v>3520</v>
      </c>
      <c r="C71" s="102" t="s">
        <v>3521</v>
      </c>
      <c r="D71" s="64" t="s">
        <v>119</v>
      </c>
      <c r="E71" s="68" t="s">
        <v>1203</v>
      </c>
      <c r="F71" s="68" t="s">
        <v>1205</v>
      </c>
      <c r="G71" s="68" t="s">
        <v>45</v>
      </c>
      <c r="H71" s="20"/>
      <c r="I71" s="20"/>
      <c r="J71" s="26"/>
      <c r="K71" s="68" t="s">
        <v>1391</v>
      </c>
      <c r="L71" s="68" t="s">
        <v>1392</v>
      </c>
      <c r="M71" s="68" t="s">
        <v>1393</v>
      </c>
      <c r="N71" s="67">
        <v>21.389088999999998</v>
      </c>
      <c r="O71" s="67">
        <v>92.065700000000007</v>
      </c>
      <c r="P71" s="74">
        <v>1200</v>
      </c>
      <c r="Q71" s="74"/>
      <c r="R71" s="18"/>
      <c r="S71" s="18"/>
      <c r="T71" s="22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17"/>
      <c r="AH71" s="24"/>
      <c r="AI71" s="25"/>
      <c r="AJ71" s="25"/>
    </row>
    <row r="72" spans="1:36" ht="15.6" x14ac:dyDescent="0.3">
      <c r="A72" s="63">
        <v>66</v>
      </c>
      <c r="B72" s="102" t="s">
        <v>3520</v>
      </c>
      <c r="C72" s="102" t="s">
        <v>3521</v>
      </c>
      <c r="D72" s="64" t="s">
        <v>119</v>
      </c>
      <c r="E72" s="68" t="s">
        <v>1203</v>
      </c>
      <c r="F72" s="68" t="s">
        <v>1205</v>
      </c>
      <c r="G72" s="68" t="s">
        <v>45</v>
      </c>
      <c r="H72" s="20"/>
      <c r="I72" s="20"/>
      <c r="J72" s="26"/>
      <c r="K72" s="68" t="s">
        <v>1394</v>
      </c>
      <c r="L72" s="68" t="s">
        <v>1395</v>
      </c>
      <c r="M72" s="68" t="s">
        <v>1396</v>
      </c>
      <c r="N72" s="67">
        <v>21.393581999999999</v>
      </c>
      <c r="O72" s="67">
        <v>92.066063</v>
      </c>
      <c r="P72" s="74">
        <v>600</v>
      </c>
      <c r="Q72" s="74"/>
      <c r="R72" s="18"/>
      <c r="S72" s="18"/>
      <c r="T72" s="27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17"/>
      <c r="AH72" s="24"/>
      <c r="AI72" s="25"/>
      <c r="AJ72" s="25"/>
    </row>
    <row r="73" spans="1:36" ht="15.6" x14ac:dyDescent="0.3">
      <c r="A73" s="63">
        <v>67</v>
      </c>
      <c r="B73" s="102" t="s">
        <v>3520</v>
      </c>
      <c r="C73" s="102" t="s">
        <v>3521</v>
      </c>
      <c r="D73" s="64" t="s">
        <v>119</v>
      </c>
      <c r="E73" s="68" t="s">
        <v>1203</v>
      </c>
      <c r="F73" s="68" t="s">
        <v>1205</v>
      </c>
      <c r="G73" s="68" t="s">
        <v>45</v>
      </c>
      <c r="H73" s="20"/>
      <c r="I73" s="20"/>
      <c r="J73" s="26"/>
      <c r="K73" s="68" t="s">
        <v>1397</v>
      </c>
      <c r="L73" s="68" t="s">
        <v>1398</v>
      </c>
      <c r="M73" s="68" t="s">
        <v>1399</v>
      </c>
      <c r="N73" s="67">
        <v>21.392783000000001</v>
      </c>
      <c r="O73" s="67">
        <v>92.062178000000003</v>
      </c>
      <c r="P73" s="74">
        <v>590</v>
      </c>
      <c r="Q73" s="74"/>
      <c r="R73" s="18"/>
      <c r="S73" s="18"/>
      <c r="T73" s="22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17"/>
      <c r="AH73" s="24"/>
      <c r="AI73" s="25"/>
      <c r="AJ73" s="25"/>
    </row>
    <row r="74" spans="1:36" ht="15.6" x14ac:dyDescent="0.3">
      <c r="A74" s="63">
        <v>68</v>
      </c>
      <c r="B74" s="102" t="s">
        <v>3520</v>
      </c>
      <c r="C74" s="102" t="s">
        <v>3521</v>
      </c>
      <c r="D74" s="64" t="s">
        <v>119</v>
      </c>
      <c r="E74" s="68" t="s">
        <v>1203</v>
      </c>
      <c r="F74" s="68" t="s">
        <v>1205</v>
      </c>
      <c r="G74" s="68" t="s">
        <v>45</v>
      </c>
      <c r="H74" s="20"/>
      <c r="I74" s="20"/>
      <c r="J74" s="26"/>
      <c r="K74" s="68" t="s">
        <v>1400</v>
      </c>
      <c r="L74" s="68" t="s">
        <v>1401</v>
      </c>
      <c r="M74" s="68" t="s">
        <v>1402</v>
      </c>
      <c r="N74" s="67">
        <v>21.397136</v>
      </c>
      <c r="O74" s="67">
        <v>92.067986000000005</v>
      </c>
      <c r="P74" s="74">
        <v>650</v>
      </c>
      <c r="Q74" s="74"/>
      <c r="R74" s="18"/>
      <c r="S74" s="18"/>
      <c r="T74" s="22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17"/>
      <c r="AH74" s="24"/>
      <c r="AI74" s="25"/>
      <c r="AJ74" s="25"/>
    </row>
    <row r="75" spans="1:36" ht="15.6" x14ac:dyDescent="0.3">
      <c r="A75" s="63">
        <v>69</v>
      </c>
      <c r="B75" s="102" t="s">
        <v>3520</v>
      </c>
      <c r="C75" s="102" t="s">
        <v>3521</v>
      </c>
      <c r="D75" s="64" t="s">
        <v>119</v>
      </c>
      <c r="E75" s="68" t="s">
        <v>1203</v>
      </c>
      <c r="F75" s="68" t="s">
        <v>1205</v>
      </c>
      <c r="G75" s="68" t="s">
        <v>45</v>
      </c>
      <c r="H75" s="37"/>
      <c r="I75" s="23"/>
      <c r="J75" s="26"/>
      <c r="K75" s="75" t="s">
        <v>1403</v>
      </c>
      <c r="L75" s="68" t="s">
        <v>1404</v>
      </c>
      <c r="M75" s="68" t="s">
        <v>1405</v>
      </c>
      <c r="N75" s="67">
        <v>21.384350999999999</v>
      </c>
      <c r="O75" s="67">
        <v>92.062464000000006</v>
      </c>
      <c r="P75" s="74">
        <v>120</v>
      </c>
      <c r="Q75" s="74"/>
      <c r="R75" s="18"/>
      <c r="S75" s="18"/>
      <c r="T75" s="22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17"/>
      <c r="AH75" s="24"/>
      <c r="AI75" s="25"/>
      <c r="AJ75" s="25"/>
    </row>
    <row r="76" spans="1:36" ht="15.6" x14ac:dyDescent="0.3">
      <c r="A76" s="63">
        <v>70</v>
      </c>
      <c r="B76" s="102" t="s">
        <v>3520</v>
      </c>
      <c r="C76" s="102" t="s">
        <v>3521</v>
      </c>
      <c r="D76" s="64" t="s">
        <v>119</v>
      </c>
      <c r="E76" s="68" t="s">
        <v>1203</v>
      </c>
      <c r="F76" s="68" t="s">
        <v>1205</v>
      </c>
      <c r="G76" s="68" t="s">
        <v>45</v>
      </c>
      <c r="H76" s="20"/>
      <c r="I76" s="20"/>
      <c r="J76" s="26"/>
      <c r="K76" s="75" t="s">
        <v>1406</v>
      </c>
      <c r="L76" s="68" t="s">
        <v>1407</v>
      </c>
      <c r="M76" s="68" t="s">
        <v>1408</v>
      </c>
      <c r="N76" s="67">
        <v>21.387156999999998</v>
      </c>
      <c r="O76" s="67">
        <v>92.068261000000007</v>
      </c>
      <c r="P76" s="74">
        <v>200</v>
      </c>
      <c r="Q76" s="74"/>
      <c r="R76" s="18"/>
      <c r="S76" s="18"/>
      <c r="T76" s="22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17"/>
      <c r="AH76" s="24"/>
      <c r="AI76" s="25"/>
      <c r="AJ76" s="25"/>
    </row>
    <row r="77" spans="1:36" ht="15.6" x14ac:dyDescent="0.3">
      <c r="A77" s="63">
        <v>71</v>
      </c>
      <c r="B77" s="102" t="s">
        <v>3520</v>
      </c>
      <c r="C77" s="102" t="s">
        <v>3521</v>
      </c>
      <c r="D77" s="64" t="s">
        <v>119</v>
      </c>
      <c r="E77" s="68" t="s">
        <v>1203</v>
      </c>
      <c r="F77" s="68" t="s">
        <v>1205</v>
      </c>
      <c r="G77" s="68" t="s">
        <v>45</v>
      </c>
      <c r="H77" s="20"/>
      <c r="I77" s="23"/>
      <c r="J77" s="26"/>
      <c r="K77" s="75" t="s">
        <v>1409</v>
      </c>
      <c r="L77" s="68" t="s">
        <v>1410</v>
      </c>
      <c r="M77" s="68" t="s">
        <v>1411</v>
      </c>
      <c r="N77" s="67">
        <v>21.385439000000002</v>
      </c>
      <c r="O77" s="67">
        <v>92.066390999999996</v>
      </c>
      <c r="P77" s="74">
        <v>300</v>
      </c>
      <c r="Q77" s="74"/>
      <c r="R77" s="18"/>
      <c r="S77" s="18"/>
      <c r="T77" s="27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17"/>
      <c r="AH77" s="24"/>
      <c r="AI77" s="25"/>
      <c r="AJ77" s="25"/>
    </row>
    <row r="78" spans="1:36" ht="15.6" x14ac:dyDescent="0.3">
      <c r="A78" s="63">
        <v>72</v>
      </c>
      <c r="B78" s="102" t="s">
        <v>3520</v>
      </c>
      <c r="C78" s="102" t="s">
        <v>3521</v>
      </c>
      <c r="D78" s="64" t="s">
        <v>119</v>
      </c>
      <c r="E78" s="68" t="s">
        <v>1203</v>
      </c>
      <c r="F78" s="68" t="s">
        <v>1205</v>
      </c>
      <c r="G78" s="68" t="s">
        <v>45</v>
      </c>
      <c r="H78" s="20"/>
      <c r="I78" s="23"/>
      <c r="J78" s="26"/>
      <c r="K78" s="69" t="s">
        <v>1412</v>
      </c>
      <c r="L78" s="68" t="s">
        <v>1413</v>
      </c>
      <c r="M78" s="68" t="s">
        <v>1414</v>
      </c>
      <c r="N78" s="67">
        <v>21.383002999999999</v>
      </c>
      <c r="O78" s="67">
        <v>92.069293999999999</v>
      </c>
      <c r="P78" s="74">
        <v>200</v>
      </c>
      <c r="Q78" s="74"/>
      <c r="R78" s="18"/>
      <c r="S78" s="18"/>
      <c r="T78" s="27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17"/>
      <c r="AH78" s="24"/>
      <c r="AI78" s="25"/>
      <c r="AJ78" s="25"/>
    </row>
    <row r="79" spans="1:36" ht="15.6" x14ac:dyDescent="0.3">
      <c r="A79" s="63">
        <v>73</v>
      </c>
      <c r="B79" s="102" t="s">
        <v>3520</v>
      </c>
      <c r="C79" s="102" t="s">
        <v>3521</v>
      </c>
      <c r="D79" s="64" t="s">
        <v>119</v>
      </c>
      <c r="E79" s="68" t="s">
        <v>1203</v>
      </c>
      <c r="F79" s="68" t="s">
        <v>1205</v>
      </c>
      <c r="G79" s="68" t="s">
        <v>45</v>
      </c>
      <c r="H79" s="20"/>
      <c r="I79" s="23"/>
      <c r="J79" s="26"/>
      <c r="K79" s="75" t="s">
        <v>1415</v>
      </c>
      <c r="L79" s="68" t="s">
        <v>1416</v>
      </c>
      <c r="M79" s="68" t="s">
        <v>1417</v>
      </c>
      <c r="N79" s="67">
        <v>21.382169999999999</v>
      </c>
      <c r="O79" s="67">
        <v>92.071996999999996</v>
      </c>
      <c r="P79" s="74">
        <v>150</v>
      </c>
      <c r="Q79" s="74"/>
      <c r="R79" s="18"/>
      <c r="S79" s="18"/>
      <c r="T79" s="27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17"/>
      <c r="AH79" s="24"/>
      <c r="AI79" s="25"/>
      <c r="AJ79" s="25"/>
    </row>
    <row r="80" spans="1:36" ht="15.6" x14ac:dyDescent="0.3">
      <c r="A80" s="63">
        <v>74</v>
      </c>
      <c r="B80" s="102" t="s">
        <v>3520</v>
      </c>
      <c r="C80" s="102" t="s">
        <v>3521</v>
      </c>
      <c r="D80" s="64" t="s">
        <v>119</v>
      </c>
      <c r="E80" s="68" t="s">
        <v>1203</v>
      </c>
      <c r="F80" s="68" t="s">
        <v>1205</v>
      </c>
      <c r="G80" s="68" t="s">
        <v>46</v>
      </c>
      <c r="H80" s="20"/>
      <c r="I80" s="23"/>
      <c r="J80" s="26"/>
      <c r="K80" s="69" t="s">
        <v>1418</v>
      </c>
      <c r="L80" s="68" t="s">
        <v>1419</v>
      </c>
      <c r="M80" s="68" t="s">
        <v>1420</v>
      </c>
      <c r="N80" s="67">
        <v>21.407336000000001</v>
      </c>
      <c r="O80" s="67">
        <v>92.055006000000006</v>
      </c>
      <c r="P80" s="74">
        <v>2000</v>
      </c>
      <c r="Q80" s="74"/>
      <c r="R80" s="18"/>
      <c r="S80" s="18"/>
      <c r="T80" s="27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17"/>
      <c r="AH80" s="24"/>
      <c r="AI80" s="25"/>
      <c r="AJ80" s="25"/>
    </row>
    <row r="81" spans="1:36" ht="15.6" x14ac:dyDescent="0.3">
      <c r="A81" s="63">
        <v>75</v>
      </c>
      <c r="B81" s="102" t="s">
        <v>3520</v>
      </c>
      <c r="C81" s="102" t="s">
        <v>3521</v>
      </c>
      <c r="D81" s="64" t="s">
        <v>119</v>
      </c>
      <c r="E81" s="68" t="s">
        <v>1203</v>
      </c>
      <c r="F81" s="68" t="s">
        <v>1205</v>
      </c>
      <c r="G81" s="68" t="s">
        <v>46</v>
      </c>
      <c r="H81" s="20"/>
      <c r="I81" s="23"/>
      <c r="J81" s="26"/>
      <c r="K81" s="68" t="s">
        <v>1421</v>
      </c>
      <c r="L81" s="68" t="s">
        <v>1422</v>
      </c>
      <c r="M81" s="68" t="s">
        <v>1423</v>
      </c>
      <c r="N81" s="67">
        <v>21.405529999999999</v>
      </c>
      <c r="O81" s="67">
        <v>92.055878000000007</v>
      </c>
      <c r="P81" s="74">
        <v>500</v>
      </c>
      <c r="Q81" s="74"/>
      <c r="R81" s="18"/>
      <c r="S81" s="18"/>
      <c r="T81" s="27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17"/>
      <c r="AH81" s="24"/>
      <c r="AI81" s="25"/>
      <c r="AJ81" s="25"/>
    </row>
    <row r="82" spans="1:36" ht="15.6" x14ac:dyDescent="0.3">
      <c r="A82" s="63">
        <v>76</v>
      </c>
      <c r="B82" s="102" t="s">
        <v>3520</v>
      </c>
      <c r="C82" s="102" t="s">
        <v>3521</v>
      </c>
      <c r="D82" s="64" t="s">
        <v>119</v>
      </c>
      <c r="E82" s="68" t="s">
        <v>1203</v>
      </c>
      <c r="F82" s="68" t="s">
        <v>1205</v>
      </c>
      <c r="G82" s="68" t="s">
        <v>46</v>
      </c>
      <c r="H82" s="20"/>
      <c r="I82" s="23"/>
      <c r="J82" s="26"/>
      <c r="K82" s="68" t="s">
        <v>1424</v>
      </c>
      <c r="L82" s="68" t="s">
        <v>1425</v>
      </c>
      <c r="M82" s="68" t="s">
        <v>1426</v>
      </c>
      <c r="N82" s="67">
        <v>21.399764999999999</v>
      </c>
      <c r="O82" s="67">
        <v>92.055409999999995</v>
      </c>
      <c r="P82" s="74">
        <v>3500</v>
      </c>
      <c r="Q82" s="74"/>
      <c r="R82" s="18"/>
      <c r="S82" s="18"/>
      <c r="T82" s="27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17"/>
      <c r="AH82" s="24"/>
      <c r="AI82" s="25"/>
      <c r="AJ82" s="25"/>
    </row>
    <row r="83" spans="1:36" ht="15.6" x14ac:dyDescent="0.3">
      <c r="A83" s="63">
        <v>77</v>
      </c>
      <c r="B83" s="102" t="s">
        <v>3520</v>
      </c>
      <c r="C83" s="102" t="s">
        <v>3521</v>
      </c>
      <c r="D83" s="64" t="s">
        <v>119</v>
      </c>
      <c r="E83" s="68" t="s">
        <v>1203</v>
      </c>
      <c r="F83" s="68" t="s">
        <v>1205</v>
      </c>
      <c r="G83" s="68" t="s">
        <v>46</v>
      </c>
      <c r="H83" s="20"/>
      <c r="I83" s="23"/>
      <c r="J83" s="26"/>
      <c r="K83" s="68" t="s">
        <v>1427</v>
      </c>
      <c r="L83" s="68" t="s">
        <v>1428</v>
      </c>
      <c r="M83" s="68" t="s">
        <v>1429</v>
      </c>
      <c r="N83" s="67">
        <v>21.404354000000001</v>
      </c>
      <c r="O83" s="67">
        <v>92.062309999999997</v>
      </c>
      <c r="P83" s="74">
        <v>500</v>
      </c>
      <c r="Q83" s="74"/>
      <c r="R83" s="18"/>
      <c r="S83" s="18"/>
      <c r="T83" s="27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17"/>
      <c r="AH83" s="24"/>
      <c r="AI83" s="25"/>
      <c r="AJ83" s="25"/>
    </row>
    <row r="84" spans="1:36" ht="15.6" x14ac:dyDescent="0.3">
      <c r="A84" s="63">
        <v>78</v>
      </c>
      <c r="B84" s="102" t="s">
        <v>3520</v>
      </c>
      <c r="C84" s="102" t="s">
        <v>3521</v>
      </c>
      <c r="D84" s="64" t="s">
        <v>119</v>
      </c>
      <c r="E84" s="68" t="s">
        <v>1203</v>
      </c>
      <c r="F84" s="68" t="s">
        <v>1205</v>
      </c>
      <c r="G84" s="68" t="s">
        <v>46</v>
      </c>
      <c r="H84" s="20"/>
      <c r="I84" s="23"/>
      <c r="J84" s="26"/>
      <c r="K84" s="68" t="s">
        <v>1430</v>
      </c>
      <c r="L84" s="68" t="s">
        <v>1431</v>
      </c>
      <c r="M84" s="68" t="s">
        <v>1432</v>
      </c>
      <c r="N84" s="67">
        <v>21.402146999999999</v>
      </c>
      <c r="O84" s="67">
        <v>92.064583999999996</v>
      </c>
      <c r="P84" s="74">
        <v>3000</v>
      </c>
      <c r="Q84" s="74"/>
      <c r="R84" s="18"/>
      <c r="S84" s="18"/>
      <c r="T84" s="27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17"/>
      <c r="AH84" s="24"/>
      <c r="AI84" s="25"/>
      <c r="AJ84" s="25"/>
    </row>
    <row r="85" spans="1:36" ht="15.6" x14ac:dyDescent="0.3">
      <c r="A85" s="63">
        <v>79</v>
      </c>
      <c r="B85" s="102" t="s">
        <v>3520</v>
      </c>
      <c r="C85" s="102" t="s">
        <v>3521</v>
      </c>
      <c r="D85" s="64" t="s">
        <v>119</v>
      </c>
      <c r="E85" s="68" t="s">
        <v>1203</v>
      </c>
      <c r="F85" s="68" t="s">
        <v>1205</v>
      </c>
      <c r="G85" s="68" t="s">
        <v>47</v>
      </c>
      <c r="H85" s="20"/>
      <c r="I85" s="23"/>
      <c r="J85" s="26"/>
      <c r="K85" s="68" t="s">
        <v>1433</v>
      </c>
      <c r="L85" s="68" t="s">
        <v>1434</v>
      </c>
      <c r="M85" s="68" t="s">
        <v>1435</v>
      </c>
      <c r="N85" s="67">
        <v>21.410042000000001</v>
      </c>
      <c r="O85" s="67">
        <v>92.05059</v>
      </c>
      <c r="P85" s="74">
        <v>2000</v>
      </c>
      <c r="Q85" s="74"/>
      <c r="R85" s="18"/>
      <c r="S85" s="18"/>
      <c r="T85" s="27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17"/>
      <c r="AH85" s="24"/>
      <c r="AI85" s="25"/>
      <c r="AJ85" s="25"/>
    </row>
    <row r="86" spans="1:36" ht="15.6" x14ac:dyDescent="0.3">
      <c r="A86" s="63">
        <v>80</v>
      </c>
      <c r="B86" s="102" t="s">
        <v>3520</v>
      </c>
      <c r="C86" s="102" t="s">
        <v>3521</v>
      </c>
      <c r="D86" s="64" t="s">
        <v>119</v>
      </c>
      <c r="E86" s="68" t="s">
        <v>1203</v>
      </c>
      <c r="F86" s="68" t="s">
        <v>1205</v>
      </c>
      <c r="G86" s="68" t="s">
        <v>47</v>
      </c>
      <c r="H86" s="20"/>
      <c r="I86" s="23"/>
      <c r="J86" s="26"/>
      <c r="K86" s="68" t="s">
        <v>1436</v>
      </c>
      <c r="L86" s="68" t="s">
        <v>1437</v>
      </c>
      <c r="M86" s="68" t="s">
        <v>1438</v>
      </c>
      <c r="N86" s="67">
        <v>21.400403000000001</v>
      </c>
      <c r="O86" s="67">
        <v>92.049755000000005</v>
      </c>
      <c r="P86" s="74">
        <v>1200</v>
      </c>
      <c r="Q86" s="74"/>
      <c r="R86" s="18"/>
      <c r="S86" s="18"/>
      <c r="T86" s="27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17"/>
      <c r="AH86" s="24"/>
      <c r="AI86" s="25"/>
      <c r="AJ86" s="25"/>
    </row>
    <row r="87" spans="1:36" ht="15.6" x14ac:dyDescent="0.3">
      <c r="A87" s="63">
        <v>81</v>
      </c>
      <c r="B87" s="102" t="s">
        <v>3520</v>
      </c>
      <c r="C87" s="102" t="s">
        <v>3521</v>
      </c>
      <c r="D87" s="64" t="s">
        <v>119</v>
      </c>
      <c r="E87" s="68" t="s">
        <v>1203</v>
      </c>
      <c r="F87" s="68" t="s">
        <v>1205</v>
      </c>
      <c r="G87" s="68" t="s">
        <v>47</v>
      </c>
      <c r="H87" s="20"/>
      <c r="I87" s="23"/>
      <c r="J87" s="26"/>
      <c r="K87" s="83" t="s">
        <v>1439</v>
      </c>
      <c r="L87" s="83" t="s">
        <v>1440</v>
      </c>
      <c r="M87" s="68" t="s">
        <v>1441</v>
      </c>
      <c r="N87" s="67">
        <v>21.411456999999999</v>
      </c>
      <c r="O87" s="67">
        <v>92.045501999999999</v>
      </c>
      <c r="P87" s="74">
        <v>1200</v>
      </c>
      <c r="Q87" s="74"/>
      <c r="R87" s="43"/>
      <c r="S87" s="43"/>
      <c r="T87" s="27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17"/>
      <c r="AH87" s="24"/>
      <c r="AI87" s="25"/>
      <c r="AJ87" s="25"/>
    </row>
    <row r="88" spans="1:36" ht="15.6" x14ac:dyDescent="0.3">
      <c r="A88" s="63">
        <v>82</v>
      </c>
      <c r="B88" s="102" t="s">
        <v>3520</v>
      </c>
      <c r="C88" s="102" t="s">
        <v>3521</v>
      </c>
      <c r="D88" s="64" t="s">
        <v>119</v>
      </c>
      <c r="E88" s="68" t="s">
        <v>1203</v>
      </c>
      <c r="F88" s="68" t="s">
        <v>1205</v>
      </c>
      <c r="G88" s="68" t="s">
        <v>47</v>
      </c>
      <c r="H88" s="20"/>
      <c r="I88" s="20"/>
      <c r="J88" s="26"/>
      <c r="K88" s="68" t="s">
        <v>1442</v>
      </c>
      <c r="L88" s="68" t="s">
        <v>1443</v>
      </c>
      <c r="M88" s="68" t="s">
        <v>1444</v>
      </c>
      <c r="N88" s="67">
        <v>21.406894000000001</v>
      </c>
      <c r="O88" s="67">
        <v>92.045214000000001</v>
      </c>
      <c r="P88" s="74">
        <v>1200</v>
      </c>
      <c r="Q88" s="74"/>
      <c r="R88" s="18"/>
      <c r="S88" s="18"/>
      <c r="T88" s="22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16"/>
      <c r="AH88" s="24"/>
      <c r="AI88" s="25"/>
      <c r="AJ88" s="25"/>
    </row>
    <row r="89" spans="1:36" ht="15.6" x14ac:dyDescent="0.3">
      <c r="A89" s="63">
        <v>83</v>
      </c>
      <c r="B89" s="102" t="s">
        <v>3520</v>
      </c>
      <c r="C89" s="102" t="s">
        <v>3521</v>
      </c>
      <c r="D89" s="64" t="s">
        <v>119</v>
      </c>
      <c r="E89" s="68" t="s">
        <v>1203</v>
      </c>
      <c r="F89" s="68" t="s">
        <v>1205</v>
      </c>
      <c r="G89" s="68" t="s">
        <v>47</v>
      </c>
      <c r="H89" s="20"/>
      <c r="I89" s="20"/>
      <c r="J89" s="26"/>
      <c r="K89" s="68" t="s">
        <v>1445</v>
      </c>
      <c r="L89" s="68" t="s">
        <v>1446</v>
      </c>
      <c r="M89" s="68" t="s">
        <v>1447</v>
      </c>
      <c r="N89" s="67">
        <v>21.394715999999999</v>
      </c>
      <c r="O89" s="67">
        <v>92.039805000000001</v>
      </c>
      <c r="P89" s="74">
        <v>3000</v>
      </c>
      <c r="Q89" s="74"/>
      <c r="R89" s="18"/>
      <c r="S89" s="18"/>
      <c r="T89" s="27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17"/>
      <c r="AH89" s="24"/>
      <c r="AI89" s="25"/>
      <c r="AJ89" s="25"/>
    </row>
    <row r="90" spans="1:36" ht="15.6" x14ac:dyDescent="0.3">
      <c r="A90" s="63">
        <v>84</v>
      </c>
      <c r="B90" s="102" t="s">
        <v>3520</v>
      </c>
      <c r="C90" s="102" t="s">
        <v>3521</v>
      </c>
      <c r="D90" s="64" t="s">
        <v>119</v>
      </c>
      <c r="E90" s="68" t="s">
        <v>1203</v>
      </c>
      <c r="F90" s="68" t="s">
        <v>1205</v>
      </c>
      <c r="G90" s="68" t="s">
        <v>47</v>
      </c>
      <c r="H90" s="20"/>
      <c r="I90" s="20"/>
      <c r="J90" s="26"/>
      <c r="K90" s="68" t="s">
        <v>1448</v>
      </c>
      <c r="L90" s="68" t="s">
        <v>1449</v>
      </c>
      <c r="M90" s="68" t="s">
        <v>1450</v>
      </c>
      <c r="N90" s="67">
        <v>21.401902</v>
      </c>
      <c r="O90" s="67">
        <v>92.046406000000005</v>
      </c>
      <c r="P90" s="74">
        <v>2000</v>
      </c>
      <c r="Q90" s="74"/>
      <c r="R90" s="18"/>
      <c r="S90" s="18"/>
      <c r="T90" s="27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17"/>
      <c r="AH90" s="24"/>
      <c r="AI90" s="25"/>
      <c r="AJ90" s="25"/>
    </row>
    <row r="91" spans="1:36" ht="15.6" x14ac:dyDescent="0.3">
      <c r="A91" s="63">
        <v>85</v>
      </c>
      <c r="B91" s="102" t="s">
        <v>3520</v>
      </c>
      <c r="C91" s="102" t="s">
        <v>3521</v>
      </c>
      <c r="D91" s="64" t="s">
        <v>119</v>
      </c>
      <c r="E91" s="68" t="s">
        <v>1203</v>
      </c>
      <c r="F91" s="68" t="s">
        <v>1205</v>
      </c>
      <c r="G91" s="68" t="s">
        <v>48</v>
      </c>
      <c r="H91" s="20"/>
      <c r="I91" s="20"/>
      <c r="J91" s="26"/>
      <c r="K91" s="68" t="s">
        <v>1451</v>
      </c>
      <c r="L91" s="68" t="s">
        <v>1452</v>
      </c>
      <c r="M91" s="68" t="s">
        <v>1453</v>
      </c>
      <c r="N91" s="67">
        <v>21.414092</v>
      </c>
      <c r="O91" s="67">
        <v>92.040137000000001</v>
      </c>
      <c r="P91" s="74">
        <v>1000</v>
      </c>
      <c r="Q91" s="74"/>
      <c r="R91" s="18"/>
      <c r="S91" s="18"/>
      <c r="T91" s="27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17"/>
      <c r="AH91" s="24"/>
      <c r="AI91" s="25"/>
      <c r="AJ91" s="25"/>
    </row>
    <row r="92" spans="1:36" ht="15.6" x14ac:dyDescent="0.3">
      <c r="A92" s="63">
        <v>86</v>
      </c>
      <c r="B92" s="102" t="s">
        <v>3520</v>
      </c>
      <c r="C92" s="102" t="s">
        <v>3521</v>
      </c>
      <c r="D92" s="64" t="s">
        <v>119</v>
      </c>
      <c r="E92" s="68" t="s">
        <v>1203</v>
      </c>
      <c r="F92" s="68" t="s">
        <v>1205</v>
      </c>
      <c r="G92" s="68" t="s">
        <v>48</v>
      </c>
      <c r="H92" s="20"/>
      <c r="I92" s="20"/>
      <c r="J92" s="26"/>
      <c r="K92" s="68" t="s">
        <v>1454</v>
      </c>
      <c r="L92" s="68" t="s">
        <v>1455</v>
      </c>
      <c r="M92" s="68" t="s">
        <v>1456</v>
      </c>
      <c r="N92" s="67">
        <v>21.401489000000002</v>
      </c>
      <c r="O92" s="67">
        <v>92.038966000000002</v>
      </c>
      <c r="P92" s="74">
        <v>1000</v>
      </c>
      <c r="Q92" s="74"/>
      <c r="R92" s="18"/>
      <c r="S92" s="18"/>
      <c r="T92" s="27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17"/>
      <c r="AH92" s="24"/>
      <c r="AI92" s="25"/>
      <c r="AJ92" s="25"/>
    </row>
    <row r="93" spans="1:36" ht="15.6" x14ac:dyDescent="0.3">
      <c r="A93" s="63">
        <v>87</v>
      </c>
      <c r="B93" s="102" t="s">
        <v>3520</v>
      </c>
      <c r="C93" s="102" t="s">
        <v>3521</v>
      </c>
      <c r="D93" s="64" t="s">
        <v>119</v>
      </c>
      <c r="E93" s="68" t="s">
        <v>1203</v>
      </c>
      <c r="F93" s="68" t="s">
        <v>1205</v>
      </c>
      <c r="G93" s="68" t="s">
        <v>48</v>
      </c>
      <c r="H93" s="20"/>
      <c r="I93" s="20"/>
      <c r="J93" s="26"/>
      <c r="K93" s="68" t="s">
        <v>1457</v>
      </c>
      <c r="L93" s="68" t="s">
        <v>1458</v>
      </c>
      <c r="M93" s="68" t="s">
        <v>1459</v>
      </c>
      <c r="N93" s="67">
        <v>21.410681</v>
      </c>
      <c r="O93" s="67">
        <v>92.043510999999995</v>
      </c>
      <c r="P93" s="74">
        <v>1200</v>
      </c>
      <c r="Q93" s="74"/>
      <c r="R93" s="18"/>
      <c r="S93" s="18"/>
      <c r="T93" s="27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17"/>
      <c r="AH93" s="24"/>
      <c r="AI93" s="25"/>
      <c r="AJ93" s="25"/>
    </row>
    <row r="94" spans="1:36" ht="15.6" x14ac:dyDescent="0.3">
      <c r="A94" s="63">
        <v>88</v>
      </c>
      <c r="B94" s="102" t="s">
        <v>3520</v>
      </c>
      <c r="C94" s="102" t="s">
        <v>3521</v>
      </c>
      <c r="D94" s="64" t="s">
        <v>119</v>
      </c>
      <c r="E94" s="68" t="s">
        <v>1203</v>
      </c>
      <c r="F94" s="68" t="s">
        <v>1205</v>
      </c>
      <c r="G94" s="68" t="s">
        <v>48</v>
      </c>
      <c r="H94" s="20"/>
      <c r="I94" s="20"/>
      <c r="J94" s="26"/>
      <c r="K94" s="68" t="s">
        <v>1460</v>
      </c>
      <c r="L94" s="68" t="s">
        <v>1461</v>
      </c>
      <c r="M94" s="68" t="s">
        <v>1462</v>
      </c>
      <c r="N94" s="67">
        <v>21.409236</v>
      </c>
      <c r="O94" s="67">
        <v>92.039721</v>
      </c>
      <c r="P94" s="74">
        <v>1000</v>
      </c>
      <c r="Q94" s="74"/>
      <c r="R94" s="18"/>
      <c r="S94" s="18"/>
      <c r="T94" s="27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17"/>
      <c r="AH94" s="24"/>
      <c r="AI94" s="25"/>
      <c r="AJ94" s="25"/>
    </row>
    <row r="95" spans="1:36" ht="15.6" x14ac:dyDescent="0.3">
      <c r="A95" s="63">
        <v>89</v>
      </c>
      <c r="B95" s="102" t="s">
        <v>3520</v>
      </c>
      <c r="C95" s="102" t="s">
        <v>3521</v>
      </c>
      <c r="D95" s="64" t="s">
        <v>119</v>
      </c>
      <c r="E95" s="68" t="s">
        <v>1203</v>
      </c>
      <c r="F95" s="68" t="s">
        <v>1205</v>
      </c>
      <c r="G95" s="68" t="s">
        <v>48</v>
      </c>
      <c r="H95" s="20"/>
      <c r="I95" s="20"/>
      <c r="J95" s="26"/>
      <c r="K95" s="68" t="s">
        <v>1463</v>
      </c>
      <c r="L95" s="68" t="s">
        <v>1464</v>
      </c>
      <c r="M95" s="68" t="s">
        <v>1465</v>
      </c>
      <c r="N95" s="67">
        <v>21.412595</v>
      </c>
      <c r="O95" s="67">
        <v>92.036906000000002</v>
      </c>
      <c r="P95" s="74">
        <v>2000</v>
      </c>
      <c r="Q95" s="74"/>
      <c r="R95" s="18"/>
      <c r="S95" s="18"/>
      <c r="T95" s="27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17"/>
      <c r="AH95" s="24"/>
      <c r="AI95" s="25"/>
      <c r="AJ95" s="25"/>
    </row>
    <row r="96" spans="1:36" ht="15.6" x14ac:dyDescent="0.3">
      <c r="A96" s="63">
        <v>90</v>
      </c>
      <c r="B96" s="102" t="s">
        <v>3520</v>
      </c>
      <c r="C96" s="102" t="s">
        <v>3521</v>
      </c>
      <c r="D96" s="64" t="s">
        <v>119</v>
      </c>
      <c r="E96" s="68" t="s">
        <v>1203</v>
      </c>
      <c r="F96" s="68" t="s">
        <v>1205</v>
      </c>
      <c r="G96" s="68" t="s">
        <v>49</v>
      </c>
      <c r="H96" s="20"/>
      <c r="I96" s="20"/>
      <c r="J96" s="26"/>
      <c r="K96" s="68" t="s">
        <v>1466</v>
      </c>
      <c r="L96" s="68" t="s">
        <v>1467</v>
      </c>
      <c r="M96" s="68" t="s">
        <v>1468</v>
      </c>
      <c r="N96" s="67">
        <v>21.415348000000002</v>
      </c>
      <c r="O96" s="67">
        <v>92.031473000000005</v>
      </c>
      <c r="P96" s="74">
        <v>4000</v>
      </c>
      <c r="Q96" s="74"/>
      <c r="R96" s="18"/>
      <c r="S96" s="18"/>
      <c r="T96" s="22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17"/>
      <c r="AH96" s="24"/>
      <c r="AI96" s="25"/>
      <c r="AJ96" s="25"/>
    </row>
    <row r="97" spans="1:36" ht="15.6" x14ac:dyDescent="0.3">
      <c r="A97" s="63">
        <v>91</v>
      </c>
      <c r="B97" s="102" t="s">
        <v>3520</v>
      </c>
      <c r="C97" s="102" t="s">
        <v>3521</v>
      </c>
      <c r="D97" s="64" t="s">
        <v>119</v>
      </c>
      <c r="E97" s="68" t="s">
        <v>1203</v>
      </c>
      <c r="F97" s="68" t="s">
        <v>1205</v>
      </c>
      <c r="G97" s="68" t="s">
        <v>49</v>
      </c>
      <c r="H97" s="20"/>
      <c r="I97" s="20"/>
      <c r="J97" s="26"/>
      <c r="K97" s="68" t="s">
        <v>1469</v>
      </c>
      <c r="L97" s="68" t="s">
        <v>1470</v>
      </c>
      <c r="M97" s="68" t="s">
        <v>1471</v>
      </c>
      <c r="N97" s="67">
        <v>21.419525</v>
      </c>
      <c r="O97" s="67">
        <v>92.033533000000006</v>
      </c>
      <c r="P97" s="74">
        <v>140</v>
      </c>
      <c r="Q97" s="74"/>
      <c r="R97" s="18"/>
      <c r="S97" s="18"/>
      <c r="T97" s="27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17"/>
      <c r="AH97" s="24"/>
      <c r="AI97" s="25"/>
      <c r="AJ97" s="25"/>
    </row>
    <row r="98" spans="1:36" ht="15.6" x14ac:dyDescent="0.3">
      <c r="A98" s="63">
        <v>92</v>
      </c>
      <c r="B98" s="102" t="s">
        <v>3520</v>
      </c>
      <c r="C98" s="102" t="s">
        <v>3521</v>
      </c>
      <c r="D98" s="64" t="s">
        <v>119</v>
      </c>
      <c r="E98" s="68" t="s">
        <v>1203</v>
      </c>
      <c r="F98" s="68" t="s">
        <v>1205</v>
      </c>
      <c r="G98" s="68" t="s">
        <v>49</v>
      </c>
      <c r="H98" s="20"/>
      <c r="I98" s="20"/>
      <c r="J98" s="26"/>
      <c r="K98" s="68" t="s">
        <v>1472</v>
      </c>
      <c r="L98" s="68" t="s">
        <v>1473</v>
      </c>
      <c r="M98" s="68" t="s">
        <v>1474</v>
      </c>
      <c r="N98" s="67">
        <v>21.421817000000001</v>
      </c>
      <c r="O98" s="67">
        <v>92.038944000000001</v>
      </c>
      <c r="P98" s="74">
        <v>50</v>
      </c>
      <c r="Q98" s="74"/>
      <c r="R98" s="18"/>
      <c r="S98" s="18"/>
      <c r="T98" s="22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17"/>
      <c r="AH98" s="24"/>
      <c r="AI98" s="25"/>
      <c r="AJ98" s="25"/>
    </row>
    <row r="99" spans="1:36" ht="15.6" x14ac:dyDescent="0.3">
      <c r="A99" s="63">
        <v>93</v>
      </c>
      <c r="B99" s="102" t="s">
        <v>3520</v>
      </c>
      <c r="C99" s="102" t="s">
        <v>3521</v>
      </c>
      <c r="D99" s="64" t="s">
        <v>119</v>
      </c>
      <c r="E99" s="68" t="s">
        <v>1203</v>
      </c>
      <c r="F99" s="68" t="s">
        <v>1205</v>
      </c>
      <c r="G99" s="68" t="s">
        <v>49</v>
      </c>
      <c r="H99" s="20"/>
      <c r="I99" s="20"/>
      <c r="J99" s="26"/>
      <c r="K99" s="68" t="s">
        <v>1475</v>
      </c>
      <c r="L99" s="68" t="s">
        <v>1476</v>
      </c>
      <c r="M99" s="68" t="s">
        <v>1477</v>
      </c>
      <c r="N99" s="67">
        <v>21.420572</v>
      </c>
      <c r="O99" s="67">
        <v>92.031887999999995</v>
      </c>
      <c r="P99" s="74">
        <v>300</v>
      </c>
      <c r="Q99" s="74"/>
      <c r="R99" s="18"/>
      <c r="S99" s="18"/>
      <c r="T99" s="22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17"/>
      <c r="AH99" s="24"/>
      <c r="AI99" s="25"/>
      <c r="AJ99" s="25"/>
    </row>
    <row r="100" spans="1:36" ht="15.6" x14ac:dyDescent="0.3">
      <c r="A100" s="63">
        <v>94</v>
      </c>
      <c r="B100" s="102" t="s">
        <v>3520</v>
      </c>
      <c r="C100" s="102" t="s">
        <v>3521</v>
      </c>
      <c r="D100" s="64" t="s">
        <v>119</v>
      </c>
      <c r="E100" s="68" t="s">
        <v>1203</v>
      </c>
      <c r="F100" s="68" t="s">
        <v>1206</v>
      </c>
      <c r="G100" s="68" t="s">
        <v>41</v>
      </c>
      <c r="H100" s="20"/>
      <c r="I100" s="20"/>
      <c r="J100" s="21"/>
      <c r="K100" s="68" t="s">
        <v>1478</v>
      </c>
      <c r="L100" s="68" t="s">
        <v>1479</v>
      </c>
      <c r="M100" s="68" t="s">
        <v>1480</v>
      </c>
      <c r="N100" s="67">
        <v>21.580949</v>
      </c>
      <c r="O100" s="67">
        <v>92.116612000000003</v>
      </c>
      <c r="P100" s="74">
        <v>600</v>
      </c>
      <c r="Q100" s="74"/>
      <c r="R100" s="18"/>
      <c r="S100" s="18"/>
      <c r="T100" s="22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17"/>
      <c r="AH100" s="24"/>
      <c r="AI100" s="25"/>
      <c r="AJ100" s="25"/>
    </row>
    <row r="101" spans="1:36" ht="15.6" x14ac:dyDescent="0.3">
      <c r="A101" s="63">
        <v>95</v>
      </c>
      <c r="B101" s="102" t="s">
        <v>3520</v>
      </c>
      <c r="C101" s="102" t="s">
        <v>3521</v>
      </c>
      <c r="D101" s="64" t="s">
        <v>119</v>
      </c>
      <c r="E101" s="68" t="s">
        <v>1203</v>
      </c>
      <c r="F101" s="68" t="s">
        <v>1206</v>
      </c>
      <c r="G101" s="68" t="s">
        <v>41</v>
      </c>
      <c r="H101" s="20"/>
      <c r="I101" s="20"/>
      <c r="J101" s="26"/>
      <c r="K101" s="68" t="s">
        <v>1481</v>
      </c>
      <c r="L101" s="68" t="s">
        <v>1482</v>
      </c>
      <c r="M101" s="68" t="s">
        <v>1483</v>
      </c>
      <c r="N101" s="67">
        <v>21.579201000000001</v>
      </c>
      <c r="O101" s="67">
        <v>92.121454999999997</v>
      </c>
      <c r="P101" s="74">
        <v>920</v>
      </c>
      <c r="Q101" s="74"/>
      <c r="R101" s="18"/>
      <c r="S101" s="18"/>
      <c r="T101" s="22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17"/>
      <c r="AH101" s="24"/>
      <c r="AI101" s="25"/>
      <c r="AJ101" s="25"/>
    </row>
    <row r="102" spans="1:36" ht="15.6" x14ac:dyDescent="0.3">
      <c r="A102" s="63">
        <v>96</v>
      </c>
      <c r="B102" s="102" t="s">
        <v>3520</v>
      </c>
      <c r="C102" s="102" t="s">
        <v>3521</v>
      </c>
      <c r="D102" s="64" t="s">
        <v>119</v>
      </c>
      <c r="E102" s="68" t="s">
        <v>1203</v>
      </c>
      <c r="F102" s="68" t="s">
        <v>1206</v>
      </c>
      <c r="G102" s="68" t="s">
        <v>41</v>
      </c>
      <c r="H102" s="20"/>
      <c r="I102" s="20"/>
      <c r="J102" s="26"/>
      <c r="K102" s="69" t="s">
        <v>1484</v>
      </c>
      <c r="L102" s="69" t="s">
        <v>1485</v>
      </c>
      <c r="M102" s="68" t="s">
        <v>1486</v>
      </c>
      <c r="N102" s="67">
        <v>21.577110000000001</v>
      </c>
      <c r="O102" s="67">
        <v>92.127522999999997</v>
      </c>
      <c r="P102" s="74">
        <v>1800</v>
      </c>
      <c r="Q102" s="74"/>
      <c r="R102" s="18"/>
      <c r="S102" s="18"/>
      <c r="T102" s="22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17"/>
      <c r="AH102" s="24"/>
      <c r="AI102" s="25"/>
      <c r="AJ102" s="25"/>
    </row>
    <row r="103" spans="1:36" ht="15.6" x14ac:dyDescent="0.3">
      <c r="A103" s="63">
        <v>97</v>
      </c>
      <c r="B103" s="102" t="s">
        <v>3520</v>
      </c>
      <c r="C103" s="102" t="s">
        <v>3521</v>
      </c>
      <c r="D103" s="64" t="s">
        <v>119</v>
      </c>
      <c r="E103" s="68" t="s">
        <v>1203</v>
      </c>
      <c r="F103" s="68" t="s">
        <v>1206</v>
      </c>
      <c r="G103" s="68" t="s">
        <v>41</v>
      </c>
      <c r="H103" s="20"/>
      <c r="I103" s="20"/>
      <c r="J103" s="26"/>
      <c r="K103" s="75" t="s">
        <v>139</v>
      </c>
      <c r="L103" s="68" t="s">
        <v>140</v>
      </c>
      <c r="M103" s="68" t="s">
        <v>1487</v>
      </c>
      <c r="N103" s="67">
        <v>21.57536</v>
      </c>
      <c r="O103" s="67">
        <v>92.134046999999995</v>
      </c>
      <c r="P103" s="74">
        <v>1300</v>
      </c>
      <c r="Q103" s="74"/>
      <c r="R103" s="18"/>
      <c r="S103" s="18"/>
      <c r="T103" s="22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17"/>
      <c r="AH103" s="24"/>
      <c r="AI103" s="25"/>
      <c r="AJ103" s="25"/>
    </row>
    <row r="104" spans="1:36" ht="15.6" x14ac:dyDescent="0.3">
      <c r="A104" s="63">
        <v>98</v>
      </c>
      <c r="B104" s="102" t="s">
        <v>3520</v>
      </c>
      <c r="C104" s="102" t="s">
        <v>3521</v>
      </c>
      <c r="D104" s="64" t="s">
        <v>119</v>
      </c>
      <c r="E104" s="68" t="s">
        <v>1203</v>
      </c>
      <c r="F104" s="68" t="s">
        <v>1206</v>
      </c>
      <c r="G104" s="68" t="s">
        <v>42</v>
      </c>
      <c r="H104" s="20"/>
      <c r="I104" s="20"/>
      <c r="J104" s="26"/>
      <c r="K104" s="68" t="s">
        <v>1488</v>
      </c>
      <c r="L104" s="68" t="s">
        <v>1489</v>
      </c>
      <c r="M104" s="68" t="s">
        <v>1490</v>
      </c>
      <c r="N104" s="67">
        <v>21.582798</v>
      </c>
      <c r="O104" s="67">
        <v>92.130285999999998</v>
      </c>
      <c r="P104" s="74">
        <v>1000</v>
      </c>
      <c r="Q104" s="74"/>
      <c r="R104" s="18"/>
      <c r="S104" s="18"/>
      <c r="T104" s="27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17"/>
      <c r="AH104" s="24"/>
      <c r="AI104" s="25"/>
      <c r="AJ104" s="25"/>
    </row>
    <row r="105" spans="1:36" ht="15.6" x14ac:dyDescent="0.3">
      <c r="A105" s="63">
        <v>99</v>
      </c>
      <c r="B105" s="102" t="s">
        <v>3520</v>
      </c>
      <c r="C105" s="102" t="s">
        <v>3521</v>
      </c>
      <c r="D105" s="64" t="s">
        <v>119</v>
      </c>
      <c r="E105" s="68" t="s">
        <v>1203</v>
      </c>
      <c r="F105" s="68" t="s">
        <v>1206</v>
      </c>
      <c r="G105" s="68" t="s">
        <v>42</v>
      </c>
      <c r="H105" s="20"/>
      <c r="I105" s="20"/>
      <c r="J105" s="26"/>
      <c r="K105" s="69" t="s">
        <v>94</v>
      </c>
      <c r="L105" s="68" t="s">
        <v>242</v>
      </c>
      <c r="M105" s="68" t="s">
        <v>1491</v>
      </c>
      <c r="N105" s="67">
        <v>21.578196999999999</v>
      </c>
      <c r="O105" s="67">
        <v>92.129676000000003</v>
      </c>
      <c r="P105" s="74">
        <v>400</v>
      </c>
      <c r="Q105" s="74"/>
      <c r="R105" s="18"/>
      <c r="S105" s="18"/>
      <c r="T105" s="22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17"/>
      <c r="AH105" s="24"/>
      <c r="AI105" s="25"/>
      <c r="AJ105" s="25"/>
    </row>
    <row r="106" spans="1:36" ht="15.6" x14ac:dyDescent="0.3">
      <c r="A106" s="63">
        <v>100</v>
      </c>
      <c r="B106" s="102" t="s">
        <v>3520</v>
      </c>
      <c r="C106" s="102" t="s">
        <v>3521</v>
      </c>
      <c r="D106" s="64" t="s">
        <v>119</v>
      </c>
      <c r="E106" s="68" t="s">
        <v>1203</v>
      </c>
      <c r="F106" s="68" t="s">
        <v>1206</v>
      </c>
      <c r="G106" s="68" t="s">
        <v>42</v>
      </c>
      <c r="H106" s="20"/>
      <c r="I106" s="20"/>
      <c r="J106" s="26"/>
      <c r="K106" s="68" t="s">
        <v>106</v>
      </c>
      <c r="L106" s="68" t="s">
        <v>1492</v>
      </c>
      <c r="M106" s="68" t="s">
        <v>1493</v>
      </c>
      <c r="N106" s="67">
        <v>21.586917</v>
      </c>
      <c r="O106" s="67">
        <v>92.138903999999997</v>
      </c>
      <c r="P106" s="74">
        <v>1200</v>
      </c>
      <c r="Q106" s="74"/>
      <c r="R106" s="18"/>
      <c r="S106" s="18"/>
      <c r="T106" s="22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17"/>
      <c r="AH106" s="24"/>
      <c r="AI106" s="25"/>
      <c r="AJ106" s="25"/>
    </row>
    <row r="107" spans="1:36" ht="15.6" x14ac:dyDescent="0.3">
      <c r="A107" s="63">
        <v>101</v>
      </c>
      <c r="B107" s="102" t="s">
        <v>3520</v>
      </c>
      <c r="C107" s="102" t="s">
        <v>3521</v>
      </c>
      <c r="D107" s="64" t="s">
        <v>119</v>
      </c>
      <c r="E107" s="68" t="s">
        <v>1203</v>
      </c>
      <c r="F107" s="68" t="s">
        <v>1206</v>
      </c>
      <c r="G107" s="68" t="s">
        <v>42</v>
      </c>
      <c r="H107" s="20"/>
      <c r="I107" s="20"/>
      <c r="J107" s="26"/>
      <c r="K107" s="68" t="s">
        <v>1494</v>
      </c>
      <c r="L107" s="68" t="s">
        <v>1495</v>
      </c>
      <c r="M107" s="68" t="s">
        <v>1496</v>
      </c>
      <c r="N107" s="67">
        <v>21.581795</v>
      </c>
      <c r="O107" s="67">
        <v>92.138298000000006</v>
      </c>
      <c r="P107" s="74">
        <v>800</v>
      </c>
      <c r="Q107" s="74"/>
      <c r="R107" s="18"/>
      <c r="S107" s="18"/>
      <c r="T107" s="27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17"/>
      <c r="AH107" s="24"/>
      <c r="AI107" s="25"/>
      <c r="AJ107" s="25"/>
    </row>
    <row r="108" spans="1:36" ht="15.6" x14ac:dyDescent="0.3">
      <c r="A108" s="63">
        <v>102</v>
      </c>
      <c r="B108" s="102" t="s">
        <v>3520</v>
      </c>
      <c r="C108" s="102" t="s">
        <v>3521</v>
      </c>
      <c r="D108" s="64" t="s">
        <v>119</v>
      </c>
      <c r="E108" s="68" t="s">
        <v>1203</v>
      </c>
      <c r="F108" s="68" t="s">
        <v>1206</v>
      </c>
      <c r="G108" s="68" t="s">
        <v>42</v>
      </c>
      <c r="H108" s="20"/>
      <c r="I108" s="20"/>
      <c r="J108" s="26"/>
      <c r="K108" s="68" t="s">
        <v>1497</v>
      </c>
      <c r="L108" s="68" t="s">
        <v>1498</v>
      </c>
      <c r="M108" s="68" t="s">
        <v>1499</v>
      </c>
      <c r="N108" s="67">
        <v>21.58502</v>
      </c>
      <c r="O108" s="67">
        <v>92.143994000000006</v>
      </c>
      <c r="P108" s="74">
        <v>200</v>
      </c>
      <c r="Q108" s="74"/>
      <c r="R108" s="18"/>
      <c r="S108" s="18"/>
      <c r="T108" s="22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17"/>
      <c r="AH108" s="24"/>
      <c r="AI108" s="25"/>
      <c r="AJ108" s="25"/>
    </row>
    <row r="109" spans="1:36" ht="15.6" x14ac:dyDescent="0.3">
      <c r="A109" s="63">
        <v>103</v>
      </c>
      <c r="B109" s="102" t="s">
        <v>3520</v>
      </c>
      <c r="C109" s="102" t="s">
        <v>3521</v>
      </c>
      <c r="D109" s="64" t="s">
        <v>119</v>
      </c>
      <c r="E109" s="68" t="s">
        <v>1203</v>
      </c>
      <c r="F109" s="68" t="s">
        <v>1206</v>
      </c>
      <c r="G109" s="68" t="s">
        <v>42</v>
      </c>
      <c r="H109" s="20"/>
      <c r="I109" s="20"/>
      <c r="J109" s="26"/>
      <c r="K109" s="69" t="s">
        <v>83</v>
      </c>
      <c r="L109" s="68" t="s">
        <v>1500</v>
      </c>
      <c r="M109" s="68" t="s">
        <v>1501</v>
      </c>
      <c r="N109" s="67">
        <v>21.595775</v>
      </c>
      <c r="O109" s="67">
        <v>92.141948999999997</v>
      </c>
      <c r="P109" s="74">
        <v>150</v>
      </c>
      <c r="Q109" s="74"/>
      <c r="R109" s="18"/>
      <c r="S109" s="18"/>
      <c r="T109" s="22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17"/>
      <c r="AH109" s="24"/>
      <c r="AI109" s="25"/>
      <c r="AJ109" s="25"/>
    </row>
    <row r="110" spans="1:36" ht="15.6" x14ac:dyDescent="0.3">
      <c r="A110" s="63">
        <v>104</v>
      </c>
      <c r="B110" s="102" t="s">
        <v>3520</v>
      </c>
      <c r="C110" s="102" t="s">
        <v>3521</v>
      </c>
      <c r="D110" s="64" t="s">
        <v>119</v>
      </c>
      <c r="E110" s="68" t="s">
        <v>1203</v>
      </c>
      <c r="F110" s="68" t="s">
        <v>1206</v>
      </c>
      <c r="G110" s="68" t="s">
        <v>43</v>
      </c>
      <c r="H110" s="20"/>
      <c r="I110" s="20"/>
      <c r="J110" s="26"/>
      <c r="K110" s="75" t="s">
        <v>1502</v>
      </c>
      <c r="L110" s="68" t="s">
        <v>1503</v>
      </c>
      <c r="M110" s="68" t="s">
        <v>1504</v>
      </c>
      <c r="N110" s="67">
        <v>21.574276999999999</v>
      </c>
      <c r="O110" s="67">
        <v>92.137214</v>
      </c>
      <c r="P110" s="74">
        <v>1000</v>
      </c>
      <c r="Q110" s="74"/>
      <c r="R110" s="18"/>
      <c r="S110" s="18"/>
      <c r="T110" s="22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17"/>
      <c r="AH110" s="24"/>
      <c r="AI110" s="25"/>
      <c r="AJ110" s="25"/>
    </row>
    <row r="111" spans="1:36" ht="15.6" x14ac:dyDescent="0.3">
      <c r="A111" s="63">
        <v>105</v>
      </c>
      <c r="B111" s="102" t="s">
        <v>3520</v>
      </c>
      <c r="C111" s="102" t="s">
        <v>3521</v>
      </c>
      <c r="D111" s="64" t="s">
        <v>119</v>
      </c>
      <c r="E111" s="68" t="s">
        <v>1203</v>
      </c>
      <c r="F111" s="68" t="s">
        <v>1206</v>
      </c>
      <c r="G111" s="68" t="s">
        <v>43</v>
      </c>
      <c r="H111" s="20"/>
      <c r="I111" s="20"/>
      <c r="J111" s="26"/>
      <c r="K111" s="75" t="s">
        <v>1505</v>
      </c>
      <c r="L111" s="68" t="s">
        <v>1506</v>
      </c>
      <c r="M111" s="68" t="s">
        <v>1507</v>
      </c>
      <c r="N111" s="67">
        <v>21.575289000000001</v>
      </c>
      <c r="O111" s="67">
        <v>92.140758000000005</v>
      </c>
      <c r="P111" s="74">
        <v>700</v>
      </c>
      <c r="Q111" s="74"/>
      <c r="R111" s="18"/>
      <c r="S111" s="18"/>
      <c r="T111" s="22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17"/>
      <c r="AH111" s="24"/>
      <c r="AI111" s="25"/>
      <c r="AJ111" s="25"/>
    </row>
    <row r="112" spans="1:36" ht="15.6" x14ac:dyDescent="0.3">
      <c r="A112" s="63">
        <v>106</v>
      </c>
      <c r="B112" s="102" t="s">
        <v>3520</v>
      </c>
      <c r="C112" s="102" t="s">
        <v>3521</v>
      </c>
      <c r="D112" s="64" t="s">
        <v>119</v>
      </c>
      <c r="E112" s="68" t="s">
        <v>1203</v>
      </c>
      <c r="F112" s="68" t="s">
        <v>1206</v>
      </c>
      <c r="G112" s="68" t="s">
        <v>43</v>
      </c>
      <c r="H112" s="20"/>
      <c r="I112" s="20"/>
      <c r="J112" s="26"/>
      <c r="K112" s="75" t="s">
        <v>1508</v>
      </c>
      <c r="L112" s="68" t="s">
        <v>1509</v>
      </c>
      <c r="M112" s="68" t="s">
        <v>1510</v>
      </c>
      <c r="N112" s="67">
        <v>21.568200000000001</v>
      </c>
      <c r="O112" s="67">
        <v>92.137017</v>
      </c>
      <c r="P112" s="74">
        <v>400</v>
      </c>
      <c r="Q112" s="74"/>
      <c r="R112" s="18"/>
      <c r="S112" s="18"/>
      <c r="T112" s="22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17"/>
      <c r="AH112" s="24"/>
      <c r="AI112" s="25"/>
      <c r="AJ112" s="25"/>
    </row>
    <row r="113" spans="1:36" ht="15.6" x14ac:dyDescent="0.3">
      <c r="A113" s="63">
        <v>107</v>
      </c>
      <c r="B113" s="102" t="s">
        <v>3520</v>
      </c>
      <c r="C113" s="102" t="s">
        <v>3521</v>
      </c>
      <c r="D113" s="64" t="s">
        <v>119</v>
      </c>
      <c r="E113" s="68" t="s">
        <v>1203</v>
      </c>
      <c r="F113" s="68" t="s">
        <v>1206</v>
      </c>
      <c r="G113" s="68" t="s">
        <v>43</v>
      </c>
      <c r="H113" s="20"/>
      <c r="I113" s="20"/>
      <c r="J113" s="26"/>
      <c r="K113" s="75" t="s">
        <v>1191</v>
      </c>
      <c r="L113" s="68" t="s">
        <v>1192</v>
      </c>
      <c r="M113" s="68" t="s">
        <v>1511</v>
      </c>
      <c r="N113" s="67">
        <v>21.570314</v>
      </c>
      <c r="O113" s="67">
        <v>92.139780000000002</v>
      </c>
      <c r="P113" s="74">
        <v>600</v>
      </c>
      <c r="Q113" s="74"/>
      <c r="R113" s="18"/>
      <c r="S113" s="18"/>
      <c r="T113" s="22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17"/>
      <c r="AH113" s="24"/>
      <c r="AI113" s="25"/>
      <c r="AJ113" s="25"/>
    </row>
    <row r="114" spans="1:36" ht="15.6" x14ac:dyDescent="0.3">
      <c r="A114" s="63">
        <v>108</v>
      </c>
      <c r="B114" s="102" t="s">
        <v>3520</v>
      </c>
      <c r="C114" s="102" t="s">
        <v>3521</v>
      </c>
      <c r="D114" s="64" t="s">
        <v>119</v>
      </c>
      <c r="E114" s="68" t="s">
        <v>1203</v>
      </c>
      <c r="F114" s="68" t="s">
        <v>1206</v>
      </c>
      <c r="G114" s="68" t="s">
        <v>43</v>
      </c>
      <c r="H114" s="20"/>
      <c r="I114" s="20"/>
      <c r="J114" s="26"/>
      <c r="K114" s="75" t="s">
        <v>1512</v>
      </c>
      <c r="L114" s="75" t="s">
        <v>1513</v>
      </c>
      <c r="M114" s="68" t="s">
        <v>1514</v>
      </c>
      <c r="N114" s="67">
        <v>21.573428</v>
      </c>
      <c r="O114" s="67">
        <v>92.142049</v>
      </c>
      <c r="P114" s="74">
        <v>500</v>
      </c>
      <c r="Q114" s="74"/>
      <c r="R114" s="18"/>
      <c r="S114" s="18"/>
      <c r="T114" s="22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17"/>
      <c r="AH114" s="24"/>
      <c r="AI114" s="25"/>
      <c r="AJ114" s="25"/>
    </row>
    <row r="115" spans="1:36" ht="15.6" x14ac:dyDescent="0.3">
      <c r="A115" s="63">
        <v>109</v>
      </c>
      <c r="B115" s="102" t="s">
        <v>3520</v>
      </c>
      <c r="C115" s="102" t="s">
        <v>3521</v>
      </c>
      <c r="D115" s="64" t="s">
        <v>119</v>
      </c>
      <c r="E115" s="68" t="s">
        <v>1203</v>
      </c>
      <c r="F115" s="68" t="s">
        <v>1206</v>
      </c>
      <c r="G115" s="68" t="s">
        <v>43</v>
      </c>
      <c r="H115" s="20"/>
      <c r="I115" s="20"/>
      <c r="J115" s="26"/>
      <c r="K115" s="68" t="s">
        <v>1515</v>
      </c>
      <c r="L115" s="68" t="s">
        <v>1516</v>
      </c>
      <c r="M115" s="68" t="s">
        <v>1517</v>
      </c>
      <c r="N115" s="67">
        <v>21.578719</v>
      </c>
      <c r="O115" s="67">
        <v>92.146849000000003</v>
      </c>
      <c r="P115" s="74">
        <v>3500</v>
      </c>
      <c r="Q115" s="74"/>
      <c r="R115" s="18"/>
      <c r="S115" s="18"/>
      <c r="T115" s="22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17"/>
      <c r="AH115" s="24"/>
      <c r="AI115" s="25"/>
      <c r="AJ115" s="25"/>
    </row>
    <row r="116" spans="1:36" ht="15.6" x14ac:dyDescent="0.3">
      <c r="A116" s="63">
        <v>110</v>
      </c>
      <c r="B116" s="102" t="s">
        <v>3520</v>
      </c>
      <c r="C116" s="102" t="s">
        <v>3521</v>
      </c>
      <c r="D116" s="64" t="s">
        <v>119</v>
      </c>
      <c r="E116" s="68" t="s">
        <v>1203</v>
      </c>
      <c r="F116" s="68" t="s">
        <v>1206</v>
      </c>
      <c r="G116" s="68" t="s">
        <v>43</v>
      </c>
      <c r="H116" s="20"/>
      <c r="I116" s="20"/>
      <c r="J116" s="26"/>
      <c r="K116" s="68" t="s">
        <v>96</v>
      </c>
      <c r="L116" s="68" t="s">
        <v>97</v>
      </c>
      <c r="M116" s="68" t="s">
        <v>1518</v>
      </c>
      <c r="N116" s="67">
        <v>21.574798000000001</v>
      </c>
      <c r="O116" s="67">
        <v>92.140141</v>
      </c>
      <c r="P116" s="74">
        <v>15</v>
      </c>
      <c r="Q116" s="74"/>
      <c r="R116" s="18"/>
      <c r="S116" s="18"/>
      <c r="T116" s="22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17"/>
      <c r="AH116" s="24"/>
      <c r="AI116" s="25"/>
      <c r="AJ116" s="25"/>
    </row>
    <row r="117" spans="1:36" ht="15.6" x14ac:dyDescent="0.3">
      <c r="A117" s="63">
        <v>111</v>
      </c>
      <c r="B117" s="102" t="s">
        <v>3520</v>
      </c>
      <c r="C117" s="102" t="s">
        <v>3521</v>
      </c>
      <c r="D117" s="64" t="s">
        <v>119</v>
      </c>
      <c r="E117" s="68" t="s">
        <v>1203</v>
      </c>
      <c r="F117" s="68" t="s">
        <v>1206</v>
      </c>
      <c r="G117" s="68" t="s">
        <v>44</v>
      </c>
      <c r="H117" s="20"/>
      <c r="I117" s="20"/>
      <c r="J117" s="26"/>
      <c r="K117" s="68" t="s">
        <v>1519</v>
      </c>
      <c r="L117" s="68" t="s">
        <v>1520</v>
      </c>
      <c r="M117" s="68" t="s">
        <v>1521</v>
      </c>
      <c r="N117" s="67">
        <v>21.573141</v>
      </c>
      <c r="O117" s="67">
        <v>92.143625999999998</v>
      </c>
      <c r="P117" s="74">
        <v>2500</v>
      </c>
      <c r="Q117" s="74"/>
      <c r="R117" s="18"/>
      <c r="S117" s="18"/>
      <c r="T117" s="22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17"/>
      <c r="AH117" s="24"/>
      <c r="AI117" s="25"/>
      <c r="AJ117" s="25"/>
    </row>
    <row r="118" spans="1:36" ht="15.6" x14ac:dyDescent="0.3">
      <c r="A118" s="63">
        <v>112</v>
      </c>
      <c r="B118" s="102" t="s">
        <v>3520</v>
      </c>
      <c r="C118" s="102" t="s">
        <v>3521</v>
      </c>
      <c r="D118" s="64" t="s">
        <v>119</v>
      </c>
      <c r="E118" s="68" t="s">
        <v>1203</v>
      </c>
      <c r="F118" s="68" t="s">
        <v>1206</v>
      </c>
      <c r="G118" s="68" t="s">
        <v>44</v>
      </c>
      <c r="H118" s="20"/>
      <c r="I118" s="20"/>
      <c r="J118" s="26"/>
      <c r="K118" s="68" t="s">
        <v>1522</v>
      </c>
      <c r="L118" s="68" t="s">
        <v>1523</v>
      </c>
      <c r="M118" s="68" t="s">
        <v>1524</v>
      </c>
      <c r="N118" s="67">
        <v>21.56887</v>
      </c>
      <c r="O118" s="67">
        <v>92.147377000000006</v>
      </c>
      <c r="P118" s="74">
        <v>1500</v>
      </c>
      <c r="Q118" s="74"/>
      <c r="R118" s="18"/>
      <c r="S118" s="18"/>
      <c r="T118" s="22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17"/>
      <c r="AH118" s="24"/>
      <c r="AI118" s="25"/>
      <c r="AJ118" s="25"/>
    </row>
    <row r="119" spans="1:36" ht="15.6" x14ac:dyDescent="0.3">
      <c r="A119" s="63">
        <v>113</v>
      </c>
      <c r="B119" s="102" t="s">
        <v>3520</v>
      </c>
      <c r="C119" s="102" t="s">
        <v>3521</v>
      </c>
      <c r="D119" s="64" t="s">
        <v>119</v>
      </c>
      <c r="E119" s="68" t="s">
        <v>1203</v>
      </c>
      <c r="F119" s="68" t="s">
        <v>1206</v>
      </c>
      <c r="G119" s="68" t="s">
        <v>44</v>
      </c>
      <c r="H119" s="20"/>
      <c r="I119" s="20"/>
      <c r="J119" s="26"/>
      <c r="K119" s="68" t="s">
        <v>1525</v>
      </c>
      <c r="L119" s="68" t="s">
        <v>1526</v>
      </c>
      <c r="M119" s="68" t="s">
        <v>1527</v>
      </c>
      <c r="N119" s="67">
        <v>21.572236</v>
      </c>
      <c r="O119" s="67">
        <v>92.149332999999999</v>
      </c>
      <c r="P119" s="74">
        <v>150</v>
      </c>
      <c r="Q119" s="74"/>
      <c r="R119" s="18"/>
      <c r="S119" s="18"/>
      <c r="T119" s="22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17"/>
      <c r="AH119" s="24"/>
      <c r="AI119" s="25"/>
      <c r="AJ119" s="25"/>
    </row>
    <row r="120" spans="1:36" ht="15.6" x14ac:dyDescent="0.3">
      <c r="A120" s="63">
        <v>114</v>
      </c>
      <c r="B120" s="102" t="s">
        <v>3520</v>
      </c>
      <c r="C120" s="102" t="s">
        <v>3521</v>
      </c>
      <c r="D120" s="64" t="s">
        <v>119</v>
      </c>
      <c r="E120" s="68" t="s">
        <v>1203</v>
      </c>
      <c r="F120" s="68" t="s">
        <v>1206</v>
      </c>
      <c r="G120" s="68" t="s">
        <v>44</v>
      </c>
      <c r="H120" s="20"/>
      <c r="I120" s="20"/>
      <c r="J120" s="26"/>
      <c r="K120" s="68" t="s">
        <v>1528</v>
      </c>
      <c r="L120" s="68" t="s">
        <v>1529</v>
      </c>
      <c r="M120" s="68" t="s">
        <v>1530</v>
      </c>
      <c r="N120" s="67">
        <v>21.575647</v>
      </c>
      <c r="O120" s="67">
        <v>92.149146000000002</v>
      </c>
      <c r="P120" s="74">
        <v>500</v>
      </c>
      <c r="Q120" s="74"/>
      <c r="R120" s="18"/>
      <c r="S120" s="18"/>
      <c r="T120" s="22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17"/>
      <c r="AH120" s="24"/>
      <c r="AI120" s="25"/>
      <c r="AJ120" s="25"/>
    </row>
    <row r="121" spans="1:36" ht="15.6" x14ac:dyDescent="0.3">
      <c r="A121" s="63">
        <v>115</v>
      </c>
      <c r="B121" s="102" t="s">
        <v>3520</v>
      </c>
      <c r="C121" s="102" t="s">
        <v>3521</v>
      </c>
      <c r="D121" s="64" t="s">
        <v>119</v>
      </c>
      <c r="E121" s="68" t="s">
        <v>1203</v>
      </c>
      <c r="F121" s="68" t="s">
        <v>1206</v>
      </c>
      <c r="G121" s="68" t="s">
        <v>45</v>
      </c>
      <c r="H121" s="20"/>
      <c r="I121" s="20"/>
      <c r="J121" s="26"/>
      <c r="K121" s="68" t="s">
        <v>1528</v>
      </c>
      <c r="L121" s="68" t="s">
        <v>1529</v>
      </c>
      <c r="M121" s="68" t="s">
        <v>1531</v>
      </c>
      <c r="N121" s="67">
        <v>21.575561</v>
      </c>
      <c r="O121" s="67">
        <v>92.152214999999998</v>
      </c>
      <c r="P121" s="74">
        <v>1632</v>
      </c>
      <c r="Q121" s="74"/>
      <c r="R121" s="18"/>
      <c r="S121" s="18"/>
      <c r="T121" s="27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17"/>
      <c r="AH121" s="24"/>
      <c r="AI121" s="25"/>
      <c r="AJ121" s="25"/>
    </row>
    <row r="122" spans="1:36" ht="15.6" x14ac:dyDescent="0.3">
      <c r="A122" s="63">
        <v>116</v>
      </c>
      <c r="B122" s="102" t="s">
        <v>3520</v>
      </c>
      <c r="C122" s="102" t="s">
        <v>3521</v>
      </c>
      <c r="D122" s="64" t="s">
        <v>119</v>
      </c>
      <c r="E122" s="68" t="s">
        <v>1203</v>
      </c>
      <c r="F122" s="68" t="s">
        <v>1206</v>
      </c>
      <c r="G122" s="68" t="s">
        <v>45</v>
      </c>
      <c r="H122" s="20"/>
      <c r="I122" s="20"/>
      <c r="J122" s="26"/>
      <c r="K122" s="68" t="s">
        <v>1525</v>
      </c>
      <c r="L122" s="68" t="s">
        <v>1532</v>
      </c>
      <c r="M122" s="68" t="s">
        <v>1533</v>
      </c>
      <c r="N122" s="67">
        <v>21.572977000000002</v>
      </c>
      <c r="O122" s="67">
        <v>92.151705000000007</v>
      </c>
      <c r="P122" s="74">
        <v>650</v>
      </c>
      <c r="Q122" s="74"/>
      <c r="R122" s="18"/>
      <c r="S122" s="18"/>
      <c r="T122" s="27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17"/>
      <c r="AH122" s="24"/>
      <c r="AI122" s="25"/>
      <c r="AJ122" s="25"/>
    </row>
    <row r="123" spans="1:36" ht="15.6" x14ac:dyDescent="0.3">
      <c r="A123" s="63">
        <v>117</v>
      </c>
      <c r="B123" s="102" t="s">
        <v>3520</v>
      </c>
      <c r="C123" s="102" t="s">
        <v>3521</v>
      </c>
      <c r="D123" s="64" t="s">
        <v>119</v>
      </c>
      <c r="E123" s="68" t="s">
        <v>1203</v>
      </c>
      <c r="F123" s="68" t="s">
        <v>1206</v>
      </c>
      <c r="G123" s="68" t="s">
        <v>45</v>
      </c>
      <c r="H123" s="20"/>
      <c r="I123" s="20"/>
      <c r="J123" s="26"/>
      <c r="K123" s="68" t="s">
        <v>1534</v>
      </c>
      <c r="L123" s="68" t="s">
        <v>1535</v>
      </c>
      <c r="M123" s="68" t="s">
        <v>1536</v>
      </c>
      <c r="N123" s="67">
        <v>21.572116000000001</v>
      </c>
      <c r="O123" s="67">
        <v>92.155276999999998</v>
      </c>
      <c r="P123" s="74">
        <v>772</v>
      </c>
      <c r="Q123" s="74"/>
      <c r="R123" s="18"/>
      <c r="S123" s="18"/>
      <c r="T123" s="22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17"/>
      <c r="AH123" s="24"/>
      <c r="AI123" s="25"/>
      <c r="AJ123" s="25"/>
    </row>
    <row r="124" spans="1:36" ht="15.6" x14ac:dyDescent="0.3">
      <c r="A124" s="63">
        <v>118</v>
      </c>
      <c r="B124" s="102" t="s">
        <v>3520</v>
      </c>
      <c r="C124" s="102" t="s">
        <v>3521</v>
      </c>
      <c r="D124" s="64" t="s">
        <v>119</v>
      </c>
      <c r="E124" s="68" t="s">
        <v>1203</v>
      </c>
      <c r="F124" s="68" t="s">
        <v>1206</v>
      </c>
      <c r="G124" s="68" t="s">
        <v>45</v>
      </c>
      <c r="H124" s="20"/>
      <c r="I124" s="20"/>
      <c r="J124" s="26"/>
      <c r="K124" s="68" t="s">
        <v>57</v>
      </c>
      <c r="L124" s="68" t="s">
        <v>58</v>
      </c>
      <c r="M124" s="68" t="s">
        <v>1537</v>
      </c>
      <c r="N124" s="67">
        <v>21.565776</v>
      </c>
      <c r="O124" s="67">
        <v>92.164202000000003</v>
      </c>
      <c r="P124" s="74">
        <v>243</v>
      </c>
      <c r="Q124" s="74"/>
      <c r="R124" s="18"/>
      <c r="S124" s="18"/>
      <c r="T124" s="27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17"/>
      <c r="AH124" s="24"/>
      <c r="AI124" s="25"/>
      <c r="AJ124" s="25"/>
    </row>
    <row r="125" spans="1:36" ht="15.6" x14ac:dyDescent="0.3">
      <c r="A125" s="63">
        <v>119</v>
      </c>
      <c r="B125" s="102" t="s">
        <v>3520</v>
      </c>
      <c r="C125" s="102" t="s">
        <v>3521</v>
      </c>
      <c r="D125" s="64" t="s">
        <v>119</v>
      </c>
      <c r="E125" s="68" t="s">
        <v>1203</v>
      </c>
      <c r="F125" s="68" t="s">
        <v>1206</v>
      </c>
      <c r="G125" s="68" t="s">
        <v>45</v>
      </c>
      <c r="H125" s="20"/>
      <c r="I125" s="20"/>
      <c r="J125" s="26"/>
      <c r="K125" s="68" t="s">
        <v>62</v>
      </c>
      <c r="L125" s="68" t="s">
        <v>63</v>
      </c>
      <c r="M125" s="68" t="s">
        <v>1538</v>
      </c>
      <c r="N125" s="67">
        <v>21.575316999999998</v>
      </c>
      <c r="O125" s="67">
        <v>92.157940999999994</v>
      </c>
      <c r="P125" s="74">
        <v>705</v>
      </c>
      <c r="Q125" s="74"/>
      <c r="R125" s="18"/>
      <c r="S125" s="18"/>
      <c r="T125" s="27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17"/>
      <c r="AH125" s="24"/>
      <c r="AI125" s="25"/>
      <c r="AJ125" s="25"/>
    </row>
    <row r="126" spans="1:36" ht="15.6" x14ac:dyDescent="0.3">
      <c r="A126" s="63">
        <v>120</v>
      </c>
      <c r="B126" s="102" t="s">
        <v>3520</v>
      </c>
      <c r="C126" s="102" t="s">
        <v>3521</v>
      </c>
      <c r="D126" s="64" t="s">
        <v>119</v>
      </c>
      <c r="E126" s="68" t="s">
        <v>1203</v>
      </c>
      <c r="F126" s="68" t="s">
        <v>1206</v>
      </c>
      <c r="G126" s="68" t="s">
        <v>45</v>
      </c>
      <c r="H126" s="20"/>
      <c r="I126" s="20"/>
      <c r="J126" s="26"/>
      <c r="K126" s="69" t="s">
        <v>1539</v>
      </c>
      <c r="L126" s="68" t="s">
        <v>1540</v>
      </c>
      <c r="M126" s="68" t="s">
        <v>1541</v>
      </c>
      <c r="N126" s="67">
        <v>21.579331</v>
      </c>
      <c r="O126" s="67">
        <v>92.159541000000004</v>
      </c>
      <c r="P126" s="74">
        <v>2118</v>
      </c>
      <c r="Q126" s="74"/>
      <c r="R126" s="18"/>
      <c r="S126" s="18"/>
      <c r="T126" s="27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17"/>
      <c r="AH126" s="24"/>
      <c r="AI126" s="25"/>
      <c r="AJ126" s="25"/>
    </row>
    <row r="127" spans="1:36" ht="15.6" x14ac:dyDescent="0.3">
      <c r="A127" s="63">
        <v>121</v>
      </c>
      <c r="B127" s="102" t="s">
        <v>3520</v>
      </c>
      <c r="C127" s="102" t="s">
        <v>3521</v>
      </c>
      <c r="D127" s="64" t="s">
        <v>119</v>
      </c>
      <c r="E127" s="68" t="s">
        <v>1203</v>
      </c>
      <c r="F127" s="68" t="s">
        <v>1206</v>
      </c>
      <c r="G127" s="68" t="s">
        <v>46</v>
      </c>
      <c r="H127" s="20"/>
      <c r="I127" s="20"/>
      <c r="J127" s="26"/>
      <c r="K127" s="75" t="s">
        <v>1542</v>
      </c>
      <c r="L127" s="68" t="s">
        <v>1543</v>
      </c>
      <c r="M127" s="68" t="s">
        <v>1544</v>
      </c>
      <c r="N127" s="67">
        <v>21.574507000000001</v>
      </c>
      <c r="O127" s="67">
        <v>92.160999000000004</v>
      </c>
      <c r="P127" s="74">
        <v>2009</v>
      </c>
      <c r="Q127" s="74"/>
      <c r="R127" s="18"/>
      <c r="S127" s="18"/>
      <c r="T127" s="27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17"/>
      <c r="AH127" s="24"/>
      <c r="AI127" s="25"/>
      <c r="AJ127" s="25"/>
    </row>
    <row r="128" spans="1:36" ht="15.6" x14ac:dyDescent="0.3">
      <c r="A128" s="63">
        <v>122</v>
      </c>
      <c r="B128" s="102" t="s">
        <v>3520</v>
      </c>
      <c r="C128" s="102" t="s">
        <v>3521</v>
      </c>
      <c r="D128" s="64" t="s">
        <v>119</v>
      </c>
      <c r="E128" s="68" t="s">
        <v>1203</v>
      </c>
      <c r="F128" s="68" t="s">
        <v>1206</v>
      </c>
      <c r="G128" s="68" t="s">
        <v>46</v>
      </c>
      <c r="H128" s="20"/>
      <c r="I128" s="20"/>
      <c r="J128" s="26"/>
      <c r="K128" s="75" t="s">
        <v>1545</v>
      </c>
      <c r="L128" s="68" t="s">
        <v>1546</v>
      </c>
      <c r="M128" s="68" t="s">
        <v>1547</v>
      </c>
      <c r="N128" s="67">
        <v>21.576430999999999</v>
      </c>
      <c r="O128" s="67">
        <v>92.163871</v>
      </c>
      <c r="P128" s="74">
        <v>1510</v>
      </c>
      <c r="Q128" s="74"/>
      <c r="R128" s="18"/>
      <c r="S128" s="18"/>
      <c r="T128" s="27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16"/>
      <c r="AH128" s="24"/>
      <c r="AI128" s="25"/>
      <c r="AJ128" s="25"/>
    </row>
    <row r="129" spans="1:36" ht="15.6" x14ac:dyDescent="0.3">
      <c r="A129" s="63">
        <v>123</v>
      </c>
      <c r="B129" s="102" t="s">
        <v>3520</v>
      </c>
      <c r="C129" s="102" t="s">
        <v>3521</v>
      </c>
      <c r="D129" s="64" t="s">
        <v>119</v>
      </c>
      <c r="E129" s="68" t="s">
        <v>1203</v>
      </c>
      <c r="F129" s="68" t="s">
        <v>1206</v>
      </c>
      <c r="G129" s="68" t="s">
        <v>46</v>
      </c>
      <c r="H129" s="20"/>
      <c r="I129" s="20"/>
      <c r="J129" s="26"/>
      <c r="K129" s="68" t="s">
        <v>1548</v>
      </c>
      <c r="L129" s="68" t="s">
        <v>1549</v>
      </c>
      <c r="M129" s="68" t="s">
        <v>1550</v>
      </c>
      <c r="N129" s="67">
        <v>21.580575</v>
      </c>
      <c r="O129" s="67">
        <v>92.164354000000003</v>
      </c>
      <c r="P129" s="74">
        <v>253</v>
      </c>
      <c r="Q129" s="74"/>
      <c r="R129" s="18"/>
      <c r="S129" s="18"/>
      <c r="T129" s="27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17"/>
      <c r="AH129" s="24"/>
      <c r="AI129" s="25"/>
      <c r="AJ129" s="25"/>
    </row>
    <row r="130" spans="1:36" ht="15.6" x14ac:dyDescent="0.3">
      <c r="A130" s="63">
        <v>124</v>
      </c>
      <c r="B130" s="102" t="s">
        <v>3520</v>
      </c>
      <c r="C130" s="102" t="s">
        <v>3521</v>
      </c>
      <c r="D130" s="64" t="s">
        <v>119</v>
      </c>
      <c r="E130" s="68" t="s">
        <v>1203</v>
      </c>
      <c r="F130" s="68" t="s">
        <v>1206</v>
      </c>
      <c r="G130" s="68" t="s">
        <v>46</v>
      </c>
      <c r="H130" s="20"/>
      <c r="I130" s="20"/>
      <c r="J130" s="26"/>
      <c r="K130" s="68" t="s">
        <v>81</v>
      </c>
      <c r="L130" s="68" t="s">
        <v>82</v>
      </c>
      <c r="M130" s="68" t="s">
        <v>1551</v>
      </c>
      <c r="N130" s="67">
        <v>21.58408</v>
      </c>
      <c r="O130" s="67">
        <v>92.164912000000001</v>
      </c>
      <c r="P130" s="74">
        <v>500</v>
      </c>
      <c r="Q130" s="74"/>
      <c r="R130" s="18"/>
      <c r="S130" s="18"/>
      <c r="T130" s="27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17"/>
      <c r="AH130" s="24"/>
      <c r="AI130" s="25"/>
      <c r="AJ130" s="25"/>
    </row>
    <row r="131" spans="1:36" ht="15.6" x14ac:dyDescent="0.3">
      <c r="A131" s="63">
        <v>125</v>
      </c>
      <c r="B131" s="102" t="s">
        <v>3520</v>
      </c>
      <c r="C131" s="102" t="s">
        <v>3521</v>
      </c>
      <c r="D131" s="64" t="s">
        <v>119</v>
      </c>
      <c r="E131" s="68" t="s">
        <v>1203</v>
      </c>
      <c r="F131" s="68" t="s">
        <v>1206</v>
      </c>
      <c r="G131" s="68" t="s">
        <v>46</v>
      </c>
      <c r="H131" s="20"/>
      <c r="I131" s="20"/>
      <c r="J131" s="26"/>
      <c r="K131" s="68" t="s">
        <v>1552</v>
      </c>
      <c r="L131" s="68" t="s">
        <v>1553</v>
      </c>
      <c r="M131" s="68" t="s">
        <v>1554</v>
      </c>
      <c r="N131" s="67">
        <v>21.578213000000002</v>
      </c>
      <c r="O131" s="67">
        <v>92.168487999999996</v>
      </c>
      <c r="P131" s="74">
        <v>100</v>
      </c>
      <c r="Q131" s="74"/>
      <c r="R131" s="18"/>
      <c r="S131" s="18"/>
      <c r="T131" s="22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17"/>
      <c r="AH131" s="24"/>
      <c r="AI131" s="25"/>
      <c r="AJ131" s="25"/>
    </row>
    <row r="132" spans="1:36" ht="15.6" x14ac:dyDescent="0.3">
      <c r="A132" s="63">
        <v>126</v>
      </c>
      <c r="B132" s="102" t="s">
        <v>3520</v>
      </c>
      <c r="C132" s="102" t="s">
        <v>3521</v>
      </c>
      <c r="D132" s="64" t="s">
        <v>119</v>
      </c>
      <c r="E132" s="68" t="s">
        <v>1203</v>
      </c>
      <c r="F132" s="68" t="s">
        <v>1206</v>
      </c>
      <c r="G132" s="68" t="s">
        <v>46</v>
      </c>
      <c r="H132" s="20"/>
      <c r="I132" s="20"/>
      <c r="J132" s="26"/>
      <c r="K132" s="75" t="s">
        <v>1555</v>
      </c>
      <c r="L132" s="68" t="s">
        <v>1556</v>
      </c>
      <c r="M132" s="68" t="s">
        <v>1557</v>
      </c>
      <c r="N132" s="67">
        <v>21.578108</v>
      </c>
      <c r="O132" s="67">
        <v>92.175657999999999</v>
      </c>
      <c r="P132" s="74">
        <v>250</v>
      </c>
      <c r="Q132" s="74"/>
      <c r="R132" s="18"/>
      <c r="S132" s="18"/>
      <c r="T132" s="22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17"/>
      <c r="AH132" s="24"/>
      <c r="AI132" s="25"/>
      <c r="AJ132" s="25"/>
    </row>
    <row r="133" spans="1:36" ht="15.6" x14ac:dyDescent="0.3">
      <c r="A133" s="63">
        <v>127</v>
      </c>
      <c r="B133" s="102" t="s">
        <v>3520</v>
      </c>
      <c r="C133" s="102" t="s">
        <v>3521</v>
      </c>
      <c r="D133" s="64" t="s">
        <v>119</v>
      </c>
      <c r="E133" s="68" t="s">
        <v>1203</v>
      </c>
      <c r="F133" s="68" t="s">
        <v>1206</v>
      </c>
      <c r="G133" s="68" t="s">
        <v>46</v>
      </c>
      <c r="H133" s="20"/>
      <c r="I133" s="20"/>
      <c r="J133" s="26"/>
      <c r="K133" s="68" t="s">
        <v>1558</v>
      </c>
      <c r="L133" s="68" t="s">
        <v>1559</v>
      </c>
      <c r="M133" s="68" t="s">
        <v>1560</v>
      </c>
      <c r="N133" s="67">
        <v>21.574411999999999</v>
      </c>
      <c r="O133" s="67">
        <v>92.170382000000004</v>
      </c>
      <c r="P133" s="74">
        <v>762</v>
      </c>
      <c r="Q133" s="74"/>
      <c r="R133" s="18"/>
      <c r="S133" s="18"/>
      <c r="T133" s="22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17"/>
      <c r="AH133" s="24"/>
      <c r="AI133" s="25"/>
      <c r="AJ133" s="25"/>
    </row>
    <row r="134" spans="1:36" ht="15.6" x14ac:dyDescent="0.3">
      <c r="A134" s="63">
        <v>128</v>
      </c>
      <c r="B134" s="102" t="s">
        <v>3520</v>
      </c>
      <c r="C134" s="102" t="s">
        <v>3521</v>
      </c>
      <c r="D134" s="64" t="s">
        <v>119</v>
      </c>
      <c r="E134" s="68" t="s">
        <v>1203</v>
      </c>
      <c r="F134" s="68" t="s">
        <v>1206</v>
      </c>
      <c r="G134" s="68" t="s">
        <v>46</v>
      </c>
      <c r="H134" s="20"/>
      <c r="I134" s="23"/>
      <c r="J134" s="26"/>
      <c r="K134" s="68" t="s">
        <v>59</v>
      </c>
      <c r="L134" s="68" t="s">
        <v>1561</v>
      </c>
      <c r="M134" s="68" t="s">
        <v>1562</v>
      </c>
      <c r="N134" s="67">
        <v>21.571204999999999</v>
      </c>
      <c r="O134" s="67">
        <v>92.166130999999993</v>
      </c>
      <c r="P134" s="74">
        <v>743</v>
      </c>
      <c r="Q134" s="74"/>
      <c r="R134" s="18"/>
      <c r="S134" s="18"/>
      <c r="T134" s="27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17"/>
      <c r="AH134" s="24"/>
      <c r="AI134" s="25"/>
      <c r="AJ134" s="25"/>
    </row>
    <row r="135" spans="1:36" ht="15.6" x14ac:dyDescent="0.3">
      <c r="A135" s="63">
        <v>129</v>
      </c>
      <c r="B135" s="102" t="s">
        <v>3520</v>
      </c>
      <c r="C135" s="102" t="s">
        <v>3521</v>
      </c>
      <c r="D135" s="64" t="s">
        <v>119</v>
      </c>
      <c r="E135" s="68" t="s">
        <v>1203</v>
      </c>
      <c r="F135" s="68" t="s">
        <v>1206</v>
      </c>
      <c r="G135" s="68" t="s">
        <v>47</v>
      </c>
      <c r="H135" s="20"/>
      <c r="I135" s="23"/>
      <c r="J135" s="26"/>
      <c r="K135" s="68" t="s">
        <v>1563</v>
      </c>
      <c r="L135" s="68" t="s">
        <v>1564</v>
      </c>
      <c r="M135" s="68" t="s">
        <v>1565</v>
      </c>
      <c r="N135" s="67">
        <v>21.559553999999999</v>
      </c>
      <c r="O135" s="67">
        <v>92.139973999999995</v>
      </c>
      <c r="P135" s="74">
        <v>1200</v>
      </c>
      <c r="Q135" s="74"/>
      <c r="R135" s="18"/>
      <c r="S135" s="18"/>
      <c r="T135" s="22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17"/>
      <c r="AH135" s="24"/>
      <c r="AI135" s="25"/>
      <c r="AJ135" s="25"/>
    </row>
    <row r="136" spans="1:36" ht="15.6" x14ac:dyDescent="0.3">
      <c r="A136" s="63">
        <v>130</v>
      </c>
      <c r="B136" s="102" t="s">
        <v>3520</v>
      </c>
      <c r="C136" s="102" t="s">
        <v>3521</v>
      </c>
      <c r="D136" s="64" t="s">
        <v>119</v>
      </c>
      <c r="E136" s="68" t="s">
        <v>1203</v>
      </c>
      <c r="F136" s="68" t="s">
        <v>1206</v>
      </c>
      <c r="G136" s="68" t="s">
        <v>47</v>
      </c>
      <c r="H136" s="20"/>
      <c r="I136" s="23"/>
      <c r="J136" s="26"/>
      <c r="K136" s="69" t="s">
        <v>1566</v>
      </c>
      <c r="L136" s="68" t="s">
        <v>1567</v>
      </c>
      <c r="M136" s="68" t="s">
        <v>1568</v>
      </c>
      <c r="N136" s="67">
        <v>21.567360999999998</v>
      </c>
      <c r="O136" s="67">
        <v>92.133688000000006</v>
      </c>
      <c r="P136" s="74">
        <v>1000</v>
      </c>
      <c r="Q136" s="74"/>
      <c r="R136" s="18"/>
      <c r="S136" s="18"/>
      <c r="T136" s="22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17"/>
      <c r="AH136" s="24"/>
      <c r="AI136" s="25"/>
      <c r="AJ136" s="25"/>
    </row>
    <row r="137" spans="1:36" ht="15.6" x14ac:dyDescent="0.3">
      <c r="A137" s="63">
        <v>131</v>
      </c>
      <c r="B137" s="102" t="s">
        <v>3520</v>
      </c>
      <c r="C137" s="102" t="s">
        <v>3521</v>
      </c>
      <c r="D137" s="64" t="s">
        <v>119</v>
      </c>
      <c r="E137" s="68" t="s">
        <v>1203</v>
      </c>
      <c r="F137" s="68" t="s">
        <v>1206</v>
      </c>
      <c r="G137" s="68" t="s">
        <v>47</v>
      </c>
      <c r="H137" s="20"/>
      <c r="I137" s="23"/>
      <c r="J137" s="26"/>
      <c r="K137" s="68" t="s">
        <v>1569</v>
      </c>
      <c r="L137" s="68" t="s">
        <v>1570</v>
      </c>
      <c r="M137" s="68" t="s">
        <v>1571</v>
      </c>
      <c r="N137" s="67">
        <v>21.573221</v>
      </c>
      <c r="O137" s="67">
        <v>92.131664999999998</v>
      </c>
      <c r="P137" s="74">
        <v>400</v>
      </c>
      <c r="Q137" s="74"/>
      <c r="R137" s="18"/>
      <c r="S137" s="18"/>
      <c r="T137" s="22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17"/>
      <c r="AH137" s="24"/>
      <c r="AI137" s="25"/>
      <c r="AJ137" s="25"/>
    </row>
    <row r="138" spans="1:36" ht="15.6" x14ac:dyDescent="0.3">
      <c r="A138" s="63">
        <v>132</v>
      </c>
      <c r="B138" s="102" t="s">
        <v>3520</v>
      </c>
      <c r="C138" s="102" t="s">
        <v>3521</v>
      </c>
      <c r="D138" s="64" t="s">
        <v>119</v>
      </c>
      <c r="E138" s="68" t="s">
        <v>1203</v>
      </c>
      <c r="F138" s="68" t="s">
        <v>1206</v>
      </c>
      <c r="G138" s="68" t="s">
        <v>48</v>
      </c>
      <c r="H138" s="20"/>
      <c r="I138" s="23"/>
      <c r="J138" s="26"/>
      <c r="K138" s="69" t="s">
        <v>94</v>
      </c>
      <c r="L138" s="68" t="s">
        <v>242</v>
      </c>
      <c r="M138" s="68" t="s">
        <v>1572</v>
      </c>
      <c r="N138" s="67">
        <v>21.562626000000002</v>
      </c>
      <c r="O138" s="67">
        <v>92.148453000000003</v>
      </c>
      <c r="P138" s="74">
        <v>3100</v>
      </c>
      <c r="Q138" s="74"/>
      <c r="R138" s="18"/>
      <c r="S138" s="18"/>
      <c r="T138" s="27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17"/>
      <c r="AH138" s="24"/>
      <c r="AI138" s="25"/>
      <c r="AJ138" s="25"/>
    </row>
    <row r="139" spans="1:36" ht="15.6" x14ac:dyDescent="0.3">
      <c r="A139" s="63">
        <v>133</v>
      </c>
      <c r="B139" s="102" t="s">
        <v>3520</v>
      </c>
      <c r="C139" s="102" t="s">
        <v>3521</v>
      </c>
      <c r="D139" s="64" t="s">
        <v>119</v>
      </c>
      <c r="E139" s="68" t="s">
        <v>1203</v>
      </c>
      <c r="F139" s="68" t="s">
        <v>1206</v>
      </c>
      <c r="G139" s="68" t="s">
        <v>48</v>
      </c>
      <c r="H139" s="20"/>
      <c r="I139" s="23"/>
      <c r="J139" s="26"/>
      <c r="K139" s="68" t="s">
        <v>1573</v>
      </c>
      <c r="L139" s="68" t="s">
        <v>1574</v>
      </c>
      <c r="M139" s="68" t="s">
        <v>1575</v>
      </c>
      <c r="N139" s="67">
        <v>21.558714999999999</v>
      </c>
      <c r="O139" s="67">
        <v>92.150779999999997</v>
      </c>
      <c r="P139" s="74">
        <v>1000</v>
      </c>
      <c r="Q139" s="74"/>
      <c r="R139" s="18"/>
      <c r="S139" s="18"/>
      <c r="T139" s="27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17"/>
      <c r="AH139" s="24"/>
      <c r="AI139" s="25"/>
      <c r="AJ139" s="25"/>
    </row>
    <row r="140" spans="1:36" ht="15.6" x14ac:dyDescent="0.3">
      <c r="A140" s="63">
        <v>134</v>
      </c>
      <c r="B140" s="102" t="s">
        <v>3520</v>
      </c>
      <c r="C140" s="102" t="s">
        <v>3521</v>
      </c>
      <c r="D140" s="64" t="s">
        <v>119</v>
      </c>
      <c r="E140" s="68" t="s">
        <v>1203</v>
      </c>
      <c r="F140" s="68" t="s">
        <v>1206</v>
      </c>
      <c r="G140" s="68" t="s">
        <v>48</v>
      </c>
      <c r="H140" s="20"/>
      <c r="I140" s="23"/>
      <c r="J140" s="26"/>
      <c r="K140" s="68" t="s">
        <v>1576</v>
      </c>
      <c r="L140" s="68" t="s">
        <v>1577</v>
      </c>
      <c r="M140" s="68" t="s">
        <v>1578</v>
      </c>
      <c r="N140" s="67">
        <v>21.552054999999999</v>
      </c>
      <c r="O140" s="67">
        <v>92.14828</v>
      </c>
      <c r="P140" s="74">
        <v>4200</v>
      </c>
      <c r="Q140" s="74"/>
      <c r="R140" s="18"/>
      <c r="S140" s="18"/>
      <c r="T140" s="27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17"/>
      <c r="AH140" s="24"/>
      <c r="AI140" s="25"/>
      <c r="AJ140" s="25"/>
    </row>
    <row r="141" spans="1:36" ht="15.6" x14ac:dyDescent="0.3">
      <c r="A141" s="63">
        <v>135</v>
      </c>
      <c r="B141" s="102" t="s">
        <v>3520</v>
      </c>
      <c r="C141" s="102" t="s">
        <v>3521</v>
      </c>
      <c r="D141" s="64" t="s">
        <v>119</v>
      </c>
      <c r="E141" s="68" t="s">
        <v>1203</v>
      </c>
      <c r="F141" s="68" t="s">
        <v>1206</v>
      </c>
      <c r="G141" s="68" t="s">
        <v>49</v>
      </c>
      <c r="H141" s="20"/>
      <c r="I141" s="23"/>
      <c r="J141" s="26"/>
      <c r="K141" s="69" t="s">
        <v>1579</v>
      </c>
      <c r="L141" s="68" t="s">
        <v>1580</v>
      </c>
      <c r="M141" s="68" t="s">
        <v>1581</v>
      </c>
      <c r="N141" s="67">
        <v>21.542175</v>
      </c>
      <c r="O141" s="67">
        <v>92.153169000000005</v>
      </c>
      <c r="P141" s="74">
        <v>2200</v>
      </c>
      <c r="Q141" s="74"/>
      <c r="R141" s="18"/>
      <c r="S141" s="18"/>
      <c r="T141" s="22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17"/>
      <c r="AH141" s="24"/>
      <c r="AI141" s="25"/>
      <c r="AJ141" s="25"/>
    </row>
    <row r="142" spans="1:36" ht="15.6" x14ac:dyDescent="0.3">
      <c r="A142" s="63">
        <v>136</v>
      </c>
      <c r="B142" s="102" t="s">
        <v>3520</v>
      </c>
      <c r="C142" s="102" t="s">
        <v>3521</v>
      </c>
      <c r="D142" s="64" t="s">
        <v>119</v>
      </c>
      <c r="E142" s="68" t="s">
        <v>1203</v>
      </c>
      <c r="F142" s="68" t="s">
        <v>1206</v>
      </c>
      <c r="G142" s="68" t="s">
        <v>49</v>
      </c>
      <c r="H142" s="20"/>
      <c r="I142" s="23"/>
      <c r="J142" s="26"/>
      <c r="K142" s="68" t="s">
        <v>1582</v>
      </c>
      <c r="L142" s="68" t="s">
        <v>1583</v>
      </c>
      <c r="M142" s="68" t="s">
        <v>1584</v>
      </c>
      <c r="N142" s="67">
        <v>21.534641000000001</v>
      </c>
      <c r="O142" s="67">
        <v>92.155621999999994</v>
      </c>
      <c r="P142" s="74">
        <v>1800</v>
      </c>
      <c r="Q142" s="74"/>
      <c r="R142" s="18"/>
      <c r="S142" s="18"/>
      <c r="T142" s="27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17"/>
      <c r="AH142" s="24"/>
      <c r="AI142" s="25"/>
      <c r="AJ142" s="25"/>
    </row>
    <row r="143" spans="1:36" ht="15.6" x14ac:dyDescent="0.3">
      <c r="A143" s="63">
        <v>137</v>
      </c>
      <c r="B143" s="102" t="s">
        <v>3520</v>
      </c>
      <c r="C143" s="102" t="s">
        <v>3521</v>
      </c>
      <c r="D143" s="64" t="s">
        <v>119</v>
      </c>
      <c r="E143" s="68" t="s">
        <v>1203</v>
      </c>
      <c r="F143" s="68" t="s">
        <v>1206</v>
      </c>
      <c r="G143" s="68" t="s">
        <v>49</v>
      </c>
      <c r="H143" s="20"/>
      <c r="I143" s="23"/>
      <c r="J143" s="26"/>
      <c r="K143" s="68" t="s">
        <v>84</v>
      </c>
      <c r="L143" s="68" t="s">
        <v>85</v>
      </c>
      <c r="M143" s="68" t="s">
        <v>1585</v>
      </c>
      <c r="N143" s="67">
        <v>21.541096</v>
      </c>
      <c r="O143" s="67">
        <v>92.162021999999993</v>
      </c>
      <c r="P143" s="74">
        <v>2500</v>
      </c>
      <c r="Q143" s="74"/>
      <c r="R143" s="18"/>
      <c r="S143" s="18"/>
      <c r="T143" s="27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17"/>
      <c r="AH143" s="24"/>
      <c r="AI143" s="25"/>
      <c r="AJ143" s="25"/>
    </row>
    <row r="144" spans="1:36" ht="15.6" x14ac:dyDescent="0.3">
      <c r="A144" s="63">
        <v>138</v>
      </c>
      <c r="B144" s="102" t="s">
        <v>3520</v>
      </c>
      <c r="C144" s="102" t="s">
        <v>3521</v>
      </c>
      <c r="D144" s="64" t="s">
        <v>119</v>
      </c>
      <c r="E144" s="68" t="s">
        <v>1203</v>
      </c>
      <c r="F144" s="68" t="s">
        <v>1206</v>
      </c>
      <c r="G144" s="68" t="s">
        <v>49</v>
      </c>
      <c r="H144" s="20"/>
      <c r="I144" s="23"/>
      <c r="J144" s="26"/>
      <c r="K144" s="68" t="s">
        <v>86</v>
      </c>
      <c r="L144" s="68" t="s">
        <v>87</v>
      </c>
      <c r="M144" s="68" t="s">
        <v>1586</v>
      </c>
      <c r="N144" s="67">
        <v>21.551708999999999</v>
      </c>
      <c r="O144" s="67">
        <v>92.175853000000004</v>
      </c>
      <c r="P144" s="74">
        <v>300</v>
      </c>
      <c r="Q144" s="74"/>
      <c r="R144" s="18"/>
      <c r="S144" s="18"/>
      <c r="T144" s="27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17"/>
      <c r="AH144" s="24"/>
      <c r="AI144" s="25"/>
      <c r="AJ144" s="25"/>
    </row>
    <row r="145" spans="1:36" ht="15.6" x14ac:dyDescent="0.3">
      <c r="A145" s="63">
        <v>139</v>
      </c>
      <c r="B145" s="102" t="s">
        <v>3520</v>
      </c>
      <c r="C145" s="102" t="s">
        <v>3521</v>
      </c>
      <c r="D145" s="64" t="s">
        <v>119</v>
      </c>
      <c r="E145" s="68" t="s">
        <v>1203</v>
      </c>
      <c r="F145" s="68" t="s">
        <v>1207</v>
      </c>
      <c r="G145" s="68" t="s">
        <v>41</v>
      </c>
      <c r="H145" s="20"/>
      <c r="I145" s="23"/>
      <c r="J145" s="26"/>
      <c r="K145" s="68" t="s">
        <v>1587</v>
      </c>
      <c r="L145" s="68" t="s">
        <v>1588</v>
      </c>
      <c r="M145" s="68" t="s">
        <v>1589</v>
      </c>
      <c r="N145" s="67">
        <v>21.409174</v>
      </c>
      <c r="O145" s="67">
        <v>92.106866999999994</v>
      </c>
      <c r="P145" s="74">
        <v>3500</v>
      </c>
      <c r="Q145" s="74"/>
      <c r="R145" s="18"/>
      <c r="S145" s="18"/>
      <c r="T145" s="22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17"/>
      <c r="AH145" s="24"/>
      <c r="AI145" s="25"/>
      <c r="AJ145" s="25"/>
    </row>
    <row r="146" spans="1:36" ht="15.6" x14ac:dyDescent="0.3">
      <c r="A146" s="63">
        <v>140</v>
      </c>
      <c r="B146" s="102" t="s">
        <v>3520</v>
      </c>
      <c r="C146" s="102" t="s">
        <v>3521</v>
      </c>
      <c r="D146" s="64" t="s">
        <v>119</v>
      </c>
      <c r="E146" s="68" t="s">
        <v>1203</v>
      </c>
      <c r="F146" s="68" t="s">
        <v>1207</v>
      </c>
      <c r="G146" s="68" t="s">
        <v>41</v>
      </c>
      <c r="H146" s="20"/>
      <c r="I146" s="23"/>
      <c r="J146" s="26"/>
      <c r="K146" s="68" t="s">
        <v>1590</v>
      </c>
      <c r="L146" s="68" t="s">
        <v>1591</v>
      </c>
      <c r="M146" s="68" t="s">
        <v>1592</v>
      </c>
      <c r="N146" s="67">
        <v>21.418744</v>
      </c>
      <c r="O146" s="67">
        <v>92.113004000000004</v>
      </c>
      <c r="P146" s="74">
        <v>1500</v>
      </c>
      <c r="Q146" s="74"/>
      <c r="R146" s="18"/>
      <c r="S146" s="18"/>
      <c r="T146" s="22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17"/>
      <c r="AH146" s="24"/>
      <c r="AI146" s="25"/>
      <c r="AJ146" s="25"/>
    </row>
    <row r="147" spans="1:36" ht="15.6" x14ac:dyDescent="0.3">
      <c r="A147" s="63">
        <v>141</v>
      </c>
      <c r="B147" s="102" t="s">
        <v>3520</v>
      </c>
      <c r="C147" s="102" t="s">
        <v>3521</v>
      </c>
      <c r="D147" s="64" t="s">
        <v>119</v>
      </c>
      <c r="E147" s="68" t="s">
        <v>1203</v>
      </c>
      <c r="F147" s="68" t="s">
        <v>1207</v>
      </c>
      <c r="G147" s="68" t="s">
        <v>41</v>
      </c>
      <c r="H147" s="20"/>
      <c r="I147" s="23"/>
      <c r="J147" s="26"/>
      <c r="K147" s="68" t="s">
        <v>1593</v>
      </c>
      <c r="L147" s="68" t="s">
        <v>1594</v>
      </c>
      <c r="M147" s="68" t="s">
        <v>1595</v>
      </c>
      <c r="N147" s="67">
        <v>21.417439000000002</v>
      </c>
      <c r="O147" s="67">
        <v>92.109080000000006</v>
      </c>
      <c r="P147" s="74">
        <v>3500</v>
      </c>
      <c r="Q147" s="74"/>
      <c r="R147" s="18"/>
      <c r="S147" s="18"/>
      <c r="T147" s="27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17"/>
      <c r="AH147" s="24"/>
      <c r="AI147" s="25"/>
      <c r="AJ147" s="25"/>
    </row>
    <row r="148" spans="1:36" ht="15.6" x14ac:dyDescent="0.3">
      <c r="A148" s="63">
        <v>142</v>
      </c>
      <c r="B148" s="102" t="s">
        <v>3520</v>
      </c>
      <c r="C148" s="102" t="s">
        <v>3521</v>
      </c>
      <c r="D148" s="64" t="s">
        <v>119</v>
      </c>
      <c r="E148" s="68" t="s">
        <v>1203</v>
      </c>
      <c r="F148" s="68" t="s">
        <v>1207</v>
      </c>
      <c r="G148" s="68" t="s">
        <v>42</v>
      </c>
      <c r="H148" s="20"/>
      <c r="I148" s="23"/>
      <c r="J148" s="26"/>
      <c r="K148" s="68" t="s">
        <v>1596</v>
      </c>
      <c r="L148" s="68" t="s">
        <v>1597</v>
      </c>
      <c r="M148" s="68" t="s">
        <v>1598</v>
      </c>
      <c r="N148" s="67">
        <v>21.4252</v>
      </c>
      <c r="O148" s="67">
        <v>92.105255999999997</v>
      </c>
      <c r="P148" s="74">
        <v>400</v>
      </c>
      <c r="Q148" s="74"/>
      <c r="R148" s="18"/>
      <c r="S148" s="18"/>
      <c r="T148" s="27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17"/>
      <c r="AH148" s="24"/>
      <c r="AI148" s="25"/>
      <c r="AJ148" s="25"/>
    </row>
    <row r="149" spans="1:36" ht="15.6" x14ac:dyDescent="0.3">
      <c r="A149" s="63">
        <v>143</v>
      </c>
      <c r="B149" s="102" t="s">
        <v>3520</v>
      </c>
      <c r="C149" s="102" t="s">
        <v>3521</v>
      </c>
      <c r="D149" s="64" t="s">
        <v>119</v>
      </c>
      <c r="E149" s="68" t="s">
        <v>1203</v>
      </c>
      <c r="F149" s="68" t="s">
        <v>1207</v>
      </c>
      <c r="G149" s="68" t="s">
        <v>42</v>
      </c>
      <c r="H149" s="20"/>
      <c r="I149" s="23"/>
      <c r="J149" s="26"/>
      <c r="K149" s="68" t="s">
        <v>1599</v>
      </c>
      <c r="L149" s="68" t="s">
        <v>1600</v>
      </c>
      <c r="M149" s="68" t="s">
        <v>1601</v>
      </c>
      <c r="N149" s="67">
        <v>21.424434999999999</v>
      </c>
      <c r="O149" s="67">
        <v>92.103041000000005</v>
      </c>
      <c r="P149" s="74">
        <v>300</v>
      </c>
      <c r="Q149" s="74"/>
      <c r="R149" s="18"/>
      <c r="S149" s="18"/>
      <c r="T149" s="27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17"/>
      <c r="AH149" s="24"/>
      <c r="AI149" s="25"/>
      <c r="AJ149" s="25"/>
    </row>
    <row r="150" spans="1:36" ht="15.6" x14ac:dyDescent="0.3">
      <c r="A150" s="63">
        <v>144</v>
      </c>
      <c r="B150" s="102" t="s">
        <v>3520</v>
      </c>
      <c r="C150" s="102" t="s">
        <v>3521</v>
      </c>
      <c r="D150" s="64" t="s">
        <v>119</v>
      </c>
      <c r="E150" s="68" t="s">
        <v>1203</v>
      </c>
      <c r="F150" s="68" t="s">
        <v>1207</v>
      </c>
      <c r="G150" s="68" t="s">
        <v>42</v>
      </c>
      <c r="H150" s="20"/>
      <c r="I150" s="23"/>
      <c r="J150" s="26"/>
      <c r="K150" s="68" t="s">
        <v>1602</v>
      </c>
      <c r="L150" s="68" t="s">
        <v>1603</v>
      </c>
      <c r="M150" s="68" t="s">
        <v>1604</v>
      </c>
      <c r="N150" s="67">
        <v>21.423511999999999</v>
      </c>
      <c r="O150" s="67">
        <v>92.105599999999995</v>
      </c>
      <c r="P150" s="74">
        <v>1800</v>
      </c>
      <c r="Q150" s="74"/>
      <c r="R150" s="18"/>
      <c r="S150" s="18"/>
      <c r="T150" s="27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17"/>
      <c r="AH150" s="24"/>
      <c r="AI150" s="25"/>
      <c r="AJ150" s="25"/>
    </row>
    <row r="151" spans="1:36" ht="15.6" x14ac:dyDescent="0.3">
      <c r="A151" s="63">
        <v>145</v>
      </c>
      <c r="B151" s="102" t="s">
        <v>3520</v>
      </c>
      <c r="C151" s="102" t="s">
        <v>3521</v>
      </c>
      <c r="D151" s="64" t="s">
        <v>119</v>
      </c>
      <c r="E151" s="68" t="s">
        <v>1203</v>
      </c>
      <c r="F151" s="68" t="s">
        <v>1207</v>
      </c>
      <c r="G151" s="68" t="s">
        <v>42</v>
      </c>
      <c r="H151" s="20"/>
      <c r="I151" s="23"/>
      <c r="J151" s="26"/>
      <c r="K151" s="68" t="s">
        <v>1605</v>
      </c>
      <c r="L151" s="68" t="s">
        <v>1606</v>
      </c>
      <c r="M151" s="68" t="s">
        <v>1607</v>
      </c>
      <c r="N151" s="67">
        <v>21.421959999999999</v>
      </c>
      <c r="O151" s="67">
        <v>92.108019999999996</v>
      </c>
      <c r="P151" s="74">
        <v>500</v>
      </c>
      <c r="Q151" s="74"/>
      <c r="R151" s="18"/>
      <c r="S151" s="18"/>
      <c r="T151" s="22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17"/>
      <c r="AH151" s="24"/>
      <c r="AI151" s="25"/>
      <c r="AJ151" s="25"/>
    </row>
    <row r="152" spans="1:36" ht="15.6" x14ac:dyDescent="0.3">
      <c r="A152" s="63">
        <v>146</v>
      </c>
      <c r="B152" s="102" t="s">
        <v>3520</v>
      </c>
      <c r="C152" s="102" t="s">
        <v>3521</v>
      </c>
      <c r="D152" s="64" t="s">
        <v>119</v>
      </c>
      <c r="E152" s="68" t="s">
        <v>1203</v>
      </c>
      <c r="F152" s="68" t="s">
        <v>1207</v>
      </c>
      <c r="G152" s="68" t="s">
        <v>42</v>
      </c>
      <c r="H152" s="20"/>
      <c r="I152" s="23"/>
      <c r="J152" s="21"/>
      <c r="K152" s="68" t="s">
        <v>1608</v>
      </c>
      <c r="L152" s="68" t="s">
        <v>1609</v>
      </c>
      <c r="M152" s="68" t="s">
        <v>1610</v>
      </c>
      <c r="N152" s="67">
        <v>21.418754</v>
      </c>
      <c r="O152" s="67">
        <v>92.106977000000001</v>
      </c>
      <c r="P152" s="74">
        <v>1300</v>
      </c>
      <c r="Q152" s="74"/>
      <c r="R152" s="18"/>
      <c r="S152" s="18"/>
      <c r="T152" s="27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17"/>
      <c r="AH152" s="24"/>
      <c r="AI152" s="25"/>
      <c r="AJ152" s="25"/>
    </row>
    <row r="153" spans="1:36" ht="15.6" x14ac:dyDescent="0.3">
      <c r="A153" s="63">
        <v>147</v>
      </c>
      <c r="B153" s="102" t="s">
        <v>3520</v>
      </c>
      <c r="C153" s="102" t="s">
        <v>3521</v>
      </c>
      <c r="D153" s="64" t="s">
        <v>119</v>
      </c>
      <c r="E153" s="68" t="s">
        <v>1203</v>
      </c>
      <c r="F153" s="68" t="s">
        <v>1207</v>
      </c>
      <c r="G153" s="68" t="s">
        <v>42</v>
      </c>
      <c r="H153" s="20"/>
      <c r="I153" s="20"/>
      <c r="J153" s="21"/>
      <c r="K153" s="68" t="s">
        <v>1611</v>
      </c>
      <c r="L153" s="68" t="s">
        <v>1612</v>
      </c>
      <c r="M153" s="68" t="s">
        <v>1613</v>
      </c>
      <c r="N153" s="67">
        <v>21.416063999999999</v>
      </c>
      <c r="O153" s="67">
        <v>92.106371999999993</v>
      </c>
      <c r="P153" s="74">
        <v>1200</v>
      </c>
      <c r="Q153" s="74"/>
      <c r="R153" s="18"/>
      <c r="S153" s="18"/>
      <c r="T153" s="27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17"/>
      <c r="AH153" s="24"/>
      <c r="AI153" s="25"/>
      <c r="AJ153" s="25"/>
    </row>
    <row r="154" spans="1:36" ht="15.6" x14ac:dyDescent="0.3">
      <c r="A154" s="63">
        <v>148</v>
      </c>
      <c r="B154" s="102" t="s">
        <v>3520</v>
      </c>
      <c r="C154" s="102" t="s">
        <v>3521</v>
      </c>
      <c r="D154" s="64" t="s">
        <v>119</v>
      </c>
      <c r="E154" s="68" t="s">
        <v>1203</v>
      </c>
      <c r="F154" s="68" t="s">
        <v>1207</v>
      </c>
      <c r="G154" s="68" t="s">
        <v>42</v>
      </c>
      <c r="H154" s="20"/>
      <c r="I154" s="20"/>
      <c r="J154" s="21"/>
      <c r="K154" s="68" t="s">
        <v>65</v>
      </c>
      <c r="L154" s="68" t="s">
        <v>66</v>
      </c>
      <c r="M154" s="68" t="s">
        <v>1614</v>
      </c>
      <c r="N154" s="67">
        <v>21.415868</v>
      </c>
      <c r="O154" s="67">
        <v>92.103622999999999</v>
      </c>
      <c r="P154" s="74">
        <v>1100</v>
      </c>
      <c r="Q154" s="74"/>
      <c r="R154" s="18"/>
      <c r="S154" s="18"/>
      <c r="T154" s="22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17"/>
      <c r="AH154" s="24"/>
      <c r="AI154" s="25"/>
      <c r="AJ154" s="25"/>
    </row>
    <row r="155" spans="1:36" ht="15.6" x14ac:dyDescent="0.3">
      <c r="A155" s="63">
        <v>149</v>
      </c>
      <c r="B155" s="102" t="s">
        <v>3520</v>
      </c>
      <c r="C155" s="102" t="s">
        <v>3521</v>
      </c>
      <c r="D155" s="64" t="s">
        <v>119</v>
      </c>
      <c r="E155" s="68" t="s">
        <v>1203</v>
      </c>
      <c r="F155" s="68" t="s">
        <v>1207</v>
      </c>
      <c r="G155" s="68" t="s">
        <v>42</v>
      </c>
      <c r="H155" s="20"/>
      <c r="I155" s="20"/>
      <c r="J155" s="21"/>
      <c r="K155" s="68" t="s">
        <v>1615</v>
      </c>
      <c r="L155" s="68" t="s">
        <v>1616</v>
      </c>
      <c r="M155" s="68" t="s">
        <v>1617</v>
      </c>
      <c r="N155" s="67">
        <v>21.420024000000002</v>
      </c>
      <c r="O155" s="67">
        <v>92.101845999999995</v>
      </c>
      <c r="P155" s="74">
        <v>400</v>
      </c>
      <c r="Q155" s="74"/>
      <c r="R155" s="18"/>
      <c r="S155" s="18"/>
      <c r="T155" s="27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17"/>
      <c r="AH155" s="24"/>
      <c r="AI155" s="25"/>
      <c r="AJ155" s="25"/>
    </row>
    <row r="156" spans="1:36" ht="15.6" x14ac:dyDescent="0.3">
      <c r="A156" s="63">
        <v>150</v>
      </c>
      <c r="B156" s="102" t="s">
        <v>3520</v>
      </c>
      <c r="C156" s="102" t="s">
        <v>3521</v>
      </c>
      <c r="D156" s="64" t="s">
        <v>119</v>
      </c>
      <c r="E156" s="68" t="s">
        <v>1203</v>
      </c>
      <c r="F156" s="68" t="s">
        <v>1207</v>
      </c>
      <c r="G156" s="68" t="s">
        <v>43</v>
      </c>
      <c r="H156" s="20"/>
      <c r="I156" s="20"/>
      <c r="J156" s="21"/>
      <c r="K156" s="68" t="s">
        <v>1618</v>
      </c>
      <c r="L156" s="68" t="s">
        <v>1619</v>
      </c>
      <c r="M156" s="68" t="s">
        <v>1620</v>
      </c>
      <c r="N156" s="67">
        <v>21.426321999999999</v>
      </c>
      <c r="O156" s="67">
        <v>92.086654999999993</v>
      </c>
      <c r="P156" s="74">
        <v>700</v>
      </c>
      <c r="Q156" s="74"/>
      <c r="R156" s="18"/>
      <c r="S156" s="18"/>
      <c r="T156" s="22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17"/>
      <c r="AH156" s="24"/>
      <c r="AI156" s="25"/>
      <c r="AJ156" s="25"/>
    </row>
    <row r="157" spans="1:36" ht="15.6" x14ac:dyDescent="0.3">
      <c r="A157" s="63">
        <v>151</v>
      </c>
      <c r="B157" s="102" t="s">
        <v>3520</v>
      </c>
      <c r="C157" s="102" t="s">
        <v>3521</v>
      </c>
      <c r="D157" s="64" t="s">
        <v>119</v>
      </c>
      <c r="E157" s="68" t="s">
        <v>1203</v>
      </c>
      <c r="F157" s="68" t="s">
        <v>1207</v>
      </c>
      <c r="G157" s="68" t="s">
        <v>43</v>
      </c>
      <c r="H157" s="20"/>
      <c r="I157" s="20"/>
      <c r="J157" s="21"/>
      <c r="K157" s="68" t="s">
        <v>1621</v>
      </c>
      <c r="L157" s="68" t="s">
        <v>1622</v>
      </c>
      <c r="M157" s="68" t="s">
        <v>1623</v>
      </c>
      <c r="N157" s="67">
        <v>21.425346000000001</v>
      </c>
      <c r="O157" s="67">
        <v>92.089560000000006</v>
      </c>
      <c r="P157" s="74">
        <v>2000</v>
      </c>
      <c r="Q157" s="74"/>
      <c r="R157" s="18"/>
      <c r="S157" s="18"/>
      <c r="T157" s="22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17"/>
      <c r="AH157" s="24"/>
      <c r="AI157" s="25"/>
      <c r="AJ157" s="25"/>
    </row>
    <row r="158" spans="1:36" ht="15.6" x14ac:dyDescent="0.3">
      <c r="A158" s="63">
        <v>152</v>
      </c>
      <c r="B158" s="102" t="s">
        <v>3520</v>
      </c>
      <c r="C158" s="102" t="s">
        <v>3521</v>
      </c>
      <c r="D158" s="64" t="s">
        <v>119</v>
      </c>
      <c r="E158" s="68" t="s">
        <v>1203</v>
      </c>
      <c r="F158" s="68" t="s">
        <v>1207</v>
      </c>
      <c r="G158" s="68" t="s">
        <v>43</v>
      </c>
      <c r="H158" s="20"/>
      <c r="I158" s="20"/>
      <c r="J158" s="21"/>
      <c r="K158" s="75" t="s">
        <v>1512</v>
      </c>
      <c r="L158" s="75" t="s">
        <v>1513</v>
      </c>
      <c r="M158" s="68" t="s">
        <v>1624</v>
      </c>
      <c r="N158" s="67">
        <v>21.423383999999999</v>
      </c>
      <c r="O158" s="67">
        <v>92.089821000000001</v>
      </c>
      <c r="P158" s="74">
        <v>600</v>
      </c>
      <c r="Q158" s="74"/>
      <c r="R158" s="18"/>
      <c r="S158" s="18"/>
      <c r="T158" s="27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17"/>
      <c r="AH158" s="24"/>
      <c r="AI158" s="25"/>
      <c r="AJ158" s="25"/>
    </row>
    <row r="159" spans="1:36" ht="15.6" x14ac:dyDescent="0.3">
      <c r="A159" s="63">
        <v>153</v>
      </c>
      <c r="B159" s="102" t="s">
        <v>3520</v>
      </c>
      <c r="C159" s="102" t="s">
        <v>3521</v>
      </c>
      <c r="D159" s="64" t="s">
        <v>119</v>
      </c>
      <c r="E159" s="68" t="s">
        <v>1203</v>
      </c>
      <c r="F159" s="68" t="s">
        <v>1207</v>
      </c>
      <c r="G159" s="68" t="s">
        <v>43</v>
      </c>
      <c r="H159" s="20"/>
      <c r="I159" s="20"/>
      <c r="J159" s="21"/>
      <c r="K159" s="68" t="s">
        <v>1625</v>
      </c>
      <c r="L159" s="68" t="s">
        <v>1626</v>
      </c>
      <c r="M159" s="68" t="s">
        <v>1627</v>
      </c>
      <c r="N159" s="67">
        <v>21.422474999999999</v>
      </c>
      <c r="O159" s="67">
        <v>92.090888000000007</v>
      </c>
      <c r="P159" s="74">
        <v>300</v>
      </c>
      <c r="Q159" s="74"/>
      <c r="R159" s="18"/>
      <c r="S159" s="18"/>
      <c r="T159" s="27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17"/>
      <c r="AH159" s="24"/>
      <c r="AI159" s="25"/>
      <c r="AJ159" s="25"/>
    </row>
    <row r="160" spans="1:36" ht="15.6" x14ac:dyDescent="0.3">
      <c r="A160" s="63">
        <v>154</v>
      </c>
      <c r="B160" s="102" t="s">
        <v>3520</v>
      </c>
      <c r="C160" s="102" t="s">
        <v>3521</v>
      </c>
      <c r="D160" s="64" t="s">
        <v>119</v>
      </c>
      <c r="E160" s="68" t="s">
        <v>1203</v>
      </c>
      <c r="F160" s="68" t="s">
        <v>1207</v>
      </c>
      <c r="G160" s="68" t="s">
        <v>43</v>
      </c>
      <c r="H160" s="20"/>
      <c r="I160" s="23"/>
      <c r="J160" s="21"/>
      <c r="K160" s="84" t="s">
        <v>1628</v>
      </c>
      <c r="L160" s="68" t="s">
        <v>1629</v>
      </c>
      <c r="M160" s="68" t="s">
        <v>1630</v>
      </c>
      <c r="N160" s="67">
        <v>21.417301999999999</v>
      </c>
      <c r="O160" s="67">
        <v>92.094100999999995</v>
      </c>
      <c r="P160" s="74">
        <v>3500</v>
      </c>
      <c r="Q160" s="74"/>
      <c r="R160" s="18"/>
      <c r="S160" s="18"/>
      <c r="T160" s="22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17"/>
      <c r="AH160" s="24"/>
      <c r="AI160" s="25"/>
      <c r="AJ160" s="25"/>
    </row>
    <row r="161" spans="1:36" ht="15.6" x14ac:dyDescent="0.3">
      <c r="A161" s="63">
        <v>155</v>
      </c>
      <c r="B161" s="102" t="s">
        <v>3520</v>
      </c>
      <c r="C161" s="102" t="s">
        <v>3521</v>
      </c>
      <c r="D161" s="64" t="s">
        <v>119</v>
      </c>
      <c r="E161" s="68" t="s">
        <v>1203</v>
      </c>
      <c r="F161" s="68" t="s">
        <v>1207</v>
      </c>
      <c r="G161" s="68" t="s">
        <v>43</v>
      </c>
      <c r="H161" s="20"/>
      <c r="I161" s="23"/>
      <c r="J161" s="21"/>
      <c r="K161" s="75" t="s">
        <v>1512</v>
      </c>
      <c r="L161" s="75" t="s">
        <v>1513</v>
      </c>
      <c r="M161" s="68" t="s">
        <v>1631</v>
      </c>
      <c r="N161" s="67">
        <v>21.416806000000001</v>
      </c>
      <c r="O161" s="67">
        <v>92.099155999999994</v>
      </c>
      <c r="P161" s="74">
        <v>1000</v>
      </c>
      <c r="Q161" s="74"/>
      <c r="R161" s="18"/>
      <c r="S161" s="18"/>
      <c r="T161" s="22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17"/>
      <c r="AH161" s="24"/>
      <c r="AI161" s="25"/>
      <c r="AJ161" s="25"/>
    </row>
    <row r="162" spans="1:36" ht="15.6" x14ac:dyDescent="0.3">
      <c r="A162" s="63">
        <v>156</v>
      </c>
      <c r="B162" s="102" t="s">
        <v>3520</v>
      </c>
      <c r="C162" s="102" t="s">
        <v>3521</v>
      </c>
      <c r="D162" s="64" t="s">
        <v>119</v>
      </c>
      <c r="E162" s="68" t="s">
        <v>1203</v>
      </c>
      <c r="F162" s="68" t="s">
        <v>1207</v>
      </c>
      <c r="G162" s="68" t="s">
        <v>44</v>
      </c>
      <c r="H162" s="20"/>
      <c r="I162" s="23"/>
      <c r="J162" s="21"/>
      <c r="K162" s="68" t="s">
        <v>1632</v>
      </c>
      <c r="L162" s="68" t="s">
        <v>1633</v>
      </c>
      <c r="M162" s="68" t="s">
        <v>1634</v>
      </c>
      <c r="N162" s="67">
        <v>21.427557</v>
      </c>
      <c r="O162" s="67">
        <v>92.102549999999994</v>
      </c>
      <c r="P162" s="74">
        <v>1000</v>
      </c>
      <c r="Q162" s="74"/>
      <c r="R162" s="18"/>
      <c r="S162" s="18"/>
      <c r="T162" s="22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17"/>
      <c r="AH162" s="24"/>
      <c r="AI162" s="25"/>
      <c r="AJ162" s="25"/>
    </row>
    <row r="163" spans="1:36" ht="15.6" x14ac:dyDescent="0.3">
      <c r="A163" s="63">
        <v>157</v>
      </c>
      <c r="B163" s="102" t="s">
        <v>3520</v>
      </c>
      <c r="C163" s="102" t="s">
        <v>3521</v>
      </c>
      <c r="D163" s="64" t="s">
        <v>119</v>
      </c>
      <c r="E163" s="68" t="s">
        <v>1203</v>
      </c>
      <c r="F163" s="68" t="s">
        <v>1207</v>
      </c>
      <c r="G163" s="68" t="s">
        <v>45</v>
      </c>
      <c r="H163" s="20"/>
      <c r="I163" s="23"/>
      <c r="J163" s="21"/>
      <c r="K163" s="68" t="s">
        <v>1635</v>
      </c>
      <c r="L163" s="68" t="s">
        <v>1636</v>
      </c>
      <c r="M163" s="68" t="s">
        <v>1637</v>
      </c>
      <c r="N163" s="67">
        <v>21.430578000000001</v>
      </c>
      <c r="O163" s="67">
        <v>92.108851000000001</v>
      </c>
      <c r="P163" s="74">
        <v>700</v>
      </c>
      <c r="Q163" s="74"/>
      <c r="R163" s="18"/>
      <c r="S163" s="18"/>
      <c r="T163" s="22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17"/>
      <c r="AH163" s="24"/>
      <c r="AI163" s="25"/>
      <c r="AJ163" s="25"/>
    </row>
    <row r="164" spans="1:36" ht="15.6" x14ac:dyDescent="0.3">
      <c r="A164" s="63">
        <v>158</v>
      </c>
      <c r="B164" s="102" t="s">
        <v>3520</v>
      </c>
      <c r="C164" s="102" t="s">
        <v>3521</v>
      </c>
      <c r="D164" s="64" t="s">
        <v>119</v>
      </c>
      <c r="E164" s="68" t="s">
        <v>1203</v>
      </c>
      <c r="F164" s="68" t="s">
        <v>1207</v>
      </c>
      <c r="G164" s="68" t="s">
        <v>45</v>
      </c>
      <c r="H164" s="20"/>
      <c r="I164" s="23"/>
      <c r="J164" s="21"/>
      <c r="K164" s="69" t="s">
        <v>1638</v>
      </c>
      <c r="L164" s="69" t="s">
        <v>1639</v>
      </c>
      <c r="M164" s="68" t="s">
        <v>1640</v>
      </c>
      <c r="N164" s="67">
        <v>21.430167999999998</v>
      </c>
      <c r="O164" s="67">
        <v>92.112577000000002</v>
      </c>
      <c r="P164" s="74">
        <v>600</v>
      </c>
      <c r="Q164" s="74"/>
      <c r="R164" s="18"/>
      <c r="S164" s="18"/>
      <c r="T164" s="22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17"/>
      <c r="AH164" s="24"/>
      <c r="AI164" s="25"/>
      <c r="AJ164" s="25"/>
    </row>
    <row r="165" spans="1:36" ht="15.6" x14ac:dyDescent="0.3">
      <c r="A165" s="63">
        <v>159</v>
      </c>
      <c r="B165" s="102" t="s">
        <v>3520</v>
      </c>
      <c r="C165" s="102" t="s">
        <v>3521</v>
      </c>
      <c r="D165" s="64" t="s">
        <v>119</v>
      </c>
      <c r="E165" s="68" t="s">
        <v>1203</v>
      </c>
      <c r="F165" s="68" t="s">
        <v>1207</v>
      </c>
      <c r="G165" s="68" t="s">
        <v>45</v>
      </c>
      <c r="H165" s="20"/>
      <c r="I165" s="23"/>
      <c r="J165" s="21"/>
      <c r="K165" s="68" t="s">
        <v>1641</v>
      </c>
      <c r="L165" s="68" t="s">
        <v>1642</v>
      </c>
      <c r="M165" s="68" t="s">
        <v>1643</v>
      </c>
      <c r="N165" s="67">
        <v>21.428704</v>
      </c>
      <c r="O165" s="67">
        <v>92.107256000000007</v>
      </c>
      <c r="P165" s="74">
        <v>1300</v>
      </c>
      <c r="Q165" s="74"/>
      <c r="R165" s="18"/>
      <c r="S165" s="18"/>
      <c r="T165" s="22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17"/>
      <c r="AH165" s="24"/>
      <c r="AI165" s="25"/>
      <c r="AJ165" s="25"/>
    </row>
    <row r="166" spans="1:36" ht="15.6" x14ac:dyDescent="0.3">
      <c r="A166" s="63">
        <v>160</v>
      </c>
      <c r="B166" s="102" t="s">
        <v>3520</v>
      </c>
      <c r="C166" s="102" t="s">
        <v>3521</v>
      </c>
      <c r="D166" s="64" t="s">
        <v>119</v>
      </c>
      <c r="E166" s="68" t="s">
        <v>1203</v>
      </c>
      <c r="F166" s="68" t="s">
        <v>1207</v>
      </c>
      <c r="G166" s="68" t="s">
        <v>45</v>
      </c>
      <c r="H166" s="20"/>
      <c r="I166" s="23"/>
      <c r="J166" s="21"/>
      <c r="K166" s="68" t="s">
        <v>1644</v>
      </c>
      <c r="L166" s="68" t="s">
        <v>1645</v>
      </c>
      <c r="M166" s="68" t="s">
        <v>1646</v>
      </c>
      <c r="N166" s="67">
        <v>21.425608</v>
      </c>
      <c r="O166" s="67">
        <v>92.107999000000007</v>
      </c>
      <c r="P166" s="74">
        <v>1800</v>
      </c>
      <c r="Q166" s="74"/>
      <c r="R166" s="18"/>
      <c r="S166" s="18"/>
      <c r="T166" s="22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17"/>
      <c r="AH166" s="24"/>
      <c r="AI166" s="25"/>
      <c r="AJ166" s="25"/>
    </row>
    <row r="167" spans="1:36" ht="15.6" x14ac:dyDescent="0.3">
      <c r="A167" s="63">
        <v>161</v>
      </c>
      <c r="B167" s="102" t="s">
        <v>3520</v>
      </c>
      <c r="C167" s="102" t="s">
        <v>3521</v>
      </c>
      <c r="D167" s="64" t="s">
        <v>119</v>
      </c>
      <c r="E167" s="68" t="s">
        <v>1203</v>
      </c>
      <c r="F167" s="68" t="s">
        <v>1207</v>
      </c>
      <c r="G167" s="68" t="s">
        <v>46</v>
      </c>
      <c r="H167" s="20"/>
      <c r="I167" s="23"/>
      <c r="J167" s="21"/>
      <c r="K167" s="68" t="s">
        <v>1647</v>
      </c>
      <c r="L167" s="68" t="s">
        <v>1648</v>
      </c>
      <c r="M167" s="68" t="s">
        <v>1649</v>
      </c>
      <c r="N167" s="67">
        <v>21.431569</v>
      </c>
      <c r="O167" s="67">
        <v>92.106138999999999</v>
      </c>
      <c r="P167" s="74">
        <v>1200</v>
      </c>
      <c r="Q167" s="74"/>
      <c r="R167" s="18"/>
      <c r="S167" s="18"/>
      <c r="T167" s="22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17"/>
      <c r="AH167" s="24"/>
      <c r="AI167" s="25"/>
      <c r="AJ167" s="25"/>
    </row>
    <row r="168" spans="1:36" ht="15.6" x14ac:dyDescent="0.3">
      <c r="A168" s="63">
        <v>162</v>
      </c>
      <c r="B168" s="102" t="s">
        <v>3520</v>
      </c>
      <c r="C168" s="102" t="s">
        <v>3521</v>
      </c>
      <c r="D168" s="64" t="s">
        <v>119</v>
      </c>
      <c r="E168" s="68" t="s">
        <v>1203</v>
      </c>
      <c r="F168" s="68" t="s">
        <v>1207</v>
      </c>
      <c r="G168" s="68" t="s">
        <v>46</v>
      </c>
      <c r="H168" s="20"/>
      <c r="I168" s="20"/>
      <c r="J168" s="21"/>
      <c r="K168" s="68" t="s">
        <v>1650</v>
      </c>
      <c r="L168" s="68" t="s">
        <v>1651</v>
      </c>
      <c r="M168" s="68" t="s">
        <v>1652</v>
      </c>
      <c r="N168" s="67">
        <v>21.433474</v>
      </c>
      <c r="O168" s="67">
        <v>92.104384999999994</v>
      </c>
      <c r="P168" s="74">
        <v>450</v>
      </c>
      <c r="Q168" s="74"/>
      <c r="R168" s="18"/>
      <c r="S168" s="18"/>
      <c r="T168" s="22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17"/>
      <c r="AH168" s="24"/>
      <c r="AI168" s="25"/>
      <c r="AJ168" s="25"/>
    </row>
    <row r="169" spans="1:36" ht="15.6" x14ac:dyDescent="0.3">
      <c r="A169" s="63">
        <v>163</v>
      </c>
      <c r="B169" s="102" t="s">
        <v>3520</v>
      </c>
      <c r="C169" s="102" t="s">
        <v>3521</v>
      </c>
      <c r="D169" s="64" t="s">
        <v>119</v>
      </c>
      <c r="E169" s="68" t="s">
        <v>1203</v>
      </c>
      <c r="F169" s="68" t="s">
        <v>1207</v>
      </c>
      <c r="G169" s="68" t="s">
        <v>46</v>
      </c>
      <c r="H169" s="20"/>
      <c r="I169" s="20"/>
      <c r="J169" s="23"/>
      <c r="K169" s="69" t="s">
        <v>1653</v>
      </c>
      <c r="L169" s="68" t="s">
        <v>1654</v>
      </c>
      <c r="M169" s="68" t="s">
        <v>1655</v>
      </c>
      <c r="N169" s="67">
        <v>21.432625999999999</v>
      </c>
      <c r="O169" s="67">
        <v>92.108496000000002</v>
      </c>
      <c r="P169" s="74">
        <v>460</v>
      </c>
      <c r="Q169" s="74"/>
      <c r="R169" s="18"/>
      <c r="S169" s="18"/>
      <c r="T169" s="22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17"/>
      <c r="AH169" s="24"/>
      <c r="AI169" s="25"/>
      <c r="AJ169" s="25"/>
    </row>
    <row r="170" spans="1:36" ht="15.6" x14ac:dyDescent="0.3">
      <c r="A170" s="63">
        <v>164</v>
      </c>
      <c r="B170" s="102" t="s">
        <v>3520</v>
      </c>
      <c r="C170" s="102" t="s">
        <v>3521</v>
      </c>
      <c r="D170" s="64" t="s">
        <v>119</v>
      </c>
      <c r="E170" s="68" t="s">
        <v>1203</v>
      </c>
      <c r="F170" s="68" t="s">
        <v>1207</v>
      </c>
      <c r="G170" s="68" t="s">
        <v>46</v>
      </c>
      <c r="H170" s="20"/>
      <c r="I170" s="20"/>
      <c r="J170" s="21"/>
      <c r="K170" s="68" t="s">
        <v>1656</v>
      </c>
      <c r="L170" s="68" t="s">
        <v>1657</v>
      </c>
      <c r="M170" s="68" t="s">
        <v>1658</v>
      </c>
      <c r="N170" s="67">
        <v>21.437767000000001</v>
      </c>
      <c r="O170" s="67">
        <v>92.110861</v>
      </c>
      <c r="P170" s="74">
        <v>700</v>
      </c>
      <c r="Q170" s="74"/>
      <c r="R170" s="18"/>
      <c r="S170" s="18"/>
      <c r="T170" s="22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17"/>
      <c r="AH170" s="24"/>
      <c r="AI170" s="25"/>
      <c r="AJ170" s="25"/>
    </row>
    <row r="171" spans="1:36" ht="15.6" x14ac:dyDescent="0.3">
      <c r="A171" s="63">
        <v>165</v>
      </c>
      <c r="B171" s="102" t="s">
        <v>3520</v>
      </c>
      <c r="C171" s="102" t="s">
        <v>3521</v>
      </c>
      <c r="D171" s="64" t="s">
        <v>119</v>
      </c>
      <c r="E171" s="68" t="s">
        <v>1203</v>
      </c>
      <c r="F171" s="68" t="s">
        <v>1207</v>
      </c>
      <c r="G171" s="68" t="s">
        <v>46</v>
      </c>
      <c r="H171" s="20"/>
      <c r="I171" s="20"/>
      <c r="J171" s="21"/>
      <c r="K171" s="68" t="s">
        <v>1659</v>
      </c>
      <c r="L171" s="68" t="s">
        <v>1660</v>
      </c>
      <c r="M171" s="68" t="s">
        <v>1661</v>
      </c>
      <c r="N171" s="67">
        <v>21.436989000000001</v>
      </c>
      <c r="O171" s="67">
        <v>92.118345000000005</v>
      </c>
      <c r="P171" s="74">
        <v>110</v>
      </c>
      <c r="Q171" s="74"/>
      <c r="R171" s="18"/>
      <c r="S171" s="18"/>
      <c r="T171" s="22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17"/>
      <c r="AH171" s="24"/>
      <c r="AI171" s="25"/>
      <c r="AJ171" s="25"/>
    </row>
    <row r="172" spans="1:36" ht="15.6" x14ac:dyDescent="0.3">
      <c r="A172" s="63">
        <v>166</v>
      </c>
      <c r="B172" s="102" t="s">
        <v>3520</v>
      </c>
      <c r="C172" s="102" t="s">
        <v>3521</v>
      </c>
      <c r="D172" s="64" t="s">
        <v>119</v>
      </c>
      <c r="E172" s="68" t="s">
        <v>1203</v>
      </c>
      <c r="F172" s="68" t="s">
        <v>1207</v>
      </c>
      <c r="G172" s="68" t="s">
        <v>46</v>
      </c>
      <c r="H172" s="20"/>
      <c r="I172" s="20"/>
      <c r="J172" s="21"/>
      <c r="K172" s="68" t="s">
        <v>1662</v>
      </c>
      <c r="L172" s="68" t="s">
        <v>1663</v>
      </c>
      <c r="M172" s="68" t="s">
        <v>1664</v>
      </c>
      <c r="N172" s="67">
        <v>21.442594</v>
      </c>
      <c r="O172" s="67">
        <v>92.112043999999997</v>
      </c>
      <c r="P172" s="74">
        <v>250</v>
      </c>
      <c r="Q172" s="74"/>
      <c r="R172" s="18"/>
      <c r="S172" s="18"/>
      <c r="T172" s="22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17"/>
      <c r="AH172" s="24"/>
      <c r="AI172" s="25"/>
      <c r="AJ172" s="25"/>
    </row>
    <row r="173" spans="1:36" ht="15.6" x14ac:dyDescent="0.3">
      <c r="A173" s="63">
        <v>167</v>
      </c>
      <c r="B173" s="102" t="s">
        <v>3520</v>
      </c>
      <c r="C173" s="102" t="s">
        <v>3521</v>
      </c>
      <c r="D173" s="64" t="s">
        <v>119</v>
      </c>
      <c r="E173" s="68" t="s">
        <v>1203</v>
      </c>
      <c r="F173" s="68" t="s">
        <v>1207</v>
      </c>
      <c r="G173" s="68" t="s">
        <v>46</v>
      </c>
      <c r="H173" s="20"/>
      <c r="I173" s="20"/>
      <c r="J173" s="26"/>
      <c r="K173" s="68" t="s">
        <v>1665</v>
      </c>
      <c r="L173" s="68" t="s">
        <v>1666</v>
      </c>
      <c r="M173" s="68" t="s">
        <v>1667</v>
      </c>
      <c r="N173" s="67">
        <v>21.437922</v>
      </c>
      <c r="O173" s="67">
        <v>92.104522000000003</v>
      </c>
      <c r="P173" s="74">
        <v>1600</v>
      </c>
      <c r="Q173" s="74"/>
      <c r="R173" s="18"/>
      <c r="S173" s="18"/>
      <c r="T173" s="22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17"/>
      <c r="AH173" s="24"/>
      <c r="AI173" s="25"/>
      <c r="AJ173" s="25"/>
    </row>
    <row r="174" spans="1:36" ht="15.6" x14ac:dyDescent="0.3">
      <c r="A174" s="63">
        <v>168</v>
      </c>
      <c r="B174" s="102" t="s">
        <v>3520</v>
      </c>
      <c r="C174" s="102" t="s">
        <v>3521</v>
      </c>
      <c r="D174" s="64" t="s">
        <v>119</v>
      </c>
      <c r="E174" s="68" t="s">
        <v>1203</v>
      </c>
      <c r="F174" s="68" t="s">
        <v>1207</v>
      </c>
      <c r="G174" s="68" t="s">
        <v>46</v>
      </c>
      <c r="H174" s="20"/>
      <c r="I174" s="20"/>
      <c r="J174" s="26"/>
      <c r="K174" s="68" t="s">
        <v>1668</v>
      </c>
      <c r="L174" s="68" t="s">
        <v>1669</v>
      </c>
      <c r="M174" s="68" t="s">
        <v>1670</v>
      </c>
      <c r="N174" s="67">
        <v>21.434640999999999</v>
      </c>
      <c r="O174" s="67">
        <v>92.103812000000005</v>
      </c>
      <c r="P174" s="74">
        <v>300</v>
      </c>
      <c r="Q174" s="74"/>
      <c r="R174" s="18"/>
      <c r="S174" s="18"/>
      <c r="T174" s="22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17"/>
      <c r="AH174" s="24"/>
      <c r="AI174" s="25"/>
      <c r="AJ174" s="25"/>
    </row>
    <row r="175" spans="1:36" ht="15.6" x14ac:dyDescent="0.3">
      <c r="A175" s="63">
        <v>169</v>
      </c>
      <c r="B175" s="102" t="s">
        <v>3520</v>
      </c>
      <c r="C175" s="102" t="s">
        <v>3521</v>
      </c>
      <c r="D175" s="64" t="s">
        <v>119</v>
      </c>
      <c r="E175" s="68" t="s">
        <v>1203</v>
      </c>
      <c r="F175" s="68" t="s">
        <v>1207</v>
      </c>
      <c r="G175" s="68" t="s">
        <v>47</v>
      </c>
      <c r="H175" s="20"/>
      <c r="I175" s="23"/>
      <c r="J175" s="26"/>
      <c r="K175" s="68" t="s">
        <v>1671</v>
      </c>
      <c r="L175" s="68" t="s">
        <v>1672</v>
      </c>
      <c r="M175" s="68" t="s">
        <v>1673</v>
      </c>
      <c r="N175" s="67">
        <v>21.431156999999999</v>
      </c>
      <c r="O175" s="67">
        <v>92.100487000000001</v>
      </c>
      <c r="P175" s="74">
        <v>300</v>
      </c>
      <c r="Q175" s="74"/>
      <c r="R175" s="18"/>
      <c r="S175" s="18"/>
      <c r="T175" s="22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17"/>
      <c r="AH175" s="24"/>
      <c r="AI175" s="25"/>
      <c r="AJ175" s="25"/>
    </row>
    <row r="176" spans="1:36" ht="15.6" x14ac:dyDescent="0.3">
      <c r="A176" s="63">
        <v>170</v>
      </c>
      <c r="B176" s="102" t="s">
        <v>3520</v>
      </c>
      <c r="C176" s="102" t="s">
        <v>3521</v>
      </c>
      <c r="D176" s="64" t="s">
        <v>119</v>
      </c>
      <c r="E176" s="68" t="s">
        <v>1203</v>
      </c>
      <c r="F176" s="68" t="s">
        <v>1207</v>
      </c>
      <c r="G176" s="68" t="s">
        <v>47</v>
      </c>
      <c r="H176" s="20"/>
      <c r="I176" s="20"/>
      <c r="J176" s="26"/>
      <c r="K176" s="68" t="s">
        <v>1674</v>
      </c>
      <c r="L176" s="68" t="s">
        <v>1675</v>
      </c>
      <c r="M176" s="68" t="s">
        <v>1676</v>
      </c>
      <c r="N176" s="67">
        <v>21.429494999999999</v>
      </c>
      <c r="O176" s="67">
        <v>92.100316000000007</v>
      </c>
      <c r="P176" s="74">
        <v>900</v>
      </c>
      <c r="Q176" s="74"/>
      <c r="R176" s="18"/>
      <c r="S176" s="18"/>
      <c r="T176" s="27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17"/>
      <c r="AH176" s="24"/>
      <c r="AI176" s="25"/>
      <c r="AJ176" s="25"/>
    </row>
    <row r="177" spans="1:36" ht="15.6" x14ac:dyDescent="0.3">
      <c r="A177" s="63">
        <v>171</v>
      </c>
      <c r="B177" s="102" t="s">
        <v>3520</v>
      </c>
      <c r="C177" s="102" t="s">
        <v>3521</v>
      </c>
      <c r="D177" s="64" t="s">
        <v>119</v>
      </c>
      <c r="E177" s="68" t="s">
        <v>1203</v>
      </c>
      <c r="F177" s="68" t="s">
        <v>1207</v>
      </c>
      <c r="G177" s="68" t="s">
        <v>47</v>
      </c>
      <c r="H177" s="20"/>
      <c r="I177" s="20"/>
      <c r="J177" s="26"/>
      <c r="K177" s="68" t="s">
        <v>1677</v>
      </c>
      <c r="L177" s="68" t="s">
        <v>1678</v>
      </c>
      <c r="M177" s="68" t="s">
        <v>1679</v>
      </c>
      <c r="N177" s="67">
        <v>21.431094000000002</v>
      </c>
      <c r="O177" s="67">
        <v>92.097695000000002</v>
      </c>
      <c r="P177" s="74">
        <v>1000</v>
      </c>
      <c r="Q177" s="74"/>
      <c r="R177" s="18"/>
      <c r="S177" s="18"/>
      <c r="T177" s="27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17"/>
      <c r="AH177" s="24"/>
      <c r="AI177" s="25"/>
      <c r="AJ177" s="25"/>
    </row>
    <row r="178" spans="1:36" ht="15.6" x14ac:dyDescent="0.3">
      <c r="A178" s="63">
        <v>172</v>
      </c>
      <c r="B178" s="102" t="s">
        <v>3520</v>
      </c>
      <c r="C178" s="102" t="s">
        <v>3521</v>
      </c>
      <c r="D178" s="64" t="s">
        <v>119</v>
      </c>
      <c r="E178" s="68" t="s">
        <v>1203</v>
      </c>
      <c r="F178" s="68" t="s">
        <v>1207</v>
      </c>
      <c r="G178" s="68" t="s">
        <v>47</v>
      </c>
      <c r="H178" s="20"/>
      <c r="I178" s="20"/>
      <c r="J178" s="26"/>
      <c r="K178" s="68" t="s">
        <v>1680</v>
      </c>
      <c r="L178" s="68" t="s">
        <v>1681</v>
      </c>
      <c r="M178" s="68" t="s">
        <v>1682</v>
      </c>
      <c r="N178" s="67">
        <v>21.434329999999999</v>
      </c>
      <c r="O178" s="67">
        <v>92.101208999999997</v>
      </c>
      <c r="P178" s="74">
        <v>1100</v>
      </c>
      <c r="Q178" s="74"/>
      <c r="R178" s="18"/>
      <c r="S178" s="18"/>
      <c r="T178" s="27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17"/>
      <c r="AH178" s="24"/>
      <c r="AI178" s="25"/>
      <c r="AJ178" s="25"/>
    </row>
    <row r="179" spans="1:36" ht="15.6" x14ac:dyDescent="0.3">
      <c r="A179" s="63">
        <v>173</v>
      </c>
      <c r="B179" s="102" t="s">
        <v>3520</v>
      </c>
      <c r="C179" s="102" t="s">
        <v>3521</v>
      </c>
      <c r="D179" s="64" t="s">
        <v>119</v>
      </c>
      <c r="E179" s="68" t="s">
        <v>1203</v>
      </c>
      <c r="F179" s="68" t="s">
        <v>1207</v>
      </c>
      <c r="G179" s="68" t="s">
        <v>48</v>
      </c>
      <c r="H179" s="20"/>
      <c r="I179" s="20"/>
      <c r="J179" s="26"/>
      <c r="K179" s="68" t="s">
        <v>1683</v>
      </c>
      <c r="L179" s="68" t="s">
        <v>1684</v>
      </c>
      <c r="M179" s="68" t="s">
        <v>1685</v>
      </c>
      <c r="N179" s="67">
        <v>21.433534000000002</v>
      </c>
      <c r="O179" s="67">
        <v>92.093802999999994</v>
      </c>
      <c r="P179" s="74">
        <v>4000</v>
      </c>
      <c r="Q179" s="74"/>
      <c r="R179" s="18"/>
      <c r="S179" s="18"/>
      <c r="T179" s="27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17"/>
      <c r="AH179" s="24"/>
      <c r="AI179" s="25"/>
      <c r="AJ179" s="25"/>
    </row>
    <row r="180" spans="1:36" ht="15.6" x14ac:dyDescent="0.3">
      <c r="A180" s="63">
        <v>174</v>
      </c>
      <c r="B180" s="102" t="s">
        <v>3520</v>
      </c>
      <c r="C180" s="102" t="s">
        <v>3521</v>
      </c>
      <c r="D180" s="64" t="s">
        <v>119</v>
      </c>
      <c r="E180" s="68" t="s">
        <v>1203</v>
      </c>
      <c r="F180" s="68" t="s">
        <v>1207</v>
      </c>
      <c r="G180" s="68" t="s">
        <v>48</v>
      </c>
      <c r="H180" s="20"/>
      <c r="I180" s="20"/>
      <c r="J180" s="26"/>
      <c r="K180" s="68" t="s">
        <v>1686</v>
      </c>
      <c r="L180" s="68" t="s">
        <v>1687</v>
      </c>
      <c r="M180" s="68" t="s">
        <v>1688</v>
      </c>
      <c r="N180" s="67">
        <v>21.438618000000002</v>
      </c>
      <c r="O180" s="67">
        <v>92.094453999999999</v>
      </c>
      <c r="P180" s="74">
        <v>1500</v>
      </c>
      <c r="Q180" s="74"/>
      <c r="R180" s="18"/>
      <c r="S180" s="18"/>
      <c r="T180" s="27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17"/>
      <c r="AH180" s="24"/>
      <c r="AI180" s="25"/>
      <c r="AJ180" s="25"/>
    </row>
    <row r="181" spans="1:36" ht="15.6" x14ac:dyDescent="0.3">
      <c r="A181" s="63">
        <v>175</v>
      </c>
      <c r="B181" s="102" t="s">
        <v>3520</v>
      </c>
      <c r="C181" s="102" t="s">
        <v>3521</v>
      </c>
      <c r="D181" s="64" t="s">
        <v>119</v>
      </c>
      <c r="E181" s="68" t="s">
        <v>1203</v>
      </c>
      <c r="F181" s="68" t="s">
        <v>1207</v>
      </c>
      <c r="G181" s="68" t="s">
        <v>48</v>
      </c>
      <c r="H181" s="20"/>
      <c r="I181" s="20"/>
      <c r="J181" s="26"/>
      <c r="K181" s="68" t="s">
        <v>1689</v>
      </c>
      <c r="L181" s="68" t="s">
        <v>1690</v>
      </c>
      <c r="M181" s="68" t="s">
        <v>1691</v>
      </c>
      <c r="N181" s="67">
        <v>21.442091999999999</v>
      </c>
      <c r="O181" s="67">
        <v>92.088294000000005</v>
      </c>
      <c r="P181" s="74">
        <v>150</v>
      </c>
      <c r="Q181" s="74"/>
      <c r="R181" s="18"/>
      <c r="S181" s="18"/>
      <c r="T181" s="27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17"/>
      <c r="AH181" s="24"/>
      <c r="AI181" s="25"/>
      <c r="AJ181" s="25"/>
    </row>
    <row r="182" spans="1:36" ht="15.6" x14ac:dyDescent="0.3">
      <c r="A182" s="63">
        <v>176</v>
      </c>
      <c r="B182" s="102" t="s">
        <v>3520</v>
      </c>
      <c r="C182" s="102" t="s">
        <v>3521</v>
      </c>
      <c r="D182" s="64" t="s">
        <v>119</v>
      </c>
      <c r="E182" s="68" t="s">
        <v>1203</v>
      </c>
      <c r="F182" s="68" t="s">
        <v>1207</v>
      </c>
      <c r="G182" s="68" t="s">
        <v>48</v>
      </c>
      <c r="H182" s="20"/>
      <c r="I182" s="20"/>
      <c r="J182" s="26"/>
      <c r="K182" s="69" t="s">
        <v>1692</v>
      </c>
      <c r="L182" s="68" t="s">
        <v>1693</v>
      </c>
      <c r="M182" s="68" t="s">
        <v>1694</v>
      </c>
      <c r="N182" s="67">
        <v>21.436066</v>
      </c>
      <c r="O182" s="67">
        <v>92.094620000000006</v>
      </c>
      <c r="P182" s="74">
        <v>700</v>
      </c>
      <c r="Q182" s="74"/>
      <c r="R182" s="18"/>
      <c r="S182" s="18"/>
      <c r="T182" s="27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17"/>
      <c r="AH182" s="24"/>
      <c r="AI182" s="25"/>
      <c r="AJ182" s="25"/>
    </row>
    <row r="183" spans="1:36" ht="15.6" x14ac:dyDescent="0.3">
      <c r="A183" s="63">
        <v>177</v>
      </c>
      <c r="B183" s="102" t="s">
        <v>3520</v>
      </c>
      <c r="C183" s="102" t="s">
        <v>3521</v>
      </c>
      <c r="D183" s="64" t="s">
        <v>119</v>
      </c>
      <c r="E183" s="68" t="s">
        <v>1203</v>
      </c>
      <c r="F183" s="68" t="s">
        <v>1207</v>
      </c>
      <c r="G183" s="68" t="s">
        <v>48</v>
      </c>
      <c r="H183" s="20"/>
      <c r="I183" s="20"/>
      <c r="J183" s="26"/>
      <c r="K183" s="69" t="s">
        <v>1695</v>
      </c>
      <c r="L183" s="68" t="s">
        <v>1696</v>
      </c>
      <c r="M183" s="68" t="s">
        <v>1697</v>
      </c>
      <c r="N183" s="67">
        <v>21.436989000000001</v>
      </c>
      <c r="O183" s="67">
        <v>92.097714999999994</v>
      </c>
      <c r="P183" s="74">
        <v>300</v>
      </c>
      <c r="Q183" s="74"/>
      <c r="R183" s="18"/>
      <c r="S183" s="18"/>
      <c r="T183" s="27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17"/>
      <c r="AH183" s="24"/>
      <c r="AI183" s="25"/>
      <c r="AJ183" s="25"/>
    </row>
    <row r="184" spans="1:36" ht="15.6" x14ac:dyDescent="0.3">
      <c r="A184" s="63">
        <v>178</v>
      </c>
      <c r="B184" s="102" t="s">
        <v>3520</v>
      </c>
      <c r="C184" s="102" t="s">
        <v>3521</v>
      </c>
      <c r="D184" s="64" t="s">
        <v>119</v>
      </c>
      <c r="E184" s="68" t="s">
        <v>1203</v>
      </c>
      <c r="F184" s="68" t="s">
        <v>1207</v>
      </c>
      <c r="G184" s="68" t="s">
        <v>48</v>
      </c>
      <c r="H184" s="20"/>
      <c r="I184" s="20"/>
      <c r="J184" s="26"/>
      <c r="K184" s="69" t="s">
        <v>1698</v>
      </c>
      <c r="L184" s="68" t="s">
        <v>1699</v>
      </c>
      <c r="M184" s="68" t="s">
        <v>1700</v>
      </c>
      <c r="N184" s="67">
        <v>21.433097</v>
      </c>
      <c r="O184" s="67">
        <v>92.096252000000007</v>
      </c>
      <c r="P184" s="74">
        <v>200</v>
      </c>
      <c r="Q184" s="74"/>
      <c r="R184" s="18"/>
      <c r="S184" s="18"/>
      <c r="T184" s="27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17"/>
      <c r="AH184" s="24"/>
      <c r="AI184" s="25"/>
      <c r="AJ184" s="25"/>
    </row>
    <row r="185" spans="1:36" ht="15.6" x14ac:dyDescent="0.3">
      <c r="A185" s="63">
        <v>179</v>
      </c>
      <c r="B185" s="102" t="s">
        <v>3520</v>
      </c>
      <c r="C185" s="102" t="s">
        <v>3521</v>
      </c>
      <c r="D185" s="64" t="s">
        <v>119</v>
      </c>
      <c r="E185" s="68" t="s">
        <v>1203</v>
      </c>
      <c r="F185" s="68" t="s">
        <v>1207</v>
      </c>
      <c r="G185" s="68" t="s">
        <v>48</v>
      </c>
      <c r="H185" s="20"/>
      <c r="I185" s="20"/>
      <c r="J185" s="26"/>
      <c r="K185" s="69" t="s">
        <v>1701</v>
      </c>
      <c r="L185" s="68" t="s">
        <v>1702</v>
      </c>
      <c r="M185" s="68" t="s">
        <v>1703</v>
      </c>
      <c r="N185" s="67">
        <v>21.436018000000001</v>
      </c>
      <c r="O185" s="67">
        <v>92.101389999999995</v>
      </c>
      <c r="P185" s="74">
        <v>1200</v>
      </c>
      <c r="Q185" s="74"/>
      <c r="R185" s="18"/>
      <c r="S185" s="18"/>
      <c r="T185" s="27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17"/>
      <c r="AH185" s="24"/>
      <c r="AI185" s="25"/>
      <c r="AJ185" s="25"/>
    </row>
    <row r="186" spans="1:36" ht="15.6" x14ac:dyDescent="0.3">
      <c r="A186" s="63">
        <v>180</v>
      </c>
      <c r="B186" s="102" t="s">
        <v>3520</v>
      </c>
      <c r="C186" s="102" t="s">
        <v>3521</v>
      </c>
      <c r="D186" s="64" t="s">
        <v>119</v>
      </c>
      <c r="E186" s="68" t="s">
        <v>1203</v>
      </c>
      <c r="F186" s="68" t="s">
        <v>1207</v>
      </c>
      <c r="G186" s="68" t="s">
        <v>48</v>
      </c>
      <c r="H186" s="20"/>
      <c r="I186" s="20"/>
      <c r="J186" s="26"/>
      <c r="K186" s="69" t="s">
        <v>1704</v>
      </c>
      <c r="L186" s="68" t="s">
        <v>1705</v>
      </c>
      <c r="M186" s="68" t="s">
        <v>1706</v>
      </c>
      <c r="N186" s="67">
        <v>21.437574999999999</v>
      </c>
      <c r="O186" s="67">
        <v>92.102011000000005</v>
      </c>
      <c r="P186" s="74">
        <v>1800</v>
      </c>
      <c r="Q186" s="74"/>
      <c r="R186" s="18"/>
      <c r="S186" s="18"/>
      <c r="T186" s="27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17"/>
      <c r="AH186" s="24"/>
      <c r="AI186" s="25"/>
      <c r="AJ186" s="25"/>
    </row>
    <row r="187" spans="1:36" ht="15.6" x14ac:dyDescent="0.3">
      <c r="A187" s="63">
        <v>181</v>
      </c>
      <c r="B187" s="102" t="s">
        <v>3520</v>
      </c>
      <c r="C187" s="102" t="s">
        <v>3521</v>
      </c>
      <c r="D187" s="64" t="s">
        <v>119</v>
      </c>
      <c r="E187" s="68" t="s">
        <v>1203</v>
      </c>
      <c r="F187" s="68" t="s">
        <v>1207</v>
      </c>
      <c r="G187" s="68" t="s">
        <v>49</v>
      </c>
      <c r="H187" s="20"/>
      <c r="I187" s="20"/>
      <c r="J187" s="26"/>
      <c r="K187" s="68" t="s">
        <v>1707</v>
      </c>
      <c r="L187" s="68" t="s">
        <v>1708</v>
      </c>
      <c r="M187" s="68" t="s">
        <v>1709</v>
      </c>
      <c r="N187" s="67">
        <v>21.429814</v>
      </c>
      <c r="O187" s="67">
        <v>92.083928</v>
      </c>
      <c r="P187" s="74">
        <v>3000</v>
      </c>
      <c r="Q187" s="74"/>
      <c r="R187" s="18"/>
      <c r="S187" s="18"/>
      <c r="T187" s="27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17"/>
      <c r="AH187" s="24"/>
      <c r="AI187" s="25"/>
      <c r="AJ187" s="25"/>
    </row>
    <row r="188" spans="1:36" ht="15.6" x14ac:dyDescent="0.3">
      <c r="A188" s="63">
        <v>182</v>
      </c>
      <c r="B188" s="102" t="s">
        <v>3520</v>
      </c>
      <c r="C188" s="102" t="s">
        <v>3521</v>
      </c>
      <c r="D188" s="64" t="s">
        <v>119</v>
      </c>
      <c r="E188" s="68" t="s">
        <v>1203</v>
      </c>
      <c r="F188" s="68" t="s">
        <v>1207</v>
      </c>
      <c r="G188" s="68" t="s">
        <v>49</v>
      </c>
      <c r="H188" s="20"/>
      <c r="I188" s="20"/>
      <c r="J188" s="26"/>
      <c r="K188" s="68" t="s">
        <v>1710</v>
      </c>
      <c r="L188" s="68" t="s">
        <v>1711</v>
      </c>
      <c r="M188" s="68" t="s">
        <v>1712</v>
      </c>
      <c r="N188" s="67">
        <v>21.435499</v>
      </c>
      <c r="O188" s="67">
        <v>92.077674999999999</v>
      </c>
      <c r="P188" s="74">
        <v>1800</v>
      </c>
      <c r="Q188" s="74"/>
      <c r="R188" s="18"/>
      <c r="S188" s="18"/>
      <c r="T188" s="27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17"/>
      <c r="AH188" s="24"/>
      <c r="AI188" s="25"/>
      <c r="AJ188" s="25"/>
    </row>
    <row r="189" spans="1:36" ht="15.6" x14ac:dyDescent="0.3">
      <c r="A189" s="63">
        <v>183</v>
      </c>
      <c r="B189" s="102" t="s">
        <v>3520</v>
      </c>
      <c r="C189" s="102" t="s">
        <v>3521</v>
      </c>
      <c r="D189" s="64" t="s">
        <v>119</v>
      </c>
      <c r="E189" s="68" t="s">
        <v>1203</v>
      </c>
      <c r="F189" s="68" t="s">
        <v>1207</v>
      </c>
      <c r="G189" s="68" t="s">
        <v>49</v>
      </c>
      <c r="H189" s="20"/>
      <c r="I189" s="20"/>
      <c r="J189" s="26"/>
      <c r="K189" s="68" t="s">
        <v>1713</v>
      </c>
      <c r="L189" s="68" t="s">
        <v>1714</v>
      </c>
      <c r="M189" s="68" t="s">
        <v>1715</v>
      </c>
      <c r="N189" s="67">
        <v>21.433561999999998</v>
      </c>
      <c r="O189" s="67">
        <v>92.080265999999995</v>
      </c>
      <c r="P189" s="74">
        <v>1200</v>
      </c>
      <c r="Q189" s="74"/>
      <c r="R189" s="18"/>
      <c r="S189" s="18"/>
      <c r="T189" s="27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17"/>
      <c r="AH189" s="24"/>
      <c r="AI189" s="25"/>
      <c r="AJ189" s="25"/>
    </row>
    <row r="190" spans="1:36" ht="15.6" x14ac:dyDescent="0.3">
      <c r="A190" s="63">
        <v>184</v>
      </c>
      <c r="B190" s="102" t="s">
        <v>3520</v>
      </c>
      <c r="C190" s="102" t="s">
        <v>3521</v>
      </c>
      <c r="D190" s="64" t="s">
        <v>119</v>
      </c>
      <c r="E190" s="68" t="s">
        <v>1203</v>
      </c>
      <c r="F190" s="68" t="s">
        <v>1207</v>
      </c>
      <c r="G190" s="68" t="s">
        <v>49</v>
      </c>
      <c r="H190" s="20"/>
      <c r="I190" s="20"/>
      <c r="J190" s="26"/>
      <c r="K190" s="68" t="s">
        <v>1716</v>
      </c>
      <c r="L190" s="68" t="s">
        <v>1717</v>
      </c>
      <c r="M190" s="68" t="s">
        <v>1718</v>
      </c>
      <c r="N190" s="67">
        <v>21.438392</v>
      </c>
      <c r="O190" s="67">
        <v>92.079068000000007</v>
      </c>
      <c r="P190" s="74">
        <v>1300</v>
      </c>
      <c r="Q190" s="74"/>
      <c r="R190" s="18"/>
      <c r="S190" s="18"/>
      <c r="T190" s="27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17"/>
      <c r="AH190" s="24"/>
      <c r="AI190" s="25"/>
      <c r="AJ190" s="25"/>
    </row>
    <row r="191" spans="1:36" ht="15.6" x14ac:dyDescent="0.3">
      <c r="A191" s="63">
        <v>185</v>
      </c>
      <c r="B191" s="102" t="s">
        <v>3520</v>
      </c>
      <c r="C191" s="102" t="s">
        <v>3521</v>
      </c>
      <c r="D191" s="64" t="s">
        <v>119</v>
      </c>
      <c r="E191" s="68" t="s">
        <v>1203</v>
      </c>
      <c r="F191" s="68" t="s">
        <v>1207</v>
      </c>
      <c r="G191" s="68" t="s">
        <v>49</v>
      </c>
      <c r="H191" s="20"/>
      <c r="I191" s="20"/>
      <c r="J191" s="26"/>
      <c r="K191" s="68" t="s">
        <v>1719</v>
      </c>
      <c r="L191" s="68" t="s">
        <v>1720</v>
      </c>
      <c r="M191" s="68" t="s">
        <v>1721</v>
      </c>
      <c r="N191" s="67">
        <v>21.430063000000001</v>
      </c>
      <c r="O191" s="67">
        <v>92.091311000000005</v>
      </c>
      <c r="P191" s="74">
        <v>2200</v>
      </c>
      <c r="Q191" s="74"/>
      <c r="R191" s="18"/>
      <c r="S191" s="18"/>
      <c r="T191" s="27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17"/>
      <c r="AH191" s="24"/>
      <c r="AI191" s="25"/>
      <c r="AJ191" s="25"/>
    </row>
    <row r="192" spans="1:36" ht="15.6" x14ac:dyDescent="0.3">
      <c r="A192" s="63">
        <v>186</v>
      </c>
      <c r="B192" s="102" t="s">
        <v>3520</v>
      </c>
      <c r="C192" s="102" t="s">
        <v>3521</v>
      </c>
      <c r="D192" s="64" t="s">
        <v>119</v>
      </c>
      <c r="E192" s="68" t="s">
        <v>1203</v>
      </c>
      <c r="F192" s="68" t="s">
        <v>1208</v>
      </c>
      <c r="G192" s="68" t="s">
        <v>41</v>
      </c>
      <c r="H192" s="20"/>
      <c r="I192" s="20"/>
      <c r="J192" s="26"/>
      <c r="K192" s="68" t="s">
        <v>1722</v>
      </c>
      <c r="L192" s="68" t="s">
        <v>1723</v>
      </c>
      <c r="M192" s="68" t="s">
        <v>1724</v>
      </c>
      <c r="N192" s="67">
        <v>21.500951000000001</v>
      </c>
      <c r="O192" s="67">
        <v>92.181506999999996</v>
      </c>
      <c r="P192" s="74">
        <v>3500</v>
      </c>
      <c r="Q192" s="74"/>
      <c r="R192" s="18"/>
      <c r="S192" s="18"/>
      <c r="T192" s="27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17"/>
      <c r="AH192" s="24"/>
      <c r="AI192" s="25"/>
      <c r="AJ192" s="25"/>
    </row>
    <row r="193" spans="1:36" ht="15.6" x14ac:dyDescent="0.3">
      <c r="A193" s="63">
        <v>187</v>
      </c>
      <c r="B193" s="102" t="s">
        <v>3520</v>
      </c>
      <c r="C193" s="102" t="s">
        <v>3521</v>
      </c>
      <c r="D193" s="64" t="s">
        <v>119</v>
      </c>
      <c r="E193" s="68" t="s">
        <v>1203</v>
      </c>
      <c r="F193" s="68" t="s">
        <v>1208</v>
      </c>
      <c r="G193" s="68" t="s">
        <v>41</v>
      </c>
      <c r="H193" s="20"/>
      <c r="I193" s="20"/>
      <c r="J193" s="26"/>
      <c r="K193" s="68" t="s">
        <v>1725</v>
      </c>
      <c r="L193" s="68" t="s">
        <v>1726</v>
      </c>
      <c r="M193" s="68" t="s">
        <v>1727</v>
      </c>
      <c r="N193" s="67">
        <v>21.501982000000002</v>
      </c>
      <c r="O193" s="67">
        <v>92.174873000000005</v>
      </c>
      <c r="P193" s="74">
        <v>700</v>
      </c>
      <c r="Q193" s="74"/>
      <c r="R193" s="18"/>
      <c r="S193" s="18"/>
      <c r="T193" s="27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17"/>
      <c r="AH193" s="24"/>
      <c r="AI193" s="25"/>
      <c r="AJ193" s="25"/>
    </row>
    <row r="194" spans="1:36" ht="15.6" x14ac:dyDescent="0.3">
      <c r="A194" s="63">
        <v>188</v>
      </c>
      <c r="B194" s="102" t="s">
        <v>3520</v>
      </c>
      <c r="C194" s="102" t="s">
        <v>3521</v>
      </c>
      <c r="D194" s="64" t="s">
        <v>119</v>
      </c>
      <c r="E194" s="68" t="s">
        <v>1203</v>
      </c>
      <c r="F194" s="68" t="s">
        <v>1208</v>
      </c>
      <c r="G194" s="68" t="s">
        <v>41</v>
      </c>
      <c r="H194" s="20"/>
      <c r="I194" s="20"/>
      <c r="J194" s="26"/>
      <c r="K194" s="69" t="s">
        <v>1728</v>
      </c>
      <c r="L194" s="69" t="s">
        <v>1729</v>
      </c>
      <c r="M194" s="68" t="s">
        <v>1730</v>
      </c>
      <c r="N194" s="67">
        <v>21.491696000000001</v>
      </c>
      <c r="O194" s="67">
        <v>92.183762999999999</v>
      </c>
      <c r="P194" s="74">
        <v>2500</v>
      </c>
      <c r="Q194" s="74"/>
      <c r="R194" s="18"/>
      <c r="S194" s="18"/>
      <c r="T194" s="27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17"/>
      <c r="AH194" s="24"/>
      <c r="AI194" s="25"/>
      <c r="AJ194" s="25"/>
    </row>
    <row r="195" spans="1:36" ht="15.6" x14ac:dyDescent="0.3">
      <c r="A195" s="63">
        <v>189</v>
      </c>
      <c r="B195" s="102" t="s">
        <v>3520</v>
      </c>
      <c r="C195" s="102" t="s">
        <v>3521</v>
      </c>
      <c r="D195" s="64" t="s">
        <v>119</v>
      </c>
      <c r="E195" s="68" t="s">
        <v>1203</v>
      </c>
      <c r="F195" s="68" t="s">
        <v>1208</v>
      </c>
      <c r="G195" s="68" t="s">
        <v>41</v>
      </c>
      <c r="H195" s="20"/>
      <c r="I195" s="20"/>
      <c r="J195" s="26"/>
      <c r="K195" s="68" t="s">
        <v>1731</v>
      </c>
      <c r="L195" s="68" t="s">
        <v>1732</v>
      </c>
      <c r="M195" s="68" t="s">
        <v>1733</v>
      </c>
      <c r="N195" s="67">
        <v>21.496039</v>
      </c>
      <c r="O195" s="67">
        <v>92.173832000000004</v>
      </c>
      <c r="P195" s="74">
        <v>2000</v>
      </c>
      <c r="Q195" s="74"/>
      <c r="R195" s="18"/>
      <c r="S195" s="18"/>
      <c r="T195" s="27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17"/>
      <c r="AH195" s="24"/>
      <c r="AI195" s="25"/>
      <c r="AJ195" s="25"/>
    </row>
    <row r="196" spans="1:36" ht="15.6" x14ac:dyDescent="0.3">
      <c r="A196" s="63">
        <v>190</v>
      </c>
      <c r="B196" s="102" t="s">
        <v>3520</v>
      </c>
      <c r="C196" s="102" t="s">
        <v>3521</v>
      </c>
      <c r="D196" s="64" t="s">
        <v>119</v>
      </c>
      <c r="E196" s="68" t="s">
        <v>1203</v>
      </c>
      <c r="F196" s="68" t="s">
        <v>1208</v>
      </c>
      <c r="G196" s="68" t="s">
        <v>41</v>
      </c>
      <c r="H196" s="20"/>
      <c r="I196" s="20"/>
      <c r="J196" s="26"/>
      <c r="K196" s="75" t="s">
        <v>118</v>
      </c>
      <c r="L196" s="68" t="s">
        <v>1734</v>
      </c>
      <c r="M196" s="68" t="s">
        <v>1735</v>
      </c>
      <c r="N196" s="67">
        <v>21.511944</v>
      </c>
      <c r="O196" s="67">
        <v>92.168182999999999</v>
      </c>
      <c r="P196" s="74">
        <v>500</v>
      </c>
      <c r="Q196" s="74"/>
      <c r="R196" s="18"/>
      <c r="S196" s="18"/>
      <c r="T196" s="27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17"/>
      <c r="AH196" s="24"/>
      <c r="AI196" s="25"/>
      <c r="AJ196" s="25"/>
    </row>
    <row r="197" spans="1:36" ht="15.6" x14ac:dyDescent="0.3">
      <c r="A197" s="63">
        <v>191</v>
      </c>
      <c r="B197" s="102" t="s">
        <v>3520</v>
      </c>
      <c r="C197" s="102" t="s">
        <v>3521</v>
      </c>
      <c r="D197" s="64" t="s">
        <v>119</v>
      </c>
      <c r="E197" s="68" t="s">
        <v>1203</v>
      </c>
      <c r="F197" s="68" t="s">
        <v>1208</v>
      </c>
      <c r="G197" s="68" t="s">
        <v>41</v>
      </c>
      <c r="H197" s="20"/>
      <c r="I197" s="20"/>
      <c r="J197" s="26"/>
      <c r="K197" s="75" t="s">
        <v>1736</v>
      </c>
      <c r="L197" s="68" t="s">
        <v>1737</v>
      </c>
      <c r="M197" s="68" t="s">
        <v>1738</v>
      </c>
      <c r="N197" s="67">
        <v>21.515263000000001</v>
      </c>
      <c r="O197" s="67">
        <v>92.164952999999997</v>
      </c>
      <c r="P197" s="74">
        <v>600</v>
      </c>
      <c r="Q197" s="74"/>
      <c r="R197" s="18"/>
      <c r="S197" s="18"/>
      <c r="T197" s="27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17"/>
      <c r="AH197" s="24"/>
      <c r="AI197" s="25"/>
      <c r="AJ197" s="25"/>
    </row>
    <row r="198" spans="1:36" ht="15.6" x14ac:dyDescent="0.3">
      <c r="A198" s="63">
        <v>192</v>
      </c>
      <c r="B198" s="102" t="s">
        <v>3520</v>
      </c>
      <c r="C198" s="102" t="s">
        <v>3521</v>
      </c>
      <c r="D198" s="64" t="s">
        <v>119</v>
      </c>
      <c r="E198" s="68" t="s">
        <v>1203</v>
      </c>
      <c r="F198" s="68" t="s">
        <v>1208</v>
      </c>
      <c r="G198" s="68" t="s">
        <v>42</v>
      </c>
      <c r="H198" s="20"/>
      <c r="I198" s="20"/>
      <c r="J198" s="26"/>
      <c r="K198" s="68" t="s">
        <v>1739</v>
      </c>
      <c r="L198" s="68" t="s">
        <v>1740</v>
      </c>
      <c r="M198" s="68" t="s">
        <v>1741</v>
      </c>
      <c r="N198" s="67">
        <v>21.488724000000001</v>
      </c>
      <c r="O198" s="67">
        <v>92.175493000000003</v>
      </c>
      <c r="P198" s="74">
        <v>250</v>
      </c>
      <c r="Q198" s="74"/>
      <c r="R198" s="18"/>
      <c r="S198" s="18"/>
      <c r="T198" s="27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17"/>
      <c r="AH198" s="24"/>
      <c r="AI198" s="25"/>
      <c r="AJ198" s="25"/>
    </row>
    <row r="199" spans="1:36" ht="15.6" x14ac:dyDescent="0.3">
      <c r="A199" s="63">
        <v>193</v>
      </c>
      <c r="B199" s="102" t="s">
        <v>3520</v>
      </c>
      <c r="C199" s="102" t="s">
        <v>3521</v>
      </c>
      <c r="D199" s="64" t="s">
        <v>119</v>
      </c>
      <c r="E199" s="68" t="s">
        <v>1203</v>
      </c>
      <c r="F199" s="68" t="s">
        <v>1208</v>
      </c>
      <c r="G199" s="68" t="s">
        <v>42</v>
      </c>
      <c r="H199" s="20"/>
      <c r="I199" s="20"/>
      <c r="J199" s="26"/>
      <c r="K199" s="68" t="s">
        <v>1742</v>
      </c>
      <c r="L199" s="68" t="s">
        <v>1743</v>
      </c>
      <c r="M199" s="68" t="s">
        <v>1744</v>
      </c>
      <c r="N199" s="67">
        <v>21.484777000000001</v>
      </c>
      <c r="O199" s="67">
        <v>92.182438000000005</v>
      </c>
      <c r="P199" s="74">
        <v>90</v>
      </c>
      <c r="Q199" s="74"/>
      <c r="R199" s="18"/>
      <c r="S199" s="18"/>
      <c r="T199" s="27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17"/>
      <c r="AH199" s="24"/>
      <c r="AI199" s="25"/>
      <c r="AJ199" s="25"/>
    </row>
    <row r="200" spans="1:36" ht="15.6" x14ac:dyDescent="0.3">
      <c r="A200" s="63">
        <v>194</v>
      </c>
      <c r="B200" s="102" t="s">
        <v>3520</v>
      </c>
      <c r="C200" s="102" t="s">
        <v>3521</v>
      </c>
      <c r="D200" s="64" t="s">
        <v>119</v>
      </c>
      <c r="E200" s="68" t="s">
        <v>1203</v>
      </c>
      <c r="F200" s="68" t="s">
        <v>1208</v>
      </c>
      <c r="G200" s="68" t="s">
        <v>42</v>
      </c>
      <c r="H200" s="20"/>
      <c r="I200" s="20"/>
      <c r="J200" s="26"/>
      <c r="K200" s="69" t="s">
        <v>1745</v>
      </c>
      <c r="L200" s="69" t="s">
        <v>1746</v>
      </c>
      <c r="M200" s="68" t="s">
        <v>1747</v>
      </c>
      <c r="N200" s="67">
        <v>21.477712</v>
      </c>
      <c r="O200" s="67">
        <v>92.179516000000007</v>
      </c>
      <c r="P200" s="74">
        <v>800</v>
      </c>
      <c r="Q200" s="74"/>
      <c r="R200" s="18"/>
      <c r="S200" s="18"/>
      <c r="T200" s="27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17"/>
      <c r="AH200" s="24"/>
      <c r="AI200" s="25"/>
      <c r="AJ200" s="25"/>
    </row>
    <row r="201" spans="1:36" ht="15.6" x14ac:dyDescent="0.3">
      <c r="A201" s="63">
        <v>195</v>
      </c>
      <c r="B201" s="102" t="s">
        <v>3520</v>
      </c>
      <c r="C201" s="102" t="s">
        <v>3521</v>
      </c>
      <c r="D201" s="64" t="s">
        <v>119</v>
      </c>
      <c r="E201" s="68" t="s">
        <v>1203</v>
      </c>
      <c r="F201" s="68" t="s">
        <v>1208</v>
      </c>
      <c r="G201" s="68" t="s">
        <v>42</v>
      </c>
      <c r="H201" s="20"/>
      <c r="I201" s="20"/>
      <c r="J201" s="26"/>
      <c r="K201" s="75" t="s">
        <v>1748</v>
      </c>
      <c r="L201" s="68" t="s">
        <v>1749</v>
      </c>
      <c r="M201" s="68" t="s">
        <v>1750</v>
      </c>
      <c r="N201" s="67">
        <v>21.471582999999999</v>
      </c>
      <c r="O201" s="67">
        <v>92.180870999999996</v>
      </c>
      <c r="P201" s="74">
        <v>850</v>
      </c>
      <c r="Q201" s="74"/>
      <c r="R201" s="18"/>
      <c r="S201" s="18"/>
      <c r="T201" s="27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17"/>
      <c r="AH201" s="24"/>
      <c r="AI201" s="25"/>
      <c r="AJ201" s="25"/>
    </row>
    <row r="202" spans="1:36" ht="15.6" x14ac:dyDescent="0.3">
      <c r="A202" s="63">
        <v>196</v>
      </c>
      <c r="B202" s="102" t="s">
        <v>3520</v>
      </c>
      <c r="C202" s="102" t="s">
        <v>3521</v>
      </c>
      <c r="D202" s="64" t="s">
        <v>119</v>
      </c>
      <c r="E202" s="68" t="s">
        <v>1203</v>
      </c>
      <c r="F202" s="68" t="s">
        <v>1208</v>
      </c>
      <c r="G202" s="68" t="s">
        <v>42</v>
      </c>
      <c r="H202" s="20"/>
      <c r="I202" s="20"/>
      <c r="J202" s="26"/>
      <c r="K202" s="68" t="s">
        <v>1751</v>
      </c>
      <c r="L202" s="68" t="s">
        <v>1752</v>
      </c>
      <c r="M202" s="68" t="s">
        <v>1753</v>
      </c>
      <c r="N202" s="67">
        <v>21.476963000000001</v>
      </c>
      <c r="O202" s="67">
        <v>92.186592000000005</v>
      </c>
      <c r="P202" s="74">
        <v>400</v>
      </c>
      <c r="Q202" s="74"/>
      <c r="R202" s="18"/>
      <c r="S202" s="18"/>
      <c r="T202" s="27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17"/>
      <c r="AH202" s="24"/>
      <c r="AI202" s="25"/>
      <c r="AJ202" s="25"/>
    </row>
    <row r="203" spans="1:36" ht="15.6" x14ac:dyDescent="0.3">
      <c r="A203" s="63">
        <v>197</v>
      </c>
      <c r="B203" s="102" t="s">
        <v>3520</v>
      </c>
      <c r="C203" s="102" t="s">
        <v>3521</v>
      </c>
      <c r="D203" s="64" t="s">
        <v>119</v>
      </c>
      <c r="E203" s="68" t="s">
        <v>1203</v>
      </c>
      <c r="F203" s="68" t="s">
        <v>1208</v>
      </c>
      <c r="G203" s="68" t="s">
        <v>42</v>
      </c>
      <c r="H203" s="20"/>
      <c r="I203" s="20"/>
      <c r="J203" s="26"/>
      <c r="K203" s="68" t="s">
        <v>1754</v>
      </c>
      <c r="L203" s="68" t="s">
        <v>1755</v>
      </c>
      <c r="M203" s="68" t="s">
        <v>1756</v>
      </c>
      <c r="N203" s="67">
        <v>21.477699000000001</v>
      </c>
      <c r="O203" s="67">
        <v>92.194193999999996</v>
      </c>
      <c r="P203" s="74">
        <v>2400</v>
      </c>
      <c r="Q203" s="74"/>
      <c r="R203" s="18"/>
      <c r="S203" s="18"/>
      <c r="T203" s="27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17"/>
      <c r="AH203" s="24"/>
      <c r="AI203" s="25"/>
      <c r="AJ203" s="25"/>
    </row>
    <row r="204" spans="1:36" ht="15.6" x14ac:dyDescent="0.3">
      <c r="A204" s="63">
        <v>198</v>
      </c>
      <c r="B204" s="102" t="s">
        <v>3520</v>
      </c>
      <c r="C204" s="102" t="s">
        <v>3521</v>
      </c>
      <c r="D204" s="64" t="s">
        <v>119</v>
      </c>
      <c r="E204" s="68" t="s">
        <v>1203</v>
      </c>
      <c r="F204" s="68" t="s">
        <v>1208</v>
      </c>
      <c r="G204" s="68" t="s">
        <v>43</v>
      </c>
      <c r="H204" s="20"/>
      <c r="I204" s="20"/>
      <c r="J204" s="26"/>
      <c r="K204" s="75" t="s">
        <v>1757</v>
      </c>
      <c r="L204" s="68" t="s">
        <v>1758</v>
      </c>
      <c r="M204" s="68" t="s">
        <v>1759</v>
      </c>
      <c r="N204" s="67">
        <v>21.492830999999999</v>
      </c>
      <c r="O204" s="67">
        <v>92.197560999999993</v>
      </c>
      <c r="P204" s="74">
        <v>1100</v>
      </c>
      <c r="Q204" s="74"/>
      <c r="R204" s="18"/>
      <c r="S204" s="18"/>
      <c r="T204" s="27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17"/>
      <c r="AH204" s="24"/>
      <c r="AI204" s="25"/>
      <c r="AJ204" s="25"/>
    </row>
    <row r="205" spans="1:36" ht="15.6" x14ac:dyDescent="0.3">
      <c r="A205" s="63">
        <v>199</v>
      </c>
      <c r="B205" s="102" t="s">
        <v>3520</v>
      </c>
      <c r="C205" s="102" t="s">
        <v>3521</v>
      </c>
      <c r="D205" s="64" t="s">
        <v>119</v>
      </c>
      <c r="E205" s="68" t="s">
        <v>1203</v>
      </c>
      <c r="F205" s="68" t="s">
        <v>1208</v>
      </c>
      <c r="G205" s="68" t="s">
        <v>43</v>
      </c>
      <c r="H205" s="20"/>
      <c r="I205" s="20"/>
      <c r="J205" s="26"/>
      <c r="K205" s="75" t="s">
        <v>90</v>
      </c>
      <c r="L205" s="68" t="s">
        <v>1760</v>
      </c>
      <c r="M205" s="68" t="s">
        <v>1761</v>
      </c>
      <c r="N205" s="67">
        <v>21.497323999999999</v>
      </c>
      <c r="O205" s="67">
        <v>92.194309000000004</v>
      </c>
      <c r="P205" s="74">
        <v>1500</v>
      </c>
      <c r="Q205" s="74"/>
      <c r="R205" s="18"/>
      <c r="S205" s="18"/>
      <c r="T205" s="27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17"/>
      <c r="AH205" s="24"/>
      <c r="AI205" s="25"/>
      <c r="AJ205" s="25"/>
    </row>
    <row r="206" spans="1:36" ht="15.6" x14ac:dyDescent="0.3">
      <c r="A206" s="63">
        <v>200</v>
      </c>
      <c r="B206" s="102" t="s">
        <v>3520</v>
      </c>
      <c r="C206" s="102" t="s">
        <v>3521</v>
      </c>
      <c r="D206" s="64" t="s">
        <v>119</v>
      </c>
      <c r="E206" s="68" t="s">
        <v>1203</v>
      </c>
      <c r="F206" s="68" t="s">
        <v>1208</v>
      </c>
      <c r="G206" s="68" t="s">
        <v>43</v>
      </c>
      <c r="H206" s="20"/>
      <c r="I206" s="20"/>
      <c r="J206" s="26"/>
      <c r="K206" s="75" t="s">
        <v>1762</v>
      </c>
      <c r="L206" s="68" t="s">
        <v>1763</v>
      </c>
      <c r="M206" s="68" t="s">
        <v>1764</v>
      </c>
      <c r="N206" s="67">
        <v>21.504456999999999</v>
      </c>
      <c r="O206" s="67">
        <v>92.193989000000002</v>
      </c>
      <c r="P206" s="74">
        <v>550</v>
      </c>
      <c r="Q206" s="74"/>
      <c r="R206" s="18"/>
      <c r="S206" s="18"/>
      <c r="T206" s="27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17"/>
      <c r="AH206" s="24"/>
      <c r="AI206" s="25"/>
      <c r="AJ206" s="25"/>
    </row>
    <row r="207" spans="1:36" ht="15.6" x14ac:dyDescent="0.3">
      <c r="A207" s="63">
        <v>201</v>
      </c>
      <c r="B207" s="102" t="s">
        <v>3520</v>
      </c>
      <c r="C207" s="102" t="s">
        <v>3521</v>
      </c>
      <c r="D207" s="64" t="s">
        <v>119</v>
      </c>
      <c r="E207" s="68" t="s">
        <v>1203</v>
      </c>
      <c r="F207" s="68" t="s">
        <v>1208</v>
      </c>
      <c r="G207" s="68" t="s">
        <v>43</v>
      </c>
      <c r="H207" s="20"/>
      <c r="I207" s="20"/>
      <c r="J207" s="26"/>
      <c r="K207" s="69" t="s">
        <v>1765</v>
      </c>
      <c r="L207" s="68" t="s">
        <v>1766</v>
      </c>
      <c r="M207" s="68" t="s">
        <v>1767</v>
      </c>
      <c r="N207" s="67">
        <v>21.49869</v>
      </c>
      <c r="O207" s="67">
        <v>92.190136999999993</v>
      </c>
      <c r="P207" s="74">
        <v>1500</v>
      </c>
      <c r="Q207" s="74"/>
      <c r="R207" s="18"/>
      <c r="S207" s="18"/>
      <c r="T207" s="27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17"/>
      <c r="AH207" s="24"/>
      <c r="AI207" s="25"/>
      <c r="AJ207" s="25"/>
    </row>
    <row r="208" spans="1:36" ht="15.6" x14ac:dyDescent="0.3">
      <c r="A208" s="63">
        <v>202</v>
      </c>
      <c r="B208" s="102" t="s">
        <v>3520</v>
      </c>
      <c r="C208" s="102" t="s">
        <v>3521</v>
      </c>
      <c r="D208" s="64" t="s">
        <v>119</v>
      </c>
      <c r="E208" s="68" t="s">
        <v>1203</v>
      </c>
      <c r="F208" s="68" t="s">
        <v>1208</v>
      </c>
      <c r="G208" s="68" t="s">
        <v>43</v>
      </c>
      <c r="H208" s="20"/>
      <c r="I208" s="20"/>
      <c r="J208" s="26"/>
      <c r="K208" s="68" t="s">
        <v>1768</v>
      </c>
      <c r="L208" s="68" t="s">
        <v>1769</v>
      </c>
      <c r="M208" s="68" t="s">
        <v>1770</v>
      </c>
      <c r="N208" s="67">
        <v>21.488503999999999</v>
      </c>
      <c r="O208" s="67">
        <v>92.187158999999994</v>
      </c>
      <c r="P208" s="74">
        <v>1000</v>
      </c>
      <c r="Q208" s="74"/>
      <c r="R208" s="18"/>
      <c r="S208" s="18"/>
      <c r="T208" s="27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17"/>
      <c r="AH208" s="24"/>
      <c r="AI208" s="25"/>
      <c r="AJ208" s="25"/>
    </row>
    <row r="209" spans="1:36" ht="15.6" x14ac:dyDescent="0.3">
      <c r="A209" s="63">
        <v>203</v>
      </c>
      <c r="B209" s="102" t="s">
        <v>3520</v>
      </c>
      <c r="C209" s="102" t="s">
        <v>3521</v>
      </c>
      <c r="D209" s="64" t="s">
        <v>119</v>
      </c>
      <c r="E209" s="68" t="s">
        <v>1203</v>
      </c>
      <c r="F209" s="68" t="s">
        <v>1208</v>
      </c>
      <c r="G209" s="68" t="s">
        <v>44</v>
      </c>
      <c r="H209" s="20"/>
      <c r="I209" s="20"/>
      <c r="J209" s="26"/>
      <c r="K209" s="68" t="s">
        <v>1771</v>
      </c>
      <c r="L209" s="68" t="s">
        <v>1772</v>
      </c>
      <c r="M209" s="68" t="s">
        <v>1773</v>
      </c>
      <c r="N209" s="67">
        <v>21.487297999999999</v>
      </c>
      <c r="O209" s="67">
        <v>92.19247</v>
      </c>
      <c r="P209" s="74">
        <v>400</v>
      </c>
      <c r="Q209" s="74"/>
      <c r="R209" s="18"/>
      <c r="S209" s="18"/>
      <c r="T209" s="27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17"/>
      <c r="AH209" s="24"/>
      <c r="AI209" s="25"/>
      <c r="AJ209" s="25"/>
    </row>
    <row r="210" spans="1:36" ht="15.6" x14ac:dyDescent="0.3">
      <c r="A210" s="63">
        <v>204</v>
      </c>
      <c r="B210" s="102" t="s">
        <v>3520</v>
      </c>
      <c r="C210" s="102" t="s">
        <v>3521</v>
      </c>
      <c r="D210" s="64" t="s">
        <v>119</v>
      </c>
      <c r="E210" s="68" t="s">
        <v>1203</v>
      </c>
      <c r="F210" s="68" t="s">
        <v>1208</v>
      </c>
      <c r="G210" s="68" t="s">
        <v>44</v>
      </c>
      <c r="H210" s="20"/>
      <c r="I210" s="20"/>
      <c r="J210" s="26"/>
      <c r="K210" s="68" t="s">
        <v>1774</v>
      </c>
      <c r="L210" s="68" t="s">
        <v>1775</v>
      </c>
      <c r="M210" s="68" t="s">
        <v>1776</v>
      </c>
      <c r="N210" s="67">
        <v>21.482869000000001</v>
      </c>
      <c r="O210" s="67">
        <v>92.195273</v>
      </c>
      <c r="P210" s="74">
        <v>350</v>
      </c>
      <c r="Q210" s="74"/>
      <c r="R210" s="18"/>
      <c r="S210" s="18"/>
      <c r="T210" s="27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17"/>
      <c r="AH210" s="24"/>
      <c r="AI210" s="25"/>
      <c r="AJ210" s="25"/>
    </row>
    <row r="211" spans="1:36" ht="15.6" x14ac:dyDescent="0.3">
      <c r="A211" s="63">
        <v>205</v>
      </c>
      <c r="B211" s="102" t="s">
        <v>3520</v>
      </c>
      <c r="C211" s="102" t="s">
        <v>3521</v>
      </c>
      <c r="D211" s="64" t="s">
        <v>119</v>
      </c>
      <c r="E211" s="68" t="s">
        <v>1203</v>
      </c>
      <c r="F211" s="68" t="s">
        <v>1208</v>
      </c>
      <c r="G211" s="68" t="s">
        <v>44</v>
      </c>
      <c r="H211" s="20"/>
      <c r="I211" s="20"/>
      <c r="J211" s="26"/>
      <c r="K211" s="68" t="s">
        <v>1777</v>
      </c>
      <c r="L211" s="68" t="s">
        <v>1778</v>
      </c>
      <c r="M211" s="68" t="s">
        <v>1779</v>
      </c>
      <c r="N211" s="67">
        <v>21.487380999999999</v>
      </c>
      <c r="O211" s="67">
        <v>92.199860000000001</v>
      </c>
      <c r="P211" s="74">
        <v>3000</v>
      </c>
      <c r="Q211" s="74"/>
      <c r="R211" s="18"/>
      <c r="S211" s="18"/>
      <c r="T211" s="27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17"/>
      <c r="AH211" s="24"/>
      <c r="AI211" s="25"/>
      <c r="AJ211" s="25"/>
    </row>
    <row r="212" spans="1:36" ht="15.6" x14ac:dyDescent="0.3">
      <c r="A212" s="63">
        <v>206</v>
      </c>
      <c r="B212" s="102" t="s">
        <v>3520</v>
      </c>
      <c r="C212" s="102" t="s">
        <v>3521</v>
      </c>
      <c r="D212" s="64" t="s">
        <v>119</v>
      </c>
      <c r="E212" s="68" t="s">
        <v>1203</v>
      </c>
      <c r="F212" s="68" t="s">
        <v>1208</v>
      </c>
      <c r="G212" s="68" t="s">
        <v>44</v>
      </c>
      <c r="H212" s="20"/>
      <c r="I212" s="20"/>
      <c r="J212" s="26"/>
      <c r="K212" s="68" t="s">
        <v>1780</v>
      </c>
      <c r="L212" s="68" t="s">
        <v>1781</v>
      </c>
      <c r="M212" s="68" t="s">
        <v>1782</v>
      </c>
      <c r="N212" s="67">
        <v>21.471226999999999</v>
      </c>
      <c r="O212" s="67">
        <v>92.195817000000005</v>
      </c>
      <c r="P212" s="74">
        <v>600</v>
      </c>
      <c r="Q212" s="74"/>
      <c r="R212" s="18"/>
      <c r="S212" s="18"/>
      <c r="T212" s="27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17"/>
      <c r="AH212" s="24"/>
      <c r="AI212" s="25"/>
      <c r="AJ212" s="25"/>
    </row>
    <row r="213" spans="1:36" ht="15.6" x14ac:dyDescent="0.3">
      <c r="A213" s="63">
        <v>207</v>
      </c>
      <c r="B213" s="102" t="s">
        <v>3520</v>
      </c>
      <c r="C213" s="102" t="s">
        <v>3521</v>
      </c>
      <c r="D213" s="64" t="s">
        <v>119</v>
      </c>
      <c r="E213" s="68" t="s">
        <v>1203</v>
      </c>
      <c r="F213" s="68" t="s">
        <v>1208</v>
      </c>
      <c r="G213" s="68" t="s">
        <v>45</v>
      </c>
      <c r="H213" s="20"/>
      <c r="I213" s="20"/>
      <c r="J213" s="26"/>
      <c r="K213" s="68" t="s">
        <v>98</v>
      </c>
      <c r="L213" s="68" t="s">
        <v>1783</v>
      </c>
      <c r="M213" s="68" t="s">
        <v>1784</v>
      </c>
      <c r="N213" s="67">
        <v>21.455967999999999</v>
      </c>
      <c r="O213" s="67">
        <v>92.195019000000002</v>
      </c>
      <c r="P213" s="74">
        <v>1000</v>
      </c>
      <c r="Q213" s="74"/>
      <c r="R213" s="18"/>
      <c r="S213" s="18"/>
      <c r="T213" s="27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17"/>
      <c r="AH213" s="24"/>
      <c r="AI213" s="25"/>
      <c r="AJ213" s="25"/>
    </row>
    <row r="214" spans="1:36" ht="15.6" x14ac:dyDescent="0.3">
      <c r="A214" s="63">
        <v>208</v>
      </c>
      <c r="B214" s="102" t="s">
        <v>3520</v>
      </c>
      <c r="C214" s="102" t="s">
        <v>3521</v>
      </c>
      <c r="D214" s="64" t="s">
        <v>119</v>
      </c>
      <c r="E214" s="68" t="s">
        <v>1203</v>
      </c>
      <c r="F214" s="68" t="s">
        <v>1208</v>
      </c>
      <c r="G214" s="68" t="s">
        <v>45</v>
      </c>
      <c r="H214" s="20"/>
      <c r="I214" s="20"/>
      <c r="J214" s="26"/>
      <c r="K214" s="68" t="s">
        <v>1785</v>
      </c>
      <c r="L214" s="68" t="s">
        <v>1786</v>
      </c>
      <c r="M214" s="68" t="s">
        <v>1787</v>
      </c>
      <c r="N214" s="67">
        <v>21.459225</v>
      </c>
      <c r="O214" s="67">
        <v>92.188593999999995</v>
      </c>
      <c r="P214" s="74">
        <v>500</v>
      </c>
      <c r="Q214" s="74"/>
      <c r="R214" s="18"/>
      <c r="S214" s="18"/>
      <c r="T214" s="27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17"/>
      <c r="AH214" s="24"/>
      <c r="AI214" s="25"/>
      <c r="AJ214" s="25"/>
    </row>
    <row r="215" spans="1:36" ht="15.6" x14ac:dyDescent="0.3">
      <c r="A215" s="63">
        <v>209</v>
      </c>
      <c r="B215" s="102" t="s">
        <v>3520</v>
      </c>
      <c r="C215" s="102" t="s">
        <v>3521</v>
      </c>
      <c r="D215" s="64" t="s">
        <v>119</v>
      </c>
      <c r="E215" s="68" t="s">
        <v>1203</v>
      </c>
      <c r="F215" s="68" t="s">
        <v>1208</v>
      </c>
      <c r="G215" s="68" t="s">
        <v>45</v>
      </c>
      <c r="H215" s="20"/>
      <c r="I215" s="20"/>
      <c r="J215" s="26"/>
      <c r="K215" s="68" t="s">
        <v>1788</v>
      </c>
      <c r="L215" s="68" t="s">
        <v>1789</v>
      </c>
      <c r="M215" s="68" t="s">
        <v>1790</v>
      </c>
      <c r="N215" s="67">
        <v>21.464357</v>
      </c>
      <c r="O215" s="67">
        <v>92.182456000000002</v>
      </c>
      <c r="P215" s="74">
        <v>250</v>
      </c>
      <c r="Q215" s="74"/>
      <c r="R215" s="18"/>
      <c r="S215" s="18"/>
      <c r="T215" s="27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17"/>
      <c r="AH215" s="24"/>
      <c r="AI215" s="25"/>
      <c r="AJ215" s="25"/>
    </row>
    <row r="216" spans="1:36" ht="15.6" x14ac:dyDescent="0.3">
      <c r="A216" s="63">
        <v>210</v>
      </c>
      <c r="B216" s="102" t="s">
        <v>3520</v>
      </c>
      <c r="C216" s="102" t="s">
        <v>3521</v>
      </c>
      <c r="D216" s="64" t="s">
        <v>119</v>
      </c>
      <c r="E216" s="68" t="s">
        <v>1203</v>
      </c>
      <c r="F216" s="68" t="s">
        <v>1208</v>
      </c>
      <c r="G216" s="68" t="s">
        <v>45</v>
      </c>
      <c r="H216" s="20"/>
      <c r="I216" s="20"/>
      <c r="J216" s="26"/>
      <c r="K216" s="68" t="s">
        <v>1791</v>
      </c>
      <c r="L216" s="68" t="s">
        <v>1792</v>
      </c>
      <c r="M216" s="68" t="s">
        <v>1793</v>
      </c>
      <c r="N216" s="67">
        <v>21.460756</v>
      </c>
      <c r="O216" s="67">
        <v>92.190520000000006</v>
      </c>
      <c r="P216" s="74">
        <v>2500</v>
      </c>
      <c r="Q216" s="74"/>
      <c r="R216" s="18"/>
      <c r="S216" s="18"/>
      <c r="T216" s="22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17"/>
      <c r="AH216" s="24"/>
      <c r="AI216" s="25"/>
      <c r="AJ216" s="25"/>
    </row>
    <row r="217" spans="1:36" ht="15.6" x14ac:dyDescent="0.3">
      <c r="A217" s="63">
        <v>211</v>
      </c>
      <c r="B217" s="102" t="s">
        <v>3520</v>
      </c>
      <c r="C217" s="102" t="s">
        <v>3521</v>
      </c>
      <c r="D217" s="64" t="s">
        <v>119</v>
      </c>
      <c r="E217" s="68" t="s">
        <v>1203</v>
      </c>
      <c r="F217" s="68" t="s">
        <v>1208</v>
      </c>
      <c r="G217" s="68" t="s">
        <v>45</v>
      </c>
      <c r="H217" s="20"/>
      <c r="I217" s="20"/>
      <c r="J217" s="26"/>
      <c r="K217" s="68" t="s">
        <v>1794</v>
      </c>
      <c r="L217" s="68" t="s">
        <v>1795</v>
      </c>
      <c r="M217" s="68" t="s">
        <v>1796</v>
      </c>
      <c r="N217" s="67">
        <v>21.464448999999998</v>
      </c>
      <c r="O217" s="67">
        <v>92.194481999999994</v>
      </c>
      <c r="P217" s="74">
        <v>3800</v>
      </c>
      <c r="Q217" s="74"/>
      <c r="R217" s="18"/>
      <c r="S217" s="18"/>
      <c r="T217" s="27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17"/>
      <c r="AH217" s="24"/>
      <c r="AI217" s="25"/>
      <c r="AJ217" s="25"/>
    </row>
    <row r="218" spans="1:36" ht="15.6" x14ac:dyDescent="0.3">
      <c r="A218" s="63">
        <v>212</v>
      </c>
      <c r="B218" s="102" t="s">
        <v>3520</v>
      </c>
      <c r="C218" s="102" t="s">
        <v>3521</v>
      </c>
      <c r="D218" s="64" t="s">
        <v>119</v>
      </c>
      <c r="E218" s="68" t="s">
        <v>1203</v>
      </c>
      <c r="F218" s="68" t="s">
        <v>1208</v>
      </c>
      <c r="G218" s="68" t="s">
        <v>46</v>
      </c>
      <c r="H218" s="20"/>
      <c r="I218" s="20"/>
      <c r="J218" s="26"/>
      <c r="K218" s="68" t="s">
        <v>1797</v>
      </c>
      <c r="L218" s="68" t="s">
        <v>1798</v>
      </c>
      <c r="M218" s="68" t="s">
        <v>1799</v>
      </c>
      <c r="N218" s="67">
        <v>21.461182999999998</v>
      </c>
      <c r="O218" s="67">
        <v>92.207818000000003</v>
      </c>
      <c r="P218" s="74">
        <v>2000</v>
      </c>
      <c r="Q218" s="74"/>
      <c r="R218" s="18"/>
      <c r="S218" s="18"/>
      <c r="T218" s="27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17"/>
      <c r="AH218" s="24"/>
      <c r="AI218" s="25"/>
      <c r="AJ218" s="25"/>
    </row>
    <row r="219" spans="1:36" ht="15.6" x14ac:dyDescent="0.3">
      <c r="A219" s="63">
        <v>213</v>
      </c>
      <c r="B219" s="102" t="s">
        <v>3520</v>
      </c>
      <c r="C219" s="102" t="s">
        <v>3521</v>
      </c>
      <c r="D219" s="64" t="s">
        <v>119</v>
      </c>
      <c r="E219" s="68" t="s">
        <v>1203</v>
      </c>
      <c r="F219" s="68" t="s">
        <v>1208</v>
      </c>
      <c r="G219" s="68" t="s">
        <v>46</v>
      </c>
      <c r="H219" s="20"/>
      <c r="I219" s="20"/>
      <c r="J219" s="26"/>
      <c r="K219" s="68" t="s">
        <v>1800</v>
      </c>
      <c r="L219" s="69" t="s">
        <v>1801</v>
      </c>
      <c r="M219" s="68" t="s">
        <v>1802</v>
      </c>
      <c r="N219" s="67">
        <v>21.465923</v>
      </c>
      <c r="O219" s="67">
        <v>92.209475999999995</v>
      </c>
      <c r="P219" s="74">
        <v>1200</v>
      </c>
      <c r="Q219" s="74"/>
      <c r="R219" s="18"/>
      <c r="S219" s="18"/>
      <c r="T219" s="27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17"/>
      <c r="AH219" s="24"/>
      <c r="AI219" s="25"/>
      <c r="AJ219" s="25"/>
    </row>
    <row r="220" spans="1:36" ht="15.6" x14ac:dyDescent="0.3">
      <c r="A220" s="63">
        <v>214</v>
      </c>
      <c r="B220" s="102" t="s">
        <v>3520</v>
      </c>
      <c r="C220" s="102" t="s">
        <v>3521</v>
      </c>
      <c r="D220" s="64" t="s">
        <v>119</v>
      </c>
      <c r="E220" s="68" t="s">
        <v>1203</v>
      </c>
      <c r="F220" s="68" t="s">
        <v>1208</v>
      </c>
      <c r="G220" s="68" t="s">
        <v>46</v>
      </c>
      <c r="H220" s="20"/>
      <c r="I220" s="20"/>
      <c r="J220" s="26"/>
      <c r="K220" s="75" t="s">
        <v>1803</v>
      </c>
      <c r="L220" s="68" t="s">
        <v>1804</v>
      </c>
      <c r="M220" s="68" t="s">
        <v>1805</v>
      </c>
      <c r="N220" s="67">
        <v>21.467911000000001</v>
      </c>
      <c r="O220" s="67">
        <v>92.211635000000001</v>
      </c>
      <c r="P220" s="74">
        <v>1300</v>
      </c>
      <c r="Q220" s="74"/>
      <c r="R220" s="18"/>
      <c r="S220" s="18"/>
      <c r="T220" s="27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17"/>
      <c r="AH220" s="24"/>
      <c r="AI220" s="25"/>
      <c r="AJ220" s="25"/>
    </row>
    <row r="221" spans="1:36" ht="15.6" x14ac:dyDescent="0.3">
      <c r="A221" s="63">
        <v>215</v>
      </c>
      <c r="B221" s="102" t="s">
        <v>3520</v>
      </c>
      <c r="C221" s="102" t="s">
        <v>3521</v>
      </c>
      <c r="D221" s="64" t="s">
        <v>119</v>
      </c>
      <c r="E221" s="68" t="s">
        <v>1203</v>
      </c>
      <c r="F221" s="68" t="s">
        <v>1208</v>
      </c>
      <c r="G221" s="68" t="s">
        <v>46</v>
      </c>
      <c r="H221" s="20"/>
      <c r="I221" s="20"/>
      <c r="J221" s="26"/>
      <c r="K221" s="68" t="s">
        <v>1806</v>
      </c>
      <c r="L221" s="68" t="s">
        <v>1807</v>
      </c>
      <c r="M221" s="68" t="s">
        <v>1808</v>
      </c>
      <c r="N221" s="67">
        <v>21.471036999999999</v>
      </c>
      <c r="O221" s="67">
        <v>92.210290000000001</v>
      </c>
      <c r="P221" s="74">
        <v>3000</v>
      </c>
      <c r="Q221" s="74"/>
      <c r="R221" s="18"/>
      <c r="S221" s="18"/>
      <c r="T221" s="27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17"/>
      <c r="AH221" s="24"/>
      <c r="AI221" s="25"/>
      <c r="AJ221" s="25"/>
    </row>
    <row r="222" spans="1:36" ht="15.6" x14ac:dyDescent="0.3">
      <c r="A222" s="63">
        <v>216</v>
      </c>
      <c r="B222" s="102" t="s">
        <v>3520</v>
      </c>
      <c r="C222" s="102" t="s">
        <v>3521</v>
      </c>
      <c r="D222" s="64" t="s">
        <v>119</v>
      </c>
      <c r="E222" s="68" t="s">
        <v>1203</v>
      </c>
      <c r="F222" s="68" t="s">
        <v>1208</v>
      </c>
      <c r="G222" s="68" t="s">
        <v>47</v>
      </c>
      <c r="H222" s="20"/>
      <c r="I222" s="20"/>
      <c r="J222" s="26"/>
      <c r="K222" s="68" t="s">
        <v>1809</v>
      </c>
      <c r="L222" s="68" t="s">
        <v>1810</v>
      </c>
      <c r="M222" s="68" t="s">
        <v>1811</v>
      </c>
      <c r="N222" s="67">
        <v>21.450396999999999</v>
      </c>
      <c r="O222" s="67">
        <v>92.199010999999999</v>
      </c>
      <c r="P222" s="74">
        <v>800</v>
      </c>
      <c r="Q222" s="74"/>
      <c r="R222" s="18"/>
      <c r="S222" s="18"/>
      <c r="T222" s="27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17"/>
      <c r="AH222" s="24"/>
      <c r="AI222" s="25"/>
      <c r="AJ222" s="25"/>
    </row>
    <row r="223" spans="1:36" ht="15.6" x14ac:dyDescent="0.3">
      <c r="A223" s="63">
        <v>217</v>
      </c>
      <c r="B223" s="102" t="s">
        <v>3520</v>
      </c>
      <c r="C223" s="102" t="s">
        <v>3521</v>
      </c>
      <c r="D223" s="64" t="s">
        <v>119</v>
      </c>
      <c r="E223" s="68" t="s">
        <v>1203</v>
      </c>
      <c r="F223" s="68" t="s">
        <v>1208</v>
      </c>
      <c r="G223" s="68" t="s">
        <v>47</v>
      </c>
      <c r="H223" s="20"/>
      <c r="I223" s="20"/>
      <c r="J223" s="26"/>
      <c r="K223" s="68" t="s">
        <v>1812</v>
      </c>
      <c r="L223" s="68" t="s">
        <v>1813</v>
      </c>
      <c r="M223" s="68" t="s">
        <v>1814</v>
      </c>
      <c r="N223" s="67">
        <v>21.451256999999998</v>
      </c>
      <c r="O223" s="67">
        <v>92.200834</v>
      </c>
      <c r="P223" s="74">
        <v>700</v>
      </c>
      <c r="Q223" s="74"/>
      <c r="R223" s="18"/>
      <c r="S223" s="18"/>
      <c r="T223" s="27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17"/>
      <c r="AH223" s="24"/>
      <c r="AI223" s="25"/>
      <c r="AJ223" s="25"/>
    </row>
    <row r="224" spans="1:36" ht="15.6" x14ac:dyDescent="0.3">
      <c r="A224" s="63">
        <v>218</v>
      </c>
      <c r="B224" s="102" t="s">
        <v>3520</v>
      </c>
      <c r="C224" s="102" t="s">
        <v>3521</v>
      </c>
      <c r="D224" s="64" t="s">
        <v>119</v>
      </c>
      <c r="E224" s="68" t="s">
        <v>1203</v>
      </c>
      <c r="F224" s="68" t="s">
        <v>1208</v>
      </c>
      <c r="G224" s="68" t="s">
        <v>47</v>
      </c>
      <c r="H224" s="20"/>
      <c r="I224" s="20"/>
      <c r="J224" s="26"/>
      <c r="K224" s="68" t="s">
        <v>1815</v>
      </c>
      <c r="L224" s="68" t="s">
        <v>1816</v>
      </c>
      <c r="M224" s="68" t="s">
        <v>1817</v>
      </c>
      <c r="N224" s="67">
        <v>21.454443000000001</v>
      </c>
      <c r="O224" s="67">
        <v>92.201027999999994</v>
      </c>
      <c r="P224" s="74">
        <v>750</v>
      </c>
      <c r="Q224" s="74"/>
      <c r="R224" s="18"/>
      <c r="S224" s="18"/>
      <c r="T224" s="27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17"/>
      <c r="AH224" s="24"/>
      <c r="AI224" s="25"/>
      <c r="AJ224" s="25"/>
    </row>
    <row r="225" spans="1:36" ht="15.6" x14ac:dyDescent="0.3">
      <c r="A225" s="63">
        <v>219</v>
      </c>
      <c r="B225" s="102" t="s">
        <v>3520</v>
      </c>
      <c r="C225" s="102" t="s">
        <v>3521</v>
      </c>
      <c r="D225" s="64" t="s">
        <v>119</v>
      </c>
      <c r="E225" s="68" t="s">
        <v>1203</v>
      </c>
      <c r="F225" s="68" t="s">
        <v>1208</v>
      </c>
      <c r="G225" s="68" t="s">
        <v>47</v>
      </c>
      <c r="H225" s="20"/>
      <c r="I225" s="20"/>
      <c r="J225" s="26"/>
      <c r="K225" s="75" t="s">
        <v>1818</v>
      </c>
      <c r="L225" s="68" t="s">
        <v>1819</v>
      </c>
      <c r="M225" s="68" t="s">
        <v>1820</v>
      </c>
      <c r="N225" s="67">
        <v>21.457412000000001</v>
      </c>
      <c r="O225" s="67">
        <v>92.204739000000004</v>
      </c>
      <c r="P225" s="74">
        <v>700</v>
      </c>
      <c r="Q225" s="74"/>
      <c r="R225" s="18"/>
      <c r="S225" s="18"/>
      <c r="T225" s="27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17"/>
      <c r="AH225" s="24"/>
      <c r="AI225" s="25"/>
      <c r="AJ225" s="25"/>
    </row>
    <row r="226" spans="1:36" ht="15.6" x14ac:dyDescent="0.3">
      <c r="A226" s="63">
        <v>220</v>
      </c>
      <c r="B226" s="102" t="s">
        <v>3520</v>
      </c>
      <c r="C226" s="102" t="s">
        <v>3521</v>
      </c>
      <c r="D226" s="64" t="s">
        <v>119</v>
      </c>
      <c r="E226" s="68" t="s">
        <v>1203</v>
      </c>
      <c r="F226" s="68" t="s">
        <v>1208</v>
      </c>
      <c r="G226" s="68" t="s">
        <v>48</v>
      </c>
      <c r="H226" s="20"/>
      <c r="I226" s="20"/>
      <c r="J226" s="26"/>
      <c r="K226" s="69" t="s">
        <v>1821</v>
      </c>
      <c r="L226" s="68" t="s">
        <v>1822</v>
      </c>
      <c r="M226" s="68" t="s">
        <v>1823</v>
      </c>
      <c r="N226" s="67">
        <v>21.448295999999999</v>
      </c>
      <c r="O226" s="67">
        <v>92.190191999999996</v>
      </c>
      <c r="P226" s="74">
        <v>2000</v>
      </c>
      <c r="Q226" s="74"/>
      <c r="R226" s="18"/>
      <c r="S226" s="18"/>
      <c r="T226" s="27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17"/>
      <c r="AH226" s="24"/>
      <c r="AI226" s="25"/>
      <c r="AJ226" s="25"/>
    </row>
    <row r="227" spans="1:36" ht="15.6" x14ac:dyDescent="0.3">
      <c r="A227" s="63">
        <v>221</v>
      </c>
      <c r="B227" s="102" t="s">
        <v>3520</v>
      </c>
      <c r="C227" s="102" t="s">
        <v>3521</v>
      </c>
      <c r="D227" s="64" t="s">
        <v>119</v>
      </c>
      <c r="E227" s="68" t="s">
        <v>1203</v>
      </c>
      <c r="F227" s="68" t="s">
        <v>1208</v>
      </c>
      <c r="G227" s="68" t="s">
        <v>48</v>
      </c>
      <c r="H227" s="20"/>
      <c r="I227" s="20"/>
      <c r="J227" s="26"/>
      <c r="K227" s="68" t="s">
        <v>1824</v>
      </c>
      <c r="L227" s="68" t="s">
        <v>1825</v>
      </c>
      <c r="M227" s="68" t="s">
        <v>1826</v>
      </c>
      <c r="N227" s="67">
        <v>21.450405</v>
      </c>
      <c r="O227" s="67">
        <v>92.196143000000006</v>
      </c>
      <c r="P227" s="74">
        <v>950</v>
      </c>
      <c r="Q227" s="74"/>
      <c r="R227" s="18"/>
      <c r="S227" s="18"/>
      <c r="T227" s="27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17"/>
      <c r="AH227" s="24"/>
      <c r="AI227" s="25"/>
      <c r="AJ227" s="25"/>
    </row>
    <row r="228" spans="1:36" ht="15.6" x14ac:dyDescent="0.3">
      <c r="A228" s="63">
        <v>222</v>
      </c>
      <c r="B228" s="102" t="s">
        <v>3520</v>
      </c>
      <c r="C228" s="102" t="s">
        <v>3521</v>
      </c>
      <c r="D228" s="64" t="s">
        <v>119</v>
      </c>
      <c r="E228" s="68" t="s">
        <v>1203</v>
      </c>
      <c r="F228" s="68" t="s">
        <v>1208</v>
      </c>
      <c r="G228" s="68" t="s">
        <v>48</v>
      </c>
      <c r="H228" s="20"/>
      <c r="I228" s="20"/>
      <c r="J228" s="26"/>
      <c r="K228" s="68" t="s">
        <v>1827</v>
      </c>
      <c r="L228" s="68" t="s">
        <v>1828</v>
      </c>
      <c r="M228" s="68" t="s">
        <v>1829</v>
      </c>
      <c r="N228" s="67">
        <v>21.454324</v>
      </c>
      <c r="O228" s="67">
        <v>92.197252000000006</v>
      </c>
      <c r="P228" s="74">
        <v>480</v>
      </c>
      <c r="Q228" s="74"/>
      <c r="R228" s="18"/>
      <c r="S228" s="18"/>
      <c r="T228" s="27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17"/>
      <c r="AH228" s="24"/>
      <c r="AI228" s="25"/>
      <c r="AJ228" s="25"/>
    </row>
    <row r="229" spans="1:36" ht="15.6" x14ac:dyDescent="0.3">
      <c r="A229" s="63">
        <v>223</v>
      </c>
      <c r="B229" s="102" t="s">
        <v>3520</v>
      </c>
      <c r="C229" s="102" t="s">
        <v>3521</v>
      </c>
      <c r="D229" s="64" t="s">
        <v>119</v>
      </c>
      <c r="E229" s="68" t="s">
        <v>1203</v>
      </c>
      <c r="F229" s="68" t="s">
        <v>1208</v>
      </c>
      <c r="G229" s="68" t="s">
        <v>48</v>
      </c>
      <c r="H229" s="20"/>
      <c r="I229" s="20"/>
      <c r="J229" s="26"/>
      <c r="K229" s="68" t="s">
        <v>1830</v>
      </c>
      <c r="L229" s="68" t="s">
        <v>1831</v>
      </c>
      <c r="M229" s="68" t="s">
        <v>1832</v>
      </c>
      <c r="N229" s="67">
        <v>21.457902000000001</v>
      </c>
      <c r="O229" s="67">
        <v>92.192122999999995</v>
      </c>
      <c r="P229" s="74">
        <v>430</v>
      </c>
      <c r="Q229" s="74"/>
      <c r="R229" s="18"/>
      <c r="S229" s="18"/>
      <c r="T229" s="27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17"/>
      <c r="AH229" s="24"/>
      <c r="AI229" s="25"/>
      <c r="AJ229" s="25"/>
    </row>
    <row r="230" spans="1:36" ht="15.6" x14ac:dyDescent="0.3">
      <c r="A230" s="63">
        <v>224</v>
      </c>
      <c r="B230" s="102" t="s">
        <v>3520</v>
      </c>
      <c r="C230" s="102" t="s">
        <v>3521</v>
      </c>
      <c r="D230" s="64" t="s">
        <v>119</v>
      </c>
      <c r="E230" s="68" t="s">
        <v>1203</v>
      </c>
      <c r="F230" s="68" t="s">
        <v>1208</v>
      </c>
      <c r="G230" s="68" t="s">
        <v>49</v>
      </c>
      <c r="H230" s="20"/>
      <c r="I230" s="20"/>
      <c r="J230" s="26"/>
      <c r="K230" s="68" t="s">
        <v>1833</v>
      </c>
      <c r="L230" s="68" t="s">
        <v>1834</v>
      </c>
      <c r="M230" s="68" t="s">
        <v>1835</v>
      </c>
      <c r="N230" s="67">
        <v>21.449245000000001</v>
      </c>
      <c r="O230" s="67">
        <v>92.177064999999999</v>
      </c>
      <c r="P230" s="74">
        <v>2500</v>
      </c>
      <c r="Q230" s="74"/>
      <c r="R230" s="18"/>
      <c r="S230" s="18"/>
      <c r="T230" s="27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17"/>
      <c r="AH230" s="24"/>
      <c r="AI230" s="25"/>
      <c r="AJ230" s="25"/>
    </row>
    <row r="231" spans="1:36" ht="15.6" x14ac:dyDescent="0.3">
      <c r="A231" s="63">
        <v>225</v>
      </c>
      <c r="B231" s="102" t="s">
        <v>3520</v>
      </c>
      <c r="C231" s="102" t="s">
        <v>3521</v>
      </c>
      <c r="D231" s="64" t="s">
        <v>119</v>
      </c>
      <c r="E231" s="68" t="s">
        <v>1203</v>
      </c>
      <c r="F231" s="68" t="s">
        <v>1208</v>
      </c>
      <c r="G231" s="68" t="s">
        <v>49</v>
      </c>
      <c r="H231" s="20"/>
      <c r="I231" s="20"/>
      <c r="J231" s="26"/>
      <c r="K231" s="68" t="s">
        <v>1836</v>
      </c>
      <c r="L231" s="68" t="s">
        <v>1837</v>
      </c>
      <c r="M231" s="68" t="s">
        <v>1838</v>
      </c>
      <c r="N231" s="67">
        <v>21.447075000000002</v>
      </c>
      <c r="O231" s="67">
        <v>92.170452999999995</v>
      </c>
      <c r="P231" s="74">
        <v>500</v>
      </c>
      <c r="Q231" s="74"/>
      <c r="R231" s="18"/>
      <c r="S231" s="18"/>
      <c r="T231" s="27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17"/>
      <c r="AH231" s="24"/>
      <c r="AI231" s="25"/>
      <c r="AJ231" s="25"/>
    </row>
    <row r="232" spans="1:36" ht="15.6" x14ac:dyDescent="0.3">
      <c r="A232" s="63">
        <v>226</v>
      </c>
      <c r="B232" s="102" t="s">
        <v>3520</v>
      </c>
      <c r="C232" s="102" t="s">
        <v>3521</v>
      </c>
      <c r="D232" s="64" t="s">
        <v>119</v>
      </c>
      <c r="E232" s="68" t="s">
        <v>1203</v>
      </c>
      <c r="F232" s="68" t="s">
        <v>1208</v>
      </c>
      <c r="G232" s="68" t="s">
        <v>49</v>
      </c>
      <c r="H232" s="20"/>
      <c r="I232" s="20"/>
      <c r="J232" s="26"/>
      <c r="K232" s="69" t="s">
        <v>1839</v>
      </c>
      <c r="L232" s="68" t="s">
        <v>1840</v>
      </c>
      <c r="M232" s="68" t="s">
        <v>1841</v>
      </c>
      <c r="N232" s="67">
        <v>21.451388000000001</v>
      </c>
      <c r="O232" s="67">
        <v>92.182084000000003</v>
      </c>
      <c r="P232" s="74">
        <v>280</v>
      </c>
      <c r="Q232" s="74"/>
      <c r="R232" s="18"/>
      <c r="S232" s="18"/>
      <c r="T232" s="27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17"/>
      <c r="AH232" s="24"/>
      <c r="AI232" s="25"/>
      <c r="AJ232" s="25"/>
    </row>
    <row r="233" spans="1:36" ht="15.6" x14ac:dyDescent="0.3">
      <c r="A233" s="63">
        <v>227</v>
      </c>
      <c r="B233" s="102" t="s">
        <v>3520</v>
      </c>
      <c r="C233" s="102" t="s">
        <v>3521</v>
      </c>
      <c r="D233" s="64" t="s">
        <v>119</v>
      </c>
      <c r="E233" s="68" t="s">
        <v>1203</v>
      </c>
      <c r="F233" s="68" t="s">
        <v>1209</v>
      </c>
      <c r="G233" s="68" t="s">
        <v>41</v>
      </c>
      <c r="H233" s="20"/>
      <c r="I233" s="20"/>
      <c r="J233" s="26"/>
      <c r="K233" s="69" t="s">
        <v>1842</v>
      </c>
      <c r="L233" s="68" t="s">
        <v>1843</v>
      </c>
      <c r="M233" s="68" t="s">
        <v>1844</v>
      </c>
      <c r="N233" s="67">
        <v>21.445401</v>
      </c>
      <c r="O233" s="67">
        <v>92.089626999999993</v>
      </c>
      <c r="P233" s="68">
        <v>500</v>
      </c>
      <c r="Q233" s="68"/>
      <c r="R233" s="18"/>
      <c r="S233" s="18"/>
      <c r="T233" s="27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17"/>
      <c r="AH233" s="24"/>
      <c r="AI233" s="25"/>
      <c r="AJ233" s="25"/>
    </row>
    <row r="234" spans="1:36" ht="15.6" x14ac:dyDescent="0.3">
      <c r="A234" s="63">
        <v>228</v>
      </c>
      <c r="B234" s="102" t="s">
        <v>3520</v>
      </c>
      <c r="C234" s="102" t="s">
        <v>3521</v>
      </c>
      <c r="D234" s="64" t="s">
        <v>119</v>
      </c>
      <c r="E234" s="68" t="s">
        <v>1203</v>
      </c>
      <c r="F234" s="68" t="s">
        <v>1209</v>
      </c>
      <c r="G234" s="68" t="s">
        <v>41</v>
      </c>
      <c r="H234" s="20"/>
      <c r="I234" s="20"/>
      <c r="J234" s="26"/>
      <c r="K234" s="69" t="s">
        <v>1845</v>
      </c>
      <c r="L234" s="68" t="s">
        <v>1846</v>
      </c>
      <c r="M234" s="68" t="s">
        <v>1847</v>
      </c>
      <c r="N234" s="67">
        <v>21.447403999999999</v>
      </c>
      <c r="O234" s="67">
        <v>92.086673000000005</v>
      </c>
      <c r="P234" s="68">
        <v>250</v>
      </c>
      <c r="Q234" s="68"/>
      <c r="R234" s="18"/>
      <c r="S234" s="18"/>
      <c r="T234" s="27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17"/>
      <c r="AH234" s="24"/>
      <c r="AI234" s="25"/>
      <c r="AJ234" s="25"/>
    </row>
    <row r="235" spans="1:36" ht="15.6" x14ac:dyDescent="0.3">
      <c r="A235" s="63">
        <v>229</v>
      </c>
      <c r="B235" s="102" t="s">
        <v>3520</v>
      </c>
      <c r="C235" s="102" t="s">
        <v>3521</v>
      </c>
      <c r="D235" s="64" t="s">
        <v>119</v>
      </c>
      <c r="E235" s="68" t="s">
        <v>1203</v>
      </c>
      <c r="F235" s="68" t="s">
        <v>1209</v>
      </c>
      <c r="G235" s="68" t="s">
        <v>41</v>
      </c>
      <c r="H235" s="20"/>
      <c r="I235" s="20"/>
      <c r="J235" s="26"/>
      <c r="K235" s="69" t="s">
        <v>1848</v>
      </c>
      <c r="L235" s="68" t="s">
        <v>1849</v>
      </c>
      <c r="M235" s="68" t="s">
        <v>1850</v>
      </c>
      <c r="N235" s="67">
        <v>21.447952000000001</v>
      </c>
      <c r="O235" s="67">
        <v>92.089759999999998</v>
      </c>
      <c r="P235" s="68">
        <v>600</v>
      </c>
      <c r="Q235" s="68"/>
      <c r="R235" s="18"/>
      <c r="S235" s="18"/>
      <c r="T235" s="27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17"/>
      <c r="AH235" s="24"/>
      <c r="AI235" s="25"/>
      <c r="AJ235" s="25"/>
    </row>
    <row r="236" spans="1:36" ht="15.6" x14ac:dyDescent="0.3">
      <c r="A236" s="63">
        <v>230</v>
      </c>
      <c r="B236" s="102" t="s">
        <v>3520</v>
      </c>
      <c r="C236" s="102" t="s">
        <v>3521</v>
      </c>
      <c r="D236" s="64" t="s">
        <v>119</v>
      </c>
      <c r="E236" s="68" t="s">
        <v>1203</v>
      </c>
      <c r="F236" s="68" t="s">
        <v>1209</v>
      </c>
      <c r="G236" s="68" t="s">
        <v>41</v>
      </c>
      <c r="H236" s="20"/>
      <c r="I236" s="20"/>
      <c r="J236" s="26"/>
      <c r="K236" s="69" t="s">
        <v>1851</v>
      </c>
      <c r="L236" s="68" t="s">
        <v>1852</v>
      </c>
      <c r="M236" s="68" t="s">
        <v>1853</v>
      </c>
      <c r="N236" s="67">
        <v>21.449774999999999</v>
      </c>
      <c r="O236" s="67">
        <v>92.088840000000005</v>
      </c>
      <c r="P236" s="68">
        <v>1000</v>
      </c>
      <c r="Q236" s="68"/>
      <c r="R236" s="18"/>
      <c r="S236" s="18"/>
      <c r="T236" s="27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17"/>
      <c r="AH236" s="24"/>
      <c r="AI236" s="25"/>
      <c r="AJ236" s="25"/>
    </row>
    <row r="237" spans="1:36" ht="15.6" x14ac:dyDescent="0.3">
      <c r="A237" s="63">
        <v>231</v>
      </c>
      <c r="B237" s="102" t="s">
        <v>3520</v>
      </c>
      <c r="C237" s="102" t="s">
        <v>3521</v>
      </c>
      <c r="D237" s="64" t="s">
        <v>119</v>
      </c>
      <c r="E237" s="68" t="s">
        <v>1203</v>
      </c>
      <c r="F237" s="68" t="s">
        <v>1209</v>
      </c>
      <c r="G237" s="68" t="s">
        <v>41</v>
      </c>
      <c r="H237" s="20"/>
      <c r="I237" s="20"/>
      <c r="J237" s="26"/>
      <c r="K237" s="69" t="s">
        <v>1854</v>
      </c>
      <c r="L237" s="68" t="s">
        <v>1855</v>
      </c>
      <c r="M237" s="68" t="s">
        <v>1856</v>
      </c>
      <c r="N237" s="67">
        <v>21.448263000000001</v>
      </c>
      <c r="O237" s="67">
        <v>92.091938999999996</v>
      </c>
      <c r="P237" s="68">
        <v>1000</v>
      </c>
      <c r="Q237" s="68"/>
      <c r="R237" s="18"/>
      <c r="S237" s="18"/>
      <c r="T237" s="27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17"/>
      <c r="AH237" s="24"/>
      <c r="AI237" s="25"/>
      <c r="AJ237" s="25"/>
    </row>
    <row r="238" spans="1:36" ht="15.6" x14ac:dyDescent="0.3">
      <c r="A238" s="63">
        <v>232</v>
      </c>
      <c r="B238" s="102" t="s">
        <v>3520</v>
      </c>
      <c r="C238" s="102" t="s">
        <v>3521</v>
      </c>
      <c r="D238" s="64" t="s">
        <v>119</v>
      </c>
      <c r="E238" s="68" t="s">
        <v>1203</v>
      </c>
      <c r="F238" s="68" t="s">
        <v>1209</v>
      </c>
      <c r="G238" s="68" t="s">
        <v>41</v>
      </c>
      <c r="H238" s="20"/>
      <c r="I238" s="20"/>
      <c r="J238" s="26"/>
      <c r="K238" s="69" t="s">
        <v>1857</v>
      </c>
      <c r="L238" s="68" t="s">
        <v>1858</v>
      </c>
      <c r="M238" s="68" t="s">
        <v>1859</v>
      </c>
      <c r="N238" s="67">
        <v>21.453745999999999</v>
      </c>
      <c r="O238" s="67">
        <v>92.082164000000006</v>
      </c>
      <c r="P238" s="68">
        <v>2500</v>
      </c>
      <c r="Q238" s="68"/>
      <c r="R238" s="18"/>
      <c r="S238" s="18"/>
      <c r="T238" s="27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17"/>
      <c r="AH238" s="24"/>
      <c r="AI238" s="25"/>
      <c r="AJ238" s="25"/>
    </row>
    <row r="239" spans="1:36" ht="15.6" x14ac:dyDescent="0.3">
      <c r="A239" s="63">
        <v>233</v>
      </c>
      <c r="B239" s="102" t="s">
        <v>3520</v>
      </c>
      <c r="C239" s="102" t="s">
        <v>3521</v>
      </c>
      <c r="D239" s="64" t="s">
        <v>119</v>
      </c>
      <c r="E239" s="68" t="s">
        <v>1203</v>
      </c>
      <c r="F239" s="68" t="s">
        <v>1209</v>
      </c>
      <c r="G239" s="68" t="s">
        <v>42</v>
      </c>
      <c r="H239" s="20"/>
      <c r="I239" s="20"/>
      <c r="J239" s="26"/>
      <c r="K239" s="69" t="s">
        <v>1854</v>
      </c>
      <c r="L239" s="68" t="s">
        <v>1855</v>
      </c>
      <c r="M239" s="68" t="s">
        <v>1860</v>
      </c>
      <c r="N239" s="67">
        <v>21.453824000000001</v>
      </c>
      <c r="O239" s="67">
        <v>92.097181000000006</v>
      </c>
      <c r="P239" s="68">
        <v>3000</v>
      </c>
      <c r="Q239" s="68"/>
      <c r="R239" s="18"/>
      <c r="S239" s="18"/>
      <c r="T239" s="27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17"/>
      <c r="AH239" s="24"/>
      <c r="AI239" s="25"/>
      <c r="AJ239" s="25"/>
    </row>
    <row r="240" spans="1:36" ht="15.6" x14ac:dyDescent="0.3">
      <c r="A240" s="63">
        <v>234</v>
      </c>
      <c r="B240" s="102" t="s">
        <v>3520</v>
      </c>
      <c r="C240" s="102" t="s">
        <v>3521</v>
      </c>
      <c r="D240" s="64" t="s">
        <v>119</v>
      </c>
      <c r="E240" s="68" t="s">
        <v>1203</v>
      </c>
      <c r="F240" s="68" t="s">
        <v>1209</v>
      </c>
      <c r="G240" s="68" t="s">
        <v>42</v>
      </c>
      <c r="H240" s="20"/>
      <c r="I240" s="20"/>
      <c r="J240" s="26"/>
      <c r="K240" s="69" t="s">
        <v>1861</v>
      </c>
      <c r="L240" s="68" t="s">
        <v>1862</v>
      </c>
      <c r="M240" s="68" t="s">
        <v>1863</v>
      </c>
      <c r="N240" s="67">
        <v>21.450085999999999</v>
      </c>
      <c r="O240" s="67">
        <v>92.097514000000004</v>
      </c>
      <c r="P240" s="68">
        <v>500</v>
      </c>
      <c r="Q240" s="68"/>
      <c r="R240" s="18"/>
      <c r="S240" s="18"/>
      <c r="T240" s="27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17"/>
      <c r="AH240" s="24"/>
      <c r="AI240" s="25"/>
      <c r="AJ240" s="25"/>
    </row>
    <row r="241" spans="1:36" ht="15.6" x14ac:dyDescent="0.3">
      <c r="A241" s="63">
        <v>235</v>
      </c>
      <c r="B241" s="102" t="s">
        <v>3520</v>
      </c>
      <c r="C241" s="102" t="s">
        <v>3521</v>
      </c>
      <c r="D241" s="64" t="s">
        <v>119</v>
      </c>
      <c r="E241" s="68" t="s">
        <v>1203</v>
      </c>
      <c r="F241" s="68" t="s">
        <v>1209</v>
      </c>
      <c r="G241" s="68" t="s">
        <v>42</v>
      </c>
      <c r="H241" s="20"/>
      <c r="I241" s="20"/>
      <c r="J241" s="26"/>
      <c r="K241" s="69" t="s">
        <v>1864</v>
      </c>
      <c r="L241" s="68" t="s">
        <v>1865</v>
      </c>
      <c r="M241" s="68" t="s">
        <v>1866</v>
      </c>
      <c r="N241" s="67">
        <v>21.446335000000001</v>
      </c>
      <c r="O241" s="67">
        <v>92.09545</v>
      </c>
      <c r="P241" s="68">
        <v>2500</v>
      </c>
      <c r="Q241" s="68"/>
      <c r="R241" s="18"/>
      <c r="S241" s="18"/>
      <c r="T241" s="27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17"/>
      <c r="AH241" s="24"/>
      <c r="AI241" s="25"/>
      <c r="AJ241" s="25"/>
    </row>
    <row r="242" spans="1:36" ht="15.6" x14ac:dyDescent="0.3">
      <c r="A242" s="63">
        <v>236</v>
      </c>
      <c r="B242" s="102" t="s">
        <v>3520</v>
      </c>
      <c r="C242" s="102" t="s">
        <v>3521</v>
      </c>
      <c r="D242" s="64" t="s">
        <v>119</v>
      </c>
      <c r="E242" s="68" t="s">
        <v>1203</v>
      </c>
      <c r="F242" s="68" t="s">
        <v>1209</v>
      </c>
      <c r="G242" s="68" t="s">
        <v>42</v>
      </c>
      <c r="H242" s="20"/>
      <c r="I242" s="20"/>
      <c r="J242" s="26"/>
      <c r="K242" s="69" t="s">
        <v>1867</v>
      </c>
      <c r="L242" s="68" t="s">
        <v>1868</v>
      </c>
      <c r="M242" s="68" t="s">
        <v>1869</v>
      </c>
      <c r="N242" s="67">
        <v>21.44426</v>
      </c>
      <c r="O242" s="67">
        <v>92.098922999999999</v>
      </c>
      <c r="P242" s="68">
        <v>2000</v>
      </c>
      <c r="Q242" s="68"/>
      <c r="R242" s="18"/>
      <c r="S242" s="18"/>
      <c r="T242" s="27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17"/>
      <c r="AH242" s="24"/>
      <c r="AI242" s="25"/>
      <c r="AJ242" s="25"/>
    </row>
    <row r="243" spans="1:36" ht="15.6" x14ac:dyDescent="0.3">
      <c r="A243" s="63">
        <v>237</v>
      </c>
      <c r="B243" s="102" t="s">
        <v>3520</v>
      </c>
      <c r="C243" s="102" t="s">
        <v>3521</v>
      </c>
      <c r="D243" s="64" t="s">
        <v>119</v>
      </c>
      <c r="E243" s="68" t="s">
        <v>1203</v>
      </c>
      <c r="F243" s="68" t="s">
        <v>1209</v>
      </c>
      <c r="G243" s="68" t="s">
        <v>42</v>
      </c>
      <c r="H243" s="20"/>
      <c r="I243" s="20"/>
      <c r="J243" s="26"/>
      <c r="K243" s="68" t="s">
        <v>1870</v>
      </c>
      <c r="L243" s="68" t="s">
        <v>1871</v>
      </c>
      <c r="M243" s="68" t="s">
        <v>1872</v>
      </c>
      <c r="N243" s="67">
        <v>21.445898</v>
      </c>
      <c r="O243" s="67">
        <v>92.101737</v>
      </c>
      <c r="P243" s="68">
        <v>700</v>
      </c>
      <c r="Q243" s="68"/>
      <c r="R243" s="18"/>
      <c r="S243" s="18"/>
      <c r="T243" s="27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17"/>
      <c r="AH243" s="24"/>
      <c r="AI243" s="25"/>
      <c r="AJ243" s="25"/>
    </row>
    <row r="244" spans="1:36" ht="15.6" x14ac:dyDescent="0.3">
      <c r="A244" s="63">
        <v>238</v>
      </c>
      <c r="B244" s="102" t="s">
        <v>3520</v>
      </c>
      <c r="C244" s="102" t="s">
        <v>3521</v>
      </c>
      <c r="D244" s="64" t="s">
        <v>119</v>
      </c>
      <c r="E244" s="68" t="s">
        <v>1203</v>
      </c>
      <c r="F244" s="68" t="s">
        <v>1209</v>
      </c>
      <c r="G244" s="68" t="s">
        <v>43</v>
      </c>
      <c r="H244" s="20"/>
      <c r="I244" s="20"/>
      <c r="J244" s="26"/>
      <c r="K244" s="68" t="s">
        <v>1873</v>
      </c>
      <c r="L244" s="68" t="s">
        <v>1874</v>
      </c>
      <c r="M244" s="68" t="s">
        <v>1875</v>
      </c>
      <c r="N244" s="67">
        <v>21.480910000000002</v>
      </c>
      <c r="O244" s="67">
        <v>92.080545999999998</v>
      </c>
      <c r="P244" s="68">
        <v>6073</v>
      </c>
      <c r="Q244" s="68"/>
      <c r="R244" s="18"/>
      <c r="S244" s="18"/>
      <c r="T244" s="22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17"/>
      <c r="AH244" s="24"/>
      <c r="AI244" s="25"/>
      <c r="AJ244" s="25"/>
    </row>
    <row r="245" spans="1:36" ht="15.6" x14ac:dyDescent="0.3">
      <c r="A245" s="63">
        <v>239</v>
      </c>
      <c r="B245" s="102" t="s">
        <v>3520</v>
      </c>
      <c r="C245" s="102" t="s">
        <v>3521</v>
      </c>
      <c r="D245" s="64" t="s">
        <v>119</v>
      </c>
      <c r="E245" s="68" t="s">
        <v>1203</v>
      </c>
      <c r="F245" s="68" t="s">
        <v>1209</v>
      </c>
      <c r="G245" s="68" t="s">
        <v>43</v>
      </c>
      <c r="H245" s="20"/>
      <c r="I245" s="20"/>
      <c r="J245" s="26"/>
      <c r="K245" s="68" t="s">
        <v>1876</v>
      </c>
      <c r="L245" s="68" t="s">
        <v>1877</v>
      </c>
      <c r="M245" s="68" t="s">
        <v>1878</v>
      </c>
      <c r="N245" s="67">
        <v>21.476347000000001</v>
      </c>
      <c r="O245" s="67">
        <v>92.065787999999998</v>
      </c>
      <c r="P245" s="68">
        <v>2949</v>
      </c>
      <c r="Q245" s="68"/>
      <c r="R245" s="18"/>
      <c r="S245" s="18"/>
      <c r="T245" s="27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17"/>
      <c r="AH245" s="24"/>
      <c r="AI245" s="25"/>
      <c r="AJ245" s="25"/>
    </row>
    <row r="246" spans="1:36" ht="15.6" x14ac:dyDescent="0.3">
      <c r="A246" s="63">
        <v>240</v>
      </c>
      <c r="B246" s="102" t="s">
        <v>3520</v>
      </c>
      <c r="C246" s="102" t="s">
        <v>3521</v>
      </c>
      <c r="D246" s="64" t="s">
        <v>119</v>
      </c>
      <c r="E246" s="68" t="s">
        <v>1203</v>
      </c>
      <c r="F246" s="68" t="s">
        <v>1209</v>
      </c>
      <c r="G246" s="68" t="s">
        <v>43</v>
      </c>
      <c r="H246" s="20"/>
      <c r="I246" s="20"/>
      <c r="J246" s="28"/>
      <c r="K246" s="68" t="s">
        <v>1879</v>
      </c>
      <c r="L246" s="68" t="s">
        <v>1880</v>
      </c>
      <c r="M246" s="68" t="s">
        <v>1881</v>
      </c>
      <c r="N246" s="67">
        <v>21.469804</v>
      </c>
      <c r="O246" s="67">
        <v>92.070632000000003</v>
      </c>
      <c r="P246" s="68">
        <v>7010</v>
      </c>
      <c r="Q246" s="68"/>
      <c r="R246" s="18"/>
      <c r="S246" s="18"/>
      <c r="T246" s="27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17"/>
      <c r="AH246" s="24"/>
      <c r="AI246" s="25"/>
      <c r="AJ246" s="25"/>
    </row>
    <row r="247" spans="1:36" ht="15.6" x14ac:dyDescent="0.3">
      <c r="A247" s="63">
        <v>241</v>
      </c>
      <c r="B247" s="102" t="s">
        <v>3520</v>
      </c>
      <c r="C247" s="102" t="s">
        <v>3521</v>
      </c>
      <c r="D247" s="64" t="s">
        <v>119</v>
      </c>
      <c r="E247" s="68" t="s">
        <v>1203</v>
      </c>
      <c r="F247" s="68" t="s">
        <v>1209</v>
      </c>
      <c r="G247" s="68" t="s">
        <v>44</v>
      </c>
      <c r="H247" s="20"/>
      <c r="I247" s="20"/>
      <c r="J247" s="26"/>
      <c r="K247" s="68" t="s">
        <v>1882</v>
      </c>
      <c r="L247" s="68" t="s">
        <v>1883</v>
      </c>
      <c r="M247" s="68" t="s">
        <v>1884</v>
      </c>
      <c r="N247" s="67">
        <v>21.460645</v>
      </c>
      <c r="O247" s="67">
        <v>92.086108999999993</v>
      </c>
      <c r="P247" s="68">
        <v>1500</v>
      </c>
      <c r="Q247" s="68"/>
      <c r="R247" s="18"/>
      <c r="S247" s="18"/>
      <c r="T247" s="27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17"/>
      <c r="AH247" s="24"/>
      <c r="AI247" s="25"/>
      <c r="AJ247" s="25"/>
    </row>
    <row r="248" spans="1:36" ht="15.6" x14ac:dyDescent="0.3">
      <c r="A248" s="63">
        <v>242</v>
      </c>
      <c r="B248" s="102" t="s">
        <v>3520</v>
      </c>
      <c r="C248" s="102" t="s">
        <v>3521</v>
      </c>
      <c r="D248" s="64" t="s">
        <v>119</v>
      </c>
      <c r="E248" s="68" t="s">
        <v>1203</v>
      </c>
      <c r="F248" s="68" t="s">
        <v>1209</v>
      </c>
      <c r="G248" s="68" t="s">
        <v>44</v>
      </c>
      <c r="H248" s="20"/>
      <c r="I248" s="20"/>
      <c r="J248" s="26"/>
      <c r="K248" s="68" t="s">
        <v>1885</v>
      </c>
      <c r="L248" s="68" t="s">
        <v>1886</v>
      </c>
      <c r="M248" s="68" t="s">
        <v>1887</v>
      </c>
      <c r="N248" s="67">
        <v>21.458031999999999</v>
      </c>
      <c r="O248" s="67">
        <v>92.086568999999997</v>
      </c>
      <c r="P248" s="68">
        <v>2000</v>
      </c>
      <c r="Q248" s="68"/>
      <c r="R248" s="18"/>
      <c r="S248" s="18"/>
      <c r="T248" s="27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17"/>
      <c r="AH248" s="24"/>
      <c r="AI248" s="25"/>
      <c r="AJ248" s="25"/>
    </row>
    <row r="249" spans="1:36" ht="15.6" x14ac:dyDescent="0.3">
      <c r="A249" s="63">
        <v>243</v>
      </c>
      <c r="B249" s="102" t="s">
        <v>3520</v>
      </c>
      <c r="C249" s="102" t="s">
        <v>3521</v>
      </c>
      <c r="D249" s="64" t="s">
        <v>119</v>
      </c>
      <c r="E249" s="68" t="s">
        <v>1203</v>
      </c>
      <c r="F249" s="68" t="s">
        <v>1209</v>
      </c>
      <c r="G249" s="68" t="s">
        <v>44</v>
      </c>
      <c r="H249" s="20"/>
      <c r="I249" s="20"/>
      <c r="J249" s="26"/>
      <c r="K249" s="71" t="s">
        <v>1888</v>
      </c>
      <c r="L249" s="68" t="s">
        <v>1889</v>
      </c>
      <c r="M249" s="68" t="s">
        <v>1890</v>
      </c>
      <c r="N249" s="67">
        <v>21.457118999999999</v>
      </c>
      <c r="O249" s="67">
        <v>92.083798000000002</v>
      </c>
      <c r="P249" s="68">
        <v>1200</v>
      </c>
      <c r="Q249" s="68"/>
      <c r="R249" s="18"/>
      <c r="S249" s="18"/>
      <c r="T249" s="27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17"/>
      <c r="AH249" s="24"/>
      <c r="AI249" s="25"/>
      <c r="AJ249" s="25"/>
    </row>
    <row r="250" spans="1:36" ht="15.6" x14ac:dyDescent="0.3">
      <c r="A250" s="63">
        <v>244</v>
      </c>
      <c r="B250" s="102" t="s">
        <v>3520</v>
      </c>
      <c r="C250" s="102" t="s">
        <v>3521</v>
      </c>
      <c r="D250" s="64" t="s">
        <v>119</v>
      </c>
      <c r="E250" s="68" t="s">
        <v>1203</v>
      </c>
      <c r="F250" s="68" t="s">
        <v>1209</v>
      </c>
      <c r="G250" s="68" t="s">
        <v>44</v>
      </c>
      <c r="H250" s="20"/>
      <c r="I250" s="20"/>
      <c r="J250" s="26"/>
      <c r="K250" s="68" t="s">
        <v>1891</v>
      </c>
      <c r="L250" s="68" t="s">
        <v>1892</v>
      </c>
      <c r="M250" s="68" t="s">
        <v>1893</v>
      </c>
      <c r="N250" s="67">
        <v>21.459925999999999</v>
      </c>
      <c r="O250" s="67">
        <v>92.085010999999994</v>
      </c>
      <c r="P250" s="68">
        <v>800</v>
      </c>
      <c r="Q250" s="68"/>
      <c r="R250" s="18"/>
      <c r="S250" s="18"/>
      <c r="T250" s="27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17"/>
      <c r="AH250" s="24"/>
      <c r="AI250" s="25"/>
      <c r="AJ250" s="25"/>
    </row>
    <row r="251" spans="1:36" ht="15.6" x14ac:dyDescent="0.3">
      <c r="A251" s="63">
        <v>245</v>
      </c>
      <c r="B251" s="102" t="s">
        <v>3520</v>
      </c>
      <c r="C251" s="102" t="s">
        <v>3521</v>
      </c>
      <c r="D251" s="64" t="s">
        <v>119</v>
      </c>
      <c r="E251" s="68" t="s">
        <v>1203</v>
      </c>
      <c r="F251" s="68" t="s">
        <v>1209</v>
      </c>
      <c r="G251" s="68" t="s">
        <v>44</v>
      </c>
      <c r="H251" s="20"/>
      <c r="I251" s="20"/>
      <c r="J251" s="23"/>
      <c r="K251" s="68" t="s">
        <v>1894</v>
      </c>
      <c r="L251" s="68" t="s">
        <v>1895</v>
      </c>
      <c r="M251" s="68" t="s">
        <v>1896</v>
      </c>
      <c r="N251" s="67">
        <v>21.461679</v>
      </c>
      <c r="O251" s="67">
        <v>92.082870999999997</v>
      </c>
      <c r="P251" s="68">
        <v>2500</v>
      </c>
      <c r="Q251" s="68"/>
      <c r="R251" s="18"/>
      <c r="S251" s="18"/>
      <c r="T251" s="27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17"/>
      <c r="AH251" s="24"/>
      <c r="AI251" s="25"/>
      <c r="AJ251" s="25"/>
    </row>
    <row r="252" spans="1:36" ht="15.6" x14ac:dyDescent="0.3">
      <c r="A252" s="63">
        <v>246</v>
      </c>
      <c r="B252" s="102" t="s">
        <v>3520</v>
      </c>
      <c r="C252" s="102" t="s">
        <v>3521</v>
      </c>
      <c r="D252" s="64" t="s">
        <v>119</v>
      </c>
      <c r="E252" s="68" t="s">
        <v>1203</v>
      </c>
      <c r="F252" s="68" t="s">
        <v>1209</v>
      </c>
      <c r="G252" s="68" t="s">
        <v>44</v>
      </c>
      <c r="H252" s="20"/>
      <c r="I252" s="20"/>
      <c r="J252" s="26"/>
      <c r="K252" s="68" t="s">
        <v>1897</v>
      </c>
      <c r="L252" s="68" t="s">
        <v>1898</v>
      </c>
      <c r="M252" s="68" t="s">
        <v>1899</v>
      </c>
      <c r="N252" s="67">
        <v>21.459506000000001</v>
      </c>
      <c r="O252" s="67">
        <v>92.081900000000005</v>
      </c>
      <c r="P252" s="68">
        <v>2300</v>
      </c>
      <c r="Q252" s="68"/>
      <c r="R252" s="18"/>
      <c r="S252" s="18"/>
      <c r="T252" s="27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17"/>
      <c r="AH252" s="24"/>
      <c r="AI252" s="25"/>
      <c r="AJ252" s="25"/>
    </row>
    <row r="253" spans="1:36" ht="15.6" x14ac:dyDescent="0.3">
      <c r="A253" s="63">
        <v>247</v>
      </c>
      <c r="B253" s="102" t="s">
        <v>3520</v>
      </c>
      <c r="C253" s="102" t="s">
        <v>3521</v>
      </c>
      <c r="D253" s="64" t="s">
        <v>119</v>
      </c>
      <c r="E253" s="68" t="s">
        <v>1203</v>
      </c>
      <c r="F253" s="68" t="s">
        <v>1209</v>
      </c>
      <c r="G253" s="68" t="s">
        <v>44</v>
      </c>
      <c r="H253" s="20"/>
      <c r="I253" s="20"/>
      <c r="J253" s="26"/>
      <c r="K253" s="68" t="s">
        <v>1900</v>
      </c>
      <c r="L253" s="68" t="s">
        <v>1901</v>
      </c>
      <c r="M253" s="68" t="s">
        <v>1902</v>
      </c>
      <c r="N253" s="67">
        <v>21.459873000000002</v>
      </c>
      <c r="O253" s="67">
        <v>92.069220000000001</v>
      </c>
      <c r="P253" s="68">
        <v>800</v>
      </c>
      <c r="Q253" s="68"/>
      <c r="R253" s="18"/>
      <c r="S253" s="18"/>
      <c r="T253" s="27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17"/>
      <c r="AH253" s="24"/>
      <c r="AI253" s="25"/>
      <c r="AJ253" s="25"/>
    </row>
    <row r="254" spans="1:36" ht="15.6" x14ac:dyDescent="0.3">
      <c r="A254" s="63">
        <v>248</v>
      </c>
      <c r="B254" s="102" t="s">
        <v>3520</v>
      </c>
      <c r="C254" s="102" t="s">
        <v>3521</v>
      </c>
      <c r="D254" s="64" t="s">
        <v>119</v>
      </c>
      <c r="E254" s="68" t="s">
        <v>1203</v>
      </c>
      <c r="F254" s="68" t="s">
        <v>1209</v>
      </c>
      <c r="G254" s="68" t="s">
        <v>45</v>
      </c>
      <c r="H254" s="20"/>
      <c r="I254" s="20"/>
      <c r="J254" s="26"/>
      <c r="K254" s="68" t="s">
        <v>1903</v>
      </c>
      <c r="L254" s="68" t="s">
        <v>1904</v>
      </c>
      <c r="M254" s="68" t="s">
        <v>1905</v>
      </c>
      <c r="N254" s="67">
        <v>21.473075000000001</v>
      </c>
      <c r="O254" s="67">
        <v>92.097099</v>
      </c>
      <c r="P254" s="68">
        <v>3010</v>
      </c>
      <c r="Q254" s="68"/>
      <c r="R254" s="18"/>
      <c r="S254" s="18"/>
      <c r="T254" s="27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17"/>
      <c r="AH254" s="24"/>
      <c r="AI254" s="25"/>
      <c r="AJ254" s="25"/>
    </row>
    <row r="255" spans="1:36" ht="15.6" x14ac:dyDescent="0.3">
      <c r="A255" s="63">
        <v>249</v>
      </c>
      <c r="B255" s="102" t="s">
        <v>3520</v>
      </c>
      <c r="C255" s="102" t="s">
        <v>3521</v>
      </c>
      <c r="D255" s="64" t="s">
        <v>119</v>
      </c>
      <c r="E255" s="68" t="s">
        <v>1203</v>
      </c>
      <c r="F255" s="68" t="s">
        <v>1209</v>
      </c>
      <c r="G255" s="68" t="s">
        <v>45</v>
      </c>
      <c r="H255" s="20"/>
      <c r="I255" s="20"/>
      <c r="J255" s="26"/>
      <c r="K255" s="68" t="s">
        <v>1906</v>
      </c>
      <c r="L255" s="68" t="s">
        <v>1907</v>
      </c>
      <c r="M255" s="68" t="s">
        <v>1908</v>
      </c>
      <c r="N255" s="67">
        <v>21.473379000000001</v>
      </c>
      <c r="O255" s="67">
        <v>92.093333999999999</v>
      </c>
      <c r="P255" s="68">
        <v>2310</v>
      </c>
      <c r="Q255" s="68"/>
      <c r="R255" s="18"/>
      <c r="S255" s="18"/>
      <c r="T255" s="27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17"/>
      <c r="AH255" s="24"/>
      <c r="AI255" s="25"/>
      <c r="AJ255" s="25"/>
    </row>
    <row r="256" spans="1:36" ht="15.6" x14ac:dyDescent="0.3">
      <c r="A256" s="63">
        <v>250</v>
      </c>
      <c r="B256" s="102" t="s">
        <v>3520</v>
      </c>
      <c r="C256" s="102" t="s">
        <v>3521</v>
      </c>
      <c r="D256" s="64" t="s">
        <v>119</v>
      </c>
      <c r="E256" s="68" t="s">
        <v>1203</v>
      </c>
      <c r="F256" s="68" t="s">
        <v>1209</v>
      </c>
      <c r="G256" s="68" t="s">
        <v>45</v>
      </c>
      <c r="H256" s="20"/>
      <c r="I256" s="20"/>
      <c r="J256" s="26"/>
      <c r="K256" s="68" t="s">
        <v>62</v>
      </c>
      <c r="L256" s="68" t="s">
        <v>63</v>
      </c>
      <c r="M256" s="68" t="s">
        <v>1909</v>
      </c>
      <c r="N256" s="67">
        <v>21.473265999999999</v>
      </c>
      <c r="O256" s="67">
        <v>92.091622000000001</v>
      </c>
      <c r="P256" s="68">
        <v>2300</v>
      </c>
      <c r="Q256" s="68"/>
      <c r="R256" s="18"/>
      <c r="S256" s="18"/>
      <c r="T256" s="27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17"/>
      <c r="AH256" s="24"/>
      <c r="AI256" s="25"/>
      <c r="AJ256" s="25"/>
    </row>
    <row r="257" spans="1:36" ht="15.6" x14ac:dyDescent="0.3">
      <c r="A257" s="63">
        <v>251</v>
      </c>
      <c r="B257" s="102" t="s">
        <v>3520</v>
      </c>
      <c r="C257" s="102" t="s">
        <v>3521</v>
      </c>
      <c r="D257" s="64" t="s">
        <v>119</v>
      </c>
      <c r="E257" s="68" t="s">
        <v>1203</v>
      </c>
      <c r="F257" s="68" t="s">
        <v>1209</v>
      </c>
      <c r="G257" s="68" t="s">
        <v>45</v>
      </c>
      <c r="H257" s="20"/>
      <c r="I257" s="20"/>
      <c r="J257" s="26"/>
      <c r="K257" s="68" t="s">
        <v>1910</v>
      </c>
      <c r="L257" s="68" t="s">
        <v>1911</v>
      </c>
      <c r="M257" s="68" t="s">
        <v>1912</v>
      </c>
      <c r="N257" s="67">
        <v>21.475648</v>
      </c>
      <c r="O257" s="67">
        <v>92.086888999999999</v>
      </c>
      <c r="P257" s="68">
        <v>4500</v>
      </c>
      <c r="Q257" s="68"/>
      <c r="R257" s="18"/>
      <c r="S257" s="18"/>
      <c r="T257" s="27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17"/>
      <c r="AH257" s="24"/>
      <c r="AI257" s="25"/>
      <c r="AJ257" s="25"/>
    </row>
    <row r="258" spans="1:36" ht="15.6" x14ac:dyDescent="0.3">
      <c r="A258" s="63">
        <v>252</v>
      </c>
      <c r="B258" s="102" t="s">
        <v>3520</v>
      </c>
      <c r="C258" s="102" t="s">
        <v>3521</v>
      </c>
      <c r="D258" s="64" t="s">
        <v>119</v>
      </c>
      <c r="E258" s="68" t="s">
        <v>1203</v>
      </c>
      <c r="F258" s="68" t="s">
        <v>1209</v>
      </c>
      <c r="G258" s="68" t="s">
        <v>45</v>
      </c>
      <c r="H258" s="20"/>
      <c r="I258" s="20"/>
      <c r="J258" s="26"/>
      <c r="K258" s="68" t="s">
        <v>1913</v>
      </c>
      <c r="L258" s="68" t="s">
        <v>1914</v>
      </c>
      <c r="M258" s="68" t="s">
        <v>1915</v>
      </c>
      <c r="N258" s="67">
        <v>21.484759</v>
      </c>
      <c r="O258" s="67">
        <v>92.088763</v>
      </c>
      <c r="P258" s="68">
        <v>3210</v>
      </c>
      <c r="Q258" s="68"/>
      <c r="R258" s="18"/>
      <c r="S258" s="18"/>
      <c r="T258" s="27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17"/>
      <c r="AH258" s="24"/>
      <c r="AI258" s="25"/>
      <c r="AJ258" s="25"/>
    </row>
    <row r="259" spans="1:36" ht="15.6" x14ac:dyDescent="0.3">
      <c r="A259" s="63">
        <v>253</v>
      </c>
      <c r="B259" s="102" t="s">
        <v>3520</v>
      </c>
      <c r="C259" s="102" t="s">
        <v>3521</v>
      </c>
      <c r="D259" s="64" t="s">
        <v>119</v>
      </c>
      <c r="E259" s="68" t="s">
        <v>1203</v>
      </c>
      <c r="F259" s="68" t="s">
        <v>1209</v>
      </c>
      <c r="G259" s="68" t="s">
        <v>45</v>
      </c>
      <c r="H259" s="20"/>
      <c r="I259" s="20"/>
      <c r="J259" s="26"/>
      <c r="K259" s="68" t="s">
        <v>1916</v>
      </c>
      <c r="L259" s="68" t="s">
        <v>1917</v>
      </c>
      <c r="M259" s="68" t="s">
        <v>1918</v>
      </c>
      <c r="N259" s="67">
        <v>21.483895</v>
      </c>
      <c r="O259" s="67">
        <v>92.093458999999996</v>
      </c>
      <c r="P259" s="68">
        <v>2700</v>
      </c>
      <c r="Q259" s="68"/>
      <c r="R259" s="18"/>
      <c r="S259" s="18"/>
      <c r="T259" s="22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17"/>
      <c r="AH259" s="24"/>
      <c r="AI259" s="25"/>
      <c r="AJ259" s="25"/>
    </row>
    <row r="260" spans="1:36" ht="15.6" x14ac:dyDescent="0.3">
      <c r="A260" s="63">
        <v>254</v>
      </c>
      <c r="B260" s="102" t="s">
        <v>3520</v>
      </c>
      <c r="C260" s="102" t="s">
        <v>3521</v>
      </c>
      <c r="D260" s="64" t="s">
        <v>119</v>
      </c>
      <c r="E260" s="68" t="s">
        <v>1203</v>
      </c>
      <c r="F260" s="68" t="s">
        <v>1209</v>
      </c>
      <c r="G260" s="68" t="s">
        <v>45</v>
      </c>
      <c r="H260" s="20"/>
      <c r="I260" s="20"/>
      <c r="J260" s="26"/>
      <c r="K260" s="68" t="s">
        <v>1919</v>
      </c>
      <c r="L260" s="68" t="s">
        <v>1920</v>
      </c>
      <c r="M260" s="68" t="s">
        <v>1921</v>
      </c>
      <c r="N260" s="67">
        <v>21.480740999999998</v>
      </c>
      <c r="O260" s="67">
        <v>92.097026</v>
      </c>
      <c r="P260" s="68">
        <v>2805</v>
      </c>
      <c r="Q260" s="68"/>
      <c r="R260" s="18"/>
      <c r="S260" s="18"/>
      <c r="T260" s="27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17"/>
      <c r="AH260" s="24"/>
      <c r="AI260" s="25"/>
      <c r="AJ260" s="25"/>
    </row>
    <row r="261" spans="1:36" ht="15.6" x14ac:dyDescent="0.3">
      <c r="A261" s="63">
        <v>255</v>
      </c>
      <c r="B261" s="102" t="s">
        <v>3520</v>
      </c>
      <c r="C261" s="102" t="s">
        <v>3521</v>
      </c>
      <c r="D261" s="64" t="s">
        <v>119</v>
      </c>
      <c r="E261" s="68" t="s">
        <v>1203</v>
      </c>
      <c r="F261" s="68" t="s">
        <v>1209</v>
      </c>
      <c r="G261" s="68" t="s">
        <v>45</v>
      </c>
      <c r="H261" s="20"/>
      <c r="I261" s="20"/>
      <c r="J261" s="26"/>
      <c r="K261" s="68" t="s">
        <v>90</v>
      </c>
      <c r="L261" s="68" t="s">
        <v>1160</v>
      </c>
      <c r="M261" s="68" t="s">
        <v>1922</v>
      </c>
      <c r="N261" s="67">
        <v>21.475451</v>
      </c>
      <c r="O261" s="67">
        <v>92.095183000000006</v>
      </c>
      <c r="P261" s="68">
        <v>2600</v>
      </c>
      <c r="Q261" s="68"/>
      <c r="R261" s="18"/>
      <c r="S261" s="18"/>
      <c r="T261" s="27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17"/>
      <c r="AH261" s="24"/>
      <c r="AI261" s="25"/>
      <c r="AJ261" s="25"/>
    </row>
    <row r="262" spans="1:36" ht="15.6" x14ac:dyDescent="0.3">
      <c r="A262" s="63">
        <v>256</v>
      </c>
      <c r="B262" s="102" t="s">
        <v>3520</v>
      </c>
      <c r="C262" s="102" t="s">
        <v>3521</v>
      </c>
      <c r="D262" s="64" t="s">
        <v>119</v>
      </c>
      <c r="E262" s="68" t="s">
        <v>1203</v>
      </c>
      <c r="F262" s="68" t="s">
        <v>1209</v>
      </c>
      <c r="G262" s="68" t="s">
        <v>46</v>
      </c>
      <c r="H262" s="20"/>
      <c r="I262" s="20"/>
      <c r="J262" s="26"/>
      <c r="K262" s="68" t="s">
        <v>1923</v>
      </c>
      <c r="L262" s="68" t="s">
        <v>1924</v>
      </c>
      <c r="M262" s="68" t="s">
        <v>1925</v>
      </c>
      <c r="N262" s="67">
        <v>21.464573000000001</v>
      </c>
      <c r="O262" s="67">
        <v>92.089607000000001</v>
      </c>
      <c r="P262" s="68">
        <v>500</v>
      </c>
      <c r="Q262" s="68"/>
      <c r="R262" s="18"/>
      <c r="S262" s="18"/>
      <c r="T262" s="27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17"/>
      <c r="AH262" s="24"/>
      <c r="AI262" s="25"/>
      <c r="AJ262" s="25"/>
    </row>
    <row r="263" spans="1:36" ht="15.6" x14ac:dyDescent="0.3">
      <c r="A263" s="63">
        <v>257</v>
      </c>
      <c r="B263" s="102" t="s">
        <v>3520</v>
      </c>
      <c r="C263" s="102" t="s">
        <v>3521</v>
      </c>
      <c r="D263" s="64" t="s">
        <v>119</v>
      </c>
      <c r="E263" s="68" t="s">
        <v>1203</v>
      </c>
      <c r="F263" s="68" t="s">
        <v>1209</v>
      </c>
      <c r="G263" s="68" t="s">
        <v>46</v>
      </c>
      <c r="H263" s="20"/>
      <c r="I263" s="20"/>
      <c r="J263" s="26"/>
      <c r="K263" s="68" t="s">
        <v>1926</v>
      </c>
      <c r="L263" s="68" t="s">
        <v>1927</v>
      </c>
      <c r="M263" s="68" t="s">
        <v>1928</v>
      </c>
      <c r="N263" s="67">
        <v>21.458089000000001</v>
      </c>
      <c r="O263" s="67">
        <v>92.090362999999996</v>
      </c>
      <c r="P263" s="68">
        <v>300</v>
      </c>
      <c r="Q263" s="68"/>
      <c r="R263" s="18"/>
      <c r="S263" s="18"/>
      <c r="T263" s="27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17"/>
      <c r="AH263" s="24"/>
      <c r="AI263" s="25"/>
      <c r="AJ263" s="25"/>
    </row>
    <row r="264" spans="1:36" ht="15.6" x14ac:dyDescent="0.3">
      <c r="A264" s="63">
        <v>258</v>
      </c>
      <c r="B264" s="102" t="s">
        <v>3520</v>
      </c>
      <c r="C264" s="102" t="s">
        <v>3521</v>
      </c>
      <c r="D264" s="64" t="s">
        <v>119</v>
      </c>
      <c r="E264" s="68" t="s">
        <v>1203</v>
      </c>
      <c r="F264" s="68" t="s">
        <v>1209</v>
      </c>
      <c r="G264" s="68" t="s">
        <v>46</v>
      </c>
      <c r="H264" s="20"/>
      <c r="I264" s="20"/>
      <c r="J264" s="26"/>
      <c r="K264" s="68" t="s">
        <v>1929</v>
      </c>
      <c r="L264" s="68" t="s">
        <v>1930</v>
      </c>
      <c r="M264" s="68" t="s">
        <v>1931</v>
      </c>
      <c r="N264" s="67">
        <v>21.462904999999999</v>
      </c>
      <c r="O264" s="67">
        <v>92.092108999999994</v>
      </c>
      <c r="P264" s="68">
        <v>2500</v>
      </c>
      <c r="Q264" s="68"/>
      <c r="R264" s="18"/>
      <c r="S264" s="18"/>
      <c r="T264" s="27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17"/>
      <c r="AH264" s="24"/>
      <c r="AI264" s="25"/>
      <c r="AJ264" s="25"/>
    </row>
    <row r="265" spans="1:36" ht="15.6" x14ac:dyDescent="0.3">
      <c r="A265" s="63">
        <v>259</v>
      </c>
      <c r="B265" s="102" t="s">
        <v>3520</v>
      </c>
      <c r="C265" s="102" t="s">
        <v>3521</v>
      </c>
      <c r="D265" s="64" t="s">
        <v>119</v>
      </c>
      <c r="E265" s="68" t="s">
        <v>1203</v>
      </c>
      <c r="F265" s="68" t="s">
        <v>1209</v>
      </c>
      <c r="G265" s="68" t="s">
        <v>46</v>
      </c>
      <c r="H265" s="20"/>
      <c r="I265" s="20"/>
      <c r="J265" s="26"/>
      <c r="K265" s="68" t="s">
        <v>1932</v>
      </c>
      <c r="L265" s="68" t="s">
        <v>1933</v>
      </c>
      <c r="M265" s="68" t="s">
        <v>1934</v>
      </c>
      <c r="N265" s="67">
        <v>21.458919999999999</v>
      </c>
      <c r="O265" s="67">
        <v>92.097198000000006</v>
      </c>
      <c r="P265" s="68">
        <v>1200</v>
      </c>
      <c r="Q265" s="68"/>
      <c r="R265" s="18"/>
      <c r="S265" s="18"/>
      <c r="T265" s="27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17"/>
      <c r="AH265" s="24"/>
      <c r="AI265" s="25"/>
      <c r="AJ265" s="25"/>
    </row>
    <row r="266" spans="1:36" ht="15.6" x14ac:dyDescent="0.3">
      <c r="A266" s="63">
        <v>260</v>
      </c>
      <c r="B266" s="102" t="s">
        <v>3520</v>
      </c>
      <c r="C266" s="102" t="s">
        <v>3521</v>
      </c>
      <c r="D266" s="64" t="s">
        <v>119</v>
      </c>
      <c r="E266" s="68" t="s">
        <v>1203</v>
      </c>
      <c r="F266" s="68" t="s">
        <v>1209</v>
      </c>
      <c r="G266" s="68" t="s">
        <v>46</v>
      </c>
      <c r="H266" s="20"/>
      <c r="I266" s="20"/>
      <c r="J266" s="23"/>
      <c r="K266" s="68" t="s">
        <v>1935</v>
      </c>
      <c r="L266" s="68" t="s">
        <v>1936</v>
      </c>
      <c r="M266" s="68" t="s">
        <v>1937</v>
      </c>
      <c r="N266" s="67">
        <v>21.457930000000001</v>
      </c>
      <c r="O266" s="67">
        <v>92.096384</v>
      </c>
      <c r="P266" s="68">
        <v>300</v>
      </c>
      <c r="Q266" s="68"/>
      <c r="R266" s="18"/>
      <c r="S266" s="18"/>
      <c r="T266" s="27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17"/>
      <c r="AH266" s="24"/>
      <c r="AI266" s="25"/>
      <c r="AJ266" s="25"/>
    </row>
    <row r="267" spans="1:36" ht="15.6" x14ac:dyDescent="0.3">
      <c r="A267" s="63">
        <v>261</v>
      </c>
      <c r="B267" s="102" t="s">
        <v>3520</v>
      </c>
      <c r="C267" s="102" t="s">
        <v>3521</v>
      </c>
      <c r="D267" s="64" t="s">
        <v>119</v>
      </c>
      <c r="E267" s="68" t="s">
        <v>1203</v>
      </c>
      <c r="F267" s="68" t="s">
        <v>1209</v>
      </c>
      <c r="G267" s="68" t="s">
        <v>47</v>
      </c>
      <c r="H267" s="20"/>
      <c r="I267" s="20"/>
      <c r="J267" s="23"/>
      <c r="K267" s="68" t="s">
        <v>1938</v>
      </c>
      <c r="L267" s="68" t="s">
        <v>1939</v>
      </c>
      <c r="M267" s="68" t="s">
        <v>1940</v>
      </c>
      <c r="N267" s="67">
        <v>21.465675000000001</v>
      </c>
      <c r="O267" s="67">
        <v>92.095048000000006</v>
      </c>
      <c r="P267" s="68">
        <v>431</v>
      </c>
      <c r="Q267" s="68"/>
      <c r="R267" s="18"/>
      <c r="S267" s="18"/>
      <c r="T267" s="27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17"/>
      <c r="AH267" s="24"/>
      <c r="AI267" s="25"/>
      <c r="AJ267" s="25"/>
    </row>
    <row r="268" spans="1:36" ht="15.6" x14ac:dyDescent="0.3">
      <c r="A268" s="63">
        <v>262</v>
      </c>
      <c r="B268" s="102" t="s">
        <v>3520</v>
      </c>
      <c r="C268" s="102" t="s">
        <v>3521</v>
      </c>
      <c r="D268" s="64" t="s">
        <v>119</v>
      </c>
      <c r="E268" s="68" t="s">
        <v>1203</v>
      </c>
      <c r="F268" s="68" t="s">
        <v>1209</v>
      </c>
      <c r="G268" s="68" t="s">
        <v>47</v>
      </c>
      <c r="H268" s="20"/>
      <c r="I268" s="20"/>
      <c r="J268" s="23"/>
      <c r="K268" s="75" t="s">
        <v>133</v>
      </c>
      <c r="L268" s="68" t="s">
        <v>134</v>
      </c>
      <c r="M268" s="68" t="s">
        <v>1941</v>
      </c>
      <c r="N268" s="67">
        <v>21.469059999999999</v>
      </c>
      <c r="O268" s="67">
        <v>92.098522000000003</v>
      </c>
      <c r="P268" s="68">
        <v>1049</v>
      </c>
      <c r="Q268" s="68"/>
      <c r="R268" s="18"/>
      <c r="S268" s="18"/>
      <c r="T268" s="22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17"/>
      <c r="AH268" s="24"/>
      <c r="AI268" s="25"/>
      <c r="AJ268" s="25"/>
    </row>
    <row r="269" spans="1:36" ht="15.6" x14ac:dyDescent="0.3">
      <c r="A269" s="63">
        <v>263</v>
      </c>
      <c r="B269" s="102" t="s">
        <v>3520</v>
      </c>
      <c r="C269" s="102" t="s">
        <v>3521</v>
      </c>
      <c r="D269" s="64" t="s">
        <v>119</v>
      </c>
      <c r="E269" s="68" t="s">
        <v>1203</v>
      </c>
      <c r="F269" s="68" t="s">
        <v>1209</v>
      </c>
      <c r="G269" s="68" t="s">
        <v>47</v>
      </c>
      <c r="H269" s="20"/>
      <c r="I269" s="20"/>
      <c r="J269" s="23"/>
      <c r="K269" s="69" t="s">
        <v>70</v>
      </c>
      <c r="L269" s="68" t="s">
        <v>71</v>
      </c>
      <c r="M269" s="68" t="s">
        <v>1942</v>
      </c>
      <c r="N269" s="67">
        <v>21.470929999999999</v>
      </c>
      <c r="O269" s="67">
        <v>92.103513000000007</v>
      </c>
      <c r="P269" s="68">
        <v>834</v>
      </c>
      <c r="Q269" s="68"/>
      <c r="R269" s="18"/>
      <c r="S269" s="18"/>
      <c r="T269" s="27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17"/>
      <c r="AH269" s="24"/>
      <c r="AI269" s="25"/>
      <c r="AJ269" s="25"/>
    </row>
    <row r="270" spans="1:36" ht="15.6" x14ac:dyDescent="0.3">
      <c r="A270" s="63">
        <v>264</v>
      </c>
      <c r="B270" s="102" t="s">
        <v>3520</v>
      </c>
      <c r="C270" s="102" t="s">
        <v>3521</v>
      </c>
      <c r="D270" s="64" t="s">
        <v>119</v>
      </c>
      <c r="E270" s="68" t="s">
        <v>1203</v>
      </c>
      <c r="F270" s="68" t="s">
        <v>1209</v>
      </c>
      <c r="G270" s="68" t="s">
        <v>47</v>
      </c>
      <c r="H270" s="20"/>
      <c r="I270" s="20"/>
      <c r="J270" s="23"/>
      <c r="K270" s="68" t="s">
        <v>57</v>
      </c>
      <c r="L270" s="68" t="s">
        <v>58</v>
      </c>
      <c r="M270" s="68" t="s">
        <v>1943</v>
      </c>
      <c r="N270" s="67">
        <v>21.474764</v>
      </c>
      <c r="O270" s="67">
        <v>92.109419000000003</v>
      </c>
      <c r="P270" s="68">
        <v>576</v>
      </c>
      <c r="Q270" s="68"/>
      <c r="R270" s="18"/>
      <c r="S270" s="18"/>
      <c r="T270" s="27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17"/>
      <c r="AH270" s="24"/>
      <c r="AI270" s="25"/>
      <c r="AJ270" s="25"/>
    </row>
    <row r="271" spans="1:36" ht="15.6" x14ac:dyDescent="0.3">
      <c r="A271" s="63">
        <v>265</v>
      </c>
      <c r="B271" s="102" t="s">
        <v>3520</v>
      </c>
      <c r="C271" s="102" t="s">
        <v>3521</v>
      </c>
      <c r="D271" s="64" t="s">
        <v>119</v>
      </c>
      <c r="E271" s="68" t="s">
        <v>1203</v>
      </c>
      <c r="F271" s="68" t="s">
        <v>1209</v>
      </c>
      <c r="G271" s="68" t="s">
        <v>47</v>
      </c>
      <c r="H271" s="20"/>
      <c r="I271" s="20"/>
      <c r="J271" s="23"/>
      <c r="K271" s="68" t="s">
        <v>1944</v>
      </c>
      <c r="L271" s="68" t="s">
        <v>1945</v>
      </c>
      <c r="M271" s="68" t="s">
        <v>1946</v>
      </c>
      <c r="N271" s="67">
        <v>21.477171999999999</v>
      </c>
      <c r="O271" s="67">
        <v>92.107518999999996</v>
      </c>
      <c r="P271" s="68">
        <v>498</v>
      </c>
      <c r="Q271" s="68"/>
      <c r="R271" s="18"/>
      <c r="S271" s="18"/>
      <c r="T271" s="27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17"/>
      <c r="AH271" s="24"/>
      <c r="AI271" s="25"/>
      <c r="AJ271" s="25"/>
    </row>
    <row r="272" spans="1:36" ht="15.6" x14ac:dyDescent="0.3">
      <c r="A272" s="63">
        <v>266</v>
      </c>
      <c r="B272" s="102" t="s">
        <v>3520</v>
      </c>
      <c r="C272" s="102" t="s">
        <v>3521</v>
      </c>
      <c r="D272" s="64" t="s">
        <v>119</v>
      </c>
      <c r="E272" s="68" t="s">
        <v>1203</v>
      </c>
      <c r="F272" s="68" t="s">
        <v>1209</v>
      </c>
      <c r="G272" s="68" t="s">
        <v>47</v>
      </c>
      <c r="H272" s="20"/>
      <c r="I272" s="20"/>
      <c r="J272" s="23"/>
      <c r="K272" s="68" t="s">
        <v>1947</v>
      </c>
      <c r="L272" s="68" t="s">
        <v>1948</v>
      </c>
      <c r="M272" s="68" t="s">
        <v>1949</v>
      </c>
      <c r="N272" s="67">
        <v>21.471473</v>
      </c>
      <c r="O272" s="67">
        <v>92.113005000000001</v>
      </c>
      <c r="P272" s="68">
        <v>322</v>
      </c>
      <c r="Q272" s="68"/>
      <c r="R272" s="18"/>
      <c r="S272" s="18"/>
      <c r="T272" s="27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17"/>
      <c r="AH272" s="24"/>
      <c r="AI272" s="25"/>
      <c r="AJ272" s="25"/>
    </row>
    <row r="273" spans="1:36" ht="15.6" x14ac:dyDescent="0.3">
      <c r="A273" s="63">
        <v>267</v>
      </c>
      <c r="B273" s="102" t="s">
        <v>3520</v>
      </c>
      <c r="C273" s="102" t="s">
        <v>3521</v>
      </c>
      <c r="D273" s="64" t="s">
        <v>119</v>
      </c>
      <c r="E273" s="68" t="s">
        <v>1203</v>
      </c>
      <c r="F273" s="68" t="s">
        <v>1209</v>
      </c>
      <c r="G273" s="68" t="s">
        <v>47</v>
      </c>
      <c r="H273" s="20"/>
      <c r="I273" s="20"/>
      <c r="J273" s="23"/>
      <c r="K273" s="68" t="s">
        <v>1950</v>
      </c>
      <c r="L273" s="68" t="s">
        <v>1951</v>
      </c>
      <c r="M273" s="68" t="s">
        <v>1952</v>
      </c>
      <c r="N273" s="67">
        <v>21.477889000000001</v>
      </c>
      <c r="O273" s="67">
        <v>92.114405000000005</v>
      </c>
      <c r="P273" s="68">
        <v>205</v>
      </c>
      <c r="Q273" s="68"/>
      <c r="R273" s="18"/>
      <c r="S273" s="18"/>
      <c r="T273" s="27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17"/>
      <c r="AH273" s="24"/>
      <c r="AI273" s="25"/>
      <c r="AJ273" s="25"/>
    </row>
    <row r="274" spans="1:36" x14ac:dyDescent="0.3">
      <c r="A274" s="63">
        <v>268</v>
      </c>
      <c r="B274" s="102" t="s">
        <v>3520</v>
      </c>
      <c r="C274" s="102" t="s">
        <v>3521</v>
      </c>
      <c r="D274" s="64" t="s">
        <v>119</v>
      </c>
      <c r="E274" s="68" t="s">
        <v>1203</v>
      </c>
      <c r="F274" s="68" t="s">
        <v>1209</v>
      </c>
      <c r="G274" s="68" t="s">
        <v>47</v>
      </c>
      <c r="H274" s="23"/>
      <c r="I274" s="23"/>
      <c r="J274" s="23"/>
      <c r="K274" s="68" t="s">
        <v>1953</v>
      </c>
      <c r="L274" s="68" t="s">
        <v>1954</v>
      </c>
      <c r="M274" s="68" t="s">
        <v>1955</v>
      </c>
      <c r="N274" s="67">
        <v>21.481541</v>
      </c>
      <c r="O274" s="67">
        <v>92.117551000000006</v>
      </c>
      <c r="P274" s="68">
        <v>465</v>
      </c>
      <c r="Q274" s="68"/>
      <c r="R274" s="18"/>
      <c r="S274" s="18"/>
      <c r="T274" s="27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17"/>
      <c r="AH274" s="24"/>
      <c r="AI274" s="25"/>
      <c r="AJ274" s="25"/>
    </row>
    <row r="275" spans="1:36" x14ac:dyDescent="0.3">
      <c r="A275" s="63">
        <v>269</v>
      </c>
      <c r="B275" s="102" t="s">
        <v>3520</v>
      </c>
      <c r="C275" s="102" t="s">
        <v>3521</v>
      </c>
      <c r="D275" s="64" t="s">
        <v>119</v>
      </c>
      <c r="E275" s="68" t="s">
        <v>1203</v>
      </c>
      <c r="F275" s="68" t="s">
        <v>1209</v>
      </c>
      <c r="G275" s="68" t="s">
        <v>47</v>
      </c>
      <c r="H275" s="23"/>
      <c r="I275" s="23"/>
      <c r="J275" s="23"/>
      <c r="K275" s="68" t="s">
        <v>1956</v>
      </c>
      <c r="L275" s="68" t="s">
        <v>1957</v>
      </c>
      <c r="M275" s="68" t="s">
        <v>1958</v>
      </c>
      <c r="N275" s="67">
        <v>21.462734999999999</v>
      </c>
      <c r="O275" s="67">
        <v>92.103869000000003</v>
      </c>
      <c r="P275" s="68">
        <v>315</v>
      </c>
      <c r="Q275" s="68"/>
      <c r="R275" s="18"/>
      <c r="S275" s="18"/>
      <c r="T275" s="27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17"/>
      <c r="AH275" s="24"/>
      <c r="AI275" s="25"/>
      <c r="AJ275" s="25"/>
    </row>
    <row r="276" spans="1:36" x14ac:dyDescent="0.3">
      <c r="A276" s="63">
        <v>270</v>
      </c>
      <c r="B276" s="102" t="s">
        <v>3520</v>
      </c>
      <c r="C276" s="102" t="s">
        <v>3521</v>
      </c>
      <c r="D276" s="64" t="s">
        <v>119</v>
      </c>
      <c r="E276" s="68" t="s">
        <v>1203</v>
      </c>
      <c r="F276" s="68" t="s">
        <v>1209</v>
      </c>
      <c r="G276" s="68" t="s">
        <v>48</v>
      </c>
      <c r="H276" s="23"/>
      <c r="I276" s="23"/>
      <c r="J276" s="23"/>
      <c r="K276" s="71" t="s">
        <v>1959</v>
      </c>
      <c r="L276" s="68" t="s">
        <v>1960</v>
      </c>
      <c r="M276" s="68" t="s">
        <v>1961</v>
      </c>
      <c r="N276" s="67">
        <v>21.473938</v>
      </c>
      <c r="O276" s="67">
        <v>92.102008999999995</v>
      </c>
      <c r="P276" s="68">
        <v>3500</v>
      </c>
      <c r="Q276" s="68"/>
      <c r="R276" s="18"/>
      <c r="S276" s="18"/>
      <c r="T276" s="27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17"/>
      <c r="AH276" s="24"/>
      <c r="AI276" s="25"/>
      <c r="AJ276" s="25"/>
    </row>
    <row r="277" spans="1:36" x14ac:dyDescent="0.3">
      <c r="A277" s="63">
        <v>271</v>
      </c>
      <c r="B277" s="102" t="s">
        <v>3520</v>
      </c>
      <c r="C277" s="102" t="s">
        <v>3521</v>
      </c>
      <c r="D277" s="64" t="s">
        <v>119</v>
      </c>
      <c r="E277" s="68" t="s">
        <v>1203</v>
      </c>
      <c r="F277" s="68" t="s">
        <v>1209</v>
      </c>
      <c r="G277" s="68" t="s">
        <v>48</v>
      </c>
      <c r="H277" s="23"/>
      <c r="I277" s="23"/>
      <c r="J277" s="23"/>
      <c r="K277" s="71" t="s">
        <v>1962</v>
      </c>
      <c r="L277" s="68" t="s">
        <v>1963</v>
      </c>
      <c r="M277" s="68" t="s">
        <v>1964</v>
      </c>
      <c r="N277" s="67">
        <v>21.480526000000001</v>
      </c>
      <c r="O277" s="67">
        <v>92.108620999999999</v>
      </c>
      <c r="P277" s="68">
        <v>400</v>
      </c>
      <c r="Q277" s="68"/>
      <c r="R277" s="18"/>
      <c r="S277" s="18"/>
      <c r="T277" s="27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17"/>
      <c r="AH277" s="24"/>
      <c r="AI277" s="25"/>
      <c r="AJ277" s="25"/>
    </row>
    <row r="278" spans="1:36" x14ac:dyDescent="0.3">
      <c r="A278" s="63">
        <v>272</v>
      </c>
      <c r="B278" s="102" t="s">
        <v>3520</v>
      </c>
      <c r="C278" s="102" t="s">
        <v>3521</v>
      </c>
      <c r="D278" s="64" t="s">
        <v>119</v>
      </c>
      <c r="E278" s="68" t="s">
        <v>1203</v>
      </c>
      <c r="F278" s="68" t="s">
        <v>1209</v>
      </c>
      <c r="G278" s="68" t="s">
        <v>48</v>
      </c>
      <c r="H278" s="23"/>
      <c r="I278" s="23"/>
      <c r="J278" s="23"/>
      <c r="K278" s="71" t="s">
        <v>1965</v>
      </c>
      <c r="L278" s="68" t="s">
        <v>1966</v>
      </c>
      <c r="M278" s="68" t="s">
        <v>1967</v>
      </c>
      <c r="N278" s="67">
        <v>21.482554</v>
      </c>
      <c r="O278" s="67">
        <v>92.112424000000004</v>
      </c>
      <c r="P278" s="68">
        <v>60</v>
      </c>
      <c r="Q278" s="68"/>
      <c r="R278" s="18"/>
      <c r="S278" s="18"/>
      <c r="T278" s="27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17"/>
      <c r="AH278" s="24"/>
      <c r="AI278" s="25"/>
      <c r="AJ278" s="25"/>
    </row>
    <row r="279" spans="1:36" x14ac:dyDescent="0.3">
      <c r="A279" s="63">
        <v>273</v>
      </c>
      <c r="B279" s="102" t="s">
        <v>3520</v>
      </c>
      <c r="C279" s="102" t="s">
        <v>3521</v>
      </c>
      <c r="D279" s="64" t="s">
        <v>119</v>
      </c>
      <c r="E279" s="68" t="s">
        <v>1203</v>
      </c>
      <c r="F279" s="68" t="s">
        <v>1209</v>
      </c>
      <c r="G279" s="68" t="s">
        <v>48</v>
      </c>
      <c r="H279" s="23"/>
      <c r="I279" s="23"/>
      <c r="J279" s="23"/>
      <c r="K279" s="71" t="s">
        <v>1968</v>
      </c>
      <c r="L279" s="68" t="s">
        <v>1969</v>
      </c>
      <c r="M279" s="68" t="s">
        <v>1970</v>
      </c>
      <c r="N279" s="67">
        <v>21.521785999999999</v>
      </c>
      <c r="O279" s="67">
        <v>92.141755000000003</v>
      </c>
      <c r="P279" s="68">
        <v>550</v>
      </c>
      <c r="Q279" s="68"/>
      <c r="R279" s="18"/>
      <c r="S279" s="18"/>
      <c r="T279" s="27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17"/>
      <c r="AH279" s="24"/>
      <c r="AI279" s="25"/>
      <c r="AJ279" s="25"/>
    </row>
    <row r="280" spans="1:36" x14ac:dyDescent="0.3">
      <c r="A280" s="63">
        <v>274</v>
      </c>
      <c r="B280" s="102" t="s">
        <v>3520</v>
      </c>
      <c r="C280" s="102" t="s">
        <v>3521</v>
      </c>
      <c r="D280" s="64" t="s">
        <v>119</v>
      </c>
      <c r="E280" s="68" t="s">
        <v>1203</v>
      </c>
      <c r="F280" s="68" t="s">
        <v>1209</v>
      </c>
      <c r="G280" s="68" t="s">
        <v>48</v>
      </c>
      <c r="H280" s="23"/>
      <c r="I280" s="23"/>
      <c r="J280" s="23"/>
      <c r="K280" s="71" t="s">
        <v>1971</v>
      </c>
      <c r="L280" s="68" t="s">
        <v>1972</v>
      </c>
      <c r="M280" s="68" t="s">
        <v>1973</v>
      </c>
      <c r="N280" s="67">
        <v>21.480166000000001</v>
      </c>
      <c r="O280" s="67">
        <v>92.099196000000006</v>
      </c>
      <c r="P280" s="68">
        <v>800</v>
      </c>
      <c r="Q280" s="68"/>
      <c r="R280" s="18"/>
      <c r="S280" s="18"/>
      <c r="T280" s="22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17"/>
      <c r="AH280" s="24"/>
      <c r="AI280" s="25"/>
      <c r="AJ280" s="25"/>
    </row>
    <row r="281" spans="1:36" x14ac:dyDescent="0.3">
      <c r="A281" s="63">
        <v>275</v>
      </c>
      <c r="B281" s="102" t="s">
        <v>3520</v>
      </c>
      <c r="C281" s="102" t="s">
        <v>3521</v>
      </c>
      <c r="D281" s="64" t="s">
        <v>119</v>
      </c>
      <c r="E281" s="68" t="s">
        <v>1203</v>
      </c>
      <c r="F281" s="68" t="s">
        <v>1209</v>
      </c>
      <c r="G281" s="68" t="s">
        <v>49</v>
      </c>
      <c r="H281" s="23"/>
      <c r="I281" s="23"/>
      <c r="J281" s="23"/>
      <c r="K281" s="68" t="s">
        <v>1974</v>
      </c>
      <c r="L281" s="68" t="s">
        <v>1975</v>
      </c>
      <c r="M281" s="68" t="s">
        <v>1976</v>
      </c>
      <c r="N281" s="67">
        <v>21.470645999999999</v>
      </c>
      <c r="O281" s="67">
        <v>92.098121000000006</v>
      </c>
      <c r="P281" s="68">
        <v>1000</v>
      </c>
      <c r="Q281" s="68"/>
      <c r="R281" s="18"/>
      <c r="S281" s="18"/>
      <c r="T281" s="22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17"/>
      <c r="AH281" s="24"/>
      <c r="AI281" s="25"/>
      <c r="AJ281" s="25"/>
    </row>
    <row r="282" spans="1:36" x14ac:dyDescent="0.3">
      <c r="A282" s="63">
        <v>276</v>
      </c>
      <c r="B282" s="102" t="s">
        <v>3520</v>
      </c>
      <c r="C282" s="102" t="s">
        <v>3521</v>
      </c>
      <c r="D282" s="64" t="s">
        <v>119</v>
      </c>
      <c r="E282" s="68" t="s">
        <v>1203</v>
      </c>
      <c r="F282" s="68" t="s">
        <v>1209</v>
      </c>
      <c r="G282" s="68" t="s">
        <v>49</v>
      </c>
      <c r="H282" s="23"/>
      <c r="I282" s="23"/>
      <c r="J282" s="23"/>
      <c r="K282" s="68" t="s">
        <v>116</v>
      </c>
      <c r="L282" s="75" t="s">
        <v>117</v>
      </c>
      <c r="M282" s="68" t="s">
        <v>1977</v>
      </c>
      <c r="N282" s="67">
        <v>21.467482</v>
      </c>
      <c r="O282" s="67">
        <v>92.093913999999998</v>
      </c>
      <c r="P282" s="68">
        <v>1500</v>
      </c>
      <c r="Q282" s="68"/>
      <c r="R282" s="18"/>
      <c r="S282" s="18"/>
      <c r="T282" s="27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17"/>
      <c r="AH282" s="24"/>
      <c r="AI282" s="25"/>
      <c r="AJ282" s="25"/>
    </row>
    <row r="283" spans="1:36" x14ac:dyDescent="0.3">
      <c r="A283" s="63">
        <v>277</v>
      </c>
      <c r="B283" s="102" t="s">
        <v>3520</v>
      </c>
      <c r="C283" s="102" t="s">
        <v>3521</v>
      </c>
      <c r="D283" s="64" t="s">
        <v>119</v>
      </c>
      <c r="E283" s="68" t="s">
        <v>1203</v>
      </c>
      <c r="F283" s="68" t="s">
        <v>1209</v>
      </c>
      <c r="G283" s="68" t="s">
        <v>49</v>
      </c>
      <c r="H283" s="23"/>
      <c r="I283" s="23"/>
      <c r="J283" s="23"/>
      <c r="K283" s="68" t="s">
        <v>1978</v>
      </c>
      <c r="L283" s="68" t="s">
        <v>1979</v>
      </c>
      <c r="M283" s="68" t="s">
        <v>1980</v>
      </c>
      <c r="N283" s="67">
        <v>21.470182000000001</v>
      </c>
      <c r="O283" s="67">
        <v>92.091634999999997</v>
      </c>
      <c r="P283" s="68">
        <v>2500</v>
      </c>
      <c r="Q283" s="68"/>
      <c r="R283" s="18"/>
      <c r="S283" s="18"/>
      <c r="T283" s="22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17"/>
      <c r="AH283" s="24"/>
      <c r="AI283" s="25"/>
      <c r="AJ283" s="25"/>
    </row>
    <row r="284" spans="1:36" x14ac:dyDescent="0.3">
      <c r="A284" s="63">
        <v>278</v>
      </c>
      <c r="B284" s="102" t="s">
        <v>3520</v>
      </c>
      <c r="C284" s="102" t="s">
        <v>3521</v>
      </c>
      <c r="D284" s="64" t="s">
        <v>119</v>
      </c>
      <c r="E284" s="68" t="s">
        <v>1203</v>
      </c>
      <c r="F284" s="68" t="s">
        <v>1209</v>
      </c>
      <c r="G284" s="68" t="s">
        <v>49</v>
      </c>
      <c r="H284" s="23"/>
      <c r="I284" s="23"/>
      <c r="J284" s="23"/>
      <c r="K284" s="68" t="s">
        <v>112</v>
      </c>
      <c r="L284" s="68" t="s">
        <v>113</v>
      </c>
      <c r="M284" s="68" t="s">
        <v>1981</v>
      </c>
      <c r="N284" s="67">
        <v>21.471695</v>
      </c>
      <c r="O284" s="67">
        <v>92.089579000000001</v>
      </c>
      <c r="P284" s="74">
        <v>24</v>
      </c>
      <c r="Q284" s="74"/>
      <c r="R284" s="18"/>
      <c r="S284" s="18"/>
      <c r="T284" s="22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17"/>
      <c r="AH284" s="24"/>
      <c r="AI284" s="25"/>
      <c r="AJ284" s="25"/>
    </row>
    <row r="285" spans="1:36" x14ac:dyDescent="0.3">
      <c r="A285" s="63">
        <v>279</v>
      </c>
      <c r="B285" s="102" t="s">
        <v>3520</v>
      </c>
      <c r="C285" s="102" t="s">
        <v>3521</v>
      </c>
      <c r="D285" s="64" t="s">
        <v>119</v>
      </c>
      <c r="E285" s="68" t="s">
        <v>1203</v>
      </c>
      <c r="F285" s="68" t="s">
        <v>1210</v>
      </c>
      <c r="G285" s="68" t="s">
        <v>41</v>
      </c>
      <c r="H285" s="23"/>
      <c r="I285" s="23"/>
      <c r="J285" s="23"/>
      <c r="K285" s="68" t="s">
        <v>1982</v>
      </c>
      <c r="L285" s="68" t="s">
        <v>1983</v>
      </c>
      <c r="M285" s="68" t="s">
        <v>1984</v>
      </c>
      <c r="N285" s="67">
        <v>21.450467</v>
      </c>
      <c r="O285" s="67">
        <v>92.207533999999995</v>
      </c>
      <c r="P285" s="74">
        <v>1000</v>
      </c>
      <c r="Q285" s="74"/>
      <c r="R285" s="18"/>
      <c r="S285" s="18"/>
      <c r="T285" s="27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17"/>
      <c r="AH285" s="24"/>
      <c r="AI285" s="25"/>
      <c r="AJ285" s="25"/>
    </row>
    <row r="286" spans="1:36" x14ac:dyDescent="0.3">
      <c r="A286" s="63">
        <v>280</v>
      </c>
      <c r="B286" s="102" t="s">
        <v>3520</v>
      </c>
      <c r="C286" s="102" t="s">
        <v>3521</v>
      </c>
      <c r="D286" s="64" t="s">
        <v>119</v>
      </c>
      <c r="E286" s="68" t="s">
        <v>1203</v>
      </c>
      <c r="F286" s="68" t="s">
        <v>1210</v>
      </c>
      <c r="G286" s="68" t="s">
        <v>41</v>
      </c>
      <c r="H286" s="23"/>
      <c r="I286" s="23"/>
      <c r="J286" s="23"/>
      <c r="K286" s="75" t="s">
        <v>1985</v>
      </c>
      <c r="L286" s="69" t="s">
        <v>1986</v>
      </c>
      <c r="M286" s="68" t="s">
        <v>1987</v>
      </c>
      <c r="N286" s="67">
        <v>21.453316000000001</v>
      </c>
      <c r="O286" s="67">
        <v>92.206377000000003</v>
      </c>
      <c r="P286" s="74">
        <v>400</v>
      </c>
      <c r="Q286" s="74"/>
      <c r="R286" s="18"/>
      <c r="S286" s="18"/>
      <c r="T286" s="27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17"/>
      <c r="AH286" s="24"/>
      <c r="AI286" s="25"/>
      <c r="AJ286" s="25"/>
    </row>
    <row r="287" spans="1:36" x14ac:dyDescent="0.3">
      <c r="A287" s="63">
        <v>281</v>
      </c>
      <c r="B287" s="102" t="s">
        <v>3520</v>
      </c>
      <c r="C287" s="102" t="s">
        <v>3521</v>
      </c>
      <c r="D287" s="64" t="s">
        <v>119</v>
      </c>
      <c r="E287" s="68" t="s">
        <v>1203</v>
      </c>
      <c r="F287" s="68" t="s">
        <v>1210</v>
      </c>
      <c r="G287" s="68" t="s">
        <v>41</v>
      </c>
      <c r="H287" s="23"/>
      <c r="I287" s="23"/>
      <c r="J287" s="23"/>
      <c r="K287" s="75" t="s">
        <v>1988</v>
      </c>
      <c r="L287" s="68" t="s">
        <v>1989</v>
      </c>
      <c r="M287" s="68" t="s">
        <v>1990</v>
      </c>
      <c r="N287" s="67">
        <v>21.456448999999999</v>
      </c>
      <c r="O287" s="67">
        <v>92.210333000000006</v>
      </c>
      <c r="P287" s="74">
        <v>1400</v>
      </c>
      <c r="Q287" s="74"/>
      <c r="R287" s="18"/>
      <c r="S287" s="18"/>
      <c r="T287" s="27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17"/>
      <c r="AH287" s="24"/>
      <c r="AI287" s="25"/>
      <c r="AJ287" s="25"/>
    </row>
    <row r="288" spans="1:36" x14ac:dyDescent="0.3">
      <c r="A288" s="63">
        <v>282</v>
      </c>
      <c r="B288" s="102" t="s">
        <v>3520</v>
      </c>
      <c r="C288" s="102" t="s">
        <v>3521</v>
      </c>
      <c r="D288" s="64" t="s">
        <v>119</v>
      </c>
      <c r="E288" s="68" t="s">
        <v>1203</v>
      </c>
      <c r="F288" s="68" t="s">
        <v>1210</v>
      </c>
      <c r="G288" s="68" t="s">
        <v>41</v>
      </c>
      <c r="H288" s="23"/>
      <c r="I288" s="23"/>
      <c r="J288" s="23"/>
      <c r="K288" s="75" t="s">
        <v>1991</v>
      </c>
      <c r="L288" s="68" t="s">
        <v>1992</v>
      </c>
      <c r="M288" s="68" t="s">
        <v>1993</v>
      </c>
      <c r="N288" s="67">
        <v>21.453295000000001</v>
      </c>
      <c r="O288" s="67">
        <v>92.214298999999997</v>
      </c>
      <c r="P288" s="74">
        <v>1200</v>
      </c>
      <c r="Q288" s="74"/>
      <c r="R288" s="18"/>
      <c r="S288" s="18"/>
      <c r="T288" s="27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17"/>
      <c r="AH288" s="24"/>
      <c r="AI288" s="25"/>
      <c r="AJ288" s="25"/>
    </row>
    <row r="289" spans="1:36" x14ac:dyDescent="0.3">
      <c r="A289" s="63">
        <v>283</v>
      </c>
      <c r="B289" s="102" t="s">
        <v>3520</v>
      </c>
      <c r="C289" s="102" t="s">
        <v>3521</v>
      </c>
      <c r="D289" s="64" t="s">
        <v>119</v>
      </c>
      <c r="E289" s="68" t="s">
        <v>1203</v>
      </c>
      <c r="F289" s="68" t="s">
        <v>1210</v>
      </c>
      <c r="G289" s="68" t="s">
        <v>41</v>
      </c>
      <c r="H289" s="23"/>
      <c r="I289" s="23"/>
      <c r="J289" s="23"/>
      <c r="K289" s="69" t="s">
        <v>1994</v>
      </c>
      <c r="L289" s="68" t="s">
        <v>1995</v>
      </c>
      <c r="M289" s="68" t="s">
        <v>1996</v>
      </c>
      <c r="N289" s="67">
        <v>21.467352000000002</v>
      </c>
      <c r="O289" s="67">
        <v>92.21508</v>
      </c>
      <c r="P289" s="74">
        <v>900</v>
      </c>
      <c r="Q289" s="74"/>
      <c r="R289" s="18"/>
      <c r="S289" s="18"/>
      <c r="T289" s="27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17"/>
      <c r="AH289" s="24"/>
      <c r="AI289" s="25"/>
      <c r="AJ289" s="25"/>
    </row>
    <row r="290" spans="1:36" x14ac:dyDescent="0.3">
      <c r="A290" s="63">
        <v>284</v>
      </c>
      <c r="B290" s="102" t="s">
        <v>3520</v>
      </c>
      <c r="C290" s="102" t="s">
        <v>3521</v>
      </c>
      <c r="D290" s="64" t="s">
        <v>119</v>
      </c>
      <c r="E290" s="68" t="s">
        <v>1203</v>
      </c>
      <c r="F290" s="68" t="s">
        <v>1210</v>
      </c>
      <c r="G290" s="68" t="s">
        <v>41</v>
      </c>
      <c r="H290" s="23"/>
      <c r="I290" s="23"/>
      <c r="J290" s="23"/>
      <c r="K290" s="69" t="s">
        <v>1997</v>
      </c>
      <c r="L290" s="68" t="s">
        <v>1998</v>
      </c>
      <c r="M290" s="68" t="s">
        <v>1999</v>
      </c>
      <c r="N290" s="67">
        <v>21.471539</v>
      </c>
      <c r="O290" s="67">
        <v>92.221063999999998</v>
      </c>
      <c r="P290" s="74">
        <v>200</v>
      </c>
      <c r="Q290" s="74"/>
      <c r="R290" s="18"/>
      <c r="S290" s="18"/>
      <c r="T290" s="27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17"/>
      <c r="AH290" s="24"/>
      <c r="AI290" s="25"/>
      <c r="AJ290" s="25"/>
    </row>
    <row r="291" spans="1:36" x14ac:dyDescent="0.3">
      <c r="A291" s="63">
        <v>285</v>
      </c>
      <c r="B291" s="102" t="s">
        <v>3520</v>
      </c>
      <c r="C291" s="102" t="s">
        <v>3521</v>
      </c>
      <c r="D291" s="64" t="s">
        <v>119</v>
      </c>
      <c r="E291" s="68" t="s">
        <v>1203</v>
      </c>
      <c r="F291" s="68" t="s">
        <v>1210</v>
      </c>
      <c r="G291" s="68" t="s">
        <v>41</v>
      </c>
      <c r="H291" s="23"/>
      <c r="I291" s="23"/>
      <c r="J291" s="23"/>
      <c r="K291" s="69" t="s">
        <v>2000</v>
      </c>
      <c r="L291" s="68" t="s">
        <v>2001</v>
      </c>
      <c r="M291" s="68" t="s">
        <v>2002</v>
      </c>
      <c r="N291" s="67">
        <v>21.477423999999999</v>
      </c>
      <c r="O291" s="67">
        <v>92.222865999999996</v>
      </c>
      <c r="P291" s="74">
        <v>100</v>
      </c>
      <c r="Q291" s="74"/>
      <c r="R291" s="18"/>
      <c r="S291" s="18"/>
      <c r="T291" s="22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17"/>
      <c r="AH291" s="24"/>
      <c r="AI291" s="25"/>
      <c r="AJ291" s="25"/>
    </row>
    <row r="292" spans="1:36" x14ac:dyDescent="0.3">
      <c r="A292" s="63">
        <v>286</v>
      </c>
      <c r="B292" s="102" t="s">
        <v>3520</v>
      </c>
      <c r="C292" s="102" t="s">
        <v>3521</v>
      </c>
      <c r="D292" s="64" t="s">
        <v>119</v>
      </c>
      <c r="E292" s="68" t="s">
        <v>1203</v>
      </c>
      <c r="F292" s="68" t="s">
        <v>1210</v>
      </c>
      <c r="G292" s="68" t="s">
        <v>42</v>
      </c>
      <c r="H292" s="23"/>
      <c r="I292" s="23"/>
      <c r="J292" s="23"/>
      <c r="K292" s="68" t="s">
        <v>2003</v>
      </c>
      <c r="L292" s="68" t="s">
        <v>2004</v>
      </c>
      <c r="M292" s="68" t="s">
        <v>2005</v>
      </c>
      <c r="N292" s="67">
        <v>21.446338999999998</v>
      </c>
      <c r="O292" s="67">
        <v>92.233362999999997</v>
      </c>
      <c r="P292" s="74">
        <v>1200</v>
      </c>
      <c r="Q292" s="74"/>
      <c r="R292" s="18"/>
      <c r="S292" s="18"/>
      <c r="T292" s="22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17"/>
      <c r="AH292" s="24"/>
      <c r="AI292" s="25"/>
      <c r="AJ292" s="25"/>
    </row>
    <row r="293" spans="1:36" x14ac:dyDescent="0.3">
      <c r="A293" s="63">
        <v>287</v>
      </c>
      <c r="B293" s="102" t="s">
        <v>3520</v>
      </c>
      <c r="C293" s="102" t="s">
        <v>3521</v>
      </c>
      <c r="D293" s="64" t="s">
        <v>119</v>
      </c>
      <c r="E293" s="68" t="s">
        <v>1203</v>
      </c>
      <c r="F293" s="68" t="s">
        <v>1210</v>
      </c>
      <c r="G293" s="68" t="s">
        <v>42</v>
      </c>
      <c r="H293" s="23"/>
      <c r="I293" s="23"/>
      <c r="J293" s="23"/>
      <c r="K293" s="68" t="s">
        <v>2006</v>
      </c>
      <c r="L293" s="68" t="s">
        <v>2007</v>
      </c>
      <c r="M293" s="68" t="s">
        <v>2008</v>
      </c>
      <c r="N293" s="67">
        <v>21.447818999999999</v>
      </c>
      <c r="O293" s="67">
        <v>92.222890000000007</v>
      </c>
      <c r="P293" s="74">
        <v>220</v>
      </c>
      <c r="Q293" s="74"/>
      <c r="R293" s="18"/>
      <c r="S293" s="18"/>
      <c r="T293" s="22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17"/>
      <c r="AH293" s="24"/>
      <c r="AI293" s="25"/>
      <c r="AJ293" s="25"/>
    </row>
    <row r="294" spans="1:36" x14ac:dyDescent="0.3">
      <c r="A294" s="63">
        <v>288</v>
      </c>
      <c r="B294" s="102" t="s">
        <v>3520</v>
      </c>
      <c r="C294" s="102" t="s">
        <v>3521</v>
      </c>
      <c r="D294" s="64" t="s">
        <v>119</v>
      </c>
      <c r="E294" s="68" t="s">
        <v>1203</v>
      </c>
      <c r="F294" s="68" t="s">
        <v>1210</v>
      </c>
      <c r="G294" s="68" t="s">
        <v>42</v>
      </c>
      <c r="H294" s="23"/>
      <c r="I294" s="23"/>
      <c r="J294" s="23"/>
      <c r="K294" s="69" t="s">
        <v>2009</v>
      </c>
      <c r="L294" s="68" t="s">
        <v>2010</v>
      </c>
      <c r="M294" s="68" t="s">
        <v>2011</v>
      </c>
      <c r="N294" s="67">
        <v>21.443331000000001</v>
      </c>
      <c r="O294" s="67">
        <v>92.218149999999994</v>
      </c>
      <c r="P294" s="74">
        <v>450</v>
      </c>
      <c r="Q294" s="74"/>
      <c r="R294" s="18"/>
      <c r="S294" s="18"/>
      <c r="T294" s="27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17"/>
      <c r="AH294" s="24"/>
      <c r="AI294" s="25"/>
      <c r="AJ294" s="25"/>
    </row>
    <row r="295" spans="1:36" x14ac:dyDescent="0.3">
      <c r="A295" s="63">
        <v>289</v>
      </c>
      <c r="B295" s="102" t="s">
        <v>3520</v>
      </c>
      <c r="C295" s="102" t="s">
        <v>3521</v>
      </c>
      <c r="D295" s="64" t="s">
        <v>119</v>
      </c>
      <c r="E295" s="68" t="s">
        <v>1203</v>
      </c>
      <c r="F295" s="68" t="s">
        <v>1210</v>
      </c>
      <c r="G295" s="68" t="s">
        <v>42</v>
      </c>
      <c r="H295" s="23"/>
      <c r="I295" s="23"/>
      <c r="J295" s="23"/>
      <c r="K295" s="69" t="s">
        <v>2012</v>
      </c>
      <c r="L295" s="68" t="s">
        <v>2013</v>
      </c>
      <c r="M295" s="68" t="s">
        <v>2014</v>
      </c>
      <c r="N295" s="67">
        <v>21.443531</v>
      </c>
      <c r="O295" s="67">
        <v>92.213438999999994</v>
      </c>
      <c r="P295" s="74">
        <v>1200</v>
      </c>
      <c r="Q295" s="74"/>
      <c r="R295" s="18"/>
      <c r="S295" s="18"/>
      <c r="T295" s="22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17"/>
      <c r="AH295" s="24"/>
      <c r="AI295" s="25"/>
      <c r="AJ295" s="25"/>
    </row>
    <row r="296" spans="1:36" x14ac:dyDescent="0.3">
      <c r="A296" s="63">
        <v>290</v>
      </c>
      <c r="B296" s="102" t="s">
        <v>3520</v>
      </c>
      <c r="C296" s="102" t="s">
        <v>3521</v>
      </c>
      <c r="D296" s="64" t="s">
        <v>119</v>
      </c>
      <c r="E296" s="68" t="s">
        <v>1203</v>
      </c>
      <c r="F296" s="68" t="s">
        <v>1210</v>
      </c>
      <c r="G296" s="68" t="s">
        <v>42</v>
      </c>
      <c r="H296" s="23"/>
      <c r="I296" s="23"/>
      <c r="J296" s="23"/>
      <c r="K296" s="69" t="s">
        <v>2015</v>
      </c>
      <c r="L296" s="68" t="s">
        <v>2016</v>
      </c>
      <c r="M296" s="68" t="s">
        <v>2017</v>
      </c>
      <c r="N296" s="67">
        <v>21.445506999999999</v>
      </c>
      <c r="O296" s="67">
        <v>92.207322000000005</v>
      </c>
      <c r="P296" s="74">
        <v>800</v>
      </c>
      <c r="Q296" s="74"/>
      <c r="R296" s="18"/>
      <c r="S296" s="18"/>
      <c r="T296" s="22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17"/>
      <c r="AH296" s="24"/>
      <c r="AI296" s="25"/>
      <c r="AJ296" s="25"/>
    </row>
    <row r="297" spans="1:36" x14ac:dyDescent="0.3">
      <c r="A297" s="63">
        <v>291</v>
      </c>
      <c r="B297" s="102" t="s">
        <v>3520</v>
      </c>
      <c r="C297" s="102" t="s">
        <v>3521</v>
      </c>
      <c r="D297" s="64" t="s">
        <v>119</v>
      </c>
      <c r="E297" s="68" t="s">
        <v>1203</v>
      </c>
      <c r="F297" s="68" t="s">
        <v>1210</v>
      </c>
      <c r="G297" s="68" t="s">
        <v>42</v>
      </c>
      <c r="H297" s="23"/>
      <c r="I297" s="23"/>
      <c r="J297" s="23"/>
      <c r="K297" s="69" t="s">
        <v>2018</v>
      </c>
      <c r="L297" s="68" t="s">
        <v>2019</v>
      </c>
      <c r="M297" s="68" t="s">
        <v>2020</v>
      </c>
      <c r="N297" s="67">
        <v>21.445900000000002</v>
      </c>
      <c r="O297" s="67">
        <v>92.216504</v>
      </c>
      <c r="P297" s="74">
        <v>700</v>
      </c>
      <c r="Q297" s="74"/>
      <c r="R297" s="18"/>
      <c r="S297" s="18"/>
      <c r="T297" s="27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17"/>
      <c r="AH297" s="24"/>
      <c r="AI297" s="25"/>
      <c r="AJ297" s="25"/>
    </row>
    <row r="298" spans="1:36" x14ac:dyDescent="0.3">
      <c r="A298" s="63">
        <v>292</v>
      </c>
      <c r="B298" s="102" t="s">
        <v>3520</v>
      </c>
      <c r="C298" s="102" t="s">
        <v>3521</v>
      </c>
      <c r="D298" s="64" t="s">
        <v>119</v>
      </c>
      <c r="E298" s="68" t="s">
        <v>1203</v>
      </c>
      <c r="F298" s="68" t="s">
        <v>1210</v>
      </c>
      <c r="G298" s="68" t="s">
        <v>42</v>
      </c>
      <c r="H298" s="23"/>
      <c r="I298" s="23"/>
      <c r="J298" s="23"/>
      <c r="K298" s="69" t="s">
        <v>2021</v>
      </c>
      <c r="L298" s="68" t="s">
        <v>2022</v>
      </c>
      <c r="M298" s="68" t="s">
        <v>2023</v>
      </c>
      <c r="N298" s="67">
        <v>21.446389</v>
      </c>
      <c r="O298" s="67">
        <v>92.213009</v>
      </c>
      <c r="P298" s="74">
        <v>650</v>
      </c>
      <c r="Q298" s="74"/>
      <c r="R298" s="18"/>
      <c r="S298" s="18"/>
      <c r="T298" s="27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17"/>
      <c r="AH298" s="24"/>
      <c r="AI298" s="25"/>
      <c r="AJ298" s="25"/>
    </row>
    <row r="299" spans="1:36" x14ac:dyDescent="0.3">
      <c r="A299" s="63">
        <v>293</v>
      </c>
      <c r="B299" s="102" t="s">
        <v>3520</v>
      </c>
      <c r="C299" s="102" t="s">
        <v>3521</v>
      </c>
      <c r="D299" s="64" t="s">
        <v>119</v>
      </c>
      <c r="E299" s="68" t="s">
        <v>1203</v>
      </c>
      <c r="F299" s="68" t="s">
        <v>1210</v>
      </c>
      <c r="G299" s="68" t="s">
        <v>42</v>
      </c>
      <c r="H299" s="23"/>
      <c r="I299" s="23"/>
      <c r="J299" s="23"/>
      <c r="K299" s="69" t="s">
        <v>2024</v>
      </c>
      <c r="L299" s="68" t="s">
        <v>2025</v>
      </c>
      <c r="M299" s="68" t="s">
        <v>2026</v>
      </c>
      <c r="N299" s="67">
        <v>21.44905</v>
      </c>
      <c r="O299" s="67">
        <v>92.212952999999999</v>
      </c>
      <c r="P299" s="74">
        <v>350</v>
      </c>
      <c r="Q299" s="74"/>
      <c r="R299" s="18"/>
      <c r="S299" s="18"/>
      <c r="T299" s="22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17"/>
      <c r="AH299" s="24"/>
      <c r="AI299" s="25"/>
      <c r="AJ299" s="25"/>
    </row>
    <row r="300" spans="1:36" x14ac:dyDescent="0.3">
      <c r="A300" s="63">
        <v>294</v>
      </c>
      <c r="B300" s="102" t="s">
        <v>3520</v>
      </c>
      <c r="C300" s="102" t="s">
        <v>3521</v>
      </c>
      <c r="D300" s="64" t="s">
        <v>119</v>
      </c>
      <c r="E300" s="68" t="s">
        <v>1203</v>
      </c>
      <c r="F300" s="68" t="s">
        <v>1210</v>
      </c>
      <c r="G300" s="68" t="s">
        <v>43</v>
      </c>
      <c r="H300" s="23"/>
      <c r="I300" s="23"/>
      <c r="J300" s="23"/>
      <c r="K300" s="68" t="s">
        <v>2027</v>
      </c>
      <c r="L300" s="68" t="s">
        <v>2028</v>
      </c>
      <c r="M300" s="68" t="s">
        <v>2029</v>
      </c>
      <c r="N300" s="67">
        <v>21.442162</v>
      </c>
      <c r="O300" s="67">
        <v>92.199703999999997</v>
      </c>
      <c r="P300" s="74">
        <v>2000</v>
      </c>
      <c r="Q300" s="74"/>
      <c r="R300" s="18"/>
      <c r="S300" s="18"/>
      <c r="T300" s="27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17"/>
      <c r="AH300" s="24"/>
      <c r="AI300" s="25"/>
      <c r="AJ300" s="25"/>
    </row>
    <row r="301" spans="1:36" x14ac:dyDescent="0.3">
      <c r="A301" s="63">
        <v>295</v>
      </c>
      <c r="B301" s="102" t="s">
        <v>3520</v>
      </c>
      <c r="C301" s="102" t="s">
        <v>3521</v>
      </c>
      <c r="D301" s="64" t="s">
        <v>119</v>
      </c>
      <c r="E301" s="68" t="s">
        <v>1203</v>
      </c>
      <c r="F301" s="68" t="s">
        <v>1210</v>
      </c>
      <c r="G301" s="68" t="s">
        <v>43</v>
      </c>
      <c r="H301" s="23"/>
      <c r="I301" s="23"/>
      <c r="J301" s="23"/>
      <c r="K301" s="68" t="s">
        <v>2030</v>
      </c>
      <c r="L301" s="68" t="s">
        <v>2031</v>
      </c>
      <c r="M301" s="68" t="s">
        <v>2032</v>
      </c>
      <c r="N301" s="67">
        <v>21.444993</v>
      </c>
      <c r="O301" s="67">
        <v>92.203418999999997</v>
      </c>
      <c r="P301" s="74">
        <v>3000</v>
      </c>
      <c r="Q301" s="74"/>
      <c r="R301" s="18"/>
      <c r="S301" s="18"/>
      <c r="T301" s="27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17"/>
      <c r="AH301" s="24"/>
      <c r="AI301" s="25"/>
      <c r="AJ301" s="25"/>
    </row>
    <row r="302" spans="1:36" x14ac:dyDescent="0.3">
      <c r="A302" s="63">
        <v>296</v>
      </c>
      <c r="B302" s="102" t="s">
        <v>3520</v>
      </c>
      <c r="C302" s="102" t="s">
        <v>3521</v>
      </c>
      <c r="D302" s="64" t="s">
        <v>119</v>
      </c>
      <c r="E302" s="68" t="s">
        <v>1203</v>
      </c>
      <c r="F302" s="68" t="s">
        <v>1210</v>
      </c>
      <c r="G302" s="68" t="s">
        <v>43</v>
      </c>
      <c r="H302" s="23"/>
      <c r="I302" s="23"/>
      <c r="J302" s="23"/>
      <c r="K302" s="68" t="s">
        <v>2033</v>
      </c>
      <c r="L302" s="68" t="s">
        <v>2034</v>
      </c>
      <c r="M302" s="68" t="s">
        <v>2035</v>
      </c>
      <c r="N302" s="67">
        <v>21.437016</v>
      </c>
      <c r="O302" s="67">
        <v>92.201480000000004</v>
      </c>
      <c r="P302" s="74">
        <v>5000</v>
      </c>
      <c r="Q302" s="74"/>
      <c r="R302" s="18"/>
      <c r="S302" s="18"/>
      <c r="T302" s="27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17"/>
      <c r="AH302" s="24"/>
      <c r="AI302" s="25"/>
      <c r="AJ302" s="25"/>
    </row>
    <row r="303" spans="1:36" x14ac:dyDescent="0.3">
      <c r="A303" s="63">
        <v>297</v>
      </c>
      <c r="B303" s="102" t="s">
        <v>3520</v>
      </c>
      <c r="C303" s="102" t="s">
        <v>3521</v>
      </c>
      <c r="D303" s="64" t="s">
        <v>119</v>
      </c>
      <c r="E303" s="68" t="s">
        <v>1203</v>
      </c>
      <c r="F303" s="68" t="s">
        <v>1210</v>
      </c>
      <c r="G303" s="68" t="s">
        <v>44</v>
      </c>
      <c r="H303" s="23"/>
      <c r="I303" s="23"/>
      <c r="J303" s="23"/>
      <c r="K303" s="68" t="s">
        <v>2036</v>
      </c>
      <c r="L303" s="68" t="s">
        <v>2037</v>
      </c>
      <c r="M303" s="68" t="s">
        <v>2038</v>
      </c>
      <c r="N303" s="67">
        <v>21.433312999999998</v>
      </c>
      <c r="O303" s="67">
        <v>92.201593000000003</v>
      </c>
      <c r="P303" s="74">
        <v>1200</v>
      </c>
      <c r="Q303" s="74"/>
      <c r="R303" s="18"/>
      <c r="S303" s="18"/>
      <c r="T303" s="27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17"/>
      <c r="AH303" s="24"/>
      <c r="AI303" s="25"/>
      <c r="AJ303" s="25"/>
    </row>
    <row r="304" spans="1:36" x14ac:dyDescent="0.3">
      <c r="A304" s="63">
        <v>298</v>
      </c>
      <c r="B304" s="102" t="s">
        <v>3520</v>
      </c>
      <c r="C304" s="102" t="s">
        <v>3521</v>
      </c>
      <c r="D304" s="64" t="s">
        <v>119</v>
      </c>
      <c r="E304" s="68" t="s">
        <v>1203</v>
      </c>
      <c r="F304" s="68" t="s">
        <v>1210</v>
      </c>
      <c r="G304" s="68" t="s">
        <v>44</v>
      </c>
      <c r="H304" s="23"/>
      <c r="I304" s="23"/>
      <c r="J304" s="23"/>
      <c r="K304" s="68" t="s">
        <v>2039</v>
      </c>
      <c r="L304" s="68" t="s">
        <v>2040</v>
      </c>
      <c r="M304" s="68" t="s">
        <v>2041</v>
      </c>
      <c r="N304" s="67">
        <v>21.430313000000002</v>
      </c>
      <c r="O304" s="67">
        <v>92.204019000000002</v>
      </c>
      <c r="P304" s="74">
        <v>420</v>
      </c>
      <c r="Q304" s="74"/>
      <c r="R304" s="18"/>
      <c r="S304" s="18"/>
      <c r="T304" s="27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17"/>
      <c r="AH304" s="24"/>
      <c r="AI304" s="25"/>
      <c r="AJ304" s="25"/>
    </row>
    <row r="305" spans="1:36" x14ac:dyDescent="0.3">
      <c r="A305" s="63">
        <v>299</v>
      </c>
      <c r="B305" s="102" t="s">
        <v>3520</v>
      </c>
      <c r="C305" s="102" t="s">
        <v>3521</v>
      </c>
      <c r="D305" s="64" t="s">
        <v>119</v>
      </c>
      <c r="E305" s="68" t="s">
        <v>1203</v>
      </c>
      <c r="F305" s="68" t="s">
        <v>1210</v>
      </c>
      <c r="G305" s="68" t="s">
        <v>44</v>
      </c>
      <c r="H305" s="23"/>
      <c r="I305" s="23"/>
      <c r="J305" s="23"/>
      <c r="K305" s="68" t="s">
        <v>2042</v>
      </c>
      <c r="L305" s="68" t="s">
        <v>2043</v>
      </c>
      <c r="M305" s="68" t="s">
        <v>2044</v>
      </c>
      <c r="N305" s="67">
        <v>21.429970000000001</v>
      </c>
      <c r="O305" s="67">
        <v>92.21611</v>
      </c>
      <c r="P305" s="74">
        <v>1350</v>
      </c>
      <c r="Q305" s="74"/>
      <c r="R305" s="18"/>
      <c r="S305" s="18"/>
      <c r="T305" s="27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17"/>
      <c r="AH305" s="24"/>
      <c r="AI305" s="25"/>
      <c r="AJ305" s="25"/>
    </row>
    <row r="306" spans="1:36" x14ac:dyDescent="0.3">
      <c r="A306" s="63">
        <v>300</v>
      </c>
      <c r="B306" s="102" t="s">
        <v>3520</v>
      </c>
      <c r="C306" s="102" t="s">
        <v>3521</v>
      </c>
      <c r="D306" s="64" t="s">
        <v>119</v>
      </c>
      <c r="E306" s="68" t="s">
        <v>1203</v>
      </c>
      <c r="F306" s="68" t="s">
        <v>1210</v>
      </c>
      <c r="G306" s="68" t="s">
        <v>44</v>
      </c>
      <c r="H306" s="23"/>
      <c r="I306" s="23"/>
      <c r="J306" s="23"/>
      <c r="K306" s="68" t="s">
        <v>2045</v>
      </c>
      <c r="L306" s="68" t="s">
        <v>2046</v>
      </c>
      <c r="M306" s="68" t="s">
        <v>2047</v>
      </c>
      <c r="N306" s="67">
        <v>21.438275000000001</v>
      </c>
      <c r="O306" s="67">
        <v>92.207774999999998</v>
      </c>
      <c r="P306" s="74">
        <v>1100</v>
      </c>
      <c r="Q306" s="74"/>
      <c r="R306" s="18"/>
      <c r="S306" s="18"/>
      <c r="T306" s="27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17"/>
      <c r="AH306" s="24"/>
      <c r="AI306" s="25"/>
      <c r="AJ306" s="25"/>
    </row>
    <row r="307" spans="1:36" x14ac:dyDescent="0.3">
      <c r="A307" s="63">
        <v>301</v>
      </c>
      <c r="B307" s="102" t="s">
        <v>3520</v>
      </c>
      <c r="C307" s="102" t="s">
        <v>3521</v>
      </c>
      <c r="D307" s="64" t="s">
        <v>119</v>
      </c>
      <c r="E307" s="68" t="s">
        <v>1203</v>
      </c>
      <c r="F307" s="68" t="s">
        <v>1210</v>
      </c>
      <c r="G307" s="68" t="s">
        <v>44</v>
      </c>
      <c r="H307" s="23"/>
      <c r="I307" s="23"/>
      <c r="J307" s="23"/>
      <c r="K307" s="68" t="s">
        <v>2048</v>
      </c>
      <c r="L307" s="68" t="s">
        <v>2049</v>
      </c>
      <c r="M307" s="68" t="s">
        <v>2050</v>
      </c>
      <c r="N307" s="67">
        <v>21.427023999999999</v>
      </c>
      <c r="O307" s="67">
        <v>92.226749999999996</v>
      </c>
      <c r="P307" s="74">
        <v>350</v>
      </c>
      <c r="Q307" s="74"/>
      <c r="R307" s="18"/>
      <c r="S307" s="18"/>
      <c r="T307" s="27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17"/>
      <c r="AH307" s="24"/>
      <c r="AI307" s="25"/>
      <c r="AJ307" s="25"/>
    </row>
    <row r="308" spans="1:36" x14ac:dyDescent="0.3">
      <c r="A308" s="63">
        <v>302</v>
      </c>
      <c r="B308" s="102" t="s">
        <v>3520</v>
      </c>
      <c r="C308" s="102" t="s">
        <v>3521</v>
      </c>
      <c r="D308" s="64" t="s">
        <v>119</v>
      </c>
      <c r="E308" s="68" t="s">
        <v>1203</v>
      </c>
      <c r="F308" s="68" t="s">
        <v>1210</v>
      </c>
      <c r="G308" s="68" t="s">
        <v>44</v>
      </c>
      <c r="H308" s="23"/>
      <c r="I308" s="23"/>
      <c r="J308" s="23"/>
      <c r="K308" s="68" t="s">
        <v>2051</v>
      </c>
      <c r="L308" s="68" t="s">
        <v>2052</v>
      </c>
      <c r="M308" s="68" t="s">
        <v>2053</v>
      </c>
      <c r="N308" s="67">
        <v>21.417325000000002</v>
      </c>
      <c r="O308" s="67">
        <v>92.225973999999994</v>
      </c>
      <c r="P308" s="74">
        <v>260</v>
      </c>
      <c r="Q308" s="74"/>
      <c r="R308" s="18"/>
      <c r="S308" s="18"/>
      <c r="T308" s="27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17"/>
      <c r="AH308" s="24"/>
      <c r="AI308" s="25"/>
      <c r="AJ308" s="25"/>
    </row>
    <row r="309" spans="1:36" x14ac:dyDescent="0.3">
      <c r="A309" s="63">
        <v>303</v>
      </c>
      <c r="B309" s="102" t="s">
        <v>3520</v>
      </c>
      <c r="C309" s="102" t="s">
        <v>3521</v>
      </c>
      <c r="D309" s="64" t="s">
        <v>119</v>
      </c>
      <c r="E309" s="68" t="s">
        <v>1203</v>
      </c>
      <c r="F309" s="68" t="s">
        <v>1210</v>
      </c>
      <c r="G309" s="68" t="s">
        <v>44</v>
      </c>
      <c r="H309" s="23"/>
      <c r="I309" s="23"/>
      <c r="J309" s="23"/>
      <c r="K309" s="68" t="s">
        <v>2054</v>
      </c>
      <c r="L309" s="68" t="s">
        <v>2055</v>
      </c>
      <c r="M309" s="68" t="s">
        <v>2056</v>
      </c>
      <c r="N309" s="67">
        <v>21.414867000000001</v>
      </c>
      <c r="O309" s="67">
        <v>92.231541000000007</v>
      </c>
      <c r="P309" s="74">
        <v>100</v>
      </c>
      <c r="Q309" s="74"/>
      <c r="R309" s="18"/>
      <c r="S309" s="18"/>
      <c r="T309" s="27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17"/>
      <c r="AH309" s="24"/>
      <c r="AI309" s="25"/>
      <c r="AJ309" s="25"/>
    </row>
    <row r="310" spans="1:36" x14ac:dyDescent="0.3">
      <c r="A310" s="63">
        <v>304</v>
      </c>
      <c r="B310" s="102" t="s">
        <v>3520</v>
      </c>
      <c r="C310" s="102" t="s">
        <v>3521</v>
      </c>
      <c r="D310" s="64" t="s">
        <v>119</v>
      </c>
      <c r="E310" s="68" t="s">
        <v>1203</v>
      </c>
      <c r="F310" s="68" t="s">
        <v>1210</v>
      </c>
      <c r="G310" s="68" t="s">
        <v>45</v>
      </c>
      <c r="H310" s="23"/>
      <c r="I310" s="23"/>
      <c r="J310" s="23"/>
      <c r="K310" s="68" t="s">
        <v>2057</v>
      </c>
      <c r="L310" s="68" t="s">
        <v>2058</v>
      </c>
      <c r="M310" s="68" t="s">
        <v>2059</v>
      </c>
      <c r="N310" s="67">
        <v>21.440766</v>
      </c>
      <c r="O310" s="67">
        <v>92.194828999999999</v>
      </c>
      <c r="P310" s="74">
        <v>900</v>
      </c>
      <c r="Q310" s="74"/>
      <c r="R310" s="18"/>
      <c r="S310" s="18"/>
      <c r="T310" s="27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17"/>
      <c r="AH310" s="24"/>
      <c r="AI310" s="25"/>
      <c r="AJ310" s="25"/>
    </row>
    <row r="311" spans="1:36" x14ac:dyDescent="0.3">
      <c r="A311" s="63">
        <v>305</v>
      </c>
      <c r="B311" s="102" t="s">
        <v>3520</v>
      </c>
      <c r="C311" s="102" t="s">
        <v>3521</v>
      </c>
      <c r="D311" s="64" t="s">
        <v>119</v>
      </c>
      <c r="E311" s="68" t="s">
        <v>1203</v>
      </c>
      <c r="F311" s="68" t="s">
        <v>1210</v>
      </c>
      <c r="G311" s="68" t="s">
        <v>45</v>
      </c>
      <c r="H311" s="23"/>
      <c r="I311" s="23"/>
      <c r="J311" s="23"/>
      <c r="K311" s="68" t="s">
        <v>2060</v>
      </c>
      <c r="L311" s="68" t="s">
        <v>2061</v>
      </c>
      <c r="M311" s="68" t="s">
        <v>2062</v>
      </c>
      <c r="N311" s="67">
        <v>21.438499</v>
      </c>
      <c r="O311" s="67">
        <v>92.193134000000001</v>
      </c>
      <c r="P311" s="74">
        <v>450</v>
      </c>
      <c r="Q311" s="74"/>
      <c r="R311" s="18"/>
      <c r="S311" s="18"/>
      <c r="T311" s="27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17"/>
      <c r="AH311" s="24"/>
      <c r="AI311" s="25"/>
      <c r="AJ311" s="25"/>
    </row>
    <row r="312" spans="1:36" x14ac:dyDescent="0.3">
      <c r="A312" s="63">
        <v>306</v>
      </c>
      <c r="B312" s="102" t="s">
        <v>3520</v>
      </c>
      <c r="C312" s="102" t="s">
        <v>3521</v>
      </c>
      <c r="D312" s="64" t="s">
        <v>119</v>
      </c>
      <c r="E312" s="68" t="s">
        <v>1203</v>
      </c>
      <c r="F312" s="68" t="s">
        <v>1210</v>
      </c>
      <c r="G312" s="68" t="s">
        <v>45</v>
      </c>
      <c r="H312" s="23"/>
      <c r="I312" s="23"/>
      <c r="J312" s="23"/>
      <c r="K312" s="68" t="s">
        <v>2063</v>
      </c>
      <c r="L312" s="68" t="s">
        <v>2064</v>
      </c>
      <c r="M312" s="68" t="s">
        <v>2065</v>
      </c>
      <c r="N312" s="67">
        <v>21.433519</v>
      </c>
      <c r="O312" s="67">
        <v>92.196783999999994</v>
      </c>
      <c r="P312" s="74">
        <v>300</v>
      </c>
      <c r="Q312" s="74"/>
      <c r="R312" s="18"/>
      <c r="S312" s="18"/>
      <c r="T312" s="27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4"/>
      <c r="AI312" s="25"/>
      <c r="AJ312" s="25"/>
    </row>
    <row r="313" spans="1:36" x14ac:dyDescent="0.3">
      <c r="A313" s="63">
        <v>307</v>
      </c>
      <c r="B313" s="102" t="s">
        <v>3520</v>
      </c>
      <c r="C313" s="102" t="s">
        <v>3521</v>
      </c>
      <c r="D313" s="64" t="s">
        <v>119</v>
      </c>
      <c r="E313" s="68" t="s">
        <v>1203</v>
      </c>
      <c r="F313" s="68" t="s">
        <v>1210</v>
      </c>
      <c r="G313" s="68" t="s">
        <v>45</v>
      </c>
      <c r="H313" s="23"/>
      <c r="I313" s="23"/>
      <c r="J313" s="23"/>
      <c r="K313" s="68" t="s">
        <v>2066</v>
      </c>
      <c r="L313" s="68" t="s">
        <v>2067</v>
      </c>
      <c r="M313" s="68" t="s">
        <v>2068</v>
      </c>
      <c r="N313" s="67">
        <v>21.435684999999999</v>
      </c>
      <c r="O313" s="67">
        <v>92.192498999999998</v>
      </c>
      <c r="P313" s="74">
        <v>320</v>
      </c>
      <c r="Q313" s="74"/>
      <c r="R313" s="18"/>
      <c r="S313" s="18"/>
      <c r="T313" s="22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17"/>
      <c r="AH313" s="24"/>
      <c r="AI313" s="25"/>
      <c r="AJ313" s="25"/>
    </row>
    <row r="314" spans="1:36" x14ac:dyDescent="0.3">
      <c r="A314" s="63">
        <v>308</v>
      </c>
      <c r="B314" s="102" t="s">
        <v>3520</v>
      </c>
      <c r="C314" s="102" t="s">
        <v>3521</v>
      </c>
      <c r="D314" s="64" t="s">
        <v>119</v>
      </c>
      <c r="E314" s="68" t="s">
        <v>1203</v>
      </c>
      <c r="F314" s="68" t="s">
        <v>1210</v>
      </c>
      <c r="G314" s="68" t="s">
        <v>45</v>
      </c>
      <c r="H314" s="23"/>
      <c r="I314" s="23"/>
      <c r="J314" s="23"/>
      <c r="K314" s="68" t="s">
        <v>2069</v>
      </c>
      <c r="L314" s="68" t="s">
        <v>2070</v>
      </c>
      <c r="M314" s="68" t="s">
        <v>2071</v>
      </c>
      <c r="N314" s="67">
        <v>21.426759000000001</v>
      </c>
      <c r="O314" s="67">
        <v>92.193528999999998</v>
      </c>
      <c r="P314" s="74">
        <v>1500</v>
      </c>
      <c r="Q314" s="74"/>
      <c r="R314" s="18"/>
      <c r="S314" s="18"/>
      <c r="T314" s="27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17"/>
      <c r="AH314" s="24"/>
      <c r="AI314" s="25"/>
      <c r="AJ314" s="25"/>
    </row>
    <row r="315" spans="1:36" x14ac:dyDescent="0.3">
      <c r="A315" s="63">
        <v>309</v>
      </c>
      <c r="B315" s="102" t="s">
        <v>3520</v>
      </c>
      <c r="C315" s="102" t="s">
        <v>3521</v>
      </c>
      <c r="D315" s="64" t="s">
        <v>119</v>
      </c>
      <c r="E315" s="68" t="s">
        <v>1203</v>
      </c>
      <c r="F315" s="68" t="s">
        <v>1210</v>
      </c>
      <c r="G315" s="68" t="s">
        <v>45</v>
      </c>
      <c r="H315" s="23"/>
      <c r="I315" s="23"/>
      <c r="J315" s="23"/>
      <c r="K315" s="68" t="s">
        <v>2072</v>
      </c>
      <c r="L315" s="68" t="s">
        <v>2073</v>
      </c>
      <c r="M315" s="68" t="s">
        <v>2074</v>
      </c>
      <c r="N315" s="67">
        <v>21.439769999999999</v>
      </c>
      <c r="O315" s="67">
        <v>92.189886999999999</v>
      </c>
      <c r="P315" s="74">
        <v>700</v>
      </c>
      <c r="Q315" s="74"/>
      <c r="R315" s="18"/>
      <c r="S315" s="18"/>
      <c r="T315" s="27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17"/>
      <c r="AH315" s="24"/>
      <c r="AI315" s="25"/>
      <c r="AJ315" s="25"/>
    </row>
    <row r="316" spans="1:36" x14ac:dyDescent="0.3">
      <c r="A316" s="63">
        <v>310</v>
      </c>
      <c r="B316" s="102" t="s">
        <v>3520</v>
      </c>
      <c r="C316" s="102" t="s">
        <v>3521</v>
      </c>
      <c r="D316" s="64" t="s">
        <v>119</v>
      </c>
      <c r="E316" s="68" t="s">
        <v>1203</v>
      </c>
      <c r="F316" s="68" t="s">
        <v>1210</v>
      </c>
      <c r="G316" s="68" t="s">
        <v>45</v>
      </c>
      <c r="H316" s="23"/>
      <c r="I316" s="23"/>
      <c r="J316" s="23"/>
      <c r="K316" s="68" t="s">
        <v>2075</v>
      </c>
      <c r="L316" s="68" t="s">
        <v>2076</v>
      </c>
      <c r="M316" s="68" t="s">
        <v>2077</v>
      </c>
      <c r="N316" s="67">
        <v>21.436017</v>
      </c>
      <c r="O316" s="67">
        <v>92.186027999999993</v>
      </c>
      <c r="P316" s="74">
        <v>750</v>
      </c>
      <c r="Q316" s="74"/>
      <c r="R316" s="18"/>
      <c r="S316" s="18"/>
      <c r="T316" s="22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17"/>
      <c r="AH316" s="24"/>
      <c r="AI316" s="25"/>
      <c r="AJ316" s="25"/>
    </row>
    <row r="317" spans="1:36" x14ac:dyDescent="0.3">
      <c r="A317" s="63">
        <v>311</v>
      </c>
      <c r="B317" s="102" t="s">
        <v>3520</v>
      </c>
      <c r="C317" s="102" t="s">
        <v>3521</v>
      </c>
      <c r="D317" s="64" t="s">
        <v>119</v>
      </c>
      <c r="E317" s="68" t="s">
        <v>1203</v>
      </c>
      <c r="F317" s="68" t="s">
        <v>1210</v>
      </c>
      <c r="G317" s="68" t="s">
        <v>45</v>
      </c>
      <c r="H317" s="23"/>
      <c r="I317" s="23"/>
      <c r="J317" s="23"/>
      <c r="K317" s="69" t="s">
        <v>2078</v>
      </c>
      <c r="L317" s="68" t="s">
        <v>2079</v>
      </c>
      <c r="M317" s="68" t="s">
        <v>2080</v>
      </c>
      <c r="N317" s="67">
        <v>21.431455</v>
      </c>
      <c r="O317" s="67">
        <v>92.187837999999999</v>
      </c>
      <c r="P317" s="74">
        <v>720</v>
      </c>
      <c r="Q317" s="74"/>
      <c r="R317" s="18"/>
      <c r="S317" s="18"/>
      <c r="T317" s="22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17"/>
      <c r="AH317" s="24"/>
      <c r="AI317" s="25"/>
      <c r="AJ317" s="25"/>
    </row>
    <row r="318" spans="1:36" x14ac:dyDescent="0.3">
      <c r="A318" s="63">
        <v>312</v>
      </c>
      <c r="B318" s="102" t="s">
        <v>3520</v>
      </c>
      <c r="C318" s="102" t="s">
        <v>3521</v>
      </c>
      <c r="D318" s="64" t="s">
        <v>119</v>
      </c>
      <c r="E318" s="68" t="s">
        <v>1203</v>
      </c>
      <c r="F318" s="68" t="s">
        <v>1210</v>
      </c>
      <c r="G318" s="68" t="s">
        <v>45</v>
      </c>
      <c r="H318" s="23"/>
      <c r="I318" s="23"/>
      <c r="J318" s="23"/>
      <c r="K318" s="69" t="s">
        <v>2081</v>
      </c>
      <c r="L318" s="68" t="s">
        <v>2082</v>
      </c>
      <c r="M318" s="68" t="s">
        <v>2083</v>
      </c>
      <c r="N318" s="67">
        <v>21.426038999999999</v>
      </c>
      <c r="O318" s="67">
        <v>92.189565000000002</v>
      </c>
      <c r="P318" s="74">
        <v>500</v>
      </c>
      <c r="Q318" s="74"/>
      <c r="R318" s="18"/>
      <c r="S318" s="18"/>
      <c r="T318" s="27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17"/>
      <c r="AH318" s="24"/>
      <c r="AI318" s="25"/>
      <c r="AJ318" s="25"/>
    </row>
    <row r="319" spans="1:36" x14ac:dyDescent="0.3">
      <c r="A319" s="63">
        <v>313</v>
      </c>
      <c r="B319" s="102" t="s">
        <v>3520</v>
      </c>
      <c r="C319" s="102" t="s">
        <v>3521</v>
      </c>
      <c r="D319" s="64" t="s">
        <v>119</v>
      </c>
      <c r="E319" s="68" t="s">
        <v>1203</v>
      </c>
      <c r="F319" s="68" t="s">
        <v>1210</v>
      </c>
      <c r="G319" s="68" t="s">
        <v>45</v>
      </c>
      <c r="H319" s="23"/>
      <c r="I319" s="23"/>
      <c r="J319" s="23"/>
      <c r="K319" s="69" t="s">
        <v>2084</v>
      </c>
      <c r="L319" s="68" t="s">
        <v>2085</v>
      </c>
      <c r="M319" s="68" t="s">
        <v>2086</v>
      </c>
      <c r="N319" s="67">
        <v>21.431811</v>
      </c>
      <c r="O319" s="67">
        <v>92.182483000000005</v>
      </c>
      <c r="P319" s="74">
        <v>1200</v>
      </c>
      <c r="Q319" s="74"/>
      <c r="R319" s="18"/>
      <c r="S319" s="18"/>
      <c r="T319" s="27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17"/>
      <c r="AH319" s="24"/>
      <c r="AI319" s="25"/>
      <c r="AJ319" s="25"/>
    </row>
    <row r="320" spans="1:36" x14ac:dyDescent="0.3">
      <c r="A320" s="63">
        <v>314</v>
      </c>
      <c r="B320" s="102" t="s">
        <v>3520</v>
      </c>
      <c r="C320" s="102" t="s">
        <v>3521</v>
      </c>
      <c r="D320" s="64" t="s">
        <v>119</v>
      </c>
      <c r="E320" s="68" t="s">
        <v>1203</v>
      </c>
      <c r="F320" s="68" t="s">
        <v>1210</v>
      </c>
      <c r="G320" s="68" t="s">
        <v>45</v>
      </c>
      <c r="H320" s="23"/>
      <c r="I320" s="23"/>
      <c r="J320" s="23"/>
      <c r="K320" s="69" t="s">
        <v>2087</v>
      </c>
      <c r="L320" s="68" t="s">
        <v>2088</v>
      </c>
      <c r="M320" s="68" t="s">
        <v>2089</v>
      </c>
      <c r="N320" s="67">
        <v>21.425840000000001</v>
      </c>
      <c r="O320" s="67">
        <v>92.183633</v>
      </c>
      <c r="P320" s="74">
        <v>300</v>
      </c>
      <c r="Q320" s="74"/>
      <c r="R320" s="18"/>
      <c r="S320" s="18"/>
      <c r="T320" s="27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17"/>
      <c r="AH320" s="24"/>
      <c r="AI320" s="25"/>
      <c r="AJ320" s="25"/>
    </row>
    <row r="321" spans="1:36" x14ac:dyDescent="0.3">
      <c r="A321" s="63">
        <v>315</v>
      </c>
      <c r="B321" s="102" t="s">
        <v>3520</v>
      </c>
      <c r="C321" s="102" t="s">
        <v>3521</v>
      </c>
      <c r="D321" s="64" t="s">
        <v>119</v>
      </c>
      <c r="E321" s="68" t="s">
        <v>1203</v>
      </c>
      <c r="F321" s="68" t="s">
        <v>1210</v>
      </c>
      <c r="G321" s="68" t="s">
        <v>46</v>
      </c>
      <c r="H321" s="23"/>
      <c r="I321" s="23"/>
      <c r="J321" s="23"/>
      <c r="K321" s="68" t="s">
        <v>2072</v>
      </c>
      <c r="L321" s="68" t="s">
        <v>2073</v>
      </c>
      <c r="M321" s="68" t="s">
        <v>2090</v>
      </c>
      <c r="N321" s="67">
        <v>21.442253999999998</v>
      </c>
      <c r="O321" s="67">
        <v>92.188433000000003</v>
      </c>
      <c r="P321" s="74">
        <v>1300</v>
      </c>
      <c r="Q321" s="74"/>
      <c r="R321" s="18"/>
      <c r="S321" s="18"/>
      <c r="T321" s="27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17"/>
      <c r="AH321" s="24"/>
      <c r="AI321" s="25"/>
      <c r="AJ321" s="25"/>
    </row>
    <row r="322" spans="1:36" x14ac:dyDescent="0.3">
      <c r="A322" s="63">
        <v>316</v>
      </c>
      <c r="B322" s="102" t="s">
        <v>3520</v>
      </c>
      <c r="C322" s="102" t="s">
        <v>3521</v>
      </c>
      <c r="D322" s="64" t="s">
        <v>119</v>
      </c>
      <c r="E322" s="68" t="s">
        <v>1203</v>
      </c>
      <c r="F322" s="68" t="s">
        <v>1210</v>
      </c>
      <c r="G322" s="68" t="s">
        <v>46</v>
      </c>
      <c r="H322" s="23"/>
      <c r="I322" s="23"/>
      <c r="J322" s="23"/>
      <c r="K322" s="68" t="s">
        <v>2091</v>
      </c>
      <c r="L322" s="68" t="s">
        <v>2092</v>
      </c>
      <c r="M322" s="68" t="s">
        <v>2093</v>
      </c>
      <c r="N322" s="67">
        <v>21.442609000000001</v>
      </c>
      <c r="O322" s="67">
        <v>92.183294000000004</v>
      </c>
      <c r="P322" s="74">
        <v>800</v>
      </c>
      <c r="Q322" s="74"/>
      <c r="R322" s="18"/>
      <c r="S322" s="18"/>
      <c r="T322" s="27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17"/>
      <c r="AH322" s="24"/>
      <c r="AI322" s="25"/>
      <c r="AJ322" s="25"/>
    </row>
    <row r="323" spans="1:36" x14ac:dyDescent="0.3">
      <c r="A323" s="63">
        <v>317</v>
      </c>
      <c r="B323" s="102" t="s">
        <v>3520</v>
      </c>
      <c r="C323" s="102" t="s">
        <v>3521</v>
      </c>
      <c r="D323" s="64" t="s">
        <v>119</v>
      </c>
      <c r="E323" s="68" t="s">
        <v>1203</v>
      </c>
      <c r="F323" s="68" t="s">
        <v>1210</v>
      </c>
      <c r="G323" s="68" t="s">
        <v>46</v>
      </c>
      <c r="H323" s="23"/>
      <c r="I323" s="23"/>
      <c r="J323" s="23"/>
      <c r="K323" s="68" t="s">
        <v>2094</v>
      </c>
      <c r="L323" s="68" t="s">
        <v>2095</v>
      </c>
      <c r="M323" s="68" t="s">
        <v>2096</v>
      </c>
      <c r="N323" s="67">
        <v>21.442164999999999</v>
      </c>
      <c r="O323" s="67">
        <v>92.178494000000001</v>
      </c>
      <c r="P323" s="74">
        <v>900</v>
      </c>
      <c r="Q323" s="74"/>
      <c r="R323" s="18"/>
      <c r="S323" s="18"/>
      <c r="T323" s="22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17"/>
      <c r="AH323" s="24"/>
      <c r="AI323" s="25"/>
      <c r="AJ323" s="25"/>
    </row>
    <row r="324" spans="1:36" x14ac:dyDescent="0.3">
      <c r="A324" s="63">
        <v>318</v>
      </c>
      <c r="B324" s="102" t="s">
        <v>3520</v>
      </c>
      <c r="C324" s="102" t="s">
        <v>3521</v>
      </c>
      <c r="D324" s="64" t="s">
        <v>119</v>
      </c>
      <c r="E324" s="68" t="s">
        <v>1203</v>
      </c>
      <c r="F324" s="68" t="s">
        <v>1210</v>
      </c>
      <c r="G324" s="68" t="s">
        <v>46</v>
      </c>
      <c r="H324" s="23"/>
      <c r="I324" s="23"/>
      <c r="J324" s="23"/>
      <c r="K324" s="68" t="s">
        <v>2084</v>
      </c>
      <c r="L324" s="68" t="s">
        <v>2085</v>
      </c>
      <c r="M324" s="68" t="s">
        <v>2097</v>
      </c>
      <c r="N324" s="67">
        <v>21.436405000000001</v>
      </c>
      <c r="O324" s="67">
        <v>92.177502000000004</v>
      </c>
      <c r="P324" s="74">
        <v>700</v>
      </c>
      <c r="Q324" s="74"/>
      <c r="R324" s="18"/>
      <c r="S324" s="18"/>
      <c r="T324" s="27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17"/>
      <c r="AH324" s="24"/>
      <c r="AI324" s="25"/>
      <c r="AJ324" s="25"/>
    </row>
    <row r="325" spans="1:36" x14ac:dyDescent="0.3">
      <c r="A325" s="63">
        <v>319</v>
      </c>
      <c r="B325" s="102" t="s">
        <v>3520</v>
      </c>
      <c r="C325" s="102" t="s">
        <v>3521</v>
      </c>
      <c r="D325" s="64" t="s">
        <v>119</v>
      </c>
      <c r="E325" s="68" t="s">
        <v>1203</v>
      </c>
      <c r="F325" s="68" t="s">
        <v>1210</v>
      </c>
      <c r="G325" s="68" t="s">
        <v>46</v>
      </c>
      <c r="H325" s="23"/>
      <c r="I325" s="23"/>
      <c r="J325" s="23"/>
      <c r="K325" s="68" t="s">
        <v>2098</v>
      </c>
      <c r="L325" s="68" t="s">
        <v>2099</v>
      </c>
      <c r="M325" s="68" t="s">
        <v>2100</v>
      </c>
      <c r="N325" s="67">
        <v>21.439447000000001</v>
      </c>
      <c r="O325" s="67">
        <v>92.173107999999999</v>
      </c>
      <c r="P325" s="74">
        <v>350</v>
      </c>
      <c r="Q325" s="74"/>
      <c r="R325" s="18"/>
      <c r="S325" s="18"/>
      <c r="T325" s="27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17"/>
      <c r="AH325" s="24"/>
      <c r="AI325" s="25"/>
      <c r="AJ325" s="25"/>
    </row>
    <row r="326" spans="1:36" x14ac:dyDescent="0.3">
      <c r="A326" s="63">
        <v>320</v>
      </c>
      <c r="B326" s="102" t="s">
        <v>3520</v>
      </c>
      <c r="C326" s="102" t="s">
        <v>3521</v>
      </c>
      <c r="D326" s="64" t="s">
        <v>119</v>
      </c>
      <c r="E326" s="68" t="s">
        <v>1203</v>
      </c>
      <c r="F326" s="68" t="s">
        <v>1210</v>
      </c>
      <c r="G326" s="68" t="s">
        <v>46</v>
      </c>
      <c r="H326" s="23"/>
      <c r="I326" s="23"/>
      <c r="J326" s="23"/>
      <c r="K326" s="68" t="s">
        <v>2101</v>
      </c>
      <c r="L326" s="68" t="s">
        <v>2102</v>
      </c>
      <c r="M326" s="68" t="s">
        <v>2103</v>
      </c>
      <c r="N326" s="67">
        <v>21.445755999999999</v>
      </c>
      <c r="O326" s="67">
        <v>92.168792999999994</v>
      </c>
      <c r="P326" s="74">
        <v>400</v>
      </c>
      <c r="Q326" s="74"/>
      <c r="R326" s="18"/>
      <c r="S326" s="18"/>
      <c r="T326" s="27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4"/>
      <c r="AI326" s="25"/>
      <c r="AJ326" s="25"/>
    </row>
    <row r="327" spans="1:36" x14ac:dyDescent="0.3">
      <c r="A327" s="63">
        <v>321</v>
      </c>
      <c r="B327" s="102" t="s">
        <v>3520</v>
      </c>
      <c r="C327" s="102" t="s">
        <v>3521</v>
      </c>
      <c r="D327" s="64" t="s">
        <v>119</v>
      </c>
      <c r="E327" s="68" t="s">
        <v>1203</v>
      </c>
      <c r="F327" s="68" t="s">
        <v>1210</v>
      </c>
      <c r="G327" s="68" t="s">
        <v>46</v>
      </c>
      <c r="H327" s="23"/>
      <c r="I327" s="23"/>
      <c r="J327" s="23"/>
      <c r="K327" s="68" t="s">
        <v>2104</v>
      </c>
      <c r="L327" s="68" t="s">
        <v>2105</v>
      </c>
      <c r="M327" s="68" t="s">
        <v>2106</v>
      </c>
      <c r="N327" s="67">
        <v>21.446707</v>
      </c>
      <c r="O327" s="67">
        <v>92.165779999999998</v>
      </c>
      <c r="P327" s="74">
        <v>340</v>
      </c>
      <c r="Q327" s="74"/>
      <c r="R327" s="18"/>
      <c r="S327" s="18"/>
      <c r="T327" s="27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17"/>
      <c r="AH327" s="24"/>
      <c r="AI327" s="25"/>
      <c r="AJ327" s="25"/>
    </row>
    <row r="328" spans="1:36" x14ac:dyDescent="0.3">
      <c r="A328" s="63">
        <v>322</v>
      </c>
      <c r="B328" s="102" t="s">
        <v>3520</v>
      </c>
      <c r="C328" s="102" t="s">
        <v>3521</v>
      </c>
      <c r="D328" s="64" t="s">
        <v>119</v>
      </c>
      <c r="E328" s="68" t="s">
        <v>1203</v>
      </c>
      <c r="F328" s="68" t="s">
        <v>1210</v>
      </c>
      <c r="G328" s="68" t="s">
        <v>46</v>
      </c>
      <c r="H328" s="23"/>
      <c r="I328" s="23"/>
      <c r="J328" s="23"/>
      <c r="K328" s="68" t="s">
        <v>2107</v>
      </c>
      <c r="L328" s="68" t="s">
        <v>2108</v>
      </c>
      <c r="M328" s="68" t="s">
        <v>2109</v>
      </c>
      <c r="N328" s="67">
        <v>21.439862999999999</v>
      </c>
      <c r="O328" s="67">
        <v>92.163310999999993</v>
      </c>
      <c r="P328" s="74">
        <v>800</v>
      </c>
      <c r="Q328" s="74"/>
      <c r="R328" s="18"/>
      <c r="S328" s="18"/>
      <c r="T328" s="27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17"/>
      <c r="AH328" s="24"/>
      <c r="AI328" s="25"/>
      <c r="AJ328" s="25"/>
    </row>
    <row r="329" spans="1:36" x14ac:dyDescent="0.3">
      <c r="A329" s="63">
        <v>323</v>
      </c>
      <c r="B329" s="102" t="s">
        <v>3520</v>
      </c>
      <c r="C329" s="102" t="s">
        <v>3521</v>
      </c>
      <c r="D329" s="64" t="s">
        <v>119</v>
      </c>
      <c r="E329" s="68" t="s">
        <v>1203</v>
      </c>
      <c r="F329" s="68" t="s">
        <v>1210</v>
      </c>
      <c r="G329" s="68" t="s">
        <v>46</v>
      </c>
      <c r="H329" s="23"/>
      <c r="I329" s="23"/>
      <c r="J329" s="23"/>
      <c r="K329" s="68" t="s">
        <v>2110</v>
      </c>
      <c r="L329" s="68" t="s">
        <v>2111</v>
      </c>
      <c r="M329" s="68" t="s">
        <v>2112</v>
      </c>
      <c r="N329" s="67">
        <v>21.438763000000002</v>
      </c>
      <c r="O329" s="67">
        <v>92.158103999999994</v>
      </c>
      <c r="P329" s="74">
        <v>180</v>
      </c>
      <c r="Q329" s="74"/>
      <c r="R329" s="18"/>
      <c r="S329" s="18"/>
      <c r="T329" s="27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17"/>
      <c r="AH329" s="24"/>
      <c r="AI329" s="25"/>
      <c r="AJ329" s="25"/>
    </row>
    <row r="330" spans="1:36" x14ac:dyDescent="0.3">
      <c r="A330" s="63">
        <v>324</v>
      </c>
      <c r="B330" s="102" t="s">
        <v>3520</v>
      </c>
      <c r="C330" s="102" t="s">
        <v>3521</v>
      </c>
      <c r="D330" s="64" t="s">
        <v>119</v>
      </c>
      <c r="E330" s="68" t="s">
        <v>1203</v>
      </c>
      <c r="F330" s="68" t="s">
        <v>1210</v>
      </c>
      <c r="G330" s="68" t="s">
        <v>46</v>
      </c>
      <c r="H330" s="23"/>
      <c r="I330" s="23"/>
      <c r="J330" s="23"/>
      <c r="K330" s="68" t="s">
        <v>2113</v>
      </c>
      <c r="L330" s="68" t="s">
        <v>2114</v>
      </c>
      <c r="M330" s="68" t="s">
        <v>2115</v>
      </c>
      <c r="N330" s="67">
        <v>21.434567000000001</v>
      </c>
      <c r="O330" s="67">
        <v>92.165582999999998</v>
      </c>
      <c r="P330" s="74">
        <v>130</v>
      </c>
      <c r="Q330" s="74"/>
      <c r="R330" s="18"/>
      <c r="S330" s="18"/>
      <c r="T330" s="27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17"/>
      <c r="AH330" s="24"/>
      <c r="AI330" s="25"/>
      <c r="AJ330" s="25"/>
    </row>
    <row r="331" spans="1:36" x14ac:dyDescent="0.3">
      <c r="A331" s="63">
        <v>325</v>
      </c>
      <c r="B331" s="102" t="s">
        <v>3520</v>
      </c>
      <c r="C331" s="102" t="s">
        <v>3521</v>
      </c>
      <c r="D331" s="64" t="s">
        <v>119</v>
      </c>
      <c r="E331" s="68" t="s">
        <v>1203</v>
      </c>
      <c r="F331" s="68" t="s">
        <v>1210</v>
      </c>
      <c r="G331" s="68" t="s">
        <v>47</v>
      </c>
      <c r="H331" s="23"/>
      <c r="I331" s="23"/>
      <c r="J331" s="23"/>
      <c r="K331" s="68" t="s">
        <v>2116</v>
      </c>
      <c r="L331" s="68" t="s">
        <v>2117</v>
      </c>
      <c r="M331" s="68" t="s">
        <v>2118</v>
      </c>
      <c r="N331" s="67">
        <v>21.429199000000001</v>
      </c>
      <c r="O331" s="67">
        <v>92.202404999999999</v>
      </c>
      <c r="P331" s="74">
        <v>840</v>
      </c>
      <c r="Q331" s="74"/>
      <c r="R331" s="18"/>
      <c r="S331" s="18"/>
      <c r="T331" s="27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17"/>
      <c r="AH331" s="24"/>
      <c r="AI331" s="25"/>
      <c r="AJ331" s="25"/>
    </row>
    <row r="332" spans="1:36" x14ac:dyDescent="0.3">
      <c r="A332" s="63">
        <v>326</v>
      </c>
      <c r="B332" s="102" t="s">
        <v>3520</v>
      </c>
      <c r="C332" s="102" t="s">
        <v>3521</v>
      </c>
      <c r="D332" s="64" t="s">
        <v>119</v>
      </c>
      <c r="E332" s="68" t="s">
        <v>1203</v>
      </c>
      <c r="F332" s="68" t="s">
        <v>1210</v>
      </c>
      <c r="G332" s="68" t="s">
        <v>47</v>
      </c>
      <c r="H332" s="23"/>
      <c r="I332" s="23"/>
      <c r="J332" s="23"/>
      <c r="K332" s="68" t="s">
        <v>2119</v>
      </c>
      <c r="L332" s="68" t="s">
        <v>2120</v>
      </c>
      <c r="M332" s="68" t="s">
        <v>2121</v>
      </c>
      <c r="N332" s="67">
        <v>21.427236000000001</v>
      </c>
      <c r="O332" s="67">
        <v>92.214543000000006</v>
      </c>
      <c r="P332" s="74">
        <v>1300</v>
      </c>
      <c r="Q332" s="74"/>
      <c r="R332" s="18"/>
      <c r="S332" s="18"/>
      <c r="T332" s="22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17"/>
      <c r="AH332" s="24"/>
      <c r="AI332" s="25"/>
      <c r="AJ332" s="25"/>
    </row>
    <row r="333" spans="1:36" x14ac:dyDescent="0.3">
      <c r="A333" s="63">
        <v>327</v>
      </c>
      <c r="B333" s="102" t="s">
        <v>3520</v>
      </c>
      <c r="C333" s="102" t="s">
        <v>3521</v>
      </c>
      <c r="D333" s="64" t="s">
        <v>119</v>
      </c>
      <c r="E333" s="68" t="s">
        <v>1203</v>
      </c>
      <c r="F333" s="68" t="s">
        <v>1210</v>
      </c>
      <c r="G333" s="68" t="s">
        <v>47</v>
      </c>
      <c r="H333" s="23"/>
      <c r="I333" s="23"/>
      <c r="J333" s="23"/>
      <c r="K333" s="68" t="s">
        <v>164</v>
      </c>
      <c r="L333" s="68" t="s">
        <v>2122</v>
      </c>
      <c r="M333" s="68" t="s">
        <v>2123</v>
      </c>
      <c r="N333" s="67">
        <v>21.427206000000002</v>
      </c>
      <c r="O333" s="67">
        <v>92.206709000000004</v>
      </c>
      <c r="P333" s="74">
        <v>980</v>
      </c>
      <c r="Q333" s="74"/>
      <c r="R333" s="18"/>
      <c r="S333" s="18"/>
      <c r="T333" s="22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17"/>
      <c r="AH333" s="24"/>
      <c r="AI333" s="25"/>
      <c r="AJ333" s="25"/>
    </row>
    <row r="334" spans="1:36" x14ac:dyDescent="0.3">
      <c r="A334" s="63">
        <v>328</v>
      </c>
      <c r="B334" s="102" t="s">
        <v>3520</v>
      </c>
      <c r="C334" s="102" t="s">
        <v>3521</v>
      </c>
      <c r="D334" s="64" t="s">
        <v>119</v>
      </c>
      <c r="E334" s="68" t="s">
        <v>1203</v>
      </c>
      <c r="F334" s="68" t="s">
        <v>1210</v>
      </c>
      <c r="G334" s="68" t="s">
        <v>47</v>
      </c>
      <c r="H334" s="23"/>
      <c r="I334" s="23"/>
      <c r="J334" s="23"/>
      <c r="K334" s="68" t="s">
        <v>2124</v>
      </c>
      <c r="L334" s="68" t="s">
        <v>2125</v>
      </c>
      <c r="M334" s="68" t="s">
        <v>2126</v>
      </c>
      <c r="N334" s="67">
        <v>21.422927999999999</v>
      </c>
      <c r="O334" s="67">
        <v>92.212759000000005</v>
      </c>
      <c r="P334" s="74">
        <v>1250</v>
      </c>
      <c r="Q334" s="74"/>
      <c r="R334" s="18"/>
      <c r="S334" s="18"/>
      <c r="T334" s="22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17"/>
      <c r="AH334" s="24"/>
      <c r="AI334" s="25"/>
      <c r="AJ334" s="25"/>
    </row>
    <row r="335" spans="1:36" x14ac:dyDescent="0.3">
      <c r="A335" s="63">
        <v>329</v>
      </c>
      <c r="B335" s="102" t="s">
        <v>3520</v>
      </c>
      <c r="C335" s="102" t="s">
        <v>3521</v>
      </c>
      <c r="D335" s="64" t="s">
        <v>119</v>
      </c>
      <c r="E335" s="68" t="s">
        <v>1203</v>
      </c>
      <c r="F335" s="68" t="s">
        <v>1210</v>
      </c>
      <c r="G335" s="68" t="s">
        <v>47</v>
      </c>
      <c r="H335" s="23"/>
      <c r="I335" s="23"/>
      <c r="J335" s="23"/>
      <c r="K335" s="68" t="s">
        <v>2127</v>
      </c>
      <c r="L335" s="68" t="s">
        <v>2128</v>
      </c>
      <c r="M335" s="68" t="s">
        <v>2129</v>
      </c>
      <c r="N335" s="67">
        <v>21.414743000000001</v>
      </c>
      <c r="O335" s="67">
        <v>92.227603999999999</v>
      </c>
      <c r="P335" s="74">
        <v>620</v>
      </c>
      <c r="Q335" s="74"/>
      <c r="R335" s="18"/>
      <c r="S335" s="18"/>
      <c r="T335" s="27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17"/>
      <c r="AH335" s="24"/>
      <c r="AI335" s="25"/>
      <c r="AJ335" s="25"/>
    </row>
    <row r="336" spans="1:36" x14ac:dyDescent="0.3">
      <c r="A336" s="63">
        <v>330</v>
      </c>
      <c r="B336" s="102" t="s">
        <v>3520</v>
      </c>
      <c r="C336" s="102" t="s">
        <v>3521</v>
      </c>
      <c r="D336" s="64" t="s">
        <v>119</v>
      </c>
      <c r="E336" s="68" t="s">
        <v>1203</v>
      </c>
      <c r="F336" s="68" t="s">
        <v>1210</v>
      </c>
      <c r="G336" s="68" t="s">
        <v>48</v>
      </c>
      <c r="H336" s="23"/>
      <c r="I336" s="23"/>
      <c r="J336" s="23"/>
      <c r="K336" s="69" t="s">
        <v>2130</v>
      </c>
      <c r="L336" s="68" t="s">
        <v>2131</v>
      </c>
      <c r="M336" s="68" t="s">
        <v>2132</v>
      </c>
      <c r="N336" s="67">
        <v>21.416574000000001</v>
      </c>
      <c r="O336" s="67">
        <v>92.200355999999999</v>
      </c>
      <c r="P336" s="74">
        <v>1000</v>
      </c>
      <c r="Q336" s="74"/>
      <c r="R336" s="18"/>
      <c r="S336" s="18"/>
      <c r="T336" s="27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17"/>
      <c r="AH336" s="24"/>
      <c r="AI336" s="25"/>
      <c r="AJ336" s="25"/>
    </row>
    <row r="337" spans="1:36" x14ac:dyDescent="0.3">
      <c r="A337" s="63">
        <v>331</v>
      </c>
      <c r="B337" s="102" t="s">
        <v>3520</v>
      </c>
      <c r="C337" s="102" t="s">
        <v>3521</v>
      </c>
      <c r="D337" s="64" t="s">
        <v>119</v>
      </c>
      <c r="E337" s="68" t="s">
        <v>1203</v>
      </c>
      <c r="F337" s="68" t="s">
        <v>1210</v>
      </c>
      <c r="G337" s="68" t="s">
        <v>48</v>
      </c>
      <c r="H337" s="23"/>
      <c r="I337" s="23"/>
      <c r="J337" s="23"/>
      <c r="K337" s="69" t="s">
        <v>2133</v>
      </c>
      <c r="L337" s="68" t="s">
        <v>2134</v>
      </c>
      <c r="M337" s="68" t="s">
        <v>2135</v>
      </c>
      <c r="N337" s="67">
        <v>21.415673999999999</v>
      </c>
      <c r="O337" s="67">
        <v>92.195295999999999</v>
      </c>
      <c r="P337" s="74">
        <v>1300</v>
      </c>
      <c r="Q337" s="74"/>
      <c r="R337" s="18"/>
      <c r="S337" s="18"/>
      <c r="T337" s="27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17"/>
      <c r="AH337" s="24"/>
      <c r="AI337" s="25"/>
      <c r="AJ337" s="25"/>
    </row>
    <row r="338" spans="1:36" x14ac:dyDescent="0.3">
      <c r="A338" s="63">
        <v>332</v>
      </c>
      <c r="B338" s="102" t="s">
        <v>3520</v>
      </c>
      <c r="C338" s="102" t="s">
        <v>3521</v>
      </c>
      <c r="D338" s="64" t="s">
        <v>119</v>
      </c>
      <c r="E338" s="68" t="s">
        <v>1203</v>
      </c>
      <c r="F338" s="68" t="s">
        <v>1210</v>
      </c>
      <c r="G338" s="68" t="s">
        <v>48</v>
      </c>
      <c r="H338" s="23"/>
      <c r="I338" s="23"/>
      <c r="J338" s="23"/>
      <c r="K338" s="68" t="s">
        <v>55</v>
      </c>
      <c r="L338" s="68" t="s">
        <v>56</v>
      </c>
      <c r="M338" s="68" t="s">
        <v>2136</v>
      </c>
      <c r="N338" s="67">
        <v>21.412835999999999</v>
      </c>
      <c r="O338" s="67">
        <v>92.204532999999998</v>
      </c>
      <c r="P338" s="74">
        <v>300</v>
      </c>
      <c r="Q338" s="74"/>
      <c r="R338" s="18"/>
      <c r="S338" s="18"/>
      <c r="T338" s="27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17"/>
      <c r="AH338" s="24"/>
      <c r="AI338" s="25"/>
      <c r="AJ338" s="25"/>
    </row>
    <row r="339" spans="1:36" x14ac:dyDescent="0.3">
      <c r="A339" s="63">
        <v>333</v>
      </c>
      <c r="B339" s="102" t="s">
        <v>3520</v>
      </c>
      <c r="C339" s="102" t="s">
        <v>3521</v>
      </c>
      <c r="D339" s="64" t="s">
        <v>119</v>
      </c>
      <c r="E339" s="68" t="s">
        <v>1203</v>
      </c>
      <c r="F339" s="68" t="s">
        <v>1210</v>
      </c>
      <c r="G339" s="68" t="s">
        <v>48</v>
      </c>
      <c r="H339" s="23"/>
      <c r="I339" s="23"/>
      <c r="J339" s="23"/>
      <c r="K339" s="85" t="s">
        <v>69</v>
      </c>
      <c r="L339" s="70" t="s">
        <v>74</v>
      </c>
      <c r="M339" s="68" t="s">
        <v>2137</v>
      </c>
      <c r="N339" s="67">
        <v>21.413504</v>
      </c>
      <c r="O339" s="67">
        <v>92.208833999999996</v>
      </c>
      <c r="P339" s="74">
        <v>400</v>
      </c>
      <c r="Q339" s="74"/>
      <c r="R339" s="18"/>
      <c r="S339" s="18"/>
      <c r="T339" s="27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17"/>
      <c r="AH339" s="24"/>
      <c r="AI339" s="25"/>
      <c r="AJ339" s="25"/>
    </row>
    <row r="340" spans="1:36" x14ac:dyDescent="0.3">
      <c r="A340" s="63">
        <v>334</v>
      </c>
      <c r="B340" s="102" t="s">
        <v>3520</v>
      </c>
      <c r="C340" s="102" t="s">
        <v>3521</v>
      </c>
      <c r="D340" s="64" t="s">
        <v>119</v>
      </c>
      <c r="E340" s="68" t="s">
        <v>1203</v>
      </c>
      <c r="F340" s="68" t="s">
        <v>1210</v>
      </c>
      <c r="G340" s="68" t="s">
        <v>48</v>
      </c>
      <c r="H340" s="23"/>
      <c r="I340" s="23"/>
      <c r="J340" s="23"/>
      <c r="K340" s="68" t="s">
        <v>2138</v>
      </c>
      <c r="L340" s="68" t="s">
        <v>2139</v>
      </c>
      <c r="M340" s="68" t="s">
        <v>2140</v>
      </c>
      <c r="N340" s="67">
        <v>21.413882000000001</v>
      </c>
      <c r="O340" s="67">
        <v>92.213643000000005</v>
      </c>
      <c r="P340" s="74">
        <v>600</v>
      </c>
      <c r="Q340" s="74"/>
      <c r="R340" s="18"/>
      <c r="S340" s="18"/>
      <c r="T340" s="22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17"/>
      <c r="AH340" s="24"/>
      <c r="AI340" s="25"/>
      <c r="AJ340" s="25"/>
    </row>
    <row r="341" spans="1:36" x14ac:dyDescent="0.3">
      <c r="A341" s="63">
        <v>335</v>
      </c>
      <c r="B341" s="102" t="s">
        <v>3520</v>
      </c>
      <c r="C341" s="102" t="s">
        <v>3521</v>
      </c>
      <c r="D341" s="64" t="s">
        <v>119</v>
      </c>
      <c r="E341" s="68" t="s">
        <v>1203</v>
      </c>
      <c r="F341" s="68" t="s">
        <v>1210</v>
      </c>
      <c r="G341" s="68" t="s">
        <v>48</v>
      </c>
      <c r="H341" s="23"/>
      <c r="I341" s="23"/>
      <c r="J341" s="23"/>
      <c r="K341" s="68" t="s">
        <v>79</v>
      </c>
      <c r="L341" s="68" t="s">
        <v>80</v>
      </c>
      <c r="M341" s="68" t="s">
        <v>2141</v>
      </c>
      <c r="N341" s="67">
        <v>21.417504999999998</v>
      </c>
      <c r="O341" s="67">
        <v>92.209402999999995</v>
      </c>
      <c r="P341" s="74">
        <v>600</v>
      </c>
      <c r="Q341" s="74"/>
      <c r="R341" s="18"/>
      <c r="S341" s="18"/>
      <c r="T341" s="27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17"/>
      <c r="AH341" s="24"/>
      <c r="AI341" s="25"/>
      <c r="AJ341" s="25"/>
    </row>
    <row r="342" spans="1:36" x14ac:dyDescent="0.3">
      <c r="A342" s="63">
        <v>336</v>
      </c>
      <c r="B342" s="102" t="s">
        <v>3520</v>
      </c>
      <c r="C342" s="102" t="s">
        <v>3521</v>
      </c>
      <c r="D342" s="64" t="s">
        <v>119</v>
      </c>
      <c r="E342" s="68" t="s">
        <v>1203</v>
      </c>
      <c r="F342" s="68" t="s">
        <v>1210</v>
      </c>
      <c r="G342" s="68" t="s">
        <v>48</v>
      </c>
      <c r="H342" s="23"/>
      <c r="I342" s="23"/>
      <c r="J342" s="23"/>
      <c r="K342" s="68" t="s">
        <v>2142</v>
      </c>
      <c r="L342" s="68" t="s">
        <v>2143</v>
      </c>
      <c r="M342" s="68" t="s">
        <v>2144</v>
      </c>
      <c r="N342" s="67">
        <v>21.419322999999999</v>
      </c>
      <c r="O342" s="67">
        <v>92.208145999999999</v>
      </c>
      <c r="P342" s="74">
        <v>600</v>
      </c>
      <c r="Q342" s="74"/>
      <c r="R342" s="18"/>
      <c r="S342" s="18"/>
      <c r="T342" s="27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17"/>
      <c r="AH342" s="24"/>
      <c r="AI342" s="25"/>
      <c r="AJ342" s="25"/>
    </row>
    <row r="343" spans="1:36" x14ac:dyDescent="0.3">
      <c r="A343" s="63">
        <v>337</v>
      </c>
      <c r="B343" s="102" t="s">
        <v>3520</v>
      </c>
      <c r="C343" s="102" t="s">
        <v>3521</v>
      </c>
      <c r="D343" s="64" t="s">
        <v>119</v>
      </c>
      <c r="E343" s="68" t="s">
        <v>1203</v>
      </c>
      <c r="F343" s="68" t="s">
        <v>1210</v>
      </c>
      <c r="G343" s="68" t="s">
        <v>49</v>
      </c>
      <c r="H343" s="23"/>
      <c r="I343" s="23"/>
      <c r="J343" s="23"/>
      <c r="K343" s="68" t="s">
        <v>2145</v>
      </c>
      <c r="L343" s="68" t="s">
        <v>2146</v>
      </c>
      <c r="M343" s="68" t="s">
        <v>2147</v>
      </c>
      <c r="N343" s="67">
        <v>21.401759999999999</v>
      </c>
      <c r="O343" s="67">
        <v>92.217421000000002</v>
      </c>
      <c r="P343" s="74">
        <v>2500</v>
      </c>
      <c r="Q343" s="74"/>
      <c r="R343" s="18"/>
      <c r="S343" s="18"/>
      <c r="T343" s="27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17"/>
      <c r="AH343" s="24"/>
      <c r="AI343" s="25"/>
      <c r="AJ343" s="25"/>
    </row>
    <row r="344" spans="1:36" x14ac:dyDescent="0.3">
      <c r="A344" s="63">
        <v>338</v>
      </c>
      <c r="B344" s="102" t="s">
        <v>3520</v>
      </c>
      <c r="C344" s="102" t="s">
        <v>3521</v>
      </c>
      <c r="D344" s="64" t="s">
        <v>119</v>
      </c>
      <c r="E344" s="68" t="s">
        <v>1203</v>
      </c>
      <c r="F344" s="68" t="s">
        <v>1210</v>
      </c>
      <c r="G344" s="68" t="s">
        <v>49</v>
      </c>
      <c r="H344" s="23"/>
      <c r="I344" s="23"/>
      <c r="J344" s="23"/>
      <c r="K344" s="68" t="s">
        <v>2148</v>
      </c>
      <c r="L344" s="68" t="s">
        <v>2149</v>
      </c>
      <c r="M344" s="68" t="s">
        <v>2150</v>
      </c>
      <c r="N344" s="67">
        <v>21.408358</v>
      </c>
      <c r="O344" s="67">
        <v>92.212832000000006</v>
      </c>
      <c r="P344" s="74">
        <v>800</v>
      </c>
      <c r="Q344" s="74"/>
      <c r="R344" s="18"/>
      <c r="S344" s="18"/>
      <c r="T344" s="27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17"/>
      <c r="AH344" s="24"/>
      <c r="AI344" s="25"/>
      <c r="AJ344" s="25"/>
    </row>
    <row r="345" spans="1:36" x14ac:dyDescent="0.3">
      <c r="A345" s="63">
        <v>339</v>
      </c>
      <c r="B345" s="102" t="s">
        <v>3520</v>
      </c>
      <c r="C345" s="102" t="s">
        <v>3521</v>
      </c>
      <c r="D345" s="64" t="s">
        <v>119</v>
      </c>
      <c r="E345" s="68" t="s">
        <v>1203</v>
      </c>
      <c r="F345" s="68" t="s">
        <v>1210</v>
      </c>
      <c r="G345" s="68" t="s">
        <v>49</v>
      </c>
      <c r="H345" s="23"/>
      <c r="I345" s="23"/>
      <c r="J345" s="23"/>
      <c r="K345" s="68" t="s">
        <v>2151</v>
      </c>
      <c r="L345" s="68" t="s">
        <v>2152</v>
      </c>
      <c r="M345" s="68" t="s">
        <v>2153</v>
      </c>
      <c r="N345" s="67">
        <v>21.402571999999999</v>
      </c>
      <c r="O345" s="67">
        <v>92.205299999999994</v>
      </c>
      <c r="P345" s="74">
        <v>1400</v>
      </c>
      <c r="Q345" s="74"/>
      <c r="R345" s="18"/>
      <c r="S345" s="18"/>
      <c r="T345" s="27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17"/>
      <c r="AH345" s="24"/>
      <c r="AI345" s="25"/>
      <c r="AJ345" s="25"/>
    </row>
    <row r="346" spans="1:36" x14ac:dyDescent="0.3">
      <c r="A346" s="63">
        <v>340</v>
      </c>
      <c r="B346" s="102" t="s">
        <v>3520</v>
      </c>
      <c r="C346" s="102" t="s">
        <v>3521</v>
      </c>
      <c r="D346" s="64" t="s">
        <v>119</v>
      </c>
      <c r="E346" s="68" t="s">
        <v>1203</v>
      </c>
      <c r="F346" s="68" t="s">
        <v>1210</v>
      </c>
      <c r="G346" s="68" t="s">
        <v>49</v>
      </c>
      <c r="H346" s="23"/>
      <c r="I346" s="23"/>
      <c r="J346" s="23"/>
      <c r="K346" s="68" t="s">
        <v>2154</v>
      </c>
      <c r="L346" s="68" t="s">
        <v>2155</v>
      </c>
      <c r="M346" s="68" t="s">
        <v>2156</v>
      </c>
      <c r="N346" s="67">
        <v>21.408086999999998</v>
      </c>
      <c r="O346" s="67">
        <v>92.205557999999996</v>
      </c>
      <c r="P346" s="74">
        <v>400</v>
      </c>
      <c r="Q346" s="74"/>
      <c r="R346" s="18"/>
      <c r="S346" s="18"/>
      <c r="T346" s="27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17"/>
      <c r="AH346" s="24"/>
      <c r="AI346" s="25"/>
      <c r="AJ346" s="25"/>
    </row>
    <row r="347" spans="1:36" x14ac:dyDescent="0.3">
      <c r="A347" s="63">
        <v>341</v>
      </c>
      <c r="B347" s="102" t="s">
        <v>3520</v>
      </c>
      <c r="C347" s="102" t="s">
        <v>3521</v>
      </c>
      <c r="D347" s="64" t="s">
        <v>119</v>
      </c>
      <c r="E347" s="68" t="s">
        <v>1203</v>
      </c>
      <c r="F347" s="68" t="s">
        <v>1211</v>
      </c>
      <c r="G347" s="68" t="s">
        <v>41</v>
      </c>
      <c r="H347" s="23"/>
      <c r="I347" s="23"/>
      <c r="J347" s="23"/>
      <c r="K347" s="69" t="s">
        <v>2157</v>
      </c>
      <c r="L347" s="69" t="s">
        <v>2158</v>
      </c>
      <c r="M347" s="68" t="s">
        <v>2159</v>
      </c>
      <c r="N347" s="67">
        <v>21.421879000000001</v>
      </c>
      <c r="O347" s="67">
        <v>92.131045</v>
      </c>
      <c r="P347" s="74">
        <v>1950</v>
      </c>
      <c r="Q347" s="74"/>
      <c r="R347" s="18"/>
      <c r="S347" s="18"/>
      <c r="T347" s="27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17"/>
      <c r="AH347" s="24"/>
      <c r="AI347" s="25"/>
      <c r="AJ347" s="25"/>
    </row>
    <row r="348" spans="1:36" x14ac:dyDescent="0.3">
      <c r="A348" s="63">
        <v>342</v>
      </c>
      <c r="B348" s="102" t="s">
        <v>3520</v>
      </c>
      <c r="C348" s="102" t="s">
        <v>3521</v>
      </c>
      <c r="D348" s="64" t="s">
        <v>119</v>
      </c>
      <c r="E348" s="68" t="s">
        <v>1203</v>
      </c>
      <c r="F348" s="68" t="s">
        <v>1211</v>
      </c>
      <c r="G348" s="68" t="s">
        <v>41</v>
      </c>
      <c r="H348" s="23"/>
      <c r="I348" s="23"/>
      <c r="J348" s="23"/>
      <c r="K348" s="68" t="s">
        <v>2160</v>
      </c>
      <c r="L348" s="68" t="s">
        <v>2161</v>
      </c>
      <c r="M348" s="68" t="s">
        <v>2162</v>
      </c>
      <c r="N348" s="67">
        <v>21.416793999999999</v>
      </c>
      <c r="O348" s="67">
        <v>92.122825000000006</v>
      </c>
      <c r="P348" s="74">
        <v>1650</v>
      </c>
      <c r="Q348" s="74"/>
      <c r="R348" s="18"/>
      <c r="S348" s="18"/>
      <c r="T348" s="22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17"/>
      <c r="AH348" s="24"/>
      <c r="AI348" s="25"/>
      <c r="AJ348" s="25"/>
    </row>
    <row r="349" spans="1:36" x14ac:dyDescent="0.3">
      <c r="A349" s="63">
        <v>343</v>
      </c>
      <c r="B349" s="102" t="s">
        <v>3520</v>
      </c>
      <c r="C349" s="102" t="s">
        <v>3521</v>
      </c>
      <c r="D349" s="64" t="s">
        <v>119</v>
      </c>
      <c r="E349" s="68" t="s">
        <v>1203</v>
      </c>
      <c r="F349" s="68" t="s">
        <v>1211</v>
      </c>
      <c r="G349" s="68" t="s">
        <v>42</v>
      </c>
      <c r="H349" s="23"/>
      <c r="I349" s="23"/>
      <c r="J349" s="23"/>
      <c r="K349" s="68" t="s">
        <v>2163</v>
      </c>
      <c r="L349" s="68" t="s">
        <v>2164</v>
      </c>
      <c r="M349" s="68" t="s">
        <v>2165</v>
      </c>
      <c r="N349" s="67">
        <v>21.423757999999999</v>
      </c>
      <c r="O349" s="67">
        <v>92.134472000000002</v>
      </c>
      <c r="P349" s="74">
        <v>1300</v>
      </c>
      <c r="Q349" s="74"/>
      <c r="R349" s="18"/>
      <c r="S349" s="18"/>
      <c r="T349" s="22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17"/>
      <c r="AH349" s="24"/>
      <c r="AI349" s="25"/>
      <c r="AJ349" s="25"/>
    </row>
    <row r="350" spans="1:36" x14ac:dyDescent="0.3">
      <c r="A350" s="63">
        <v>344</v>
      </c>
      <c r="B350" s="102" t="s">
        <v>3520</v>
      </c>
      <c r="C350" s="102" t="s">
        <v>3521</v>
      </c>
      <c r="D350" s="64" t="s">
        <v>119</v>
      </c>
      <c r="E350" s="68" t="s">
        <v>1203</v>
      </c>
      <c r="F350" s="68" t="s">
        <v>1211</v>
      </c>
      <c r="G350" s="68" t="s">
        <v>42</v>
      </c>
      <c r="H350" s="23"/>
      <c r="I350" s="23"/>
      <c r="J350" s="23"/>
      <c r="K350" s="68" t="s">
        <v>2166</v>
      </c>
      <c r="L350" s="68" t="s">
        <v>2167</v>
      </c>
      <c r="M350" s="68" t="s">
        <v>2168</v>
      </c>
      <c r="N350" s="67">
        <v>21.419077999999999</v>
      </c>
      <c r="O350" s="67">
        <v>92.135557000000006</v>
      </c>
      <c r="P350" s="74">
        <v>650</v>
      </c>
      <c r="Q350" s="74"/>
      <c r="R350" s="18"/>
      <c r="S350" s="18"/>
      <c r="T350" s="27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17"/>
      <c r="AH350" s="24"/>
      <c r="AI350" s="25"/>
      <c r="AJ350" s="25"/>
    </row>
    <row r="351" spans="1:36" x14ac:dyDescent="0.3">
      <c r="A351" s="63">
        <v>345</v>
      </c>
      <c r="B351" s="102" t="s">
        <v>3520</v>
      </c>
      <c r="C351" s="102" t="s">
        <v>3521</v>
      </c>
      <c r="D351" s="64" t="s">
        <v>119</v>
      </c>
      <c r="E351" s="68" t="s">
        <v>1203</v>
      </c>
      <c r="F351" s="68" t="s">
        <v>1211</v>
      </c>
      <c r="G351" s="68" t="s">
        <v>42</v>
      </c>
      <c r="H351" s="23"/>
      <c r="I351" s="23"/>
      <c r="J351" s="23"/>
      <c r="K351" s="68" t="s">
        <v>2169</v>
      </c>
      <c r="L351" s="68" t="s">
        <v>2170</v>
      </c>
      <c r="M351" s="68" t="s">
        <v>2171</v>
      </c>
      <c r="N351" s="67">
        <v>21.415324999999999</v>
      </c>
      <c r="O351" s="67">
        <v>92.140798000000004</v>
      </c>
      <c r="P351" s="74">
        <v>400</v>
      </c>
      <c r="Q351" s="74"/>
      <c r="R351" s="18"/>
      <c r="S351" s="18"/>
      <c r="T351" s="22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17"/>
      <c r="AH351" s="39"/>
      <c r="AI351" s="40"/>
      <c r="AJ351" s="40"/>
    </row>
    <row r="352" spans="1:36" x14ac:dyDescent="0.3">
      <c r="A352" s="63">
        <v>346</v>
      </c>
      <c r="B352" s="102" t="s">
        <v>3520</v>
      </c>
      <c r="C352" s="102" t="s">
        <v>3521</v>
      </c>
      <c r="D352" s="64" t="s">
        <v>119</v>
      </c>
      <c r="E352" s="68" t="s">
        <v>1203</v>
      </c>
      <c r="F352" s="68" t="s">
        <v>1211</v>
      </c>
      <c r="G352" s="68" t="s">
        <v>42</v>
      </c>
      <c r="H352" s="23"/>
      <c r="I352" s="23"/>
      <c r="J352" s="23"/>
      <c r="K352" s="68" t="s">
        <v>2172</v>
      </c>
      <c r="L352" s="68" t="s">
        <v>2173</v>
      </c>
      <c r="M352" s="68" t="s">
        <v>2174</v>
      </c>
      <c r="N352" s="67">
        <v>21.408147</v>
      </c>
      <c r="O352" s="67">
        <v>92.138733999999999</v>
      </c>
      <c r="P352" s="74">
        <v>1350</v>
      </c>
      <c r="Q352" s="74"/>
      <c r="R352" s="18"/>
      <c r="S352" s="18"/>
      <c r="T352" s="22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17"/>
      <c r="AH352" s="39"/>
      <c r="AI352" s="40"/>
      <c r="AJ352" s="40"/>
    </row>
    <row r="353" spans="1:36" ht="15.6" x14ac:dyDescent="0.3">
      <c r="A353" s="63">
        <v>347</v>
      </c>
      <c r="B353" s="102" t="s">
        <v>3520</v>
      </c>
      <c r="C353" s="102" t="s">
        <v>3521</v>
      </c>
      <c r="D353" s="64" t="s">
        <v>119</v>
      </c>
      <c r="E353" s="68" t="s">
        <v>1203</v>
      </c>
      <c r="F353" s="68" t="s">
        <v>1211</v>
      </c>
      <c r="G353" s="68" t="s">
        <v>43</v>
      </c>
      <c r="H353" s="20"/>
      <c r="I353" s="23"/>
      <c r="J353" s="23"/>
      <c r="K353" s="68" t="s">
        <v>2175</v>
      </c>
      <c r="L353" s="68" t="s">
        <v>2176</v>
      </c>
      <c r="M353" s="68" t="s">
        <v>2177</v>
      </c>
      <c r="N353" s="67">
        <v>21.426314999999999</v>
      </c>
      <c r="O353" s="67">
        <v>92.138309000000007</v>
      </c>
      <c r="P353" s="74">
        <v>1400</v>
      </c>
      <c r="Q353" s="74"/>
      <c r="R353" s="18"/>
      <c r="S353" s="18"/>
      <c r="T353" s="22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17"/>
      <c r="AH353" s="23"/>
      <c r="AI353" s="40"/>
      <c r="AJ353" s="40"/>
    </row>
    <row r="354" spans="1:36" ht="15.6" x14ac:dyDescent="0.3">
      <c r="A354" s="63">
        <v>348</v>
      </c>
      <c r="B354" s="102" t="s">
        <v>3520</v>
      </c>
      <c r="C354" s="102" t="s">
        <v>3521</v>
      </c>
      <c r="D354" s="64" t="s">
        <v>119</v>
      </c>
      <c r="E354" s="68" t="s">
        <v>1203</v>
      </c>
      <c r="F354" s="68" t="s">
        <v>1211</v>
      </c>
      <c r="G354" s="68" t="s">
        <v>43</v>
      </c>
      <c r="H354" s="20"/>
      <c r="I354" s="23"/>
      <c r="J354" s="23"/>
      <c r="K354" s="68" t="s">
        <v>2178</v>
      </c>
      <c r="L354" s="68" t="s">
        <v>2179</v>
      </c>
      <c r="M354" s="68" t="s">
        <v>2180</v>
      </c>
      <c r="N354" s="67">
        <v>21.429776</v>
      </c>
      <c r="O354" s="67">
        <v>92.143125999999995</v>
      </c>
      <c r="P354" s="74">
        <v>100</v>
      </c>
      <c r="Q354" s="74"/>
      <c r="R354" s="18"/>
      <c r="S354" s="18"/>
      <c r="T354" s="22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17"/>
      <c r="AH354" s="23"/>
      <c r="AI354" s="40"/>
      <c r="AJ354" s="40"/>
    </row>
    <row r="355" spans="1:36" ht="15.6" x14ac:dyDescent="0.3">
      <c r="A355" s="63">
        <v>349</v>
      </c>
      <c r="B355" s="102" t="s">
        <v>3520</v>
      </c>
      <c r="C355" s="102" t="s">
        <v>3521</v>
      </c>
      <c r="D355" s="64" t="s">
        <v>119</v>
      </c>
      <c r="E355" s="68" t="s">
        <v>1203</v>
      </c>
      <c r="F355" s="68" t="s">
        <v>1211</v>
      </c>
      <c r="G355" s="68" t="s">
        <v>43</v>
      </c>
      <c r="H355" s="20"/>
      <c r="I355" s="23"/>
      <c r="J355" s="23"/>
      <c r="K355" s="68" t="s">
        <v>2181</v>
      </c>
      <c r="L355" s="68" t="s">
        <v>2182</v>
      </c>
      <c r="M355" s="68" t="s">
        <v>2183</v>
      </c>
      <c r="N355" s="67">
        <v>21.422539</v>
      </c>
      <c r="O355" s="67">
        <v>92.144464999999997</v>
      </c>
      <c r="P355" s="74">
        <v>900</v>
      </c>
      <c r="Q355" s="74"/>
      <c r="R355" s="18"/>
      <c r="S355" s="18"/>
      <c r="T355" s="22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17"/>
      <c r="AH355" s="23"/>
      <c r="AI355" s="40"/>
      <c r="AJ355" s="40"/>
    </row>
    <row r="356" spans="1:36" ht="15.6" x14ac:dyDescent="0.3">
      <c r="A356" s="63">
        <v>350</v>
      </c>
      <c r="B356" s="102" t="s">
        <v>3520</v>
      </c>
      <c r="C356" s="102" t="s">
        <v>3521</v>
      </c>
      <c r="D356" s="64" t="s">
        <v>119</v>
      </c>
      <c r="E356" s="68" t="s">
        <v>1203</v>
      </c>
      <c r="F356" s="68" t="s">
        <v>1211</v>
      </c>
      <c r="G356" s="68" t="s">
        <v>44</v>
      </c>
      <c r="H356" s="20"/>
      <c r="I356" s="23"/>
      <c r="J356" s="23"/>
      <c r="K356" s="68" t="s">
        <v>2184</v>
      </c>
      <c r="L356" s="68" t="s">
        <v>2185</v>
      </c>
      <c r="M356" s="68" t="s">
        <v>2186</v>
      </c>
      <c r="N356" s="67">
        <v>21.429642999999999</v>
      </c>
      <c r="O356" s="67">
        <v>92.138244999999998</v>
      </c>
      <c r="P356" s="74">
        <v>2000</v>
      </c>
      <c r="Q356" s="74"/>
      <c r="R356" s="18"/>
      <c r="S356" s="18"/>
      <c r="T356" s="22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17"/>
      <c r="AH356" s="23"/>
      <c r="AI356" s="40"/>
      <c r="AJ356" s="40"/>
    </row>
    <row r="357" spans="1:36" ht="15.6" x14ac:dyDescent="0.3">
      <c r="A357" s="63">
        <v>351</v>
      </c>
      <c r="B357" s="102" t="s">
        <v>3520</v>
      </c>
      <c r="C357" s="102" t="s">
        <v>3521</v>
      </c>
      <c r="D357" s="64" t="s">
        <v>119</v>
      </c>
      <c r="E357" s="68" t="s">
        <v>1203</v>
      </c>
      <c r="F357" s="68" t="s">
        <v>1211</v>
      </c>
      <c r="G357" s="68" t="s">
        <v>44</v>
      </c>
      <c r="H357" s="20"/>
      <c r="I357" s="23"/>
      <c r="J357" s="21"/>
      <c r="K357" s="68" t="s">
        <v>2187</v>
      </c>
      <c r="L357" s="68" t="s">
        <v>2188</v>
      </c>
      <c r="M357" s="68" t="s">
        <v>2189</v>
      </c>
      <c r="N357" s="67">
        <v>21.434009</v>
      </c>
      <c r="O357" s="67">
        <v>92.141104999999996</v>
      </c>
      <c r="P357" s="74">
        <v>1000</v>
      </c>
      <c r="Q357" s="74"/>
      <c r="R357" s="18"/>
      <c r="S357" s="18"/>
      <c r="T357" s="22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17"/>
      <c r="AH357" s="39"/>
      <c r="AI357" s="40"/>
      <c r="AJ357" s="40"/>
    </row>
    <row r="358" spans="1:36" x14ac:dyDescent="0.3">
      <c r="A358" s="63">
        <v>352</v>
      </c>
      <c r="B358" s="102" t="s">
        <v>3520</v>
      </c>
      <c r="C358" s="102" t="s">
        <v>3521</v>
      </c>
      <c r="D358" s="64" t="s">
        <v>119</v>
      </c>
      <c r="E358" s="68" t="s">
        <v>1203</v>
      </c>
      <c r="F358" s="68" t="s">
        <v>1211</v>
      </c>
      <c r="G358" s="68" t="s">
        <v>44</v>
      </c>
      <c r="H358" s="23"/>
      <c r="I358" s="23"/>
      <c r="J358" s="23"/>
      <c r="K358" s="68" t="s">
        <v>2190</v>
      </c>
      <c r="L358" s="68" t="s">
        <v>2191</v>
      </c>
      <c r="M358" s="68" t="s">
        <v>2192</v>
      </c>
      <c r="N358" s="67">
        <v>21.434597</v>
      </c>
      <c r="O358" s="67">
        <v>92.147936999999999</v>
      </c>
      <c r="P358" s="74">
        <v>300</v>
      </c>
      <c r="Q358" s="74"/>
      <c r="R358" s="18"/>
      <c r="S358" s="18"/>
      <c r="T358" s="22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17"/>
      <c r="AH358" s="39"/>
      <c r="AI358" s="40"/>
      <c r="AJ358" s="40"/>
    </row>
    <row r="359" spans="1:36" x14ac:dyDescent="0.3">
      <c r="A359" s="63">
        <v>353</v>
      </c>
      <c r="B359" s="102" t="s">
        <v>3520</v>
      </c>
      <c r="C359" s="102" t="s">
        <v>3521</v>
      </c>
      <c r="D359" s="64" t="s">
        <v>119</v>
      </c>
      <c r="E359" s="68" t="s">
        <v>1203</v>
      </c>
      <c r="F359" s="68" t="s">
        <v>1211</v>
      </c>
      <c r="G359" s="68" t="s">
        <v>44</v>
      </c>
      <c r="H359" s="23"/>
      <c r="I359" s="23"/>
      <c r="J359" s="23"/>
      <c r="K359" s="69" t="s">
        <v>2193</v>
      </c>
      <c r="L359" s="68" t="s">
        <v>2194</v>
      </c>
      <c r="M359" s="68" t="s">
        <v>2195</v>
      </c>
      <c r="N359" s="67">
        <v>21.434671000000002</v>
      </c>
      <c r="O359" s="67">
        <v>92.154860999999997</v>
      </c>
      <c r="P359" s="74">
        <v>1500</v>
      </c>
      <c r="Q359" s="74"/>
      <c r="R359" s="18"/>
      <c r="S359" s="18"/>
      <c r="T359" s="22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17"/>
      <c r="AH359" s="39"/>
      <c r="AI359" s="40"/>
      <c r="AJ359" s="40"/>
    </row>
    <row r="360" spans="1:36" x14ac:dyDescent="0.3">
      <c r="A360" s="63">
        <v>354</v>
      </c>
      <c r="B360" s="102" t="s">
        <v>3520</v>
      </c>
      <c r="C360" s="102" t="s">
        <v>3521</v>
      </c>
      <c r="D360" s="64" t="s">
        <v>119</v>
      </c>
      <c r="E360" s="68" t="s">
        <v>1203</v>
      </c>
      <c r="F360" s="68" t="s">
        <v>1211</v>
      </c>
      <c r="G360" s="68" t="s">
        <v>45</v>
      </c>
      <c r="H360" s="23"/>
      <c r="I360" s="23"/>
      <c r="J360" s="23"/>
      <c r="K360" s="68" t="s">
        <v>2196</v>
      </c>
      <c r="L360" s="68" t="s">
        <v>2197</v>
      </c>
      <c r="M360" s="68" t="s">
        <v>2198</v>
      </c>
      <c r="N360" s="67">
        <v>21.427523999999998</v>
      </c>
      <c r="O360" s="67">
        <v>92.134456</v>
      </c>
      <c r="P360" s="74">
        <v>700</v>
      </c>
      <c r="Q360" s="74"/>
      <c r="R360" s="18"/>
      <c r="S360" s="18"/>
      <c r="T360" s="22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17"/>
      <c r="AH360" s="39"/>
      <c r="AI360" s="40"/>
      <c r="AJ360" s="40"/>
    </row>
    <row r="361" spans="1:36" x14ac:dyDescent="0.3">
      <c r="A361" s="63">
        <v>355</v>
      </c>
      <c r="B361" s="102" t="s">
        <v>3520</v>
      </c>
      <c r="C361" s="102" t="s">
        <v>3521</v>
      </c>
      <c r="D361" s="64" t="s">
        <v>119</v>
      </c>
      <c r="E361" s="68" t="s">
        <v>1203</v>
      </c>
      <c r="F361" s="68" t="s">
        <v>1211</v>
      </c>
      <c r="G361" s="68" t="s">
        <v>45</v>
      </c>
      <c r="H361" s="23"/>
      <c r="I361" s="23"/>
      <c r="J361" s="23"/>
      <c r="K361" s="68" t="s">
        <v>2199</v>
      </c>
      <c r="L361" s="68" t="s">
        <v>2200</v>
      </c>
      <c r="M361" s="68" t="s">
        <v>2201</v>
      </c>
      <c r="N361" s="67">
        <v>21.424617000000001</v>
      </c>
      <c r="O361" s="67">
        <v>92.130336</v>
      </c>
      <c r="P361" s="74">
        <v>720</v>
      </c>
      <c r="Q361" s="74"/>
      <c r="R361" s="18"/>
      <c r="S361" s="18"/>
      <c r="T361" s="22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17"/>
      <c r="AH361" s="39"/>
      <c r="AI361" s="40"/>
      <c r="AJ361" s="40"/>
    </row>
    <row r="362" spans="1:36" ht="15.6" x14ac:dyDescent="0.3">
      <c r="A362" s="63">
        <v>356</v>
      </c>
      <c r="B362" s="102" t="s">
        <v>3520</v>
      </c>
      <c r="C362" s="102" t="s">
        <v>3521</v>
      </c>
      <c r="D362" s="64" t="s">
        <v>119</v>
      </c>
      <c r="E362" s="68" t="s">
        <v>1203</v>
      </c>
      <c r="F362" s="68" t="s">
        <v>1211</v>
      </c>
      <c r="G362" s="68" t="s">
        <v>45</v>
      </c>
      <c r="H362" s="20"/>
      <c r="I362" s="20"/>
      <c r="J362" s="23"/>
      <c r="K362" s="68" t="s">
        <v>2202</v>
      </c>
      <c r="L362" s="68" t="s">
        <v>2203</v>
      </c>
      <c r="M362" s="68" t="s">
        <v>2204</v>
      </c>
      <c r="N362" s="67">
        <v>21.426241000000001</v>
      </c>
      <c r="O362" s="67">
        <v>92.132852999999997</v>
      </c>
      <c r="P362" s="74">
        <v>820</v>
      </c>
      <c r="Q362" s="74"/>
      <c r="R362" s="18"/>
      <c r="S362" s="18"/>
      <c r="T362" s="22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17"/>
      <c r="AH362" s="39"/>
      <c r="AI362" s="40"/>
      <c r="AJ362" s="40"/>
    </row>
    <row r="363" spans="1:36" ht="15.6" x14ac:dyDescent="0.3">
      <c r="A363" s="63">
        <v>357</v>
      </c>
      <c r="B363" s="102" t="s">
        <v>3520</v>
      </c>
      <c r="C363" s="102" t="s">
        <v>3521</v>
      </c>
      <c r="D363" s="64" t="s">
        <v>119</v>
      </c>
      <c r="E363" s="68" t="s">
        <v>1203</v>
      </c>
      <c r="F363" s="68" t="s">
        <v>1211</v>
      </c>
      <c r="G363" s="68" t="s">
        <v>45</v>
      </c>
      <c r="H363" s="23"/>
      <c r="I363" s="20"/>
      <c r="J363" s="23"/>
      <c r="K363" s="68" t="s">
        <v>2205</v>
      </c>
      <c r="L363" s="68" t="s">
        <v>2206</v>
      </c>
      <c r="M363" s="68" t="s">
        <v>2207</v>
      </c>
      <c r="N363" s="67">
        <v>21.429604000000001</v>
      </c>
      <c r="O363" s="67">
        <v>92.131045999999998</v>
      </c>
      <c r="P363" s="74">
        <v>880</v>
      </c>
      <c r="Q363" s="74"/>
      <c r="R363" s="18"/>
      <c r="S363" s="18"/>
      <c r="T363" s="22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17"/>
      <c r="AH363" s="39"/>
      <c r="AI363" s="40"/>
      <c r="AJ363" s="40"/>
    </row>
    <row r="364" spans="1:36" x14ac:dyDescent="0.3">
      <c r="A364" s="63">
        <v>358</v>
      </c>
      <c r="B364" s="102" t="s">
        <v>3520</v>
      </c>
      <c r="C364" s="102" t="s">
        <v>3521</v>
      </c>
      <c r="D364" s="64" t="s">
        <v>119</v>
      </c>
      <c r="E364" s="68" t="s">
        <v>1203</v>
      </c>
      <c r="F364" s="68" t="s">
        <v>1211</v>
      </c>
      <c r="G364" s="68" t="s">
        <v>45</v>
      </c>
      <c r="H364" s="42"/>
      <c r="I364" s="42"/>
      <c r="J364" s="42"/>
      <c r="K364" s="68" t="s">
        <v>2208</v>
      </c>
      <c r="L364" s="68" t="s">
        <v>2209</v>
      </c>
      <c r="M364" s="68" t="s">
        <v>2210</v>
      </c>
      <c r="N364" s="67">
        <v>21.435175999999998</v>
      </c>
      <c r="O364" s="67">
        <v>92.134221999999994</v>
      </c>
      <c r="P364" s="74">
        <v>1200</v>
      </c>
      <c r="Q364" s="74"/>
      <c r="R364" s="18"/>
      <c r="S364" s="18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40"/>
      <c r="AJ364" s="40"/>
    </row>
    <row r="365" spans="1:36" x14ac:dyDescent="0.3">
      <c r="A365" s="63">
        <v>359</v>
      </c>
      <c r="B365" s="102" t="s">
        <v>3520</v>
      </c>
      <c r="C365" s="102" t="s">
        <v>3521</v>
      </c>
      <c r="D365" s="64" t="s">
        <v>119</v>
      </c>
      <c r="E365" s="68" t="s">
        <v>1203</v>
      </c>
      <c r="F365" s="68" t="s">
        <v>1211</v>
      </c>
      <c r="G365" s="68" t="s">
        <v>45</v>
      </c>
      <c r="H365" s="42"/>
      <c r="I365" s="42"/>
      <c r="J365" s="42"/>
      <c r="K365" s="68" t="s">
        <v>2211</v>
      </c>
      <c r="L365" s="68" t="s">
        <v>2212</v>
      </c>
      <c r="M365" s="68" t="s">
        <v>2213</v>
      </c>
      <c r="N365" s="67">
        <v>21.427368000000001</v>
      </c>
      <c r="O365" s="67">
        <v>92.130900999999994</v>
      </c>
      <c r="P365" s="74">
        <v>1300</v>
      </c>
      <c r="Q365" s="74"/>
      <c r="R365" s="18"/>
      <c r="S365" s="18"/>
      <c r="T365" s="3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34"/>
      <c r="AH365" s="39"/>
      <c r="AI365" s="40"/>
      <c r="AJ365" s="40"/>
    </row>
    <row r="366" spans="1:36" x14ac:dyDescent="0.3">
      <c r="A366" s="63">
        <v>360</v>
      </c>
      <c r="B366" s="102" t="s">
        <v>3520</v>
      </c>
      <c r="C366" s="102" t="s">
        <v>3521</v>
      </c>
      <c r="D366" s="64" t="s">
        <v>119</v>
      </c>
      <c r="E366" s="68" t="s">
        <v>1203</v>
      </c>
      <c r="F366" s="68" t="s">
        <v>1211</v>
      </c>
      <c r="G366" s="68" t="s">
        <v>46</v>
      </c>
      <c r="H366" s="42"/>
      <c r="I366" s="42"/>
      <c r="J366" s="42"/>
      <c r="K366" s="68" t="s">
        <v>2214</v>
      </c>
      <c r="L366" s="68" t="s">
        <v>2215</v>
      </c>
      <c r="M366" s="68" t="s">
        <v>2216</v>
      </c>
      <c r="N366" s="67">
        <v>21.425238</v>
      </c>
      <c r="O366" s="67">
        <v>92.128618000000003</v>
      </c>
      <c r="P366" s="74">
        <v>800</v>
      </c>
      <c r="Q366" s="74"/>
      <c r="R366" s="18"/>
      <c r="S366" s="18"/>
      <c r="T366" s="34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4"/>
      <c r="AH366" s="39"/>
      <c r="AI366" s="40"/>
      <c r="AJ366" s="40"/>
    </row>
    <row r="367" spans="1:36" x14ac:dyDescent="0.3">
      <c r="A367" s="63">
        <v>361</v>
      </c>
      <c r="B367" s="102" t="s">
        <v>3520</v>
      </c>
      <c r="C367" s="102" t="s">
        <v>3521</v>
      </c>
      <c r="D367" s="64" t="s">
        <v>119</v>
      </c>
      <c r="E367" s="68" t="s">
        <v>1203</v>
      </c>
      <c r="F367" s="68" t="s">
        <v>1211</v>
      </c>
      <c r="G367" s="68" t="s">
        <v>46</v>
      </c>
      <c r="H367" s="42"/>
      <c r="I367" s="42"/>
      <c r="J367" s="42"/>
      <c r="K367" s="68" t="s">
        <v>2217</v>
      </c>
      <c r="L367" s="68" t="s">
        <v>2218</v>
      </c>
      <c r="M367" s="68" t="s">
        <v>2219</v>
      </c>
      <c r="N367" s="67">
        <v>21.423213000000001</v>
      </c>
      <c r="O367" s="67">
        <v>92.125122000000005</v>
      </c>
      <c r="P367" s="74">
        <v>1600</v>
      </c>
      <c r="Q367" s="74"/>
      <c r="R367" s="18"/>
      <c r="S367" s="18"/>
      <c r="T367" s="34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4"/>
      <c r="AH367" s="39"/>
      <c r="AI367" s="40"/>
      <c r="AJ367" s="40"/>
    </row>
    <row r="368" spans="1:36" x14ac:dyDescent="0.3">
      <c r="A368" s="63">
        <v>362</v>
      </c>
      <c r="B368" s="102" t="s">
        <v>3520</v>
      </c>
      <c r="C368" s="102" t="s">
        <v>3521</v>
      </c>
      <c r="D368" s="64" t="s">
        <v>119</v>
      </c>
      <c r="E368" s="68" t="s">
        <v>1203</v>
      </c>
      <c r="F368" s="68" t="s">
        <v>1211</v>
      </c>
      <c r="G368" s="68" t="s">
        <v>46</v>
      </c>
      <c r="H368" s="42"/>
      <c r="I368" s="42"/>
      <c r="J368" s="42"/>
      <c r="K368" s="68" t="s">
        <v>2220</v>
      </c>
      <c r="L368" s="68" t="s">
        <v>2221</v>
      </c>
      <c r="M368" s="68" t="s">
        <v>2222</v>
      </c>
      <c r="N368" s="67">
        <v>21.42737</v>
      </c>
      <c r="O368" s="67">
        <v>92.126710000000003</v>
      </c>
      <c r="P368" s="74">
        <v>1000</v>
      </c>
      <c r="Q368" s="74"/>
      <c r="R368" s="18"/>
      <c r="S368" s="18"/>
      <c r="T368" s="34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4"/>
      <c r="AH368" s="39"/>
      <c r="AI368" s="40"/>
      <c r="AJ368" s="40"/>
    </row>
    <row r="369" spans="1:36" x14ac:dyDescent="0.3">
      <c r="A369" s="63">
        <v>363</v>
      </c>
      <c r="B369" s="102" t="s">
        <v>3520</v>
      </c>
      <c r="C369" s="102" t="s">
        <v>3521</v>
      </c>
      <c r="D369" s="64" t="s">
        <v>119</v>
      </c>
      <c r="E369" s="68" t="s">
        <v>1203</v>
      </c>
      <c r="F369" s="68" t="s">
        <v>1211</v>
      </c>
      <c r="G369" s="68" t="s">
        <v>46</v>
      </c>
      <c r="H369" s="42"/>
      <c r="I369" s="42"/>
      <c r="J369" s="42"/>
      <c r="K369" s="68" t="s">
        <v>2223</v>
      </c>
      <c r="L369" s="68" t="s">
        <v>2224</v>
      </c>
      <c r="M369" s="68" t="s">
        <v>2225</v>
      </c>
      <c r="N369" s="67">
        <v>21.426787999999998</v>
      </c>
      <c r="O369" s="67">
        <v>92.124199000000004</v>
      </c>
      <c r="P369" s="74">
        <v>1750</v>
      </c>
      <c r="Q369" s="74"/>
      <c r="R369" s="18"/>
      <c r="S369" s="18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42"/>
      <c r="AH369" s="39"/>
      <c r="AI369" s="40"/>
      <c r="AJ369" s="40"/>
    </row>
    <row r="370" spans="1:36" x14ac:dyDescent="0.3">
      <c r="A370" s="63">
        <v>364</v>
      </c>
      <c r="B370" s="102" t="s">
        <v>3520</v>
      </c>
      <c r="C370" s="102" t="s">
        <v>3521</v>
      </c>
      <c r="D370" s="64" t="s">
        <v>119</v>
      </c>
      <c r="E370" s="68" t="s">
        <v>1203</v>
      </c>
      <c r="F370" s="68" t="s">
        <v>1211</v>
      </c>
      <c r="G370" s="68" t="s">
        <v>46</v>
      </c>
      <c r="H370" s="42"/>
      <c r="I370" s="42"/>
      <c r="J370" s="42"/>
      <c r="K370" s="68" t="s">
        <v>2226</v>
      </c>
      <c r="L370" s="68" t="s">
        <v>2227</v>
      </c>
      <c r="M370" s="68" t="s">
        <v>2228</v>
      </c>
      <c r="N370" s="67">
        <v>21.428359</v>
      </c>
      <c r="O370" s="67">
        <v>92.118399999999994</v>
      </c>
      <c r="P370" s="74">
        <v>450</v>
      </c>
      <c r="Q370" s="74"/>
      <c r="R370" s="18"/>
      <c r="S370" s="18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42"/>
      <c r="AH370" s="39"/>
      <c r="AI370" s="40"/>
      <c r="AJ370" s="40"/>
    </row>
    <row r="371" spans="1:36" x14ac:dyDescent="0.3">
      <c r="A371" s="63">
        <v>365</v>
      </c>
      <c r="B371" s="102" t="s">
        <v>3520</v>
      </c>
      <c r="C371" s="102" t="s">
        <v>3521</v>
      </c>
      <c r="D371" s="64" t="s">
        <v>119</v>
      </c>
      <c r="E371" s="68" t="s">
        <v>1203</v>
      </c>
      <c r="F371" s="68" t="s">
        <v>1211</v>
      </c>
      <c r="G371" s="68" t="s">
        <v>47</v>
      </c>
      <c r="H371" s="42"/>
      <c r="I371" s="42"/>
      <c r="J371" s="42"/>
      <c r="K371" s="68" t="s">
        <v>2229</v>
      </c>
      <c r="L371" s="68" t="s">
        <v>2230</v>
      </c>
      <c r="M371" s="68" t="s">
        <v>2231</v>
      </c>
      <c r="N371" s="67">
        <v>21.431511</v>
      </c>
      <c r="O371" s="67">
        <v>92.116192999999996</v>
      </c>
      <c r="P371" s="74">
        <v>700</v>
      </c>
      <c r="Q371" s="74"/>
      <c r="R371" s="18"/>
      <c r="S371" s="18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42"/>
      <c r="AH371" s="39"/>
      <c r="AI371" s="40"/>
      <c r="AJ371" s="40"/>
    </row>
    <row r="372" spans="1:36" x14ac:dyDescent="0.3">
      <c r="A372" s="63">
        <v>366</v>
      </c>
      <c r="B372" s="102" t="s">
        <v>3520</v>
      </c>
      <c r="C372" s="102" t="s">
        <v>3521</v>
      </c>
      <c r="D372" s="64" t="s">
        <v>119</v>
      </c>
      <c r="E372" s="68" t="s">
        <v>1203</v>
      </c>
      <c r="F372" s="68" t="s">
        <v>1211</v>
      </c>
      <c r="G372" s="68" t="s">
        <v>47</v>
      </c>
      <c r="H372" s="42"/>
      <c r="I372" s="42"/>
      <c r="J372" s="42"/>
      <c r="K372" s="68" t="s">
        <v>2232</v>
      </c>
      <c r="L372" s="68" t="s">
        <v>2233</v>
      </c>
      <c r="M372" s="68" t="s">
        <v>2234</v>
      </c>
      <c r="N372" s="67">
        <v>21.42897</v>
      </c>
      <c r="O372" s="67">
        <v>92.122073999999998</v>
      </c>
      <c r="P372" s="74">
        <v>500</v>
      </c>
      <c r="Q372" s="74"/>
      <c r="R372" s="18"/>
      <c r="S372" s="18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42"/>
      <c r="AH372" s="39"/>
      <c r="AI372" s="40"/>
      <c r="AJ372" s="40"/>
    </row>
    <row r="373" spans="1:36" x14ac:dyDescent="0.3">
      <c r="A373" s="63">
        <v>367</v>
      </c>
      <c r="B373" s="102" t="s">
        <v>3520</v>
      </c>
      <c r="C373" s="102" t="s">
        <v>3521</v>
      </c>
      <c r="D373" s="64" t="s">
        <v>119</v>
      </c>
      <c r="E373" s="68" t="s">
        <v>1203</v>
      </c>
      <c r="F373" s="68" t="s">
        <v>1211</v>
      </c>
      <c r="G373" s="68" t="s">
        <v>47</v>
      </c>
      <c r="H373" s="42"/>
      <c r="I373" s="42"/>
      <c r="J373" s="42"/>
      <c r="K373" s="68" t="s">
        <v>1659</v>
      </c>
      <c r="L373" s="68" t="s">
        <v>1660</v>
      </c>
      <c r="M373" s="68" t="s">
        <v>2235</v>
      </c>
      <c r="N373" s="67">
        <v>21.431595000000002</v>
      </c>
      <c r="O373" s="67">
        <v>92.119504000000006</v>
      </c>
      <c r="P373" s="74">
        <v>650</v>
      </c>
      <c r="Q373" s="74"/>
      <c r="R373" s="18"/>
      <c r="S373" s="18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42"/>
      <c r="AH373" s="39"/>
      <c r="AI373" s="40"/>
      <c r="AJ373" s="40"/>
    </row>
    <row r="374" spans="1:36" x14ac:dyDescent="0.3">
      <c r="A374" s="63">
        <v>368</v>
      </c>
      <c r="B374" s="102" t="s">
        <v>3520</v>
      </c>
      <c r="C374" s="102" t="s">
        <v>3521</v>
      </c>
      <c r="D374" s="64" t="s">
        <v>119</v>
      </c>
      <c r="E374" s="68" t="s">
        <v>1203</v>
      </c>
      <c r="F374" s="68" t="s">
        <v>1211</v>
      </c>
      <c r="G374" s="68" t="s">
        <v>47</v>
      </c>
      <c r="H374" s="42"/>
      <c r="I374" s="42"/>
      <c r="J374" s="42"/>
      <c r="K374" s="68" t="s">
        <v>2236</v>
      </c>
      <c r="L374" s="68" t="s">
        <v>2237</v>
      </c>
      <c r="M374" s="68" t="s">
        <v>2238</v>
      </c>
      <c r="N374" s="67">
        <v>21.433478999999998</v>
      </c>
      <c r="O374" s="67">
        <v>92.122139000000004</v>
      </c>
      <c r="P374" s="74">
        <v>500</v>
      </c>
      <c r="Q374" s="74"/>
      <c r="R374" s="18"/>
      <c r="S374" s="18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42"/>
      <c r="AH374" s="39"/>
      <c r="AI374" s="40"/>
      <c r="AJ374" s="40"/>
    </row>
    <row r="375" spans="1:36" x14ac:dyDescent="0.3">
      <c r="A375" s="63">
        <v>369</v>
      </c>
      <c r="B375" s="102" t="s">
        <v>3520</v>
      </c>
      <c r="C375" s="102" t="s">
        <v>3521</v>
      </c>
      <c r="D375" s="64" t="s">
        <v>119</v>
      </c>
      <c r="E375" s="68" t="s">
        <v>1203</v>
      </c>
      <c r="F375" s="68" t="s">
        <v>1211</v>
      </c>
      <c r="G375" s="68" t="s">
        <v>47</v>
      </c>
      <c r="H375" s="42"/>
      <c r="I375" s="42"/>
      <c r="J375" s="42"/>
      <c r="K375" s="68" t="s">
        <v>2239</v>
      </c>
      <c r="L375" s="68" t="s">
        <v>2240</v>
      </c>
      <c r="M375" s="68" t="s">
        <v>2241</v>
      </c>
      <c r="N375" s="67">
        <v>21.437984</v>
      </c>
      <c r="O375" s="67">
        <v>92.121882999999997</v>
      </c>
      <c r="P375" s="74">
        <v>300</v>
      </c>
      <c r="Q375" s="74"/>
      <c r="R375" s="18"/>
      <c r="S375" s="18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42"/>
      <c r="AH375" s="39"/>
      <c r="AI375" s="40"/>
      <c r="AJ375" s="40"/>
    </row>
    <row r="376" spans="1:36" x14ac:dyDescent="0.3">
      <c r="A376" s="63">
        <v>370</v>
      </c>
      <c r="B376" s="102" t="s">
        <v>3520</v>
      </c>
      <c r="C376" s="102" t="s">
        <v>3521</v>
      </c>
      <c r="D376" s="64" t="s">
        <v>119</v>
      </c>
      <c r="E376" s="68" t="s">
        <v>1203</v>
      </c>
      <c r="F376" s="68" t="s">
        <v>1211</v>
      </c>
      <c r="G376" s="68" t="s">
        <v>47</v>
      </c>
      <c r="H376" s="42"/>
      <c r="I376" s="42"/>
      <c r="J376" s="42"/>
      <c r="K376" s="68" t="s">
        <v>2242</v>
      </c>
      <c r="L376" s="68" t="s">
        <v>2243</v>
      </c>
      <c r="M376" s="68" t="s">
        <v>2244</v>
      </c>
      <c r="N376" s="67">
        <v>21.438628999999999</v>
      </c>
      <c r="O376" s="67">
        <v>92.118846000000005</v>
      </c>
      <c r="P376" s="74">
        <v>650</v>
      </c>
      <c r="Q376" s="74"/>
      <c r="R376" s="18"/>
      <c r="S376" s="18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42"/>
      <c r="AH376" s="39"/>
      <c r="AI376" s="40"/>
      <c r="AJ376" s="40"/>
    </row>
    <row r="377" spans="1:36" x14ac:dyDescent="0.3">
      <c r="A377" s="63">
        <v>371</v>
      </c>
      <c r="B377" s="102" t="s">
        <v>3520</v>
      </c>
      <c r="C377" s="102" t="s">
        <v>3521</v>
      </c>
      <c r="D377" s="64" t="s">
        <v>119</v>
      </c>
      <c r="E377" s="68" t="s">
        <v>1203</v>
      </c>
      <c r="F377" s="68" t="s">
        <v>1211</v>
      </c>
      <c r="G377" s="68" t="s">
        <v>47</v>
      </c>
      <c r="H377" s="42"/>
      <c r="I377" s="42"/>
      <c r="J377" s="42"/>
      <c r="K377" s="68" t="s">
        <v>2245</v>
      </c>
      <c r="L377" s="68" t="s">
        <v>2246</v>
      </c>
      <c r="M377" s="68" t="s">
        <v>2247</v>
      </c>
      <c r="N377" s="67">
        <v>21.443611000000001</v>
      </c>
      <c r="O377" s="67">
        <v>92.112877999999995</v>
      </c>
      <c r="P377" s="74">
        <v>700</v>
      </c>
      <c r="Q377" s="74"/>
      <c r="R377" s="18"/>
      <c r="S377" s="18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42"/>
      <c r="AH377" s="39"/>
      <c r="AI377" s="40"/>
      <c r="AJ377" s="40"/>
    </row>
    <row r="378" spans="1:36" x14ac:dyDescent="0.3">
      <c r="A378" s="63">
        <v>372</v>
      </c>
      <c r="B378" s="102" t="s">
        <v>3520</v>
      </c>
      <c r="C378" s="102" t="s">
        <v>3521</v>
      </c>
      <c r="D378" s="64" t="s">
        <v>119</v>
      </c>
      <c r="E378" s="68" t="s">
        <v>1203</v>
      </c>
      <c r="F378" s="68" t="s">
        <v>1211</v>
      </c>
      <c r="G378" s="68" t="s">
        <v>47</v>
      </c>
      <c r="H378" s="42"/>
      <c r="I378" s="42"/>
      <c r="J378" s="42"/>
      <c r="K378" s="68" t="s">
        <v>2248</v>
      </c>
      <c r="L378" s="68" t="s">
        <v>2249</v>
      </c>
      <c r="M378" s="68" t="s">
        <v>2250</v>
      </c>
      <c r="N378" s="67">
        <v>21.444071999999998</v>
      </c>
      <c r="O378" s="67">
        <v>92.125455000000002</v>
      </c>
      <c r="P378" s="74">
        <v>650</v>
      </c>
      <c r="Q378" s="74"/>
      <c r="R378" s="18"/>
      <c r="S378" s="18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42"/>
      <c r="AH378" s="39"/>
      <c r="AI378" s="40"/>
      <c r="AJ378" s="40"/>
    </row>
    <row r="379" spans="1:36" x14ac:dyDescent="0.3">
      <c r="A379" s="63">
        <v>373</v>
      </c>
      <c r="B379" s="102" t="s">
        <v>3520</v>
      </c>
      <c r="C379" s="102" t="s">
        <v>3521</v>
      </c>
      <c r="D379" s="64" t="s">
        <v>119</v>
      </c>
      <c r="E379" s="68" t="s">
        <v>1203</v>
      </c>
      <c r="F379" s="68" t="s">
        <v>1211</v>
      </c>
      <c r="G379" s="68" t="s">
        <v>47</v>
      </c>
      <c r="H379" s="42"/>
      <c r="I379" s="42"/>
      <c r="J379" s="42"/>
      <c r="K379" s="68" t="s">
        <v>2251</v>
      </c>
      <c r="L379" s="68" t="s">
        <v>2252</v>
      </c>
      <c r="M379" s="68" t="s">
        <v>2253</v>
      </c>
      <c r="N379" s="67">
        <v>21.444849999999999</v>
      </c>
      <c r="O379" s="67">
        <v>92.121263999999996</v>
      </c>
      <c r="P379" s="74">
        <v>600</v>
      </c>
      <c r="Q379" s="74"/>
      <c r="R379" s="18"/>
      <c r="S379" s="18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42"/>
      <c r="AH379" s="39"/>
      <c r="AI379" s="40"/>
      <c r="AJ379" s="40"/>
    </row>
    <row r="380" spans="1:36" x14ac:dyDescent="0.3">
      <c r="A380" s="63">
        <v>374</v>
      </c>
      <c r="B380" s="102" t="s">
        <v>3520</v>
      </c>
      <c r="C380" s="102" t="s">
        <v>3521</v>
      </c>
      <c r="D380" s="64" t="s">
        <v>119</v>
      </c>
      <c r="E380" s="68" t="s">
        <v>1203</v>
      </c>
      <c r="F380" s="68" t="s">
        <v>1211</v>
      </c>
      <c r="G380" s="68" t="s">
        <v>47</v>
      </c>
      <c r="H380" s="42"/>
      <c r="I380" s="42"/>
      <c r="J380" s="42"/>
      <c r="K380" s="68" t="s">
        <v>2254</v>
      </c>
      <c r="L380" s="68" t="s">
        <v>2255</v>
      </c>
      <c r="M380" s="68" t="s">
        <v>2256</v>
      </c>
      <c r="N380" s="67">
        <v>21.442910999999999</v>
      </c>
      <c r="O380" s="67">
        <v>92.116806999999994</v>
      </c>
      <c r="P380" s="74">
        <v>1800</v>
      </c>
      <c r="Q380" s="74"/>
      <c r="R380" s="18"/>
      <c r="S380" s="18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42"/>
      <c r="AH380" s="39"/>
      <c r="AI380" s="40"/>
      <c r="AJ380" s="40"/>
    </row>
    <row r="381" spans="1:36" x14ac:dyDescent="0.3">
      <c r="A381" s="63">
        <v>375</v>
      </c>
      <c r="B381" s="102" t="s">
        <v>3520</v>
      </c>
      <c r="C381" s="102" t="s">
        <v>3521</v>
      </c>
      <c r="D381" s="64" t="s">
        <v>119</v>
      </c>
      <c r="E381" s="68" t="s">
        <v>1203</v>
      </c>
      <c r="F381" s="68" t="s">
        <v>1211</v>
      </c>
      <c r="G381" s="68" t="s">
        <v>48</v>
      </c>
      <c r="H381" s="42"/>
      <c r="I381" s="42"/>
      <c r="J381" s="42"/>
      <c r="K381" s="68" t="s">
        <v>2257</v>
      </c>
      <c r="L381" s="68" t="s">
        <v>2258</v>
      </c>
      <c r="M381" s="68" t="s">
        <v>2259</v>
      </c>
      <c r="N381" s="67">
        <v>21.451346000000001</v>
      </c>
      <c r="O381" s="67">
        <v>92.123271000000003</v>
      </c>
      <c r="P381" s="74">
        <v>3000</v>
      </c>
      <c r="Q381" s="74"/>
      <c r="R381" s="18"/>
      <c r="S381" s="18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42"/>
      <c r="AH381" s="39"/>
      <c r="AI381" s="40"/>
      <c r="AJ381" s="40"/>
    </row>
    <row r="382" spans="1:36" x14ac:dyDescent="0.3">
      <c r="A382" s="63">
        <v>376</v>
      </c>
      <c r="B382" s="102" t="s">
        <v>3520</v>
      </c>
      <c r="C382" s="102" t="s">
        <v>3521</v>
      </c>
      <c r="D382" s="64" t="s">
        <v>119</v>
      </c>
      <c r="E382" s="68" t="s">
        <v>1203</v>
      </c>
      <c r="F382" s="68" t="s">
        <v>1211</v>
      </c>
      <c r="G382" s="68" t="s">
        <v>48</v>
      </c>
      <c r="H382" s="42"/>
      <c r="I382" s="42"/>
      <c r="J382" s="42"/>
      <c r="K382" s="69" t="s">
        <v>2260</v>
      </c>
      <c r="L382" s="68" t="s">
        <v>2261</v>
      </c>
      <c r="M382" s="68" t="s">
        <v>2262</v>
      </c>
      <c r="N382" s="67">
        <v>21.448702000000001</v>
      </c>
      <c r="O382" s="67">
        <v>92.130125000000007</v>
      </c>
      <c r="P382" s="74">
        <v>1100</v>
      </c>
      <c r="Q382" s="74"/>
      <c r="R382" s="18"/>
      <c r="S382" s="18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42"/>
      <c r="AH382" s="39"/>
      <c r="AI382" s="40"/>
      <c r="AJ382" s="40"/>
    </row>
    <row r="383" spans="1:36" x14ac:dyDescent="0.3">
      <c r="A383" s="63">
        <v>377</v>
      </c>
      <c r="B383" s="102" t="s">
        <v>3520</v>
      </c>
      <c r="C383" s="102" t="s">
        <v>3521</v>
      </c>
      <c r="D383" s="64" t="s">
        <v>119</v>
      </c>
      <c r="E383" s="68" t="s">
        <v>1203</v>
      </c>
      <c r="F383" s="68" t="s">
        <v>1211</v>
      </c>
      <c r="G383" s="68" t="s">
        <v>48</v>
      </c>
      <c r="H383" s="42"/>
      <c r="I383" s="42"/>
      <c r="J383" s="42"/>
      <c r="K383" s="69" t="s">
        <v>2263</v>
      </c>
      <c r="L383" s="68" t="s">
        <v>2264</v>
      </c>
      <c r="M383" s="68" t="s">
        <v>2265</v>
      </c>
      <c r="N383" s="67">
        <v>21.453043000000001</v>
      </c>
      <c r="O383" s="67">
        <v>92.131680000000003</v>
      </c>
      <c r="P383" s="74">
        <v>800</v>
      </c>
      <c r="Q383" s="74"/>
      <c r="R383" s="18"/>
      <c r="S383" s="18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42"/>
      <c r="AH383" s="39"/>
      <c r="AI383" s="40"/>
      <c r="AJ383" s="40"/>
    </row>
    <row r="384" spans="1:36" x14ac:dyDescent="0.3">
      <c r="A384" s="63">
        <v>378</v>
      </c>
      <c r="B384" s="102" t="s">
        <v>3520</v>
      </c>
      <c r="C384" s="102" t="s">
        <v>3521</v>
      </c>
      <c r="D384" s="64" t="s">
        <v>119</v>
      </c>
      <c r="E384" s="68" t="s">
        <v>1203</v>
      </c>
      <c r="F384" s="68" t="s">
        <v>1211</v>
      </c>
      <c r="G384" s="68" t="s">
        <v>48</v>
      </c>
      <c r="H384" s="42"/>
      <c r="I384" s="42"/>
      <c r="J384" s="42"/>
      <c r="K384" s="69" t="s">
        <v>2266</v>
      </c>
      <c r="L384" s="68" t="s">
        <v>2267</v>
      </c>
      <c r="M384" s="68" t="s">
        <v>2268</v>
      </c>
      <c r="N384" s="67">
        <v>21.449719000000002</v>
      </c>
      <c r="O384" s="67">
        <v>92.133335000000002</v>
      </c>
      <c r="P384" s="74">
        <v>150</v>
      </c>
      <c r="Q384" s="74"/>
      <c r="R384" s="18"/>
      <c r="S384" s="18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42"/>
      <c r="AH384" s="39"/>
      <c r="AI384" s="40"/>
      <c r="AJ384" s="40"/>
    </row>
    <row r="385" spans="1:36" x14ac:dyDescent="0.3">
      <c r="A385" s="63">
        <v>379</v>
      </c>
      <c r="B385" s="102" t="s">
        <v>3520</v>
      </c>
      <c r="C385" s="102" t="s">
        <v>3521</v>
      </c>
      <c r="D385" s="64" t="s">
        <v>119</v>
      </c>
      <c r="E385" s="68" t="s">
        <v>1203</v>
      </c>
      <c r="F385" s="68" t="s">
        <v>1211</v>
      </c>
      <c r="G385" s="68" t="s">
        <v>48</v>
      </c>
      <c r="H385" s="42"/>
      <c r="I385" s="42"/>
      <c r="J385" s="42"/>
      <c r="K385" s="75" t="s">
        <v>2269</v>
      </c>
      <c r="L385" s="68" t="s">
        <v>2270</v>
      </c>
      <c r="M385" s="68" t="s">
        <v>2271</v>
      </c>
      <c r="N385" s="67">
        <v>21.460757000000001</v>
      </c>
      <c r="O385" s="67">
        <v>92.129305000000002</v>
      </c>
      <c r="P385" s="74">
        <v>3500</v>
      </c>
      <c r="Q385" s="74"/>
      <c r="R385" s="18"/>
      <c r="S385" s="18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42"/>
      <c r="AH385" s="39"/>
      <c r="AI385" s="40"/>
      <c r="AJ385" s="40"/>
    </row>
    <row r="386" spans="1:36" x14ac:dyDescent="0.3">
      <c r="A386" s="63">
        <v>380</v>
      </c>
      <c r="B386" s="102" t="s">
        <v>3520</v>
      </c>
      <c r="C386" s="102" t="s">
        <v>3521</v>
      </c>
      <c r="D386" s="64" t="s">
        <v>119</v>
      </c>
      <c r="E386" s="68" t="s">
        <v>1203</v>
      </c>
      <c r="F386" s="68" t="s">
        <v>1211</v>
      </c>
      <c r="G386" s="68" t="s">
        <v>49</v>
      </c>
      <c r="H386" s="42"/>
      <c r="I386" s="42"/>
      <c r="J386" s="42"/>
      <c r="K386" s="68" t="s">
        <v>2272</v>
      </c>
      <c r="L386" s="68" t="s">
        <v>2273</v>
      </c>
      <c r="M386" s="68" t="s">
        <v>2274</v>
      </c>
      <c r="N386" s="67">
        <v>21.443473999999998</v>
      </c>
      <c r="O386" s="67">
        <v>92.135777000000004</v>
      </c>
      <c r="P386" s="74">
        <v>3000</v>
      </c>
      <c r="Q386" s="74"/>
      <c r="R386" s="18"/>
      <c r="S386" s="18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42"/>
      <c r="AH386" s="39"/>
      <c r="AI386" s="40"/>
      <c r="AJ386" s="40"/>
    </row>
    <row r="387" spans="1:36" x14ac:dyDescent="0.3">
      <c r="A387" s="63">
        <v>381</v>
      </c>
      <c r="B387" s="102" t="s">
        <v>3520</v>
      </c>
      <c r="C387" s="102" t="s">
        <v>3521</v>
      </c>
      <c r="D387" s="64" t="s">
        <v>119</v>
      </c>
      <c r="E387" s="68" t="s">
        <v>1203</v>
      </c>
      <c r="F387" s="68" t="s">
        <v>1211</v>
      </c>
      <c r="G387" s="68" t="s">
        <v>49</v>
      </c>
      <c r="H387" s="42"/>
      <c r="I387" s="42"/>
      <c r="J387" s="42"/>
      <c r="K387" s="68" t="s">
        <v>2266</v>
      </c>
      <c r="L387" s="68" t="s">
        <v>2267</v>
      </c>
      <c r="M387" s="68" t="s">
        <v>2275</v>
      </c>
      <c r="N387" s="67">
        <v>21.450619</v>
      </c>
      <c r="O387" s="67">
        <v>92.134721999999996</v>
      </c>
      <c r="P387" s="74">
        <v>300</v>
      </c>
      <c r="Q387" s="74"/>
      <c r="R387" s="18"/>
      <c r="S387" s="18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42"/>
      <c r="AH387" s="39"/>
      <c r="AI387" s="40"/>
      <c r="AJ387" s="40"/>
    </row>
    <row r="388" spans="1:36" x14ac:dyDescent="0.3">
      <c r="A388" s="63">
        <v>382</v>
      </c>
      <c r="B388" s="102" t="s">
        <v>3520</v>
      </c>
      <c r="C388" s="102" t="s">
        <v>3521</v>
      </c>
      <c r="D388" s="64" t="s">
        <v>119</v>
      </c>
      <c r="E388" s="68" t="s">
        <v>1203</v>
      </c>
      <c r="F388" s="68" t="s">
        <v>1211</v>
      </c>
      <c r="G388" s="68" t="s">
        <v>49</v>
      </c>
      <c r="H388" s="42"/>
      <c r="I388" s="42"/>
      <c r="J388" s="42"/>
      <c r="K388" s="68" t="s">
        <v>2276</v>
      </c>
      <c r="L388" s="68" t="s">
        <v>2277</v>
      </c>
      <c r="M388" s="68" t="s">
        <v>2278</v>
      </c>
      <c r="N388" s="67">
        <v>21.453641999999999</v>
      </c>
      <c r="O388" s="67">
        <v>92.140925999999993</v>
      </c>
      <c r="P388" s="74">
        <v>1500</v>
      </c>
      <c r="Q388" s="74"/>
      <c r="R388" s="18"/>
      <c r="S388" s="18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42"/>
      <c r="AH388" s="39"/>
      <c r="AI388" s="40"/>
      <c r="AJ388" s="40"/>
    </row>
    <row r="389" spans="1:36" x14ac:dyDescent="0.3">
      <c r="A389" s="63">
        <v>383</v>
      </c>
      <c r="B389" s="102" t="s">
        <v>3520</v>
      </c>
      <c r="C389" s="102" t="s">
        <v>3521</v>
      </c>
      <c r="D389" s="64" t="s">
        <v>119</v>
      </c>
      <c r="E389" s="68" t="s">
        <v>1203</v>
      </c>
      <c r="F389" s="68" t="s">
        <v>1211</v>
      </c>
      <c r="G389" s="68" t="s">
        <v>49</v>
      </c>
      <c r="H389" s="42"/>
      <c r="I389" s="42"/>
      <c r="J389" s="42"/>
      <c r="K389" s="68" t="s">
        <v>2279</v>
      </c>
      <c r="L389" s="68" t="s">
        <v>2280</v>
      </c>
      <c r="M389" s="68" t="s">
        <v>2281</v>
      </c>
      <c r="N389" s="67">
        <v>21.457277999999999</v>
      </c>
      <c r="O389" s="67">
        <v>92.135593999999998</v>
      </c>
      <c r="P389" s="74">
        <v>2500</v>
      </c>
      <c r="Q389" s="74"/>
      <c r="R389" s="18"/>
      <c r="S389" s="18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42"/>
      <c r="AH389" s="39"/>
      <c r="AI389" s="40"/>
      <c r="AJ389" s="40"/>
    </row>
    <row r="390" spans="1:36" x14ac:dyDescent="0.3">
      <c r="A390" s="63">
        <v>384</v>
      </c>
      <c r="B390" s="102" t="s">
        <v>3520</v>
      </c>
      <c r="C390" s="102" t="s">
        <v>3521</v>
      </c>
      <c r="D390" s="64" t="s">
        <v>119</v>
      </c>
      <c r="E390" s="68" t="s">
        <v>1203</v>
      </c>
      <c r="F390" s="68" t="s">
        <v>1211</v>
      </c>
      <c r="G390" s="68" t="s">
        <v>49</v>
      </c>
      <c r="H390" s="42"/>
      <c r="I390" s="42"/>
      <c r="J390" s="42"/>
      <c r="K390" s="68" t="s">
        <v>2282</v>
      </c>
      <c r="L390" s="68" t="s">
        <v>2283</v>
      </c>
      <c r="M390" s="68" t="s">
        <v>2284</v>
      </c>
      <c r="N390" s="67">
        <v>21.463827999999999</v>
      </c>
      <c r="O390" s="67">
        <v>92.139174999999994</v>
      </c>
      <c r="P390" s="74">
        <v>1000</v>
      </c>
      <c r="Q390" s="74"/>
      <c r="R390" s="18"/>
      <c r="S390" s="18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42"/>
      <c r="AH390" s="39"/>
      <c r="AI390" s="40"/>
      <c r="AJ390" s="40"/>
    </row>
    <row r="391" spans="1:36" x14ac:dyDescent="0.3">
      <c r="A391" s="63">
        <v>385</v>
      </c>
      <c r="B391" s="102" t="s">
        <v>3520</v>
      </c>
      <c r="C391" s="102" t="s">
        <v>3521</v>
      </c>
      <c r="D391" s="64" t="s">
        <v>119</v>
      </c>
      <c r="E391" s="68" t="s">
        <v>1203</v>
      </c>
      <c r="F391" s="68" t="s">
        <v>1212</v>
      </c>
      <c r="G391" s="68" t="s">
        <v>41</v>
      </c>
      <c r="H391" s="42"/>
      <c r="I391" s="42"/>
      <c r="J391" s="42"/>
      <c r="K391" s="68" t="s">
        <v>2285</v>
      </c>
      <c r="L391" s="68" t="s">
        <v>2286</v>
      </c>
      <c r="M391" s="68" t="s">
        <v>2287</v>
      </c>
      <c r="N391" s="67">
        <v>21.336317999999999</v>
      </c>
      <c r="O391" s="67">
        <v>92.106245999999999</v>
      </c>
      <c r="P391" s="74">
        <v>1500</v>
      </c>
      <c r="Q391" s="74"/>
      <c r="R391" s="18"/>
      <c r="S391" s="18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42"/>
      <c r="AH391" s="39"/>
      <c r="AI391" s="40"/>
      <c r="AJ391" s="40"/>
    </row>
    <row r="392" spans="1:36" x14ac:dyDescent="0.3">
      <c r="A392" s="63">
        <v>386</v>
      </c>
      <c r="B392" s="102" t="s">
        <v>3520</v>
      </c>
      <c r="C392" s="102" t="s">
        <v>3521</v>
      </c>
      <c r="D392" s="64" t="s">
        <v>119</v>
      </c>
      <c r="E392" s="68" t="s">
        <v>1203</v>
      </c>
      <c r="F392" s="68" t="s">
        <v>1212</v>
      </c>
      <c r="G392" s="68" t="s">
        <v>41</v>
      </c>
      <c r="H392" s="42"/>
      <c r="I392" s="42"/>
      <c r="J392" s="42"/>
      <c r="K392" s="68" t="s">
        <v>2288</v>
      </c>
      <c r="L392" s="68" t="s">
        <v>2289</v>
      </c>
      <c r="M392" s="68" t="s">
        <v>2290</v>
      </c>
      <c r="N392" s="67">
        <v>21.344273000000001</v>
      </c>
      <c r="O392" s="67">
        <v>92.105930999999998</v>
      </c>
      <c r="P392" s="74">
        <v>600</v>
      </c>
      <c r="Q392" s="74"/>
      <c r="R392" s="18"/>
      <c r="S392" s="18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42"/>
      <c r="AH392" s="39"/>
      <c r="AI392" s="40"/>
      <c r="AJ392" s="40"/>
    </row>
    <row r="393" spans="1:36" x14ac:dyDescent="0.3">
      <c r="A393" s="63">
        <v>387</v>
      </c>
      <c r="B393" s="102" t="s">
        <v>3520</v>
      </c>
      <c r="C393" s="102" t="s">
        <v>3521</v>
      </c>
      <c r="D393" s="64" t="s">
        <v>119</v>
      </c>
      <c r="E393" s="68" t="s">
        <v>1203</v>
      </c>
      <c r="F393" s="68" t="s">
        <v>1212</v>
      </c>
      <c r="G393" s="68" t="s">
        <v>41</v>
      </c>
      <c r="H393" s="42"/>
      <c r="I393" s="42"/>
      <c r="J393" s="42"/>
      <c r="K393" s="68" t="s">
        <v>2291</v>
      </c>
      <c r="L393" s="68" t="s">
        <v>2292</v>
      </c>
      <c r="M393" s="68" t="s">
        <v>2293</v>
      </c>
      <c r="N393" s="67">
        <v>21.345655000000001</v>
      </c>
      <c r="O393" s="67">
        <v>92.113195000000005</v>
      </c>
      <c r="P393" s="74">
        <v>500</v>
      </c>
      <c r="Q393" s="74"/>
      <c r="R393" s="18"/>
      <c r="S393" s="18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42"/>
      <c r="AH393" s="39"/>
      <c r="AI393" s="40"/>
      <c r="AJ393" s="40"/>
    </row>
    <row r="394" spans="1:36" x14ac:dyDescent="0.3">
      <c r="A394" s="63">
        <v>388</v>
      </c>
      <c r="B394" s="102" t="s">
        <v>3520</v>
      </c>
      <c r="C394" s="102" t="s">
        <v>3521</v>
      </c>
      <c r="D394" s="64" t="s">
        <v>119</v>
      </c>
      <c r="E394" s="68" t="s">
        <v>1203</v>
      </c>
      <c r="F394" s="68" t="s">
        <v>1212</v>
      </c>
      <c r="G394" s="68" t="s">
        <v>41</v>
      </c>
      <c r="H394" s="42"/>
      <c r="I394" s="42"/>
      <c r="J394" s="42"/>
      <c r="K394" s="68" t="s">
        <v>2294</v>
      </c>
      <c r="L394" s="68" t="s">
        <v>2295</v>
      </c>
      <c r="M394" s="68" t="s">
        <v>2296</v>
      </c>
      <c r="N394" s="67">
        <v>21.345759000000001</v>
      </c>
      <c r="O394" s="67">
        <v>92.119326000000001</v>
      </c>
      <c r="P394" s="74">
        <v>500</v>
      </c>
      <c r="Q394" s="74"/>
      <c r="R394" s="18"/>
      <c r="S394" s="18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42"/>
      <c r="AH394" s="39"/>
      <c r="AI394" s="40"/>
      <c r="AJ394" s="40"/>
    </row>
    <row r="395" spans="1:36" x14ac:dyDescent="0.3">
      <c r="A395" s="63">
        <v>389</v>
      </c>
      <c r="B395" s="102" t="s">
        <v>3520</v>
      </c>
      <c r="C395" s="102" t="s">
        <v>3521</v>
      </c>
      <c r="D395" s="64" t="s">
        <v>119</v>
      </c>
      <c r="E395" s="68" t="s">
        <v>1203</v>
      </c>
      <c r="F395" s="68" t="s">
        <v>1212</v>
      </c>
      <c r="G395" s="68" t="s">
        <v>41</v>
      </c>
      <c r="H395" s="42"/>
      <c r="I395" s="42"/>
      <c r="J395" s="42"/>
      <c r="K395" s="68" t="s">
        <v>2297</v>
      </c>
      <c r="L395" s="68" t="s">
        <v>2298</v>
      </c>
      <c r="M395" s="68" t="s">
        <v>2299</v>
      </c>
      <c r="N395" s="67">
        <v>21.34066</v>
      </c>
      <c r="O395" s="67">
        <v>92.115103000000005</v>
      </c>
      <c r="P395" s="74">
        <v>800</v>
      </c>
      <c r="Q395" s="74"/>
      <c r="R395" s="18"/>
      <c r="S395" s="18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42"/>
      <c r="AH395" s="39"/>
      <c r="AI395" s="40"/>
      <c r="AJ395" s="40"/>
    </row>
    <row r="396" spans="1:36" x14ac:dyDescent="0.3">
      <c r="A396" s="63">
        <v>390</v>
      </c>
      <c r="B396" s="102" t="s">
        <v>3520</v>
      </c>
      <c r="C396" s="102" t="s">
        <v>3521</v>
      </c>
      <c r="D396" s="64" t="s">
        <v>119</v>
      </c>
      <c r="E396" s="72" t="s">
        <v>1203</v>
      </c>
      <c r="F396" s="72" t="s">
        <v>1212</v>
      </c>
      <c r="G396" s="72" t="s">
        <v>41</v>
      </c>
      <c r="H396" s="42"/>
      <c r="I396" s="42"/>
      <c r="J396" s="42"/>
      <c r="K396" s="72" t="s">
        <v>2300</v>
      </c>
      <c r="L396" s="72" t="s">
        <v>2301</v>
      </c>
      <c r="M396" s="72" t="s">
        <v>2302</v>
      </c>
      <c r="N396" s="67">
        <v>21.332294000000001</v>
      </c>
      <c r="O396" s="67">
        <v>92.116625999999997</v>
      </c>
      <c r="P396" s="88">
        <v>1200</v>
      </c>
      <c r="Q396" s="104"/>
      <c r="R396" s="18"/>
      <c r="S396" s="18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42"/>
      <c r="AH396" s="39"/>
      <c r="AI396" s="40"/>
      <c r="AJ396" s="40"/>
    </row>
    <row r="397" spans="1:36" x14ac:dyDescent="0.3">
      <c r="A397" s="63">
        <v>391</v>
      </c>
      <c r="B397" s="102" t="s">
        <v>3520</v>
      </c>
      <c r="C397" s="102" t="s">
        <v>3521</v>
      </c>
      <c r="D397" s="64" t="s">
        <v>119</v>
      </c>
      <c r="E397" s="72" t="s">
        <v>1203</v>
      </c>
      <c r="F397" s="72" t="s">
        <v>1212</v>
      </c>
      <c r="G397" s="72" t="s">
        <v>41</v>
      </c>
      <c r="H397" s="42"/>
      <c r="I397" s="42"/>
      <c r="J397" s="42"/>
      <c r="K397" s="72" t="s">
        <v>2303</v>
      </c>
      <c r="L397" s="72" t="s">
        <v>2304</v>
      </c>
      <c r="M397" s="72" t="s">
        <v>2305</v>
      </c>
      <c r="N397" s="67">
        <v>21.337727000000001</v>
      </c>
      <c r="O397" s="67">
        <v>92.122404000000003</v>
      </c>
      <c r="P397" s="88">
        <v>300</v>
      </c>
      <c r="Q397" s="104"/>
      <c r="R397" s="18"/>
      <c r="S397" s="18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42"/>
      <c r="AH397" s="39"/>
      <c r="AI397" s="40"/>
      <c r="AJ397" s="40"/>
    </row>
    <row r="398" spans="1:36" x14ac:dyDescent="0.3">
      <c r="A398" s="63">
        <v>392</v>
      </c>
      <c r="B398" s="102" t="s">
        <v>3520</v>
      </c>
      <c r="C398" s="102" t="s">
        <v>3521</v>
      </c>
      <c r="D398" s="64" t="s">
        <v>119</v>
      </c>
      <c r="E398" s="72" t="s">
        <v>1203</v>
      </c>
      <c r="F398" s="72" t="s">
        <v>1212</v>
      </c>
      <c r="G398" s="72" t="s">
        <v>41</v>
      </c>
      <c r="H398" s="42"/>
      <c r="I398" s="42"/>
      <c r="J398" s="42"/>
      <c r="K398" s="72" t="s">
        <v>2306</v>
      </c>
      <c r="L398" s="72" t="s">
        <v>2307</v>
      </c>
      <c r="M398" s="72" t="s">
        <v>2308</v>
      </c>
      <c r="N398" s="67">
        <v>21.341819999999998</v>
      </c>
      <c r="O398" s="67">
        <v>92.120638999999997</v>
      </c>
      <c r="P398" s="88">
        <v>800</v>
      </c>
      <c r="Q398" s="104"/>
      <c r="R398" s="18"/>
      <c r="S398" s="18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42"/>
      <c r="AH398" s="39"/>
      <c r="AI398" s="40"/>
      <c r="AJ398" s="40"/>
    </row>
    <row r="399" spans="1:36" x14ac:dyDescent="0.3">
      <c r="A399" s="63">
        <v>393</v>
      </c>
      <c r="B399" s="102" t="s">
        <v>3520</v>
      </c>
      <c r="C399" s="102" t="s">
        <v>3521</v>
      </c>
      <c r="D399" s="64" t="s">
        <v>119</v>
      </c>
      <c r="E399" s="72" t="s">
        <v>1203</v>
      </c>
      <c r="F399" s="72" t="s">
        <v>1212</v>
      </c>
      <c r="G399" s="72" t="s">
        <v>41</v>
      </c>
      <c r="H399" s="42"/>
      <c r="I399" s="42"/>
      <c r="J399" s="42"/>
      <c r="K399" s="72" t="s">
        <v>2309</v>
      </c>
      <c r="L399" s="72" t="s">
        <v>2310</v>
      </c>
      <c r="M399" s="72" t="s">
        <v>2311</v>
      </c>
      <c r="N399" s="67">
        <v>21.344535</v>
      </c>
      <c r="O399" s="67">
        <v>92.125711999999993</v>
      </c>
      <c r="P399" s="88">
        <v>900</v>
      </c>
      <c r="Q399" s="104"/>
      <c r="R399" s="18"/>
      <c r="S399" s="18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42"/>
      <c r="AH399" s="39"/>
      <c r="AI399" s="40"/>
      <c r="AJ399" s="40"/>
    </row>
    <row r="400" spans="1:36" x14ac:dyDescent="0.3">
      <c r="A400" s="63">
        <v>394</v>
      </c>
      <c r="B400" s="102" t="s">
        <v>3520</v>
      </c>
      <c r="C400" s="102" t="s">
        <v>3521</v>
      </c>
      <c r="D400" s="64" t="s">
        <v>119</v>
      </c>
      <c r="E400" s="72" t="s">
        <v>1203</v>
      </c>
      <c r="F400" s="72" t="s">
        <v>1212</v>
      </c>
      <c r="G400" s="72" t="s">
        <v>41</v>
      </c>
      <c r="H400" s="42"/>
      <c r="I400" s="42"/>
      <c r="J400" s="42"/>
      <c r="K400" s="72" t="s">
        <v>2312</v>
      </c>
      <c r="L400" s="72" t="s">
        <v>2313</v>
      </c>
      <c r="M400" s="72" t="s">
        <v>2314</v>
      </c>
      <c r="N400" s="67">
        <v>21.345699</v>
      </c>
      <c r="O400" s="67">
        <v>92.130537000000004</v>
      </c>
      <c r="P400" s="88">
        <v>500</v>
      </c>
      <c r="Q400" s="104"/>
      <c r="R400" s="18"/>
      <c r="S400" s="18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42"/>
      <c r="AH400" s="39"/>
      <c r="AI400" s="40"/>
      <c r="AJ400" s="40"/>
    </row>
    <row r="401" spans="1:36" x14ac:dyDescent="0.3">
      <c r="A401" s="63">
        <v>395</v>
      </c>
      <c r="B401" s="102" t="s">
        <v>3520</v>
      </c>
      <c r="C401" s="102" t="s">
        <v>3521</v>
      </c>
      <c r="D401" s="64" t="s">
        <v>119</v>
      </c>
      <c r="E401" s="72" t="s">
        <v>1203</v>
      </c>
      <c r="F401" s="72" t="s">
        <v>1212</v>
      </c>
      <c r="G401" s="72" t="s">
        <v>41</v>
      </c>
      <c r="H401" s="42"/>
      <c r="I401" s="42"/>
      <c r="J401" s="42"/>
      <c r="K401" s="72" t="s">
        <v>2315</v>
      </c>
      <c r="L401" s="72" t="s">
        <v>2316</v>
      </c>
      <c r="M401" s="72" t="s">
        <v>2317</v>
      </c>
      <c r="N401" s="67">
        <v>21.349125000000001</v>
      </c>
      <c r="O401" s="67">
        <v>92.111079000000004</v>
      </c>
      <c r="P401" s="88">
        <v>600</v>
      </c>
      <c r="Q401" s="104"/>
      <c r="R401" s="18"/>
      <c r="S401" s="18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42"/>
      <c r="AH401" s="39"/>
      <c r="AI401" s="40"/>
      <c r="AJ401" s="40"/>
    </row>
    <row r="402" spans="1:36" x14ac:dyDescent="0.3">
      <c r="A402" s="63">
        <v>396</v>
      </c>
      <c r="B402" s="102" t="s">
        <v>3520</v>
      </c>
      <c r="C402" s="102" t="s">
        <v>3521</v>
      </c>
      <c r="D402" s="64" t="s">
        <v>119</v>
      </c>
      <c r="E402" s="72" t="s">
        <v>1203</v>
      </c>
      <c r="F402" s="72" t="s">
        <v>1212</v>
      </c>
      <c r="G402" s="72" t="s">
        <v>41</v>
      </c>
      <c r="H402" s="42"/>
      <c r="I402" s="42"/>
      <c r="J402" s="42"/>
      <c r="K402" s="72" t="s">
        <v>2318</v>
      </c>
      <c r="L402" s="72" t="s">
        <v>2319</v>
      </c>
      <c r="M402" s="72" t="s">
        <v>2320</v>
      </c>
      <c r="N402" s="67">
        <v>21.35162</v>
      </c>
      <c r="O402" s="67">
        <v>92.122901999999996</v>
      </c>
      <c r="P402" s="88">
        <v>600</v>
      </c>
      <c r="Q402" s="104"/>
      <c r="R402" s="18"/>
      <c r="S402" s="18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42"/>
      <c r="AH402" s="39"/>
      <c r="AI402" s="40"/>
      <c r="AJ402" s="40"/>
    </row>
    <row r="403" spans="1:36" x14ac:dyDescent="0.3">
      <c r="A403" s="63">
        <v>397</v>
      </c>
      <c r="B403" s="102" t="s">
        <v>3520</v>
      </c>
      <c r="C403" s="102" t="s">
        <v>3521</v>
      </c>
      <c r="D403" s="64" t="s">
        <v>119</v>
      </c>
      <c r="E403" s="72" t="s">
        <v>1203</v>
      </c>
      <c r="F403" s="72" t="s">
        <v>1212</v>
      </c>
      <c r="G403" s="72" t="s">
        <v>41</v>
      </c>
      <c r="H403" s="42"/>
      <c r="I403" s="42"/>
      <c r="J403" s="42"/>
      <c r="K403" s="86" t="s">
        <v>2321</v>
      </c>
      <c r="L403" s="72" t="s">
        <v>2322</v>
      </c>
      <c r="M403" s="72" t="s">
        <v>2323</v>
      </c>
      <c r="N403" s="67">
        <v>21.357962000000001</v>
      </c>
      <c r="O403" s="67">
        <v>92.111694999999997</v>
      </c>
      <c r="P403" s="88">
        <v>500</v>
      </c>
      <c r="Q403" s="104"/>
      <c r="R403" s="18"/>
      <c r="S403" s="18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42"/>
      <c r="AH403" s="39"/>
      <c r="AI403" s="40"/>
      <c r="AJ403" s="40"/>
    </row>
    <row r="404" spans="1:36" x14ac:dyDescent="0.3">
      <c r="A404" s="63">
        <v>398</v>
      </c>
      <c r="B404" s="102" t="s">
        <v>3520</v>
      </c>
      <c r="C404" s="102" t="s">
        <v>3521</v>
      </c>
      <c r="D404" s="64" t="s">
        <v>119</v>
      </c>
      <c r="E404" s="72" t="s">
        <v>1203</v>
      </c>
      <c r="F404" s="72" t="s">
        <v>1212</v>
      </c>
      <c r="G404" s="72" t="s">
        <v>41</v>
      </c>
      <c r="H404" s="42"/>
      <c r="I404" s="42"/>
      <c r="J404" s="42"/>
      <c r="K404" s="87" t="s">
        <v>2324</v>
      </c>
      <c r="L404" s="72" t="s">
        <v>2325</v>
      </c>
      <c r="M404" s="72" t="s">
        <v>2326</v>
      </c>
      <c r="N404" s="67">
        <v>21.359687999999998</v>
      </c>
      <c r="O404" s="67">
        <v>92.122771999999998</v>
      </c>
      <c r="P404" s="88">
        <v>400</v>
      </c>
      <c r="Q404" s="104"/>
      <c r="R404" s="18"/>
      <c r="S404" s="18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42"/>
      <c r="AH404" s="39"/>
      <c r="AI404" s="40"/>
      <c r="AJ404" s="40"/>
    </row>
    <row r="405" spans="1:36" x14ac:dyDescent="0.3">
      <c r="A405" s="63">
        <v>399</v>
      </c>
      <c r="B405" s="102" t="s">
        <v>3520</v>
      </c>
      <c r="C405" s="102" t="s">
        <v>3521</v>
      </c>
      <c r="D405" s="64" t="s">
        <v>119</v>
      </c>
      <c r="E405" s="72" t="s">
        <v>1203</v>
      </c>
      <c r="F405" s="72" t="s">
        <v>1212</v>
      </c>
      <c r="G405" s="72" t="s">
        <v>41</v>
      </c>
      <c r="H405" s="42"/>
      <c r="I405" s="42"/>
      <c r="J405" s="42"/>
      <c r="K405" s="72" t="s">
        <v>2327</v>
      </c>
      <c r="L405" s="72" t="s">
        <v>2328</v>
      </c>
      <c r="M405" s="72" t="s">
        <v>2329</v>
      </c>
      <c r="N405" s="67">
        <v>21.354659000000002</v>
      </c>
      <c r="O405" s="67">
        <v>92.116287</v>
      </c>
      <c r="P405" s="88">
        <v>1000</v>
      </c>
      <c r="Q405" s="104"/>
      <c r="R405" s="18"/>
      <c r="S405" s="18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42"/>
      <c r="AH405" s="39"/>
      <c r="AI405" s="40"/>
      <c r="AJ405" s="40"/>
    </row>
    <row r="406" spans="1:36" x14ac:dyDescent="0.3">
      <c r="A406" s="63">
        <v>400</v>
      </c>
      <c r="B406" s="102" t="s">
        <v>3520</v>
      </c>
      <c r="C406" s="102" t="s">
        <v>3521</v>
      </c>
      <c r="D406" s="64" t="s">
        <v>119</v>
      </c>
      <c r="E406" s="72" t="s">
        <v>1203</v>
      </c>
      <c r="F406" s="72" t="s">
        <v>1212</v>
      </c>
      <c r="G406" s="72" t="s">
        <v>42</v>
      </c>
      <c r="H406" s="42"/>
      <c r="I406" s="42"/>
      <c r="J406" s="42"/>
      <c r="K406" s="86" t="s">
        <v>2330</v>
      </c>
      <c r="L406" s="72" t="s">
        <v>2331</v>
      </c>
      <c r="M406" s="72" t="s">
        <v>2332</v>
      </c>
      <c r="N406" s="67">
        <v>21.364664999999999</v>
      </c>
      <c r="O406" s="67">
        <v>92.080383999999995</v>
      </c>
      <c r="P406" s="88">
        <v>1200</v>
      </c>
      <c r="Q406" s="104"/>
      <c r="R406" s="18"/>
      <c r="S406" s="18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42"/>
      <c r="AH406" s="39"/>
      <c r="AI406" s="40"/>
      <c r="AJ406" s="40"/>
    </row>
    <row r="407" spans="1:36" x14ac:dyDescent="0.3">
      <c r="A407" s="63">
        <v>401</v>
      </c>
      <c r="B407" s="102" t="s">
        <v>3520</v>
      </c>
      <c r="C407" s="102" t="s">
        <v>3521</v>
      </c>
      <c r="D407" s="64" t="s">
        <v>119</v>
      </c>
      <c r="E407" s="72" t="s">
        <v>1203</v>
      </c>
      <c r="F407" s="72" t="s">
        <v>1212</v>
      </c>
      <c r="G407" s="72" t="s">
        <v>42</v>
      </c>
      <c r="H407" s="42"/>
      <c r="I407" s="42"/>
      <c r="J407" s="42"/>
      <c r="K407" s="86" t="s">
        <v>2333</v>
      </c>
      <c r="L407" s="72" t="s">
        <v>2334</v>
      </c>
      <c r="M407" s="72" t="s">
        <v>2335</v>
      </c>
      <c r="N407" s="67">
        <v>21.367391999999999</v>
      </c>
      <c r="O407" s="67">
        <v>92.092706000000007</v>
      </c>
      <c r="P407" s="88">
        <v>2500</v>
      </c>
      <c r="Q407" s="104"/>
      <c r="R407" s="18"/>
      <c r="S407" s="18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42"/>
      <c r="AH407" s="39"/>
      <c r="AI407" s="40"/>
      <c r="AJ407" s="40"/>
    </row>
    <row r="408" spans="1:36" x14ac:dyDescent="0.3">
      <c r="A408" s="63">
        <v>402</v>
      </c>
      <c r="B408" s="102" t="s">
        <v>3520</v>
      </c>
      <c r="C408" s="102" t="s">
        <v>3521</v>
      </c>
      <c r="D408" s="64" t="s">
        <v>119</v>
      </c>
      <c r="E408" s="72" t="s">
        <v>1203</v>
      </c>
      <c r="F408" s="72" t="s">
        <v>1212</v>
      </c>
      <c r="G408" s="72" t="s">
        <v>42</v>
      </c>
      <c r="H408" s="42"/>
      <c r="I408" s="42"/>
      <c r="J408" s="42"/>
      <c r="K408" s="86" t="s">
        <v>2336</v>
      </c>
      <c r="L408" s="72" t="s">
        <v>2337</v>
      </c>
      <c r="M408" s="72" t="s">
        <v>2338</v>
      </c>
      <c r="N408" s="67">
        <v>21.3659</v>
      </c>
      <c r="O408" s="67">
        <v>92.111187000000001</v>
      </c>
      <c r="P408" s="88">
        <v>800</v>
      </c>
      <c r="Q408" s="104"/>
      <c r="R408" s="18"/>
      <c r="S408" s="18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42"/>
      <c r="AH408" s="39"/>
      <c r="AI408" s="40"/>
      <c r="AJ408" s="40"/>
    </row>
    <row r="409" spans="1:36" x14ac:dyDescent="0.3">
      <c r="A409" s="63">
        <v>403</v>
      </c>
      <c r="B409" s="102" t="s">
        <v>3520</v>
      </c>
      <c r="C409" s="102" t="s">
        <v>3521</v>
      </c>
      <c r="D409" s="64" t="s">
        <v>119</v>
      </c>
      <c r="E409" s="72" t="s">
        <v>1203</v>
      </c>
      <c r="F409" s="72" t="s">
        <v>1212</v>
      </c>
      <c r="G409" s="72" t="s">
        <v>42</v>
      </c>
      <c r="H409" s="42"/>
      <c r="I409" s="42"/>
      <c r="J409" s="42"/>
      <c r="K409" s="86" t="s">
        <v>2339</v>
      </c>
      <c r="L409" s="72" t="s">
        <v>2340</v>
      </c>
      <c r="M409" s="72" t="s">
        <v>2341</v>
      </c>
      <c r="N409" s="67">
        <v>21.359802999999999</v>
      </c>
      <c r="O409" s="67">
        <v>92.085927999999996</v>
      </c>
      <c r="P409" s="88">
        <v>500</v>
      </c>
      <c r="Q409" s="104"/>
      <c r="R409" s="18"/>
      <c r="S409" s="18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42"/>
      <c r="AH409" s="39"/>
      <c r="AI409" s="40"/>
      <c r="AJ409" s="40"/>
    </row>
    <row r="410" spans="1:36" x14ac:dyDescent="0.3">
      <c r="A410" s="63">
        <v>404</v>
      </c>
      <c r="B410" s="102" t="s">
        <v>3520</v>
      </c>
      <c r="C410" s="102" t="s">
        <v>3521</v>
      </c>
      <c r="D410" s="64" t="s">
        <v>119</v>
      </c>
      <c r="E410" s="72" t="s">
        <v>1203</v>
      </c>
      <c r="F410" s="72" t="s">
        <v>1212</v>
      </c>
      <c r="G410" s="72" t="s">
        <v>42</v>
      </c>
      <c r="H410" s="42"/>
      <c r="I410" s="42"/>
      <c r="J410" s="42"/>
      <c r="K410" s="72" t="s">
        <v>2342</v>
      </c>
      <c r="L410" s="72" t="s">
        <v>2343</v>
      </c>
      <c r="M410" s="72" t="s">
        <v>2344</v>
      </c>
      <c r="N410" s="67">
        <v>21.359748</v>
      </c>
      <c r="O410" s="67">
        <v>92.097741999999997</v>
      </c>
      <c r="P410" s="88">
        <v>1000</v>
      </c>
      <c r="Q410" s="104"/>
      <c r="R410" s="18"/>
      <c r="S410" s="18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42"/>
      <c r="AH410" s="39"/>
      <c r="AI410" s="40"/>
      <c r="AJ410" s="40"/>
    </row>
    <row r="411" spans="1:36" x14ac:dyDescent="0.3">
      <c r="A411" s="63">
        <v>405</v>
      </c>
      <c r="B411" s="102" t="s">
        <v>3520</v>
      </c>
      <c r="C411" s="102" t="s">
        <v>3521</v>
      </c>
      <c r="D411" s="64" t="s">
        <v>119</v>
      </c>
      <c r="E411" s="72" t="s">
        <v>1203</v>
      </c>
      <c r="F411" s="72" t="s">
        <v>1212</v>
      </c>
      <c r="G411" s="72" t="s">
        <v>42</v>
      </c>
      <c r="H411" s="42"/>
      <c r="I411" s="42"/>
      <c r="J411" s="42"/>
      <c r="K411" s="72" t="s">
        <v>2345</v>
      </c>
      <c r="L411" s="72" t="s">
        <v>2346</v>
      </c>
      <c r="M411" s="72" t="s">
        <v>2347</v>
      </c>
      <c r="N411" s="67">
        <v>21.349723999999998</v>
      </c>
      <c r="O411" s="67">
        <v>92.088210000000004</v>
      </c>
      <c r="P411" s="88">
        <v>500</v>
      </c>
      <c r="Q411" s="104"/>
      <c r="R411" s="18"/>
      <c r="S411" s="18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42"/>
      <c r="AH411" s="39"/>
      <c r="AI411" s="40"/>
      <c r="AJ411" s="40"/>
    </row>
    <row r="412" spans="1:36" x14ac:dyDescent="0.3">
      <c r="A412" s="63">
        <v>406</v>
      </c>
      <c r="B412" s="102" t="s">
        <v>3520</v>
      </c>
      <c r="C412" s="102" t="s">
        <v>3521</v>
      </c>
      <c r="D412" s="64" t="s">
        <v>119</v>
      </c>
      <c r="E412" s="72" t="s">
        <v>1203</v>
      </c>
      <c r="F412" s="72" t="s">
        <v>1212</v>
      </c>
      <c r="G412" s="72" t="s">
        <v>42</v>
      </c>
      <c r="H412" s="42"/>
      <c r="I412" s="42"/>
      <c r="J412" s="42"/>
      <c r="K412" s="72" t="s">
        <v>2348</v>
      </c>
      <c r="L412" s="72" t="s">
        <v>2349</v>
      </c>
      <c r="M412" s="72" t="s">
        <v>2350</v>
      </c>
      <c r="N412" s="67">
        <v>21.34038</v>
      </c>
      <c r="O412" s="67">
        <v>92.097678000000002</v>
      </c>
      <c r="P412" s="88">
        <v>1500</v>
      </c>
      <c r="Q412" s="104"/>
      <c r="R412" s="18"/>
      <c r="S412" s="18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42"/>
      <c r="AH412" s="39"/>
      <c r="AI412" s="40"/>
      <c r="AJ412" s="40"/>
    </row>
    <row r="413" spans="1:36" x14ac:dyDescent="0.3">
      <c r="A413" s="63">
        <v>407</v>
      </c>
      <c r="B413" s="102" t="s">
        <v>3520</v>
      </c>
      <c r="C413" s="102" t="s">
        <v>3521</v>
      </c>
      <c r="D413" s="64" t="s">
        <v>119</v>
      </c>
      <c r="E413" s="72" t="s">
        <v>1203</v>
      </c>
      <c r="F413" s="72" t="s">
        <v>1212</v>
      </c>
      <c r="G413" s="72" t="s">
        <v>42</v>
      </c>
      <c r="H413" s="42"/>
      <c r="I413" s="42"/>
      <c r="J413" s="42"/>
      <c r="K413" s="86" t="s">
        <v>2351</v>
      </c>
      <c r="L413" s="72" t="s">
        <v>2352</v>
      </c>
      <c r="M413" s="72" t="s">
        <v>2353</v>
      </c>
      <c r="N413" s="67">
        <v>21.354571</v>
      </c>
      <c r="O413" s="67">
        <v>92.104348999999999</v>
      </c>
      <c r="P413" s="88">
        <v>600</v>
      </c>
      <c r="Q413" s="104"/>
      <c r="R413" s="18"/>
      <c r="S413" s="18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42"/>
      <c r="AH413" s="39"/>
      <c r="AI413" s="40"/>
      <c r="AJ413" s="40"/>
    </row>
    <row r="414" spans="1:36" x14ac:dyDescent="0.3">
      <c r="A414" s="63">
        <v>408</v>
      </c>
      <c r="B414" s="102" t="s">
        <v>3520</v>
      </c>
      <c r="C414" s="102" t="s">
        <v>3521</v>
      </c>
      <c r="D414" s="64" t="s">
        <v>119</v>
      </c>
      <c r="E414" s="72" t="s">
        <v>1203</v>
      </c>
      <c r="F414" s="72" t="s">
        <v>1212</v>
      </c>
      <c r="G414" s="72" t="s">
        <v>42</v>
      </c>
      <c r="H414" s="90"/>
      <c r="I414" s="90"/>
      <c r="J414" s="90"/>
      <c r="K414" s="91" t="s">
        <v>96</v>
      </c>
      <c r="L414" s="91" t="s">
        <v>2354</v>
      </c>
      <c r="M414" s="91" t="s">
        <v>2355</v>
      </c>
      <c r="N414" s="92">
        <v>21.366683999999999</v>
      </c>
      <c r="O414" s="92">
        <v>92.081479999999999</v>
      </c>
      <c r="P414" s="93">
        <v>22</v>
      </c>
      <c r="Q414" s="104"/>
      <c r="R414" s="94"/>
      <c r="S414" s="94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  <c r="AE414" s="95"/>
      <c r="AF414" s="95"/>
      <c r="AG414" s="90"/>
      <c r="AH414" s="96"/>
      <c r="AI414" s="97"/>
      <c r="AJ414" s="97"/>
    </row>
    <row r="415" spans="1:36" x14ac:dyDescent="0.3">
      <c r="A415" s="63">
        <v>409</v>
      </c>
      <c r="B415" s="102" t="s">
        <v>3520</v>
      </c>
      <c r="C415" s="102" t="s">
        <v>3521</v>
      </c>
      <c r="D415" s="64" t="s">
        <v>119</v>
      </c>
      <c r="E415" s="72" t="s">
        <v>1203</v>
      </c>
      <c r="F415" s="72" t="s">
        <v>1212</v>
      </c>
      <c r="G415" s="89" t="s">
        <v>43</v>
      </c>
      <c r="H415" s="42"/>
      <c r="I415" s="42"/>
      <c r="J415" s="42"/>
      <c r="K415" s="68" t="s">
        <v>2356</v>
      </c>
      <c r="L415" s="68" t="s">
        <v>2357</v>
      </c>
      <c r="M415" s="68" t="s">
        <v>2358</v>
      </c>
      <c r="N415" s="67">
        <v>21.359171</v>
      </c>
      <c r="O415" s="67">
        <v>92.076122999999995</v>
      </c>
      <c r="P415" s="74">
        <v>800</v>
      </c>
      <c r="Q415" s="74"/>
      <c r="R415" s="18"/>
      <c r="S415" s="18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42"/>
      <c r="AH415" s="39"/>
      <c r="AI415" s="40"/>
      <c r="AJ415" s="40"/>
    </row>
    <row r="416" spans="1:36" x14ac:dyDescent="0.3">
      <c r="A416" s="63">
        <v>410</v>
      </c>
      <c r="B416" s="102" t="s">
        <v>3520</v>
      </c>
      <c r="C416" s="102" t="s">
        <v>3521</v>
      </c>
      <c r="D416" s="64" t="s">
        <v>119</v>
      </c>
      <c r="E416" s="72" t="s">
        <v>1203</v>
      </c>
      <c r="F416" s="72" t="s">
        <v>1212</v>
      </c>
      <c r="G416" s="89" t="s">
        <v>43</v>
      </c>
      <c r="H416" s="38"/>
      <c r="I416" s="38"/>
      <c r="J416" s="38"/>
      <c r="K416" s="68" t="s">
        <v>2359</v>
      </c>
      <c r="L416" s="68" t="s">
        <v>2360</v>
      </c>
      <c r="M416" s="68" t="s">
        <v>2361</v>
      </c>
      <c r="N416" s="67">
        <v>21.355321</v>
      </c>
      <c r="O416" s="67">
        <v>92.074162000000001</v>
      </c>
      <c r="P416" s="74">
        <v>800</v>
      </c>
      <c r="Q416" s="74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  <c r="AG416" s="54"/>
      <c r="AH416" s="54"/>
      <c r="AI416" s="54"/>
      <c r="AJ416" s="54"/>
    </row>
    <row r="417" spans="1:36" x14ac:dyDescent="0.3">
      <c r="A417" s="63">
        <v>411</v>
      </c>
      <c r="B417" s="102" t="s">
        <v>3520</v>
      </c>
      <c r="C417" s="102" t="s">
        <v>3521</v>
      </c>
      <c r="D417" s="64" t="s">
        <v>119</v>
      </c>
      <c r="E417" s="72" t="s">
        <v>1203</v>
      </c>
      <c r="F417" s="72" t="s">
        <v>1212</v>
      </c>
      <c r="G417" s="89" t="s">
        <v>43</v>
      </c>
      <c r="H417" s="38"/>
      <c r="I417" s="38"/>
      <c r="J417" s="38"/>
      <c r="K417" s="68" t="s">
        <v>2362</v>
      </c>
      <c r="L417" s="68" t="s">
        <v>2363</v>
      </c>
      <c r="M417" s="68" t="s">
        <v>2364</v>
      </c>
      <c r="N417" s="67">
        <v>21.349806999999998</v>
      </c>
      <c r="O417" s="67">
        <v>92.079374999999999</v>
      </c>
      <c r="P417" s="74">
        <v>1000</v>
      </c>
      <c r="Q417" s="74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  <c r="AI417" s="38"/>
      <c r="AJ417" s="38"/>
    </row>
    <row r="418" spans="1:36" x14ac:dyDescent="0.3">
      <c r="A418" s="63">
        <v>412</v>
      </c>
      <c r="B418" s="102" t="s">
        <v>3520</v>
      </c>
      <c r="C418" s="102" t="s">
        <v>3521</v>
      </c>
      <c r="D418" s="64" t="s">
        <v>119</v>
      </c>
      <c r="E418" s="72" t="s">
        <v>1203</v>
      </c>
      <c r="F418" s="72" t="s">
        <v>1212</v>
      </c>
      <c r="G418" s="89" t="s">
        <v>43</v>
      </c>
      <c r="H418" s="38"/>
      <c r="I418" s="38"/>
      <c r="J418" s="38"/>
      <c r="K418" s="68" t="s">
        <v>2365</v>
      </c>
      <c r="L418" s="68" t="s">
        <v>2366</v>
      </c>
      <c r="M418" s="68" t="s">
        <v>2367</v>
      </c>
      <c r="N418" s="67">
        <v>21.344473000000001</v>
      </c>
      <c r="O418" s="67">
        <v>92.076851000000005</v>
      </c>
      <c r="P418" s="74">
        <v>1100</v>
      </c>
      <c r="Q418" s="74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</row>
    <row r="419" spans="1:36" x14ac:dyDescent="0.3">
      <c r="A419" s="63">
        <v>413</v>
      </c>
      <c r="B419" s="102" t="s">
        <v>3520</v>
      </c>
      <c r="C419" s="102" t="s">
        <v>3521</v>
      </c>
      <c r="D419" s="64" t="s">
        <v>119</v>
      </c>
      <c r="E419" s="72" t="s">
        <v>1203</v>
      </c>
      <c r="F419" s="72" t="s">
        <v>1212</v>
      </c>
      <c r="G419" s="89" t="s">
        <v>43</v>
      </c>
      <c r="H419" s="38"/>
      <c r="I419" s="38"/>
      <c r="J419" s="38"/>
      <c r="K419" s="68" t="s">
        <v>2368</v>
      </c>
      <c r="L419" s="68" t="s">
        <v>2369</v>
      </c>
      <c r="M419" s="68" t="s">
        <v>2370</v>
      </c>
      <c r="N419" s="67">
        <v>21.341061</v>
      </c>
      <c r="O419" s="67">
        <v>92.073240999999996</v>
      </c>
      <c r="P419" s="74">
        <v>1000</v>
      </c>
      <c r="Q419" s="74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</row>
    <row r="420" spans="1:36" x14ac:dyDescent="0.3">
      <c r="A420" s="63">
        <v>414</v>
      </c>
      <c r="B420" s="102" t="s">
        <v>3520</v>
      </c>
      <c r="C420" s="102" t="s">
        <v>3521</v>
      </c>
      <c r="D420" s="64" t="s">
        <v>119</v>
      </c>
      <c r="E420" s="72" t="s">
        <v>1203</v>
      </c>
      <c r="F420" s="72" t="s">
        <v>1212</v>
      </c>
      <c r="G420" s="89" t="s">
        <v>43</v>
      </c>
      <c r="H420" s="38"/>
      <c r="I420" s="38"/>
      <c r="J420" s="38"/>
      <c r="K420" s="68" t="s">
        <v>2371</v>
      </c>
      <c r="L420" s="68" t="s">
        <v>2372</v>
      </c>
      <c r="M420" s="68" t="s">
        <v>2373</v>
      </c>
      <c r="N420" s="67">
        <v>21.337311</v>
      </c>
      <c r="O420" s="67">
        <v>92.072993999999994</v>
      </c>
      <c r="P420" s="74">
        <v>1400</v>
      </c>
      <c r="Q420" s="74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  <c r="AI420" s="38"/>
      <c r="AJ420" s="38"/>
    </row>
    <row r="421" spans="1:36" x14ac:dyDescent="0.3">
      <c r="A421" s="63">
        <v>415</v>
      </c>
      <c r="B421" s="102" t="s">
        <v>3520</v>
      </c>
      <c r="C421" s="102" t="s">
        <v>3521</v>
      </c>
      <c r="D421" s="64" t="s">
        <v>119</v>
      </c>
      <c r="E421" s="72" t="s">
        <v>1203</v>
      </c>
      <c r="F421" s="72" t="s">
        <v>1212</v>
      </c>
      <c r="G421" s="89" t="s">
        <v>43</v>
      </c>
      <c r="H421" s="38"/>
      <c r="I421" s="38"/>
      <c r="J421" s="38"/>
      <c r="K421" s="68" t="s">
        <v>2374</v>
      </c>
      <c r="L421" s="68" t="s">
        <v>2375</v>
      </c>
      <c r="M421" s="68" t="s">
        <v>2376</v>
      </c>
      <c r="N421" s="67">
        <v>21.332341</v>
      </c>
      <c r="O421" s="67">
        <v>92.077730000000003</v>
      </c>
      <c r="P421" s="74">
        <v>600</v>
      </c>
      <c r="Q421" s="74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  <c r="AE421" s="38"/>
      <c r="AF421" s="38"/>
      <c r="AG421" s="38"/>
      <c r="AH421" s="38"/>
      <c r="AI421" s="38"/>
      <c r="AJ421" s="38"/>
    </row>
    <row r="422" spans="1:36" x14ac:dyDescent="0.3">
      <c r="A422" s="63">
        <v>416</v>
      </c>
      <c r="B422" s="102" t="s">
        <v>3520</v>
      </c>
      <c r="C422" s="102" t="s">
        <v>3521</v>
      </c>
      <c r="D422" s="64" t="s">
        <v>119</v>
      </c>
      <c r="E422" s="72" t="s">
        <v>1203</v>
      </c>
      <c r="F422" s="72" t="s">
        <v>1212</v>
      </c>
      <c r="G422" s="89" t="s">
        <v>43</v>
      </c>
      <c r="H422" s="38"/>
      <c r="I422" s="38"/>
      <c r="J422" s="38"/>
      <c r="K422" s="68" t="s">
        <v>2377</v>
      </c>
      <c r="L422" s="68" t="s">
        <v>2378</v>
      </c>
      <c r="M422" s="68" t="s">
        <v>2379</v>
      </c>
      <c r="N422" s="67">
        <v>21.329115000000002</v>
      </c>
      <c r="O422" s="67">
        <v>92.073715000000007</v>
      </c>
      <c r="P422" s="74">
        <v>1000</v>
      </c>
      <c r="Q422" s="74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</row>
    <row r="423" spans="1:36" x14ac:dyDescent="0.3">
      <c r="A423" s="63">
        <v>417</v>
      </c>
      <c r="B423" s="102" t="s">
        <v>3520</v>
      </c>
      <c r="C423" s="102" t="s">
        <v>3521</v>
      </c>
      <c r="D423" s="64" t="s">
        <v>119</v>
      </c>
      <c r="E423" s="72" t="s">
        <v>1203</v>
      </c>
      <c r="F423" s="72" t="s">
        <v>1212</v>
      </c>
      <c r="G423" s="89" t="s">
        <v>43</v>
      </c>
      <c r="H423" s="38"/>
      <c r="I423" s="38"/>
      <c r="J423" s="38"/>
      <c r="K423" s="68" t="s">
        <v>112</v>
      </c>
      <c r="L423" s="68" t="s">
        <v>113</v>
      </c>
      <c r="M423" s="68" t="s">
        <v>2380</v>
      </c>
      <c r="N423" s="67">
        <v>21.333174</v>
      </c>
      <c r="O423" s="67">
        <v>92.075014999999993</v>
      </c>
      <c r="P423" s="74">
        <v>10</v>
      </c>
      <c r="Q423" s="74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</row>
    <row r="424" spans="1:36" x14ac:dyDescent="0.3">
      <c r="A424" s="63">
        <v>418</v>
      </c>
      <c r="B424" s="102" t="s">
        <v>3520</v>
      </c>
      <c r="C424" s="102" t="s">
        <v>3521</v>
      </c>
      <c r="D424" s="64" t="s">
        <v>119</v>
      </c>
      <c r="E424" s="72" t="s">
        <v>1203</v>
      </c>
      <c r="F424" s="72" t="s">
        <v>1212</v>
      </c>
      <c r="G424" s="89" t="s">
        <v>44</v>
      </c>
      <c r="H424" s="38"/>
      <c r="I424" s="38"/>
      <c r="J424" s="38"/>
      <c r="K424" s="68" t="s">
        <v>2381</v>
      </c>
      <c r="L424" s="68" t="s">
        <v>2382</v>
      </c>
      <c r="M424" s="68" t="s">
        <v>2383</v>
      </c>
      <c r="N424" s="67">
        <v>21.318536999999999</v>
      </c>
      <c r="O424" s="67">
        <v>92.095781000000002</v>
      </c>
      <c r="P424" s="74">
        <v>1800</v>
      </c>
      <c r="Q424" s="74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</row>
    <row r="425" spans="1:36" x14ac:dyDescent="0.3">
      <c r="A425" s="63">
        <v>419</v>
      </c>
      <c r="B425" s="102" t="s">
        <v>3520</v>
      </c>
      <c r="C425" s="102" t="s">
        <v>3521</v>
      </c>
      <c r="D425" s="64" t="s">
        <v>119</v>
      </c>
      <c r="E425" s="72" t="s">
        <v>1203</v>
      </c>
      <c r="F425" s="72" t="s">
        <v>1212</v>
      </c>
      <c r="G425" s="89" t="s">
        <v>44</v>
      </c>
      <c r="H425" s="38"/>
      <c r="I425" s="38"/>
      <c r="J425" s="38"/>
      <c r="K425" s="68" t="s">
        <v>2384</v>
      </c>
      <c r="L425" s="68" t="s">
        <v>2385</v>
      </c>
      <c r="M425" s="68" t="s">
        <v>2386</v>
      </c>
      <c r="N425" s="67">
        <v>21.316804999999999</v>
      </c>
      <c r="O425" s="67">
        <v>92.097752</v>
      </c>
      <c r="P425" s="74">
        <v>800</v>
      </c>
      <c r="Q425" s="74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  <c r="AI425" s="38"/>
      <c r="AJ425" s="38"/>
    </row>
    <row r="426" spans="1:36" x14ac:dyDescent="0.3">
      <c r="A426" s="63">
        <v>420</v>
      </c>
      <c r="B426" s="102" t="s">
        <v>3520</v>
      </c>
      <c r="C426" s="102" t="s">
        <v>3521</v>
      </c>
      <c r="D426" s="64" t="s">
        <v>119</v>
      </c>
      <c r="E426" s="72" t="s">
        <v>1203</v>
      </c>
      <c r="F426" s="72" t="s">
        <v>1212</v>
      </c>
      <c r="G426" s="89" t="s">
        <v>44</v>
      </c>
      <c r="H426" s="38"/>
      <c r="I426" s="38"/>
      <c r="J426" s="38"/>
      <c r="K426" s="68" t="s">
        <v>2387</v>
      </c>
      <c r="L426" s="68" t="s">
        <v>2388</v>
      </c>
      <c r="M426" s="68" t="s">
        <v>2389</v>
      </c>
      <c r="N426" s="67">
        <v>21.326674000000001</v>
      </c>
      <c r="O426" s="67">
        <v>92.098314000000002</v>
      </c>
      <c r="P426" s="74">
        <v>1500</v>
      </c>
      <c r="Q426" s="74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  <c r="AG426" s="38"/>
      <c r="AH426" s="38"/>
      <c r="AI426" s="38"/>
      <c r="AJ426" s="38"/>
    </row>
    <row r="427" spans="1:36" x14ac:dyDescent="0.3">
      <c r="A427" s="63">
        <v>421</v>
      </c>
      <c r="B427" s="102" t="s">
        <v>3520</v>
      </c>
      <c r="C427" s="102" t="s">
        <v>3521</v>
      </c>
      <c r="D427" s="64" t="s">
        <v>119</v>
      </c>
      <c r="E427" s="72" t="s">
        <v>1203</v>
      </c>
      <c r="F427" s="72" t="s">
        <v>1212</v>
      </c>
      <c r="G427" s="89" t="s">
        <v>44</v>
      </c>
      <c r="H427" s="38"/>
      <c r="I427" s="38"/>
      <c r="J427" s="38"/>
      <c r="K427" s="68" t="s">
        <v>2390</v>
      </c>
      <c r="L427" s="68" t="s">
        <v>2391</v>
      </c>
      <c r="M427" s="68" t="s">
        <v>2392</v>
      </c>
      <c r="N427" s="67">
        <v>21.326162</v>
      </c>
      <c r="O427" s="67">
        <v>92.102658000000005</v>
      </c>
      <c r="P427" s="74">
        <v>1200</v>
      </c>
      <c r="Q427" s="74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38"/>
      <c r="AJ427" s="38"/>
    </row>
    <row r="428" spans="1:36" x14ac:dyDescent="0.3">
      <c r="A428" s="63">
        <v>422</v>
      </c>
      <c r="B428" s="102" t="s">
        <v>3520</v>
      </c>
      <c r="C428" s="102" t="s">
        <v>3521</v>
      </c>
      <c r="D428" s="64" t="s">
        <v>119</v>
      </c>
      <c r="E428" s="72" t="s">
        <v>1203</v>
      </c>
      <c r="F428" s="72" t="s">
        <v>1212</v>
      </c>
      <c r="G428" s="89" t="s">
        <v>44</v>
      </c>
      <c r="H428" s="38"/>
      <c r="I428" s="38"/>
      <c r="J428" s="38"/>
      <c r="K428" s="68" t="s">
        <v>2393</v>
      </c>
      <c r="L428" s="68" t="s">
        <v>2394</v>
      </c>
      <c r="M428" s="68" t="s">
        <v>2395</v>
      </c>
      <c r="N428" s="67">
        <v>21.331060000000001</v>
      </c>
      <c r="O428" s="67">
        <v>92.111019999999996</v>
      </c>
      <c r="P428" s="74">
        <v>1200</v>
      </c>
      <c r="Q428" s="74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</row>
    <row r="429" spans="1:36" x14ac:dyDescent="0.3">
      <c r="A429" s="63">
        <v>423</v>
      </c>
      <c r="B429" s="102" t="s">
        <v>3520</v>
      </c>
      <c r="C429" s="102" t="s">
        <v>3521</v>
      </c>
      <c r="D429" s="64" t="s">
        <v>119</v>
      </c>
      <c r="E429" s="72" t="s">
        <v>1203</v>
      </c>
      <c r="F429" s="72" t="s">
        <v>1212</v>
      </c>
      <c r="G429" s="89" t="s">
        <v>44</v>
      </c>
      <c r="H429" s="38"/>
      <c r="I429" s="38"/>
      <c r="J429" s="38"/>
      <c r="K429" s="75" t="s">
        <v>2396</v>
      </c>
      <c r="L429" s="68" t="s">
        <v>2397</v>
      </c>
      <c r="M429" s="68" t="s">
        <v>2398</v>
      </c>
      <c r="N429" s="67">
        <v>21.322179999999999</v>
      </c>
      <c r="O429" s="67">
        <v>92.101780000000005</v>
      </c>
      <c r="P429" s="74">
        <v>1100</v>
      </c>
      <c r="Q429" s="74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  <c r="AI429" s="38"/>
      <c r="AJ429" s="38"/>
    </row>
    <row r="430" spans="1:36" x14ac:dyDescent="0.3">
      <c r="A430" s="63">
        <v>424</v>
      </c>
      <c r="B430" s="102" t="s">
        <v>3520</v>
      </c>
      <c r="C430" s="102" t="s">
        <v>3521</v>
      </c>
      <c r="D430" s="64" t="s">
        <v>119</v>
      </c>
      <c r="E430" s="72" t="s">
        <v>1203</v>
      </c>
      <c r="F430" s="72" t="s">
        <v>1212</v>
      </c>
      <c r="G430" s="89" t="s">
        <v>45</v>
      </c>
      <c r="H430" s="38"/>
      <c r="I430" s="38"/>
      <c r="J430" s="38"/>
      <c r="K430" s="75" t="s">
        <v>2399</v>
      </c>
      <c r="L430" s="68" t="s">
        <v>2400</v>
      </c>
      <c r="M430" s="68" t="s">
        <v>2401</v>
      </c>
      <c r="N430" s="67">
        <v>21.337503999999999</v>
      </c>
      <c r="O430" s="67">
        <v>92.083110000000005</v>
      </c>
      <c r="P430" s="74">
        <v>1200</v>
      </c>
      <c r="Q430" s="74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</row>
    <row r="431" spans="1:36" x14ac:dyDescent="0.3">
      <c r="A431" s="63">
        <v>425</v>
      </c>
      <c r="B431" s="102" t="s">
        <v>3520</v>
      </c>
      <c r="C431" s="102" t="s">
        <v>3521</v>
      </c>
      <c r="D431" s="64" t="s">
        <v>119</v>
      </c>
      <c r="E431" s="72" t="s">
        <v>1203</v>
      </c>
      <c r="F431" s="72" t="s">
        <v>1212</v>
      </c>
      <c r="G431" s="89" t="s">
        <v>45</v>
      </c>
      <c r="H431" s="38"/>
      <c r="I431" s="38"/>
      <c r="J431" s="38"/>
      <c r="K431" s="75" t="s">
        <v>2402</v>
      </c>
      <c r="L431" s="68" t="s">
        <v>2403</v>
      </c>
      <c r="M431" s="68" t="s">
        <v>2404</v>
      </c>
      <c r="N431" s="67">
        <v>21.330096999999999</v>
      </c>
      <c r="O431" s="67">
        <v>92.084239999999994</v>
      </c>
      <c r="P431" s="74">
        <v>2200</v>
      </c>
      <c r="Q431" s="74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</row>
    <row r="432" spans="1:36" x14ac:dyDescent="0.3">
      <c r="A432" s="63">
        <v>426</v>
      </c>
      <c r="B432" s="102" t="s">
        <v>3520</v>
      </c>
      <c r="C432" s="102" t="s">
        <v>3521</v>
      </c>
      <c r="D432" s="64" t="s">
        <v>119</v>
      </c>
      <c r="E432" s="72" t="s">
        <v>1203</v>
      </c>
      <c r="F432" s="72" t="s">
        <v>1212</v>
      </c>
      <c r="G432" s="89" t="s">
        <v>45</v>
      </c>
      <c r="H432" s="38"/>
      <c r="I432" s="38"/>
      <c r="J432" s="38"/>
      <c r="K432" s="69" t="s">
        <v>2405</v>
      </c>
      <c r="L432" s="68" t="s">
        <v>2406</v>
      </c>
      <c r="M432" s="68" t="s">
        <v>2407</v>
      </c>
      <c r="N432" s="67">
        <v>21.324784999999999</v>
      </c>
      <c r="O432" s="67">
        <v>92.089331999999999</v>
      </c>
      <c r="P432" s="74">
        <v>1500</v>
      </c>
      <c r="Q432" s="74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  <c r="AI432" s="38"/>
      <c r="AJ432" s="38"/>
    </row>
    <row r="433" spans="1:36" x14ac:dyDescent="0.3">
      <c r="A433" s="63">
        <v>427</v>
      </c>
      <c r="B433" s="102" t="s">
        <v>3520</v>
      </c>
      <c r="C433" s="102" t="s">
        <v>3521</v>
      </c>
      <c r="D433" s="64" t="s">
        <v>119</v>
      </c>
      <c r="E433" s="72" t="s">
        <v>1203</v>
      </c>
      <c r="F433" s="72" t="s">
        <v>1212</v>
      </c>
      <c r="G433" s="89" t="s">
        <v>45</v>
      </c>
      <c r="H433" s="38"/>
      <c r="I433" s="38"/>
      <c r="J433" s="38"/>
      <c r="K433" s="68" t="s">
        <v>2408</v>
      </c>
      <c r="L433" s="68" t="s">
        <v>2409</v>
      </c>
      <c r="M433" s="68" t="s">
        <v>2410</v>
      </c>
      <c r="N433" s="67">
        <v>21.317743</v>
      </c>
      <c r="O433" s="67">
        <v>92.088177000000002</v>
      </c>
      <c r="P433" s="74">
        <v>600</v>
      </c>
      <c r="Q433" s="74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</row>
    <row r="434" spans="1:36" x14ac:dyDescent="0.3">
      <c r="A434" s="63">
        <v>428</v>
      </c>
      <c r="B434" s="102" t="s">
        <v>3520</v>
      </c>
      <c r="C434" s="102" t="s">
        <v>3521</v>
      </c>
      <c r="D434" s="64" t="s">
        <v>119</v>
      </c>
      <c r="E434" s="72" t="s">
        <v>1203</v>
      </c>
      <c r="F434" s="72" t="s">
        <v>1212</v>
      </c>
      <c r="G434" s="89" t="s">
        <v>45</v>
      </c>
      <c r="H434" s="38"/>
      <c r="I434" s="38"/>
      <c r="J434" s="38"/>
      <c r="K434" s="68" t="s">
        <v>2411</v>
      </c>
      <c r="L434" s="68" t="s">
        <v>2412</v>
      </c>
      <c r="M434" s="68" t="s">
        <v>2413</v>
      </c>
      <c r="N434" s="67">
        <v>21.313005</v>
      </c>
      <c r="O434" s="67">
        <v>92.092107999999996</v>
      </c>
      <c r="P434" s="74">
        <v>2000</v>
      </c>
      <c r="Q434" s="74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</row>
    <row r="435" spans="1:36" x14ac:dyDescent="0.3">
      <c r="A435" s="63">
        <v>429</v>
      </c>
      <c r="B435" s="102" t="s">
        <v>3520</v>
      </c>
      <c r="C435" s="102" t="s">
        <v>3521</v>
      </c>
      <c r="D435" s="64" t="s">
        <v>119</v>
      </c>
      <c r="E435" s="72" t="s">
        <v>1203</v>
      </c>
      <c r="F435" s="72" t="s">
        <v>1212</v>
      </c>
      <c r="G435" s="89" t="s">
        <v>45</v>
      </c>
      <c r="H435" s="38"/>
      <c r="I435" s="38"/>
      <c r="J435" s="38"/>
      <c r="K435" s="68" t="s">
        <v>2414</v>
      </c>
      <c r="L435" s="68" t="s">
        <v>2415</v>
      </c>
      <c r="M435" s="68" t="s">
        <v>2416</v>
      </c>
      <c r="N435" s="67">
        <v>21.334586999999999</v>
      </c>
      <c r="O435" s="67">
        <v>92.093783000000002</v>
      </c>
      <c r="P435" s="74">
        <v>3000</v>
      </c>
      <c r="Q435" s="74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  <c r="AI435" s="38"/>
      <c r="AJ435" s="38"/>
    </row>
    <row r="436" spans="1:36" x14ac:dyDescent="0.3">
      <c r="A436" s="63">
        <v>430</v>
      </c>
      <c r="B436" s="102" t="s">
        <v>3520</v>
      </c>
      <c r="C436" s="102" t="s">
        <v>3521</v>
      </c>
      <c r="D436" s="64" t="s">
        <v>119</v>
      </c>
      <c r="E436" s="72" t="s">
        <v>1203</v>
      </c>
      <c r="F436" s="72" t="s">
        <v>1212</v>
      </c>
      <c r="G436" s="89" t="s">
        <v>46</v>
      </c>
      <c r="H436" s="38"/>
      <c r="I436" s="38"/>
      <c r="J436" s="38"/>
      <c r="K436" s="68" t="s">
        <v>2417</v>
      </c>
      <c r="L436" s="68" t="s">
        <v>2418</v>
      </c>
      <c r="M436" s="68" t="s">
        <v>2419</v>
      </c>
      <c r="N436" s="67">
        <v>21.324909999999999</v>
      </c>
      <c r="O436" s="67">
        <v>92.083276999999995</v>
      </c>
      <c r="P436" s="74">
        <v>400</v>
      </c>
      <c r="Q436" s="74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38"/>
      <c r="AJ436" s="38"/>
    </row>
    <row r="437" spans="1:36" x14ac:dyDescent="0.3">
      <c r="A437" s="63">
        <v>431</v>
      </c>
      <c r="B437" s="102" t="s">
        <v>3520</v>
      </c>
      <c r="C437" s="102" t="s">
        <v>3521</v>
      </c>
      <c r="D437" s="64" t="s">
        <v>119</v>
      </c>
      <c r="E437" s="72" t="s">
        <v>1203</v>
      </c>
      <c r="F437" s="72" t="s">
        <v>1212</v>
      </c>
      <c r="G437" s="89" t="s">
        <v>46</v>
      </c>
      <c r="H437" s="38"/>
      <c r="I437" s="38"/>
      <c r="J437" s="38"/>
      <c r="K437" s="68" t="s">
        <v>2420</v>
      </c>
      <c r="L437" s="68" t="s">
        <v>2421</v>
      </c>
      <c r="M437" s="68" t="s">
        <v>2422</v>
      </c>
      <c r="N437" s="67">
        <v>21.324484000000002</v>
      </c>
      <c r="O437" s="67">
        <v>92.076125000000005</v>
      </c>
      <c r="P437" s="74">
        <v>650</v>
      </c>
      <c r="Q437" s="74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</row>
    <row r="438" spans="1:36" x14ac:dyDescent="0.3">
      <c r="A438" s="63">
        <v>432</v>
      </c>
      <c r="B438" s="102" t="s">
        <v>3520</v>
      </c>
      <c r="C438" s="102" t="s">
        <v>3521</v>
      </c>
      <c r="D438" s="64" t="s">
        <v>119</v>
      </c>
      <c r="E438" s="72" t="s">
        <v>1203</v>
      </c>
      <c r="F438" s="72" t="s">
        <v>1212</v>
      </c>
      <c r="G438" s="89" t="s">
        <v>46</v>
      </c>
      <c r="H438" s="38"/>
      <c r="I438" s="38"/>
      <c r="J438" s="38"/>
      <c r="K438" s="68" t="s">
        <v>2423</v>
      </c>
      <c r="L438" s="68" t="s">
        <v>2424</v>
      </c>
      <c r="M438" s="68" t="s">
        <v>2425</v>
      </c>
      <c r="N438" s="67">
        <v>21.319115</v>
      </c>
      <c r="O438" s="67">
        <v>92.073961999999995</v>
      </c>
      <c r="P438" s="74">
        <v>2000</v>
      </c>
      <c r="Q438" s="74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</row>
    <row r="439" spans="1:36" x14ac:dyDescent="0.3">
      <c r="A439" s="63">
        <v>433</v>
      </c>
      <c r="B439" s="102" t="s">
        <v>3520</v>
      </c>
      <c r="C439" s="102" t="s">
        <v>3521</v>
      </c>
      <c r="D439" s="64" t="s">
        <v>119</v>
      </c>
      <c r="E439" s="72" t="s">
        <v>1203</v>
      </c>
      <c r="F439" s="72" t="s">
        <v>1212</v>
      </c>
      <c r="G439" s="89" t="s">
        <v>46</v>
      </c>
      <c r="H439" s="38"/>
      <c r="I439" s="38"/>
      <c r="J439" s="38"/>
      <c r="K439" s="68" t="s">
        <v>2426</v>
      </c>
      <c r="L439" s="68" t="s">
        <v>2427</v>
      </c>
      <c r="M439" s="68" t="s">
        <v>2428</v>
      </c>
      <c r="N439" s="67">
        <v>21.312114000000001</v>
      </c>
      <c r="O439" s="67">
        <v>92.070806000000005</v>
      </c>
      <c r="P439" s="74">
        <v>900</v>
      </c>
      <c r="Q439" s="74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</row>
    <row r="440" spans="1:36" x14ac:dyDescent="0.3">
      <c r="A440" s="63">
        <v>434</v>
      </c>
      <c r="B440" s="102" t="s">
        <v>3520</v>
      </c>
      <c r="C440" s="102" t="s">
        <v>3521</v>
      </c>
      <c r="D440" s="64" t="s">
        <v>119</v>
      </c>
      <c r="E440" s="72" t="s">
        <v>1203</v>
      </c>
      <c r="F440" s="72" t="s">
        <v>1212</v>
      </c>
      <c r="G440" s="89" t="s">
        <v>46</v>
      </c>
      <c r="H440" s="38"/>
      <c r="I440" s="38"/>
      <c r="J440" s="38"/>
      <c r="K440" s="68" t="s">
        <v>2429</v>
      </c>
      <c r="L440" s="68" t="s">
        <v>2430</v>
      </c>
      <c r="M440" s="68" t="s">
        <v>2431</v>
      </c>
      <c r="N440" s="67">
        <v>21.317917000000001</v>
      </c>
      <c r="O440" s="67">
        <v>92.065685000000002</v>
      </c>
      <c r="P440" s="74">
        <v>1000</v>
      </c>
      <c r="Q440" s="74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</row>
    <row r="441" spans="1:36" x14ac:dyDescent="0.3">
      <c r="A441" s="63">
        <v>435</v>
      </c>
      <c r="B441" s="102" t="s">
        <v>3520</v>
      </c>
      <c r="C441" s="102" t="s">
        <v>3521</v>
      </c>
      <c r="D441" s="64" t="s">
        <v>119</v>
      </c>
      <c r="E441" s="72" t="s">
        <v>1203</v>
      </c>
      <c r="F441" s="72" t="s">
        <v>1212</v>
      </c>
      <c r="G441" s="89" t="s">
        <v>46</v>
      </c>
      <c r="H441" s="38"/>
      <c r="I441" s="38"/>
      <c r="J441" s="38"/>
      <c r="K441" s="68" t="s">
        <v>2432</v>
      </c>
      <c r="L441" s="68" t="s">
        <v>2433</v>
      </c>
      <c r="M441" s="68" t="s">
        <v>2434</v>
      </c>
      <c r="N441" s="67">
        <v>21.318332000000002</v>
      </c>
      <c r="O441" s="67">
        <v>92.079848999999996</v>
      </c>
      <c r="P441" s="74">
        <v>700</v>
      </c>
      <c r="Q441" s="74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</row>
    <row r="442" spans="1:36" x14ac:dyDescent="0.3">
      <c r="A442" s="63">
        <v>436</v>
      </c>
      <c r="B442" s="102" t="s">
        <v>3520</v>
      </c>
      <c r="C442" s="102" t="s">
        <v>3521</v>
      </c>
      <c r="D442" s="64" t="s">
        <v>119</v>
      </c>
      <c r="E442" s="72" t="s">
        <v>1203</v>
      </c>
      <c r="F442" s="72" t="s">
        <v>1212</v>
      </c>
      <c r="G442" s="89" t="s">
        <v>46</v>
      </c>
      <c r="H442" s="38"/>
      <c r="I442" s="38"/>
      <c r="J442" s="38"/>
      <c r="K442" s="68" t="s">
        <v>2435</v>
      </c>
      <c r="L442" s="68" t="s">
        <v>2436</v>
      </c>
      <c r="M442" s="68" t="s">
        <v>2437</v>
      </c>
      <c r="N442" s="67">
        <v>21.315814</v>
      </c>
      <c r="O442" s="67">
        <v>92.085583999999997</v>
      </c>
      <c r="P442" s="74">
        <v>1200</v>
      </c>
      <c r="Q442" s="74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</row>
    <row r="443" spans="1:36" x14ac:dyDescent="0.3">
      <c r="A443" s="63">
        <v>437</v>
      </c>
      <c r="B443" s="102" t="s">
        <v>3520</v>
      </c>
      <c r="C443" s="102" t="s">
        <v>3521</v>
      </c>
      <c r="D443" s="64" t="s">
        <v>119</v>
      </c>
      <c r="E443" s="72" t="s">
        <v>1203</v>
      </c>
      <c r="F443" s="72" t="s">
        <v>1212</v>
      </c>
      <c r="G443" s="89" t="s">
        <v>46</v>
      </c>
      <c r="H443" s="38"/>
      <c r="I443" s="38"/>
      <c r="J443" s="38"/>
      <c r="K443" s="68" t="s">
        <v>112</v>
      </c>
      <c r="L443" s="68" t="s">
        <v>113</v>
      </c>
      <c r="M443" s="68" t="s">
        <v>2438</v>
      </c>
      <c r="N443" s="67">
        <v>21.315083000000001</v>
      </c>
      <c r="O443" s="67">
        <v>92.076424000000003</v>
      </c>
      <c r="P443" s="74">
        <v>30</v>
      </c>
      <c r="Q443" s="74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</row>
    <row r="444" spans="1:36" x14ac:dyDescent="0.3">
      <c r="A444" s="63">
        <v>438</v>
      </c>
      <c r="B444" s="102" t="s">
        <v>3520</v>
      </c>
      <c r="C444" s="102" t="s">
        <v>3521</v>
      </c>
      <c r="D444" s="64" t="s">
        <v>119</v>
      </c>
      <c r="E444" s="72" t="s">
        <v>1203</v>
      </c>
      <c r="F444" s="72" t="s">
        <v>1212</v>
      </c>
      <c r="G444" s="89" t="s">
        <v>47</v>
      </c>
      <c r="H444" s="38"/>
      <c r="I444" s="38"/>
      <c r="J444" s="38"/>
      <c r="K444" s="68" t="s">
        <v>2439</v>
      </c>
      <c r="L444" s="68" t="s">
        <v>2440</v>
      </c>
      <c r="M444" s="68" t="s">
        <v>2441</v>
      </c>
      <c r="N444" s="67">
        <v>21.310821000000001</v>
      </c>
      <c r="O444" s="67">
        <v>92.083118999999996</v>
      </c>
      <c r="P444" s="74">
        <v>1200</v>
      </c>
      <c r="Q444" s="74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38"/>
      <c r="AJ444" s="38"/>
    </row>
    <row r="445" spans="1:36" x14ac:dyDescent="0.3">
      <c r="A445" s="63">
        <v>439</v>
      </c>
      <c r="B445" s="102" t="s">
        <v>3520</v>
      </c>
      <c r="C445" s="102" t="s">
        <v>3521</v>
      </c>
      <c r="D445" s="64" t="s">
        <v>119</v>
      </c>
      <c r="E445" s="72" t="s">
        <v>1203</v>
      </c>
      <c r="F445" s="72" t="s">
        <v>1212</v>
      </c>
      <c r="G445" s="89" t="s">
        <v>47</v>
      </c>
      <c r="H445" s="38"/>
      <c r="I445" s="38"/>
      <c r="J445" s="38"/>
      <c r="K445" s="68" t="s">
        <v>2442</v>
      </c>
      <c r="L445" s="68" t="s">
        <v>2443</v>
      </c>
      <c r="M445" s="68" t="s">
        <v>2444</v>
      </c>
      <c r="N445" s="67">
        <v>21.304082999999999</v>
      </c>
      <c r="O445" s="67">
        <v>92.083804999999998</v>
      </c>
      <c r="P445" s="74">
        <v>3200</v>
      </c>
      <c r="Q445" s="74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</row>
    <row r="446" spans="1:36" x14ac:dyDescent="0.3">
      <c r="A446" s="63">
        <v>440</v>
      </c>
      <c r="B446" s="102" t="s">
        <v>3520</v>
      </c>
      <c r="C446" s="102" t="s">
        <v>3521</v>
      </c>
      <c r="D446" s="64" t="s">
        <v>119</v>
      </c>
      <c r="E446" s="72" t="s">
        <v>1203</v>
      </c>
      <c r="F446" s="72" t="s">
        <v>1212</v>
      </c>
      <c r="G446" s="89" t="s">
        <v>47</v>
      </c>
      <c r="H446" s="38"/>
      <c r="I446" s="38"/>
      <c r="J446" s="38"/>
      <c r="K446" s="68" t="s">
        <v>2445</v>
      </c>
      <c r="L446" s="68" t="s">
        <v>2446</v>
      </c>
      <c r="M446" s="68" t="s">
        <v>2447</v>
      </c>
      <c r="N446" s="67">
        <v>21.303540999999999</v>
      </c>
      <c r="O446" s="67">
        <v>92.079595999999995</v>
      </c>
      <c r="P446" s="74">
        <v>400</v>
      </c>
      <c r="Q446" s="74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</row>
    <row r="447" spans="1:36" x14ac:dyDescent="0.3">
      <c r="A447" s="63">
        <v>441</v>
      </c>
      <c r="B447" s="102" t="s">
        <v>3520</v>
      </c>
      <c r="C447" s="102" t="s">
        <v>3521</v>
      </c>
      <c r="D447" s="64" t="s">
        <v>119</v>
      </c>
      <c r="E447" s="72" t="s">
        <v>1203</v>
      </c>
      <c r="F447" s="72" t="s">
        <v>1212</v>
      </c>
      <c r="G447" s="89" t="s">
        <v>47</v>
      </c>
      <c r="H447" s="38"/>
      <c r="I447" s="38"/>
      <c r="J447" s="38"/>
      <c r="K447" s="68" t="s">
        <v>2448</v>
      </c>
      <c r="L447" s="68" t="s">
        <v>2449</v>
      </c>
      <c r="M447" s="68" t="s">
        <v>2450</v>
      </c>
      <c r="N447" s="67">
        <v>21.306754000000002</v>
      </c>
      <c r="O447" s="67">
        <v>92.078462999999999</v>
      </c>
      <c r="P447" s="74">
        <v>350</v>
      </c>
      <c r="Q447" s="74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38"/>
      <c r="AJ447" s="38"/>
    </row>
    <row r="448" spans="1:36" x14ac:dyDescent="0.3">
      <c r="A448" s="63">
        <v>442</v>
      </c>
      <c r="B448" s="102" t="s">
        <v>3520</v>
      </c>
      <c r="C448" s="102" t="s">
        <v>3521</v>
      </c>
      <c r="D448" s="64" t="s">
        <v>119</v>
      </c>
      <c r="E448" s="72" t="s">
        <v>1203</v>
      </c>
      <c r="F448" s="72" t="s">
        <v>1212</v>
      </c>
      <c r="G448" s="89" t="s">
        <v>47</v>
      </c>
      <c r="H448" s="38"/>
      <c r="I448" s="38"/>
      <c r="J448" s="38"/>
      <c r="K448" s="68" t="s">
        <v>2451</v>
      </c>
      <c r="L448" s="68" t="s">
        <v>2452</v>
      </c>
      <c r="M448" s="68" t="s">
        <v>2453</v>
      </c>
      <c r="N448" s="67">
        <v>21.310262999999999</v>
      </c>
      <c r="O448" s="67">
        <v>92.086001999999993</v>
      </c>
      <c r="P448" s="74">
        <v>350</v>
      </c>
      <c r="Q448" s="74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38"/>
      <c r="AJ448" s="38"/>
    </row>
    <row r="449" spans="1:36" x14ac:dyDescent="0.3">
      <c r="A449" s="63">
        <v>443</v>
      </c>
      <c r="B449" s="102" t="s">
        <v>3520</v>
      </c>
      <c r="C449" s="102" t="s">
        <v>3521</v>
      </c>
      <c r="D449" s="64" t="s">
        <v>119</v>
      </c>
      <c r="E449" s="72" t="s">
        <v>1203</v>
      </c>
      <c r="F449" s="72" t="s">
        <v>1212</v>
      </c>
      <c r="G449" s="89" t="s">
        <v>48</v>
      </c>
      <c r="H449" s="38"/>
      <c r="I449" s="38"/>
      <c r="J449" s="38"/>
      <c r="K449" s="68" t="s">
        <v>2454</v>
      </c>
      <c r="L449" s="68" t="s">
        <v>2455</v>
      </c>
      <c r="M449" s="68" t="s">
        <v>2456</v>
      </c>
      <c r="N449" s="67">
        <v>21.297409999999999</v>
      </c>
      <c r="O449" s="67">
        <v>92.066526999999994</v>
      </c>
      <c r="P449" s="74">
        <v>3000</v>
      </c>
      <c r="Q449" s="74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38"/>
      <c r="AJ449" s="38"/>
    </row>
    <row r="450" spans="1:36" x14ac:dyDescent="0.3">
      <c r="A450" s="63">
        <v>444</v>
      </c>
      <c r="B450" s="102" t="s">
        <v>3520</v>
      </c>
      <c r="C450" s="102" t="s">
        <v>3521</v>
      </c>
      <c r="D450" s="64" t="s">
        <v>119</v>
      </c>
      <c r="E450" s="72" t="s">
        <v>1203</v>
      </c>
      <c r="F450" s="72" t="s">
        <v>1212</v>
      </c>
      <c r="G450" s="89" t="s">
        <v>48</v>
      </c>
      <c r="H450" s="38"/>
      <c r="I450" s="38"/>
      <c r="J450" s="38"/>
      <c r="K450" s="75" t="s">
        <v>2457</v>
      </c>
      <c r="L450" s="69" t="s">
        <v>2458</v>
      </c>
      <c r="M450" s="68" t="s">
        <v>2459</v>
      </c>
      <c r="N450" s="67">
        <v>21.303145000000001</v>
      </c>
      <c r="O450" s="67">
        <v>92.070024000000004</v>
      </c>
      <c r="P450" s="74">
        <v>2000</v>
      </c>
      <c r="Q450" s="74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</row>
    <row r="451" spans="1:36" x14ac:dyDescent="0.3">
      <c r="A451" s="63">
        <v>445</v>
      </c>
      <c r="B451" s="102" t="s">
        <v>3520</v>
      </c>
      <c r="C451" s="102" t="s">
        <v>3521</v>
      </c>
      <c r="D451" s="64" t="s">
        <v>119</v>
      </c>
      <c r="E451" s="72" t="s">
        <v>1203</v>
      </c>
      <c r="F451" s="72" t="s">
        <v>1212</v>
      </c>
      <c r="G451" s="89" t="s">
        <v>48</v>
      </c>
      <c r="H451" s="38"/>
      <c r="I451" s="38"/>
      <c r="J451" s="38"/>
      <c r="K451" s="75" t="s">
        <v>2460</v>
      </c>
      <c r="L451" s="68" t="s">
        <v>2461</v>
      </c>
      <c r="M451" s="68" t="s">
        <v>2462</v>
      </c>
      <c r="N451" s="67">
        <v>21.307714000000001</v>
      </c>
      <c r="O451" s="67">
        <v>92.067594</v>
      </c>
      <c r="P451" s="74">
        <v>3000</v>
      </c>
      <c r="Q451" s="74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</row>
    <row r="452" spans="1:36" x14ac:dyDescent="0.3">
      <c r="A452" s="63">
        <v>446</v>
      </c>
      <c r="B452" s="102" t="s">
        <v>3520</v>
      </c>
      <c r="C452" s="102" t="s">
        <v>3521</v>
      </c>
      <c r="D452" s="64" t="s">
        <v>119</v>
      </c>
      <c r="E452" s="72" t="s">
        <v>1203</v>
      </c>
      <c r="F452" s="72" t="s">
        <v>1212</v>
      </c>
      <c r="G452" s="89" t="s">
        <v>49</v>
      </c>
      <c r="H452" s="38"/>
      <c r="I452" s="38"/>
      <c r="J452" s="38"/>
      <c r="K452" s="68" t="s">
        <v>2463</v>
      </c>
      <c r="L452" s="68" t="s">
        <v>2464</v>
      </c>
      <c r="M452" s="68" t="s">
        <v>2465</v>
      </c>
      <c r="N452" s="67">
        <v>21.300025000000002</v>
      </c>
      <c r="O452" s="67">
        <v>92.053117999999998</v>
      </c>
      <c r="P452" s="74">
        <v>1600</v>
      </c>
      <c r="Q452" s="74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</row>
    <row r="453" spans="1:36" x14ac:dyDescent="0.3">
      <c r="A453" s="63">
        <v>447</v>
      </c>
      <c r="B453" s="102" t="s">
        <v>3520</v>
      </c>
      <c r="C453" s="102" t="s">
        <v>3521</v>
      </c>
      <c r="D453" s="64" t="s">
        <v>119</v>
      </c>
      <c r="E453" s="72" t="s">
        <v>1203</v>
      </c>
      <c r="F453" s="72" t="s">
        <v>1212</v>
      </c>
      <c r="G453" s="89" t="s">
        <v>49</v>
      </c>
      <c r="H453" s="38"/>
      <c r="I453" s="38"/>
      <c r="J453" s="38"/>
      <c r="K453" s="75" t="s">
        <v>2466</v>
      </c>
      <c r="L453" s="68" t="s">
        <v>2467</v>
      </c>
      <c r="M453" s="68" t="s">
        <v>2468</v>
      </c>
      <c r="N453" s="67">
        <v>21.306543999999999</v>
      </c>
      <c r="O453" s="67">
        <v>92.046430000000001</v>
      </c>
      <c r="P453" s="74">
        <v>1800</v>
      </c>
      <c r="Q453" s="74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38"/>
      <c r="AJ453" s="38"/>
    </row>
    <row r="454" spans="1:36" x14ac:dyDescent="0.3">
      <c r="A454" s="63">
        <v>448</v>
      </c>
      <c r="B454" s="102" t="s">
        <v>3520</v>
      </c>
      <c r="C454" s="102" t="s">
        <v>3521</v>
      </c>
      <c r="D454" s="64" t="s">
        <v>119</v>
      </c>
      <c r="E454" s="72" t="s">
        <v>1203</v>
      </c>
      <c r="F454" s="72" t="s">
        <v>1212</v>
      </c>
      <c r="G454" s="89" t="s">
        <v>49</v>
      </c>
      <c r="H454" s="38"/>
      <c r="I454" s="38"/>
      <c r="J454" s="38"/>
      <c r="K454" s="68" t="s">
        <v>2469</v>
      </c>
      <c r="L454" s="68" t="s">
        <v>2470</v>
      </c>
      <c r="M454" s="68" t="s">
        <v>2471</v>
      </c>
      <c r="N454" s="67">
        <v>21.315805999999998</v>
      </c>
      <c r="O454" s="67">
        <v>92.042427000000004</v>
      </c>
      <c r="P454" s="74">
        <v>1000</v>
      </c>
      <c r="Q454" s="74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38"/>
      <c r="AJ454" s="38"/>
    </row>
    <row r="455" spans="1:36" x14ac:dyDescent="0.3">
      <c r="A455" s="63">
        <v>449</v>
      </c>
      <c r="B455" s="102" t="s">
        <v>3520</v>
      </c>
      <c r="C455" s="102" t="s">
        <v>3521</v>
      </c>
      <c r="D455" s="64" t="s">
        <v>119</v>
      </c>
      <c r="E455" s="72" t="s">
        <v>1203</v>
      </c>
      <c r="F455" s="72" t="s">
        <v>1212</v>
      </c>
      <c r="G455" s="89" t="s">
        <v>49</v>
      </c>
      <c r="H455" s="38"/>
      <c r="I455" s="38"/>
      <c r="J455" s="38"/>
      <c r="K455" s="68" t="s">
        <v>2472</v>
      </c>
      <c r="L455" s="68" t="s">
        <v>2473</v>
      </c>
      <c r="M455" s="68" t="s">
        <v>2474</v>
      </c>
      <c r="N455" s="67">
        <v>21.328016999999999</v>
      </c>
      <c r="O455" s="67">
        <v>92.036786000000006</v>
      </c>
      <c r="P455" s="74">
        <v>2100</v>
      </c>
      <c r="Q455" s="74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38"/>
      <c r="AJ455" s="38"/>
    </row>
    <row r="456" spans="1:36" x14ac:dyDescent="0.3">
      <c r="A456" s="63">
        <v>450</v>
      </c>
      <c r="B456" s="102" t="s">
        <v>3520</v>
      </c>
      <c r="C456" s="102" t="s">
        <v>3521</v>
      </c>
      <c r="D456" s="64" t="s">
        <v>119</v>
      </c>
      <c r="E456" s="72" t="s">
        <v>1203</v>
      </c>
      <c r="F456" s="72" t="s">
        <v>1212</v>
      </c>
      <c r="G456" s="89" t="s">
        <v>49</v>
      </c>
      <c r="H456" s="38"/>
      <c r="I456" s="38"/>
      <c r="J456" s="38"/>
      <c r="K456" s="68" t="s">
        <v>2475</v>
      </c>
      <c r="L456" s="68" t="s">
        <v>2476</v>
      </c>
      <c r="M456" s="68" t="s">
        <v>2477</v>
      </c>
      <c r="N456" s="67">
        <v>21.344521</v>
      </c>
      <c r="O456" s="67">
        <v>92.030811</v>
      </c>
      <c r="P456" s="74">
        <v>600</v>
      </c>
      <c r="Q456" s="74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38"/>
      <c r="AJ456" s="38"/>
    </row>
    <row r="457" spans="1:36" x14ac:dyDescent="0.3">
      <c r="A457" s="63">
        <v>451</v>
      </c>
      <c r="B457" s="102" t="s">
        <v>3520</v>
      </c>
      <c r="C457" s="102" t="s">
        <v>3521</v>
      </c>
      <c r="D457" s="64" t="s">
        <v>119</v>
      </c>
      <c r="E457" s="72" t="s">
        <v>1203</v>
      </c>
      <c r="F457" s="72" t="s">
        <v>1212</v>
      </c>
      <c r="G457" s="89" t="s">
        <v>49</v>
      </c>
      <c r="H457" s="38"/>
      <c r="I457" s="38"/>
      <c r="J457" s="38"/>
      <c r="K457" s="68" t="s">
        <v>2478</v>
      </c>
      <c r="L457" s="68" t="s">
        <v>2479</v>
      </c>
      <c r="M457" s="68" t="s">
        <v>2480</v>
      </c>
      <c r="N457" s="67">
        <v>21.355301999999998</v>
      </c>
      <c r="O457" s="67">
        <v>92.024514999999994</v>
      </c>
      <c r="P457" s="74">
        <v>100</v>
      </c>
      <c r="Q457" s="74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38"/>
      <c r="AJ457" s="38"/>
    </row>
    <row r="458" spans="1:36" x14ac:dyDescent="0.3">
      <c r="A458" s="63">
        <v>452</v>
      </c>
      <c r="B458" s="102" t="s">
        <v>3520</v>
      </c>
      <c r="C458" s="102" t="s">
        <v>3521</v>
      </c>
      <c r="D458" s="64" t="s">
        <v>119</v>
      </c>
      <c r="E458" s="72" t="s">
        <v>1203</v>
      </c>
      <c r="F458" s="72" t="s">
        <v>1212</v>
      </c>
      <c r="G458" s="89" t="s">
        <v>49</v>
      </c>
      <c r="H458" s="38"/>
      <c r="I458" s="38"/>
      <c r="J458" s="38"/>
      <c r="K458" s="68" t="s">
        <v>2481</v>
      </c>
      <c r="L458" s="68" t="s">
        <v>2482</v>
      </c>
      <c r="M458" s="68" t="s">
        <v>2483</v>
      </c>
      <c r="N458" s="67">
        <v>21.364429000000001</v>
      </c>
      <c r="O458" s="67">
        <v>92.023668000000001</v>
      </c>
      <c r="P458" s="74">
        <v>150</v>
      </c>
      <c r="Q458" s="74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</row>
    <row r="459" spans="1:36" x14ac:dyDescent="0.3">
      <c r="A459" s="63">
        <v>453</v>
      </c>
      <c r="B459" s="102" t="s">
        <v>3520</v>
      </c>
      <c r="C459" s="102" t="s">
        <v>3521</v>
      </c>
      <c r="D459" s="64" t="s">
        <v>119</v>
      </c>
      <c r="E459" s="72" t="s">
        <v>1203</v>
      </c>
      <c r="F459" s="72" t="s">
        <v>1212</v>
      </c>
      <c r="G459" s="89" t="s">
        <v>49</v>
      </c>
      <c r="H459" s="38"/>
      <c r="I459" s="38"/>
      <c r="J459" s="38"/>
      <c r="K459" s="68" t="s">
        <v>2484</v>
      </c>
      <c r="L459" s="68" t="s">
        <v>2485</v>
      </c>
      <c r="M459" s="68" t="s">
        <v>2486</v>
      </c>
      <c r="N459" s="67">
        <v>21.360607000000002</v>
      </c>
      <c r="O459" s="67">
        <v>92.021456000000001</v>
      </c>
      <c r="P459" s="74">
        <v>150</v>
      </c>
      <c r="Q459" s="74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38"/>
      <c r="AJ459" s="38"/>
    </row>
    <row r="460" spans="1:36" x14ac:dyDescent="0.3">
      <c r="A460" s="63">
        <v>454</v>
      </c>
      <c r="B460" s="102" t="s">
        <v>3520</v>
      </c>
      <c r="C460" s="102" t="s">
        <v>3521</v>
      </c>
      <c r="D460" s="64" t="s">
        <v>119</v>
      </c>
      <c r="E460" s="72" t="s">
        <v>1203</v>
      </c>
      <c r="F460" s="72" t="s">
        <v>1212</v>
      </c>
      <c r="G460" s="89" t="s">
        <v>49</v>
      </c>
      <c r="H460" s="38"/>
      <c r="I460" s="38"/>
      <c r="J460" s="38"/>
      <c r="K460" s="68" t="s">
        <v>76</v>
      </c>
      <c r="L460" s="68" t="s">
        <v>612</v>
      </c>
      <c r="M460" s="68" t="s">
        <v>2487</v>
      </c>
      <c r="N460" s="67">
        <v>21.295642999999998</v>
      </c>
      <c r="O460" s="67">
        <v>92.051902999999996</v>
      </c>
      <c r="P460" s="74">
        <v>25</v>
      </c>
      <c r="Q460" s="74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38"/>
      <c r="AJ460" s="38"/>
    </row>
    <row r="461" spans="1:36" x14ac:dyDescent="0.3">
      <c r="A461" s="63">
        <v>455</v>
      </c>
      <c r="B461" s="102" t="s">
        <v>3520</v>
      </c>
      <c r="C461" s="102" t="s">
        <v>3521</v>
      </c>
      <c r="D461" s="64" t="s">
        <v>119</v>
      </c>
      <c r="E461" s="72" t="s">
        <v>1203</v>
      </c>
      <c r="F461" s="72" t="s">
        <v>1212</v>
      </c>
      <c r="G461" s="89" t="s">
        <v>49</v>
      </c>
      <c r="H461" s="38"/>
      <c r="I461" s="38"/>
      <c r="J461" s="38"/>
      <c r="K461" s="68" t="s">
        <v>96</v>
      </c>
      <c r="L461" s="68" t="s">
        <v>2488</v>
      </c>
      <c r="M461" s="68" t="s">
        <v>2489</v>
      </c>
      <c r="N461" s="67">
        <v>21.354196000000002</v>
      </c>
      <c r="O461" s="67">
        <v>92.025000000000006</v>
      </c>
      <c r="P461" s="74">
        <v>20</v>
      </c>
      <c r="Q461" s="74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38"/>
      <c r="AJ461" s="38"/>
    </row>
    <row r="462" spans="1:36" x14ac:dyDescent="0.3">
      <c r="A462" s="63">
        <v>456</v>
      </c>
      <c r="B462" s="102" t="s">
        <v>3520</v>
      </c>
      <c r="C462" s="102" t="s">
        <v>3521</v>
      </c>
      <c r="D462" s="64" t="s">
        <v>119</v>
      </c>
      <c r="E462" s="72" t="s">
        <v>1203</v>
      </c>
      <c r="F462" s="72" t="s">
        <v>1213</v>
      </c>
      <c r="G462" s="89" t="s">
        <v>41</v>
      </c>
      <c r="H462" s="38"/>
      <c r="I462" s="38"/>
      <c r="J462" s="38"/>
      <c r="K462" s="75" t="s">
        <v>1011</v>
      </c>
      <c r="L462" s="71" t="s">
        <v>1012</v>
      </c>
      <c r="M462" s="68" t="s">
        <v>2490</v>
      </c>
      <c r="N462" s="67">
        <v>21.414465</v>
      </c>
      <c r="O462" s="67">
        <v>92.080510000000004</v>
      </c>
      <c r="P462" s="74">
        <v>1500</v>
      </c>
      <c r="Q462" s="74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38"/>
      <c r="AJ462" s="38"/>
    </row>
    <row r="463" spans="1:36" x14ac:dyDescent="0.3">
      <c r="A463" s="63">
        <v>457</v>
      </c>
      <c r="B463" s="102" t="s">
        <v>3520</v>
      </c>
      <c r="C463" s="102" t="s">
        <v>3521</v>
      </c>
      <c r="D463" s="64" t="s">
        <v>119</v>
      </c>
      <c r="E463" s="72" t="s">
        <v>1203</v>
      </c>
      <c r="F463" s="72" t="s">
        <v>1213</v>
      </c>
      <c r="G463" s="89" t="s">
        <v>41</v>
      </c>
      <c r="H463" s="38"/>
      <c r="I463" s="38"/>
      <c r="J463" s="38"/>
      <c r="K463" s="69" t="s">
        <v>70</v>
      </c>
      <c r="L463" s="68" t="s">
        <v>71</v>
      </c>
      <c r="M463" s="68" t="s">
        <v>2491</v>
      </c>
      <c r="N463" s="67">
        <v>21.407505</v>
      </c>
      <c r="O463" s="67">
        <v>92.079768999999999</v>
      </c>
      <c r="P463" s="74">
        <v>350</v>
      </c>
      <c r="Q463" s="74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38"/>
      <c r="AJ463" s="38"/>
    </row>
    <row r="464" spans="1:36" x14ac:dyDescent="0.3">
      <c r="A464" s="63">
        <v>458</v>
      </c>
      <c r="B464" s="102" t="s">
        <v>3520</v>
      </c>
      <c r="C464" s="102" t="s">
        <v>3521</v>
      </c>
      <c r="D464" s="64" t="s">
        <v>119</v>
      </c>
      <c r="E464" s="72" t="s">
        <v>1203</v>
      </c>
      <c r="F464" s="72" t="s">
        <v>1213</v>
      </c>
      <c r="G464" s="89" t="s">
        <v>41</v>
      </c>
      <c r="H464" s="38"/>
      <c r="I464" s="38"/>
      <c r="J464" s="38"/>
      <c r="K464" s="68" t="s">
        <v>2492</v>
      </c>
      <c r="L464" s="68" t="s">
        <v>2493</v>
      </c>
      <c r="M464" s="68" t="s">
        <v>2494</v>
      </c>
      <c r="N464" s="67">
        <v>21.411648</v>
      </c>
      <c r="O464" s="67">
        <v>92.083161000000004</v>
      </c>
      <c r="P464" s="74">
        <v>280</v>
      </c>
      <c r="Q464" s="74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38"/>
      <c r="AJ464" s="38"/>
    </row>
    <row r="465" spans="1:36" x14ac:dyDescent="0.3">
      <c r="A465" s="63">
        <v>459</v>
      </c>
      <c r="B465" s="102" t="s">
        <v>3520</v>
      </c>
      <c r="C465" s="102" t="s">
        <v>3521</v>
      </c>
      <c r="D465" s="64" t="s">
        <v>119</v>
      </c>
      <c r="E465" s="72" t="s">
        <v>1203</v>
      </c>
      <c r="F465" s="72" t="s">
        <v>1213</v>
      </c>
      <c r="G465" s="89" t="s">
        <v>41</v>
      </c>
      <c r="H465" s="38"/>
      <c r="I465" s="38"/>
      <c r="J465" s="38"/>
      <c r="K465" s="68" t="s">
        <v>2495</v>
      </c>
      <c r="L465" s="68" t="s">
        <v>2496</v>
      </c>
      <c r="M465" s="68" t="s">
        <v>2497</v>
      </c>
      <c r="N465" s="67">
        <v>21.413720000000001</v>
      </c>
      <c r="O465" s="67">
        <v>92.083802000000006</v>
      </c>
      <c r="P465" s="74">
        <v>550</v>
      </c>
      <c r="Q465" s="74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38"/>
      <c r="AJ465" s="38"/>
    </row>
    <row r="466" spans="1:36" x14ac:dyDescent="0.3">
      <c r="A466" s="63">
        <v>460</v>
      </c>
      <c r="B466" s="102" t="s">
        <v>3520</v>
      </c>
      <c r="C466" s="102" t="s">
        <v>3521</v>
      </c>
      <c r="D466" s="64" t="s">
        <v>119</v>
      </c>
      <c r="E466" s="72" t="s">
        <v>1203</v>
      </c>
      <c r="F466" s="72" t="s">
        <v>1213</v>
      </c>
      <c r="G466" s="89" t="s">
        <v>42</v>
      </c>
      <c r="H466" s="38"/>
      <c r="I466" s="38"/>
      <c r="J466" s="38"/>
      <c r="K466" s="68" t="s">
        <v>2498</v>
      </c>
      <c r="L466" s="68" t="s">
        <v>2499</v>
      </c>
      <c r="M466" s="68" t="s">
        <v>2500</v>
      </c>
      <c r="N466" s="67">
        <v>21.412286000000002</v>
      </c>
      <c r="O466" s="67">
        <v>92.085044999999994</v>
      </c>
      <c r="P466" s="74">
        <v>1500</v>
      </c>
      <c r="Q466" s="74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  <c r="AI466" s="38"/>
      <c r="AJ466" s="38"/>
    </row>
    <row r="467" spans="1:36" x14ac:dyDescent="0.3">
      <c r="A467" s="63">
        <v>461</v>
      </c>
      <c r="B467" s="102" t="s">
        <v>3520</v>
      </c>
      <c r="C467" s="102" t="s">
        <v>3521</v>
      </c>
      <c r="D467" s="64" t="s">
        <v>119</v>
      </c>
      <c r="E467" s="72" t="s">
        <v>1203</v>
      </c>
      <c r="F467" s="72" t="s">
        <v>1213</v>
      </c>
      <c r="G467" s="89" t="s">
        <v>42</v>
      </c>
      <c r="H467" s="38"/>
      <c r="I467" s="38"/>
      <c r="J467" s="38"/>
      <c r="K467" s="69" t="s">
        <v>2501</v>
      </c>
      <c r="L467" s="68" t="s">
        <v>2502</v>
      </c>
      <c r="M467" s="68" t="s">
        <v>2503</v>
      </c>
      <c r="N467" s="67">
        <v>21.410494</v>
      </c>
      <c r="O467" s="67">
        <v>92.084906000000004</v>
      </c>
      <c r="P467" s="74">
        <v>200</v>
      </c>
      <c r="Q467" s="74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  <c r="AI467" s="38"/>
      <c r="AJ467" s="38"/>
    </row>
    <row r="468" spans="1:36" x14ac:dyDescent="0.3">
      <c r="A468" s="63">
        <v>462</v>
      </c>
      <c r="B468" s="102" t="s">
        <v>3520</v>
      </c>
      <c r="C468" s="102" t="s">
        <v>3521</v>
      </c>
      <c r="D468" s="64" t="s">
        <v>119</v>
      </c>
      <c r="E468" s="72" t="s">
        <v>1203</v>
      </c>
      <c r="F468" s="72" t="s">
        <v>1213</v>
      </c>
      <c r="G468" s="89" t="s">
        <v>42</v>
      </c>
      <c r="H468" s="38"/>
      <c r="I468" s="38"/>
      <c r="J468" s="38"/>
      <c r="K468" s="68" t="s">
        <v>2504</v>
      </c>
      <c r="L468" s="68" t="s">
        <v>2505</v>
      </c>
      <c r="M468" s="68" t="s">
        <v>2506</v>
      </c>
      <c r="N468" s="67">
        <v>21.412731999999998</v>
      </c>
      <c r="O468" s="67">
        <v>92.087068000000002</v>
      </c>
      <c r="P468" s="74">
        <v>1000</v>
      </c>
      <c r="Q468" s="74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38"/>
      <c r="AJ468" s="38"/>
    </row>
    <row r="469" spans="1:36" x14ac:dyDescent="0.3">
      <c r="A469" s="63">
        <v>463</v>
      </c>
      <c r="B469" s="102" t="s">
        <v>3520</v>
      </c>
      <c r="C469" s="102" t="s">
        <v>3521</v>
      </c>
      <c r="D469" s="64" t="s">
        <v>119</v>
      </c>
      <c r="E469" s="72" t="s">
        <v>1203</v>
      </c>
      <c r="F469" s="72" t="s">
        <v>1213</v>
      </c>
      <c r="G469" s="89" t="s">
        <v>42</v>
      </c>
      <c r="H469" s="38"/>
      <c r="I469" s="38"/>
      <c r="J469" s="38"/>
      <c r="K469" s="68" t="s">
        <v>2507</v>
      </c>
      <c r="L469" s="68" t="s">
        <v>2508</v>
      </c>
      <c r="M469" s="68" t="s">
        <v>2509</v>
      </c>
      <c r="N469" s="67">
        <v>21.413072</v>
      </c>
      <c r="O469" s="67">
        <v>92.088485000000006</v>
      </c>
      <c r="P469" s="74">
        <v>800</v>
      </c>
      <c r="Q469" s="74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38"/>
      <c r="AJ469" s="38"/>
    </row>
    <row r="470" spans="1:36" x14ac:dyDescent="0.3">
      <c r="A470" s="63">
        <v>464</v>
      </c>
      <c r="B470" s="102" t="s">
        <v>3520</v>
      </c>
      <c r="C470" s="102" t="s">
        <v>3521</v>
      </c>
      <c r="D470" s="64" t="s">
        <v>119</v>
      </c>
      <c r="E470" s="72" t="s">
        <v>1203</v>
      </c>
      <c r="F470" s="72" t="s">
        <v>1213</v>
      </c>
      <c r="G470" s="89" t="s">
        <v>42</v>
      </c>
      <c r="H470" s="38"/>
      <c r="I470" s="38"/>
      <c r="J470" s="38"/>
      <c r="K470" s="75" t="s">
        <v>233</v>
      </c>
      <c r="L470" s="68" t="s">
        <v>234</v>
      </c>
      <c r="M470" s="68" t="s">
        <v>2510</v>
      </c>
      <c r="N470" s="67">
        <v>21.410136000000001</v>
      </c>
      <c r="O470" s="67">
        <v>92.088133999999997</v>
      </c>
      <c r="P470" s="74">
        <v>300</v>
      </c>
      <c r="Q470" s="74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38"/>
      <c r="AJ470" s="38"/>
    </row>
    <row r="471" spans="1:36" x14ac:dyDescent="0.3">
      <c r="A471" s="63">
        <v>465</v>
      </c>
      <c r="B471" s="102" t="s">
        <v>3520</v>
      </c>
      <c r="C471" s="102" t="s">
        <v>3521</v>
      </c>
      <c r="D471" s="64" t="s">
        <v>119</v>
      </c>
      <c r="E471" s="72" t="s">
        <v>1203</v>
      </c>
      <c r="F471" s="72" t="s">
        <v>1213</v>
      </c>
      <c r="G471" s="89" t="s">
        <v>42</v>
      </c>
      <c r="H471" s="38"/>
      <c r="I471" s="38"/>
      <c r="J471" s="38"/>
      <c r="K471" s="68" t="s">
        <v>2511</v>
      </c>
      <c r="L471" s="68" t="s">
        <v>2512</v>
      </c>
      <c r="M471" s="68" t="s">
        <v>2513</v>
      </c>
      <c r="N471" s="67">
        <v>21.399552</v>
      </c>
      <c r="O471" s="67">
        <v>92.083613999999997</v>
      </c>
      <c r="P471" s="74">
        <v>300</v>
      </c>
      <c r="Q471" s="74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38"/>
      <c r="AJ471" s="38"/>
    </row>
    <row r="472" spans="1:36" x14ac:dyDescent="0.3">
      <c r="A472" s="63">
        <v>466</v>
      </c>
      <c r="B472" s="102" t="s">
        <v>3520</v>
      </c>
      <c r="C472" s="102" t="s">
        <v>3521</v>
      </c>
      <c r="D472" s="64" t="s">
        <v>119</v>
      </c>
      <c r="E472" s="72" t="s">
        <v>1203</v>
      </c>
      <c r="F472" s="72" t="s">
        <v>1213</v>
      </c>
      <c r="G472" s="89" t="s">
        <v>43</v>
      </c>
      <c r="H472" s="38"/>
      <c r="I472" s="38"/>
      <c r="J472" s="38"/>
      <c r="K472" s="68" t="s">
        <v>2514</v>
      </c>
      <c r="L472" s="68" t="s">
        <v>2515</v>
      </c>
      <c r="M472" s="68" t="s">
        <v>2516</v>
      </c>
      <c r="N472" s="67">
        <v>21.412921999999998</v>
      </c>
      <c r="O472" s="67">
        <v>92.089855999999997</v>
      </c>
      <c r="P472" s="74">
        <v>850</v>
      </c>
      <c r="Q472" s="74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38"/>
      <c r="AJ472" s="38"/>
    </row>
    <row r="473" spans="1:36" x14ac:dyDescent="0.3">
      <c r="A473" s="63">
        <v>467</v>
      </c>
      <c r="B473" s="102" t="s">
        <v>3520</v>
      </c>
      <c r="C473" s="102" t="s">
        <v>3521</v>
      </c>
      <c r="D473" s="64" t="s">
        <v>119</v>
      </c>
      <c r="E473" s="72" t="s">
        <v>1203</v>
      </c>
      <c r="F473" s="72" t="s">
        <v>1213</v>
      </c>
      <c r="G473" s="89" t="s">
        <v>43</v>
      </c>
      <c r="H473" s="38"/>
      <c r="I473" s="38"/>
      <c r="J473" s="38"/>
      <c r="K473" s="68" t="s">
        <v>62</v>
      </c>
      <c r="L473" s="68" t="s">
        <v>63</v>
      </c>
      <c r="M473" s="68" t="s">
        <v>2517</v>
      </c>
      <c r="N473" s="67">
        <v>21.41225</v>
      </c>
      <c r="O473" s="67">
        <v>92.092352000000005</v>
      </c>
      <c r="P473" s="74">
        <v>1000</v>
      </c>
      <c r="Q473" s="74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38"/>
      <c r="AJ473" s="38"/>
    </row>
    <row r="474" spans="1:36" x14ac:dyDescent="0.3">
      <c r="A474" s="63">
        <v>468</v>
      </c>
      <c r="B474" s="102" t="s">
        <v>3520</v>
      </c>
      <c r="C474" s="102" t="s">
        <v>3521</v>
      </c>
      <c r="D474" s="64" t="s">
        <v>119</v>
      </c>
      <c r="E474" s="72" t="s">
        <v>1203</v>
      </c>
      <c r="F474" s="72" t="s">
        <v>1213</v>
      </c>
      <c r="G474" s="89" t="s">
        <v>43</v>
      </c>
      <c r="H474" s="38"/>
      <c r="I474" s="38"/>
      <c r="J474" s="38"/>
      <c r="K474" s="68" t="s">
        <v>2518</v>
      </c>
      <c r="L474" s="68" t="s">
        <v>2519</v>
      </c>
      <c r="M474" s="68" t="s">
        <v>2520</v>
      </c>
      <c r="N474" s="67">
        <v>21.414085</v>
      </c>
      <c r="O474" s="67">
        <v>92.090824999999995</v>
      </c>
      <c r="P474" s="74">
        <v>300</v>
      </c>
      <c r="Q474" s="74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  <c r="AI474" s="38"/>
      <c r="AJ474" s="38"/>
    </row>
    <row r="475" spans="1:36" x14ac:dyDescent="0.3">
      <c r="A475" s="63">
        <v>469</v>
      </c>
      <c r="B475" s="102" t="s">
        <v>3520</v>
      </c>
      <c r="C475" s="102" t="s">
        <v>3521</v>
      </c>
      <c r="D475" s="64" t="s">
        <v>119</v>
      </c>
      <c r="E475" s="72" t="s">
        <v>1203</v>
      </c>
      <c r="F475" s="72" t="s">
        <v>1213</v>
      </c>
      <c r="G475" s="89" t="s">
        <v>43</v>
      </c>
      <c r="H475" s="38"/>
      <c r="I475" s="38"/>
      <c r="J475" s="38"/>
      <c r="K475" s="68" t="s">
        <v>2521</v>
      </c>
      <c r="L475" s="68" t="s">
        <v>2522</v>
      </c>
      <c r="M475" s="68" t="s">
        <v>2523</v>
      </c>
      <c r="N475" s="67">
        <v>21.407378000000001</v>
      </c>
      <c r="O475" s="67">
        <v>92.092678000000006</v>
      </c>
      <c r="P475" s="74">
        <v>400</v>
      </c>
      <c r="Q475" s="74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38"/>
      <c r="AJ475" s="38"/>
    </row>
    <row r="476" spans="1:36" x14ac:dyDescent="0.3">
      <c r="A476" s="63">
        <v>470</v>
      </c>
      <c r="B476" s="102" t="s">
        <v>3520</v>
      </c>
      <c r="C476" s="102" t="s">
        <v>3521</v>
      </c>
      <c r="D476" s="64" t="s">
        <v>119</v>
      </c>
      <c r="E476" s="72" t="s">
        <v>1203</v>
      </c>
      <c r="F476" s="72" t="s">
        <v>1213</v>
      </c>
      <c r="G476" s="89" t="s">
        <v>43</v>
      </c>
      <c r="H476" s="38"/>
      <c r="I476" s="38"/>
      <c r="J476" s="38"/>
      <c r="K476" s="68" t="s">
        <v>2524</v>
      </c>
      <c r="L476" s="68" t="s">
        <v>2525</v>
      </c>
      <c r="M476" s="68" t="s">
        <v>2526</v>
      </c>
      <c r="N476" s="67">
        <v>21.39892</v>
      </c>
      <c r="O476" s="67">
        <v>92.091791000000001</v>
      </c>
      <c r="P476" s="74">
        <v>150</v>
      </c>
      <c r="Q476" s="74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38"/>
      <c r="AJ476" s="38"/>
    </row>
    <row r="477" spans="1:36" x14ac:dyDescent="0.3">
      <c r="A477" s="63">
        <v>471</v>
      </c>
      <c r="B477" s="102" t="s">
        <v>3520</v>
      </c>
      <c r="C477" s="102" t="s">
        <v>3521</v>
      </c>
      <c r="D477" s="64" t="s">
        <v>119</v>
      </c>
      <c r="E477" s="72" t="s">
        <v>1203</v>
      </c>
      <c r="F477" s="72" t="s">
        <v>1213</v>
      </c>
      <c r="G477" s="89" t="s">
        <v>44</v>
      </c>
      <c r="H477" s="38"/>
      <c r="I477" s="38"/>
      <c r="J477" s="38"/>
      <c r="K477" s="69" t="s">
        <v>2527</v>
      </c>
      <c r="L477" s="69" t="s">
        <v>2528</v>
      </c>
      <c r="M477" s="68" t="s">
        <v>2529</v>
      </c>
      <c r="N477" s="67">
        <v>21.410504</v>
      </c>
      <c r="O477" s="67">
        <v>92.095851999999994</v>
      </c>
      <c r="P477" s="74">
        <v>2500</v>
      </c>
      <c r="Q477" s="74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38"/>
      <c r="AJ477" s="38"/>
    </row>
    <row r="478" spans="1:36" x14ac:dyDescent="0.3">
      <c r="A478" s="63">
        <v>472</v>
      </c>
      <c r="B478" s="102" t="s">
        <v>3520</v>
      </c>
      <c r="C478" s="102" t="s">
        <v>3521</v>
      </c>
      <c r="D478" s="64" t="s">
        <v>119</v>
      </c>
      <c r="E478" s="72" t="s">
        <v>1203</v>
      </c>
      <c r="F478" s="72" t="s">
        <v>1213</v>
      </c>
      <c r="G478" s="89" t="s">
        <v>44</v>
      </c>
      <c r="H478" s="38"/>
      <c r="I478" s="38"/>
      <c r="J478" s="38"/>
      <c r="K478" s="69" t="s">
        <v>2530</v>
      </c>
      <c r="L478" s="68" t="s">
        <v>2531</v>
      </c>
      <c r="M478" s="68" t="s">
        <v>2532</v>
      </c>
      <c r="N478" s="67">
        <v>21.396830000000001</v>
      </c>
      <c r="O478" s="67">
        <v>92.097481000000002</v>
      </c>
      <c r="P478" s="74">
        <v>3000</v>
      </c>
      <c r="Q478" s="74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38"/>
      <c r="AJ478" s="38"/>
    </row>
    <row r="479" spans="1:36" x14ac:dyDescent="0.3">
      <c r="A479" s="63">
        <v>473</v>
      </c>
      <c r="B479" s="102" t="s">
        <v>3520</v>
      </c>
      <c r="C479" s="102" t="s">
        <v>3521</v>
      </c>
      <c r="D479" s="64" t="s">
        <v>119</v>
      </c>
      <c r="E479" s="72" t="s">
        <v>1203</v>
      </c>
      <c r="F479" s="72" t="s">
        <v>1213</v>
      </c>
      <c r="G479" s="89" t="s">
        <v>44</v>
      </c>
      <c r="H479" s="38"/>
      <c r="I479" s="38"/>
      <c r="J479" s="38"/>
      <c r="K479" s="68" t="s">
        <v>2533</v>
      </c>
      <c r="L479" s="68" t="s">
        <v>2534</v>
      </c>
      <c r="M479" s="68" t="s">
        <v>2535</v>
      </c>
      <c r="N479" s="67">
        <v>21.393625</v>
      </c>
      <c r="O479" s="67">
        <v>92.111918000000003</v>
      </c>
      <c r="P479" s="74">
        <v>1000</v>
      </c>
      <c r="Q479" s="74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38"/>
      <c r="AJ479" s="38"/>
    </row>
    <row r="480" spans="1:36" x14ac:dyDescent="0.3">
      <c r="A480" s="63">
        <v>474</v>
      </c>
      <c r="B480" s="102" t="s">
        <v>3520</v>
      </c>
      <c r="C480" s="102" t="s">
        <v>3521</v>
      </c>
      <c r="D480" s="64" t="s">
        <v>119</v>
      </c>
      <c r="E480" s="72" t="s">
        <v>1203</v>
      </c>
      <c r="F480" s="72" t="s">
        <v>1213</v>
      </c>
      <c r="G480" s="89" t="s">
        <v>44</v>
      </c>
      <c r="H480" s="38"/>
      <c r="I480" s="38"/>
      <c r="J480" s="38"/>
      <c r="K480" s="68" t="s">
        <v>2536</v>
      </c>
      <c r="L480" s="68" t="s">
        <v>2537</v>
      </c>
      <c r="M480" s="68" t="s">
        <v>2538</v>
      </c>
      <c r="N480" s="67">
        <v>21.390591000000001</v>
      </c>
      <c r="O480" s="67">
        <v>92.114233999999996</v>
      </c>
      <c r="P480" s="74">
        <v>300</v>
      </c>
      <c r="Q480" s="74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38"/>
      <c r="AJ480" s="38"/>
    </row>
    <row r="481" spans="1:36" x14ac:dyDescent="0.3">
      <c r="A481" s="63">
        <v>475</v>
      </c>
      <c r="B481" s="102" t="s">
        <v>3520</v>
      </c>
      <c r="C481" s="102" t="s">
        <v>3521</v>
      </c>
      <c r="D481" s="64" t="s">
        <v>119</v>
      </c>
      <c r="E481" s="72" t="s">
        <v>1203</v>
      </c>
      <c r="F481" s="72" t="s">
        <v>1213</v>
      </c>
      <c r="G481" s="89" t="s">
        <v>44</v>
      </c>
      <c r="H481" s="38"/>
      <c r="I481" s="38"/>
      <c r="J481" s="38"/>
      <c r="K481" s="68" t="s">
        <v>2539</v>
      </c>
      <c r="L481" s="68" t="s">
        <v>2540</v>
      </c>
      <c r="M481" s="68" t="s">
        <v>2541</v>
      </c>
      <c r="N481" s="67">
        <v>21.377948</v>
      </c>
      <c r="O481" s="67">
        <v>92.106774999999999</v>
      </c>
      <c r="P481" s="74">
        <v>10000</v>
      </c>
      <c r="Q481" s="74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38"/>
      <c r="AJ481" s="38"/>
    </row>
    <row r="482" spans="1:36" x14ac:dyDescent="0.3">
      <c r="A482" s="63">
        <v>476</v>
      </c>
      <c r="B482" s="102" t="s">
        <v>3520</v>
      </c>
      <c r="C482" s="102" t="s">
        <v>3521</v>
      </c>
      <c r="D482" s="64" t="s">
        <v>119</v>
      </c>
      <c r="E482" s="72" t="s">
        <v>1203</v>
      </c>
      <c r="F482" s="72" t="s">
        <v>1213</v>
      </c>
      <c r="G482" s="89" t="s">
        <v>44</v>
      </c>
      <c r="H482" s="38"/>
      <c r="I482" s="38"/>
      <c r="J482" s="38"/>
      <c r="K482" s="68" t="s">
        <v>2542</v>
      </c>
      <c r="L482" s="68" t="s">
        <v>2543</v>
      </c>
      <c r="M482" s="68" t="s">
        <v>2544</v>
      </c>
      <c r="N482" s="67">
        <v>21.387070000000001</v>
      </c>
      <c r="O482" s="67">
        <v>92.111407</v>
      </c>
      <c r="P482" s="74">
        <v>200</v>
      </c>
      <c r="Q482" s="74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38"/>
      <c r="AJ482" s="38"/>
    </row>
    <row r="483" spans="1:36" x14ac:dyDescent="0.3">
      <c r="A483" s="63">
        <v>477</v>
      </c>
      <c r="B483" s="102" t="s">
        <v>3520</v>
      </c>
      <c r="C483" s="102" t="s">
        <v>3521</v>
      </c>
      <c r="D483" s="64" t="s">
        <v>119</v>
      </c>
      <c r="E483" s="72" t="s">
        <v>1203</v>
      </c>
      <c r="F483" s="72" t="s">
        <v>1213</v>
      </c>
      <c r="G483" s="89" t="s">
        <v>45</v>
      </c>
      <c r="H483" s="38"/>
      <c r="I483" s="38"/>
      <c r="J483" s="38"/>
      <c r="K483" s="68" t="s">
        <v>106</v>
      </c>
      <c r="L483" s="68" t="s">
        <v>107</v>
      </c>
      <c r="M483" s="68" t="s">
        <v>2545</v>
      </c>
      <c r="N483" s="67">
        <v>21.412317999999999</v>
      </c>
      <c r="O483" s="67">
        <v>92.098934</v>
      </c>
      <c r="P483" s="74">
        <v>1400</v>
      </c>
      <c r="Q483" s="74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38"/>
      <c r="AJ483" s="38"/>
    </row>
    <row r="484" spans="1:36" x14ac:dyDescent="0.3">
      <c r="A484" s="63">
        <v>478</v>
      </c>
      <c r="B484" s="102" t="s">
        <v>3520</v>
      </c>
      <c r="C484" s="102" t="s">
        <v>3521</v>
      </c>
      <c r="D484" s="64" t="s">
        <v>119</v>
      </c>
      <c r="E484" s="72" t="s">
        <v>1203</v>
      </c>
      <c r="F484" s="72" t="s">
        <v>1213</v>
      </c>
      <c r="G484" s="89" t="s">
        <v>45</v>
      </c>
      <c r="H484" s="38"/>
      <c r="I484" s="38"/>
      <c r="J484" s="38"/>
      <c r="K484" s="68" t="s">
        <v>2546</v>
      </c>
      <c r="L484" s="68" t="s">
        <v>2547</v>
      </c>
      <c r="M484" s="68" t="s">
        <v>2548</v>
      </c>
      <c r="N484" s="67">
        <v>21.412541000000001</v>
      </c>
      <c r="O484" s="67">
        <v>92.100691999999995</v>
      </c>
      <c r="P484" s="74">
        <v>900</v>
      </c>
      <c r="Q484" s="74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38"/>
      <c r="AJ484" s="38"/>
    </row>
    <row r="485" spans="1:36" x14ac:dyDescent="0.3">
      <c r="A485" s="63">
        <v>479</v>
      </c>
      <c r="B485" s="102" t="s">
        <v>3520</v>
      </c>
      <c r="C485" s="102" t="s">
        <v>3521</v>
      </c>
      <c r="D485" s="64" t="s">
        <v>119</v>
      </c>
      <c r="E485" s="72" t="s">
        <v>1203</v>
      </c>
      <c r="F485" s="72" t="s">
        <v>1213</v>
      </c>
      <c r="G485" s="89" t="s">
        <v>45</v>
      </c>
      <c r="H485" s="38"/>
      <c r="I485" s="38"/>
      <c r="J485" s="38"/>
      <c r="K485" s="68" t="s">
        <v>2549</v>
      </c>
      <c r="L485" s="68" t="s">
        <v>2550</v>
      </c>
      <c r="M485" s="68" t="s">
        <v>2551</v>
      </c>
      <c r="N485" s="67">
        <v>21.413055</v>
      </c>
      <c r="O485" s="67">
        <v>92.099605999999994</v>
      </c>
      <c r="P485" s="74">
        <v>300</v>
      </c>
      <c r="Q485" s="74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38"/>
      <c r="AJ485" s="38"/>
    </row>
    <row r="486" spans="1:36" x14ac:dyDescent="0.3">
      <c r="A486" s="63">
        <v>480</v>
      </c>
      <c r="B486" s="102" t="s">
        <v>3520</v>
      </c>
      <c r="C486" s="102" t="s">
        <v>3521</v>
      </c>
      <c r="D486" s="64" t="s">
        <v>119</v>
      </c>
      <c r="E486" s="72" t="s">
        <v>1203</v>
      </c>
      <c r="F486" s="72" t="s">
        <v>1213</v>
      </c>
      <c r="G486" s="89" t="s">
        <v>45</v>
      </c>
      <c r="H486" s="38"/>
      <c r="I486" s="38"/>
      <c r="J486" s="38"/>
      <c r="K486" s="68" t="s">
        <v>2552</v>
      </c>
      <c r="L486" s="68" t="s">
        <v>2553</v>
      </c>
      <c r="M486" s="68" t="s">
        <v>2554</v>
      </c>
      <c r="N486" s="67">
        <v>21.411632999999998</v>
      </c>
      <c r="O486" s="67">
        <v>92.102260000000001</v>
      </c>
      <c r="P486" s="74">
        <v>150</v>
      </c>
      <c r="Q486" s="74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38"/>
      <c r="AJ486" s="38"/>
    </row>
    <row r="487" spans="1:36" x14ac:dyDescent="0.3">
      <c r="A487" s="63">
        <v>481</v>
      </c>
      <c r="B487" s="102" t="s">
        <v>3520</v>
      </c>
      <c r="C487" s="102" t="s">
        <v>3521</v>
      </c>
      <c r="D487" s="64" t="s">
        <v>119</v>
      </c>
      <c r="E487" s="72" t="s">
        <v>1203</v>
      </c>
      <c r="F487" s="72" t="s">
        <v>1213</v>
      </c>
      <c r="G487" s="89" t="s">
        <v>45</v>
      </c>
      <c r="H487" s="38"/>
      <c r="I487" s="38"/>
      <c r="J487" s="38"/>
      <c r="K487" s="68" t="s">
        <v>2555</v>
      </c>
      <c r="L487" s="68" t="s">
        <v>2556</v>
      </c>
      <c r="M487" s="68" t="s">
        <v>2557</v>
      </c>
      <c r="N487" s="67">
        <v>21.39902</v>
      </c>
      <c r="O487" s="67">
        <v>92.107760999999996</v>
      </c>
      <c r="P487" s="74">
        <v>1300</v>
      </c>
      <c r="Q487" s="74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38"/>
      <c r="AJ487" s="38"/>
    </row>
    <row r="488" spans="1:36" x14ac:dyDescent="0.3">
      <c r="A488" s="63">
        <v>482</v>
      </c>
      <c r="B488" s="102" t="s">
        <v>3520</v>
      </c>
      <c r="C488" s="102" t="s">
        <v>3521</v>
      </c>
      <c r="D488" s="64" t="s">
        <v>119</v>
      </c>
      <c r="E488" s="72" t="s">
        <v>1203</v>
      </c>
      <c r="F488" s="72" t="s">
        <v>1213</v>
      </c>
      <c r="G488" s="89" t="s">
        <v>45</v>
      </c>
      <c r="H488" s="38"/>
      <c r="I488" s="38"/>
      <c r="J488" s="38"/>
      <c r="K488" s="68" t="s">
        <v>2558</v>
      </c>
      <c r="L488" s="68" t="s">
        <v>2559</v>
      </c>
      <c r="M488" s="68" t="s">
        <v>2560</v>
      </c>
      <c r="N488" s="67">
        <v>21.392011</v>
      </c>
      <c r="O488" s="67">
        <v>92.108429000000001</v>
      </c>
      <c r="P488" s="74">
        <v>700</v>
      </c>
      <c r="Q488" s="74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38"/>
      <c r="AJ488" s="38"/>
    </row>
    <row r="489" spans="1:36" x14ac:dyDescent="0.3">
      <c r="A489" s="63">
        <v>483</v>
      </c>
      <c r="B489" s="102" t="s">
        <v>3520</v>
      </c>
      <c r="C489" s="102" t="s">
        <v>3521</v>
      </c>
      <c r="D489" s="64" t="s">
        <v>119</v>
      </c>
      <c r="E489" s="72" t="s">
        <v>1203</v>
      </c>
      <c r="F489" s="72" t="s">
        <v>1213</v>
      </c>
      <c r="G489" s="89" t="s">
        <v>46</v>
      </c>
      <c r="H489" s="38"/>
      <c r="I489" s="38"/>
      <c r="J489" s="38"/>
      <c r="K489" s="68" t="s">
        <v>2552</v>
      </c>
      <c r="L489" s="68" t="s">
        <v>2553</v>
      </c>
      <c r="M489" s="68" t="s">
        <v>2561</v>
      </c>
      <c r="N489" s="67">
        <v>21.410101000000001</v>
      </c>
      <c r="O489" s="67">
        <v>92.103665000000007</v>
      </c>
      <c r="P489" s="74">
        <v>2800</v>
      </c>
      <c r="Q489" s="74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38"/>
      <c r="AJ489" s="38"/>
    </row>
    <row r="490" spans="1:36" x14ac:dyDescent="0.3">
      <c r="A490" s="63">
        <v>484</v>
      </c>
      <c r="B490" s="102" t="s">
        <v>3520</v>
      </c>
      <c r="C490" s="102" t="s">
        <v>3521</v>
      </c>
      <c r="D490" s="64" t="s">
        <v>119</v>
      </c>
      <c r="E490" s="72" t="s">
        <v>1203</v>
      </c>
      <c r="F490" s="72" t="s">
        <v>1213</v>
      </c>
      <c r="G490" s="89" t="s">
        <v>46</v>
      </c>
      <c r="H490" s="38"/>
      <c r="I490" s="38"/>
      <c r="J490" s="38"/>
      <c r="K490" s="68" t="s">
        <v>2562</v>
      </c>
      <c r="L490" s="68" t="s">
        <v>2563</v>
      </c>
      <c r="M490" s="68" t="s">
        <v>2564</v>
      </c>
      <c r="N490" s="67">
        <v>21.406085000000001</v>
      </c>
      <c r="O490" s="67">
        <v>92.105806000000001</v>
      </c>
      <c r="P490" s="74">
        <v>1200</v>
      </c>
      <c r="Q490" s="74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38"/>
      <c r="AJ490" s="38"/>
    </row>
    <row r="491" spans="1:36" x14ac:dyDescent="0.3">
      <c r="A491" s="63">
        <v>485</v>
      </c>
      <c r="B491" s="102" t="s">
        <v>3520</v>
      </c>
      <c r="C491" s="102" t="s">
        <v>3521</v>
      </c>
      <c r="D491" s="64" t="s">
        <v>119</v>
      </c>
      <c r="E491" s="72" t="s">
        <v>1203</v>
      </c>
      <c r="F491" s="72" t="s">
        <v>1213</v>
      </c>
      <c r="G491" s="89" t="s">
        <v>47</v>
      </c>
      <c r="H491" s="38"/>
      <c r="I491" s="38"/>
      <c r="J491" s="38"/>
      <c r="K491" s="69" t="s">
        <v>2565</v>
      </c>
      <c r="L491" s="68" t="s">
        <v>2566</v>
      </c>
      <c r="M491" s="68" t="s">
        <v>2567</v>
      </c>
      <c r="N491" s="67">
        <v>21.409085999999999</v>
      </c>
      <c r="O491" s="67">
        <v>92.109485000000006</v>
      </c>
      <c r="P491" s="74">
        <v>500</v>
      </c>
      <c r="Q491" s="74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38"/>
      <c r="AJ491" s="38"/>
    </row>
    <row r="492" spans="1:36" x14ac:dyDescent="0.3">
      <c r="A492" s="63">
        <v>486</v>
      </c>
      <c r="B492" s="102" t="s">
        <v>3520</v>
      </c>
      <c r="C492" s="102" t="s">
        <v>3521</v>
      </c>
      <c r="D492" s="64" t="s">
        <v>119</v>
      </c>
      <c r="E492" s="72" t="s">
        <v>1203</v>
      </c>
      <c r="F492" s="72" t="s">
        <v>1213</v>
      </c>
      <c r="G492" s="89" t="s">
        <v>47</v>
      </c>
      <c r="H492" s="38"/>
      <c r="I492" s="38"/>
      <c r="J492" s="38"/>
      <c r="K492" s="69" t="s">
        <v>2568</v>
      </c>
      <c r="L492" s="68" t="s">
        <v>2569</v>
      </c>
      <c r="M492" s="68" t="s">
        <v>2570</v>
      </c>
      <c r="N492" s="67">
        <v>21.403824</v>
      </c>
      <c r="O492" s="67">
        <v>92.110495999999998</v>
      </c>
      <c r="P492" s="74">
        <v>600</v>
      </c>
      <c r="Q492" s="74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38"/>
      <c r="AJ492" s="38"/>
    </row>
    <row r="493" spans="1:36" x14ac:dyDescent="0.3">
      <c r="A493" s="63">
        <v>487</v>
      </c>
      <c r="B493" s="102" t="s">
        <v>3520</v>
      </c>
      <c r="C493" s="102" t="s">
        <v>3521</v>
      </c>
      <c r="D493" s="64" t="s">
        <v>119</v>
      </c>
      <c r="E493" s="72" t="s">
        <v>1203</v>
      </c>
      <c r="F493" s="72" t="s">
        <v>1213</v>
      </c>
      <c r="G493" s="89" t="s">
        <v>47</v>
      </c>
      <c r="H493" s="38"/>
      <c r="I493" s="38"/>
      <c r="J493" s="38"/>
      <c r="K493" s="69" t="s">
        <v>2571</v>
      </c>
      <c r="L493" s="68" t="s">
        <v>2572</v>
      </c>
      <c r="M493" s="68" t="s">
        <v>2573</v>
      </c>
      <c r="N493" s="67">
        <v>21.403148000000002</v>
      </c>
      <c r="O493" s="67">
        <v>92.113718000000006</v>
      </c>
      <c r="P493" s="74">
        <v>600</v>
      </c>
      <c r="Q493" s="74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</row>
    <row r="494" spans="1:36" x14ac:dyDescent="0.3">
      <c r="A494" s="63">
        <v>488</v>
      </c>
      <c r="B494" s="102" t="s">
        <v>3520</v>
      </c>
      <c r="C494" s="102" t="s">
        <v>3521</v>
      </c>
      <c r="D494" s="64" t="s">
        <v>119</v>
      </c>
      <c r="E494" s="72" t="s">
        <v>1203</v>
      </c>
      <c r="F494" s="72" t="s">
        <v>1213</v>
      </c>
      <c r="G494" s="89" t="s">
        <v>47</v>
      </c>
      <c r="H494" s="38"/>
      <c r="I494" s="38"/>
      <c r="J494" s="38"/>
      <c r="K494" s="75" t="s">
        <v>2574</v>
      </c>
      <c r="L494" s="68" t="s">
        <v>2575</v>
      </c>
      <c r="M494" s="68" t="s">
        <v>2576</v>
      </c>
      <c r="N494" s="67">
        <v>21.400572</v>
      </c>
      <c r="O494" s="67">
        <v>92.113208999999998</v>
      </c>
      <c r="P494" s="74">
        <v>700</v>
      </c>
      <c r="Q494" s="74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38"/>
      <c r="AJ494" s="38"/>
    </row>
    <row r="495" spans="1:36" x14ac:dyDescent="0.3">
      <c r="A495" s="63">
        <v>489</v>
      </c>
      <c r="B495" s="102" t="s">
        <v>3520</v>
      </c>
      <c r="C495" s="102" t="s">
        <v>3521</v>
      </c>
      <c r="D495" s="64" t="s">
        <v>119</v>
      </c>
      <c r="E495" s="72" t="s">
        <v>1203</v>
      </c>
      <c r="F495" s="72" t="s">
        <v>1213</v>
      </c>
      <c r="G495" s="89" t="s">
        <v>47</v>
      </c>
      <c r="H495" s="38"/>
      <c r="I495" s="38"/>
      <c r="J495" s="38"/>
      <c r="K495" s="68" t="s">
        <v>2577</v>
      </c>
      <c r="L495" s="68" t="s">
        <v>2578</v>
      </c>
      <c r="M495" s="68" t="s">
        <v>2579</v>
      </c>
      <c r="N495" s="67">
        <v>21.400846999999999</v>
      </c>
      <c r="O495" s="67">
        <v>92.120975000000001</v>
      </c>
      <c r="P495" s="74">
        <v>400</v>
      </c>
      <c r="Q495" s="74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38"/>
      <c r="AJ495" s="38"/>
    </row>
    <row r="496" spans="1:36" x14ac:dyDescent="0.3">
      <c r="A496" s="63">
        <v>490</v>
      </c>
      <c r="B496" s="102" t="s">
        <v>3520</v>
      </c>
      <c r="C496" s="102" t="s">
        <v>3521</v>
      </c>
      <c r="D496" s="64" t="s">
        <v>119</v>
      </c>
      <c r="E496" s="72" t="s">
        <v>1203</v>
      </c>
      <c r="F496" s="72" t="s">
        <v>1213</v>
      </c>
      <c r="G496" s="89" t="s">
        <v>47</v>
      </c>
      <c r="H496" s="38"/>
      <c r="I496" s="38"/>
      <c r="J496" s="38"/>
      <c r="K496" s="68" t="s">
        <v>2580</v>
      </c>
      <c r="L496" s="68" t="s">
        <v>2581</v>
      </c>
      <c r="M496" s="68" t="s">
        <v>2582</v>
      </c>
      <c r="N496" s="67">
        <v>21.39612</v>
      </c>
      <c r="O496" s="67">
        <v>92.116707000000005</v>
      </c>
      <c r="P496" s="74">
        <v>1000</v>
      </c>
      <c r="Q496" s="74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38"/>
      <c r="AJ496" s="38"/>
    </row>
    <row r="497" spans="1:36" x14ac:dyDescent="0.3">
      <c r="A497" s="63">
        <v>491</v>
      </c>
      <c r="B497" s="102" t="s">
        <v>3520</v>
      </c>
      <c r="C497" s="102" t="s">
        <v>3521</v>
      </c>
      <c r="D497" s="64" t="s">
        <v>119</v>
      </c>
      <c r="E497" s="72" t="s">
        <v>1203</v>
      </c>
      <c r="F497" s="72" t="s">
        <v>1213</v>
      </c>
      <c r="G497" s="89" t="s">
        <v>47</v>
      </c>
      <c r="H497" s="38"/>
      <c r="I497" s="38"/>
      <c r="J497" s="38"/>
      <c r="K497" s="68" t="s">
        <v>2583</v>
      </c>
      <c r="L497" s="68" t="s">
        <v>2584</v>
      </c>
      <c r="M497" s="68" t="s">
        <v>2585</v>
      </c>
      <c r="N497" s="67">
        <v>21.392164000000001</v>
      </c>
      <c r="O497" s="67">
        <v>92.115983</v>
      </c>
      <c r="P497" s="74">
        <v>600</v>
      </c>
      <c r="Q497" s="74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38"/>
      <c r="AJ497" s="38"/>
    </row>
    <row r="498" spans="1:36" x14ac:dyDescent="0.3">
      <c r="A498" s="63">
        <v>492</v>
      </c>
      <c r="B498" s="102" t="s">
        <v>3520</v>
      </c>
      <c r="C498" s="102" t="s">
        <v>3521</v>
      </c>
      <c r="D498" s="64" t="s">
        <v>119</v>
      </c>
      <c r="E498" s="72" t="s">
        <v>1203</v>
      </c>
      <c r="F498" s="72" t="s">
        <v>1213</v>
      </c>
      <c r="G498" s="89" t="s">
        <v>47</v>
      </c>
      <c r="H498" s="38"/>
      <c r="I498" s="38"/>
      <c r="J498" s="38"/>
      <c r="K498" s="68" t="s">
        <v>57</v>
      </c>
      <c r="L498" s="68" t="s">
        <v>58</v>
      </c>
      <c r="M498" s="68" t="s">
        <v>2586</v>
      </c>
      <c r="N498" s="67">
        <v>21.388802999999999</v>
      </c>
      <c r="O498" s="67">
        <v>92.117360000000005</v>
      </c>
      <c r="P498" s="74">
        <v>400</v>
      </c>
      <c r="Q498" s="74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38"/>
      <c r="AJ498" s="38"/>
    </row>
    <row r="499" spans="1:36" x14ac:dyDescent="0.3">
      <c r="A499" s="63">
        <v>493</v>
      </c>
      <c r="B499" s="102" t="s">
        <v>3520</v>
      </c>
      <c r="C499" s="102" t="s">
        <v>3521</v>
      </c>
      <c r="D499" s="64" t="s">
        <v>119</v>
      </c>
      <c r="E499" s="72" t="s">
        <v>1203</v>
      </c>
      <c r="F499" s="72" t="s">
        <v>1213</v>
      </c>
      <c r="G499" s="89" t="s">
        <v>47</v>
      </c>
      <c r="H499" s="38"/>
      <c r="I499" s="38"/>
      <c r="J499" s="38"/>
      <c r="K499" s="68" t="s">
        <v>76</v>
      </c>
      <c r="L499" s="68" t="s">
        <v>612</v>
      </c>
      <c r="M499" s="68" t="s">
        <v>2587</v>
      </c>
      <c r="N499" s="67">
        <v>21.385660000000001</v>
      </c>
      <c r="O499" s="67">
        <v>92.117424</v>
      </c>
      <c r="P499" s="74">
        <v>1200</v>
      </c>
      <c r="Q499" s="74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38"/>
      <c r="AJ499" s="38"/>
    </row>
    <row r="500" spans="1:36" x14ac:dyDescent="0.3">
      <c r="A500" s="63">
        <v>494</v>
      </c>
      <c r="B500" s="102" t="s">
        <v>3520</v>
      </c>
      <c r="C500" s="102" t="s">
        <v>3521</v>
      </c>
      <c r="D500" s="64" t="s">
        <v>119</v>
      </c>
      <c r="E500" s="72" t="s">
        <v>1203</v>
      </c>
      <c r="F500" s="72" t="s">
        <v>1213</v>
      </c>
      <c r="G500" s="89" t="s">
        <v>48</v>
      </c>
      <c r="H500" s="38"/>
      <c r="I500" s="38"/>
      <c r="J500" s="38"/>
      <c r="K500" s="68" t="s">
        <v>2588</v>
      </c>
      <c r="L500" s="68" t="s">
        <v>2589</v>
      </c>
      <c r="M500" s="68" t="s">
        <v>2590</v>
      </c>
      <c r="N500" s="67">
        <v>21.420618999999999</v>
      </c>
      <c r="O500" s="67">
        <v>92.114558000000002</v>
      </c>
      <c r="P500" s="74">
        <v>700</v>
      </c>
      <c r="Q500" s="74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38"/>
      <c r="AJ500" s="38"/>
    </row>
    <row r="501" spans="1:36" x14ac:dyDescent="0.3">
      <c r="A501" s="63">
        <v>495</v>
      </c>
      <c r="B501" s="102" t="s">
        <v>3520</v>
      </c>
      <c r="C501" s="102" t="s">
        <v>3521</v>
      </c>
      <c r="D501" s="64" t="s">
        <v>119</v>
      </c>
      <c r="E501" s="72" t="s">
        <v>1203</v>
      </c>
      <c r="F501" s="72" t="s">
        <v>1213</v>
      </c>
      <c r="G501" s="89" t="s">
        <v>48</v>
      </c>
      <c r="H501" s="38"/>
      <c r="I501" s="38"/>
      <c r="J501" s="38"/>
      <c r="K501" s="68" t="s">
        <v>2591</v>
      </c>
      <c r="L501" s="68" t="s">
        <v>2592</v>
      </c>
      <c r="M501" s="68" t="s">
        <v>2593</v>
      </c>
      <c r="N501" s="67">
        <v>21.413869999999999</v>
      </c>
      <c r="O501" s="67">
        <v>92.113865000000004</v>
      </c>
      <c r="P501" s="74">
        <v>2000</v>
      </c>
      <c r="Q501" s="74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38"/>
      <c r="AJ501" s="38"/>
    </row>
    <row r="502" spans="1:36" x14ac:dyDescent="0.3">
      <c r="A502" s="63">
        <v>496</v>
      </c>
      <c r="B502" s="102" t="s">
        <v>3520</v>
      </c>
      <c r="C502" s="102" t="s">
        <v>3521</v>
      </c>
      <c r="D502" s="64" t="s">
        <v>119</v>
      </c>
      <c r="E502" s="72" t="s">
        <v>1203</v>
      </c>
      <c r="F502" s="72" t="s">
        <v>1213</v>
      </c>
      <c r="G502" s="89" t="s">
        <v>48</v>
      </c>
      <c r="H502" s="38"/>
      <c r="I502" s="38"/>
      <c r="J502" s="38"/>
      <c r="K502" s="68" t="s">
        <v>2594</v>
      </c>
      <c r="L502" s="68" t="s">
        <v>2595</v>
      </c>
      <c r="M502" s="68" t="s">
        <v>2596</v>
      </c>
      <c r="N502" s="67">
        <v>21.410755999999999</v>
      </c>
      <c r="O502" s="67">
        <v>92.119024999999993</v>
      </c>
      <c r="P502" s="74">
        <v>500</v>
      </c>
      <c r="Q502" s="74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</row>
    <row r="503" spans="1:36" x14ac:dyDescent="0.3">
      <c r="A503" s="63">
        <v>497</v>
      </c>
      <c r="B503" s="102" t="s">
        <v>3520</v>
      </c>
      <c r="C503" s="102" t="s">
        <v>3521</v>
      </c>
      <c r="D503" s="64" t="s">
        <v>119</v>
      </c>
      <c r="E503" s="72" t="s">
        <v>1203</v>
      </c>
      <c r="F503" s="72" t="s">
        <v>1213</v>
      </c>
      <c r="G503" s="89" t="s">
        <v>48</v>
      </c>
      <c r="H503" s="38"/>
      <c r="I503" s="38"/>
      <c r="J503" s="38"/>
      <c r="K503" s="68" t="s">
        <v>2597</v>
      </c>
      <c r="L503" s="68" t="s">
        <v>2598</v>
      </c>
      <c r="M503" s="68" t="s">
        <v>2599</v>
      </c>
      <c r="N503" s="67">
        <v>21.410425</v>
      </c>
      <c r="O503" s="67">
        <v>92.109566999999998</v>
      </c>
      <c r="P503" s="74">
        <v>500</v>
      </c>
      <c r="Q503" s="74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38"/>
      <c r="AJ503" s="38"/>
    </row>
    <row r="504" spans="1:36" x14ac:dyDescent="0.3">
      <c r="A504" s="63">
        <v>498</v>
      </c>
      <c r="B504" s="102" t="s">
        <v>3520</v>
      </c>
      <c r="C504" s="102" t="s">
        <v>3521</v>
      </c>
      <c r="D504" s="64" t="s">
        <v>119</v>
      </c>
      <c r="E504" s="72" t="s">
        <v>1203</v>
      </c>
      <c r="F504" s="72" t="s">
        <v>1213</v>
      </c>
      <c r="G504" s="89" t="s">
        <v>49</v>
      </c>
      <c r="H504" s="38"/>
      <c r="I504" s="38"/>
      <c r="J504" s="38"/>
      <c r="K504" s="68" t="s">
        <v>50</v>
      </c>
      <c r="L504" s="68" t="s">
        <v>2600</v>
      </c>
      <c r="M504" s="68" t="s">
        <v>2601</v>
      </c>
      <c r="N504" s="67">
        <v>21.421506999999998</v>
      </c>
      <c r="O504" s="67">
        <v>92.113281000000001</v>
      </c>
      <c r="P504" s="74">
        <v>500</v>
      </c>
      <c r="Q504" s="74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38"/>
      <c r="AJ504" s="38"/>
    </row>
    <row r="505" spans="1:36" x14ac:dyDescent="0.3">
      <c r="A505" s="63">
        <v>499</v>
      </c>
      <c r="B505" s="102" t="s">
        <v>3520</v>
      </c>
      <c r="C505" s="102" t="s">
        <v>3521</v>
      </c>
      <c r="D505" s="64" t="s">
        <v>119</v>
      </c>
      <c r="E505" s="72" t="s">
        <v>1203</v>
      </c>
      <c r="F505" s="72" t="s">
        <v>1213</v>
      </c>
      <c r="G505" s="89" t="s">
        <v>49</v>
      </c>
      <c r="H505" s="38"/>
      <c r="I505" s="38"/>
      <c r="J505" s="38"/>
      <c r="K505" s="68" t="s">
        <v>2602</v>
      </c>
      <c r="L505" s="68" t="s">
        <v>2603</v>
      </c>
      <c r="M505" s="68" t="s">
        <v>2604</v>
      </c>
      <c r="N505" s="67">
        <v>21.420884999999998</v>
      </c>
      <c r="O505" s="67">
        <v>92.111554999999996</v>
      </c>
      <c r="P505" s="74">
        <v>300</v>
      </c>
      <c r="Q505" s="74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38"/>
      <c r="AJ505" s="38"/>
    </row>
    <row r="506" spans="1:36" x14ac:dyDescent="0.3">
      <c r="A506" s="63">
        <v>500</v>
      </c>
      <c r="B506" s="102" t="s">
        <v>3520</v>
      </c>
      <c r="C506" s="102" t="s">
        <v>3521</v>
      </c>
      <c r="D506" s="64" t="s">
        <v>119</v>
      </c>
      <c r="E506" s="72" t="s">
        <v>1203</v>
      </c>
      <c r="F506" s="72" t="s">
        <v>1213</v>
      </c>
      <c r="G506" s="89" t="s">
        <v>49</v>
      </c>
      <c r="H506" s="38"/>
      <c r="I506" s="38"/>
      <c r="J506" s="38"/>
      <c r="K506" s="68" t="s">
        <v>2605</v>
      </c>
      <c r="L506" s="68" t="s">
        <v>2606</v>
      </c>
      <c r="M506" s="68" t="s">
        <v>2607</v>
      </c>
      <c r="N506" s="67">
        <v>21.421617000000001</v>
      </c>
      <c r="O506" s="67">
        <v>92.110279000000006</v>
      </c>
      <c r="P506" s="74">
        <v>250</v>
      </c>
      <c r="Q506" s="74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38"/>
      <c r="AJ506" s="38"/>
    </row>
    <row r="507" spans="1:36" x14ac:dyDescent="0.3">
      <c r="A507" s="63">
        <v>501</v>
      </c>
      <c r="B507" s="102" t="s">
        <v>3520</v>
      </c>
      <c r="C507" s="102" t="s">
        <v>3521</v>
      </c>
      <c r="D507" s="64" t="s">
        <v>119</v>
      </c>
      <c r="E507" s="72" t="s">
        <v>1203</v>
      </c>
      <c r="F507" s="72" t="s">
        <v>1213</v>
      </c>
      <c r="G507" s="89" t="s">
        <v>49</v>
      </c>
      <c r="H507" s="38"/>
      <c r="I507" s="38"/>
      <c r="J507" s="38"/>
      <c r="K507" s="68" t="s">
        <v>2608</v>
      </c>
      <c r="L507" s="68" t="s">
        <v>2609</v>
      </c>
      <c r="M507" s="68" t="s">
        <v>2610</v>
      </c>
      <c r="N507" s="67">
        <v>21.424662000000001</v>
      </c>
      <c r="O507" s="67">
        <v>92.111880999999997</v>
      </c>
      <c r="P507" s="74">
        <v>450</v>
      </c>
      <c r="Q507" s="74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38"/>
      <c r="AJ507" s="38"/>
    </row>
    <row r="508" spans="1:36" x14ac:dyDescent="0.3">
      <c r="A508" s="63">
        <v>502</v>
      </c>
      <c r="B508" s="102" t="s">
        <v>3520</v>
      </c>
      <c r="C508" s="102" t="s">
        <v>3521</v>
      </c>
      <c r="D508" s="64" t="s">
        <v>119</v>
      </c>
      <c r="E508" s="72" t="s">
        <v>1203</v>
      </c>
      <c r="F508" s="72" t="s">
        <v>1213</v>
      </c>
      <c r="G508" s="89" t="s">
        <v>49</v>
      </c>
      <c r="H508" s="38"/>
      <c r="I508" s="38"/>
      <c r="J508" s="38"/>
      <c r="K508" s="69" t="s">
        <v>53</v>
      </c>
      <c r="L508" s="68" t="s">
        <v>54</v>
      </c>
      <c r="M508" s="68" t="s">
        <v>2611</v>
      </c>
      <c r="N508" s="67">
        <v>21.425259</v>
      </c>
      <c r="O508" s="67">
        <v>92.114166999999995</v>
      </c>
      <c r="P508" s="74">
        <v>2000</v>
      </c>
      <c r="Q508" s="74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</row>
    <row r="509" spans="1:36" x14ac:dyDescent="0.3">
      <c r="A509" s="63">
        <v>503</v>
      </c>
      <c r="B509" s="102" t="s">
        <v>3520</v>
      </c>
      <c r="C509" s="102" t="s">
        <v>3521</v>
      </c>
      <c r="D509" s="64" t="s">
        <v>119</v>
      </c>
      <c r="E509" s="72" t="s">
        <v>1203</v>
      </c>
      <c r="F509" s="72" t="s">
        <v>1213</v>
      </c>
      <c r="G509" s="89" t="s">
        <v>49</v>
      </c>
      <c r="H509" s="38"/>
      <c r="I509" s="38"/>
      <c r="J509" s="38"/>
      <c r="K509" s="68" t="s">
        <v>2229</v>
      </c>
      <c r="L509" s="68" t="s">
        <v>2230</v>
      </c>
      <c r="M509" s="68" t="s">
        <v>2612</v>
      </c>
      <c r="N509" s="67">
        <v>21.427047000000002</v>
      </c>
      <c r="O509" s="67">
        <v>92.116280000000003</v>
      </c>
      <c r="P509" s="74">
        <v>250</v>
      </c>
      <c r="Q509" s="74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8"/>
      <c r="AJ509" s="38"/>
    </row>
    <row r="510" spans="1:36" x14ac:dyDescent="0.3">
      <c r="A510" s="63">
        <v>504</v>
      </c>
      <c r="B510" s="102" t="s">
        <v>3520</v>
      </c>
      <c r="C510" s="102" t="s">
        <v>3521</v>
      </c>
      <c r="D510" s="64" t="s">
        <v>119</v>
      </c>
      <c r="E510" s="72" t="s">
        <v>1203</v>
      </c>
      <c r="F510" s="72" t="s">
        <v>1214</v>
      </c>
      <c r="G510" s="89" t="s">
        <v>41</v>
      </c>
      <c r="H510" s="38"/>
      <c r="I510" s="38"/>
      <c r="J510" s="38"/>
      <c r="K510" s="68" t="s">
        <v>62</v>
      </c>
      <c r="L510" s="68" t="s">
        <v>63</v>
      </c>
      <c r="M510" s="68" t="s">
        <v>2613</v>
      </c>
      <c r="N510" s="67">
        <v>21.517612</v>
      </c>
      <c r="O510" s="67">
        <v>92.056557999999995</v>
      </c>
      <c r="P510" s="74">
        <v>2000</v>
      </c>
      <c r="Q510" s="74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38"/>
      <c r="AJ510" s="38"/>
    </row>
    <row r="511" spans="1:36" x14ac:dyDescent="0.3">
      <c r="A511" s="63">
        <v>505</v>
      </c>
      <c r="B511" s="102" t="s">
        <v>3520</v>
      </c>
      <c r="C511" s="102" t="s">
        <v>3521</v>
      </c>
      <c r="D511" s="64" t="s">
        <v>119</v>
      </c>
      <c r="E511" s="72" t="s">
        <v>1203</v>
      </c>
      <c r="F511" s="72" t="s">
        <v>1214</v>
      </c>
      <c r="G511" s="89" t="s">
        <v>41</v>
      </c>
      <c r="H511" s="38"/>
      <c r="I511" s="38"/>
      <c r="J511" s="38"/>
      <c r="K511" s="68" t="s">
        <v>102</v>
      </c>
      <c r="L511" s="68" t="s">
        <v>103</v>
      </c>
      <c r="M511" s="68" t="s">
        <v>2614</v>
      </c>
      <c r="N511" s="67">
        <v>21.514208</v>
      </c>
      <c r="O511" s="67">
        <v>92.057552000000001</v>
      </c>
      <c r="P511" s="74">
        <v>700</v>
      </c>
      <c r="Q511" s="74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38"/>
      <c r="AJ511" s="38"/>
    </row>
    <row r="512" spans="1:36" x14ac:dyDescent="0.3">
      <c r="A512" s="63">
        <v>506</v>
      </c>
      <c r="B512" s="102" t="s">
        <v>3520</v>
      </c>
      <c r="C512" s="102" t="s">
        <v>3521</v>
      </c>
      <c r="D512" s="64" t="s">
        <v>119</v>
      </c>
      <c r="E512" s="72" t="s">
        <v>1203</v>
      </c>
      <c r="F512" s="72" t="s">
        <v>1214</v>
      </c>
      <c r="G512" s="89" t="s">
        <v>42</v>
      </c>
      <c r="H512" s="38"/>
      <c r="I512" s="38"/>
      <c r="J512" s="38"/>
      <c r="K512" s="68" t="s">
        <v>2615</v>
      </c>
      <c r="L512" s="68" t="s">
        <v>2616</v>
      </c>
      <c r="M512" s="68" t="s">
        <v>2617</v>
      </c>
      <c r="N512" s="67">
        <v>21.51238</v>
      </c>
      <c r="O512" s="67">
        <v>92.058466999999993</v>
      </c>
      <c r="P512" s="74">
        <v>3500</v>
      </c>
      <c r="Q512" s="74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38"/>
      <c r="AJ512" s="38"/>
    </row>
    <row r="513" spans="1:36" x14ac:dyDescent="0.3">
      <c r="A513" s="63">
        <v>507</v>
      </c>
      <c r="B513" s="102" t="s">
        <v>3520</v>
      </c>
      <c r="C513" s="102" t="s">
        <v>3521</v>
      </c>
      <c r="D513" s="64" t="s">
        <v>119</v>
      </c>
      <c r="E513" s="72" t="s">
        <v>1203</v>
      </c>
      <c r="F513" s="72" t="s">
        <v>1214</v>
      </c>
      <c r="G513" s="89" t="s">
        <v>42</v>
      </c>
      <c r="H513" s="38"/>
      <c r="I513" s="38"/>
      <c r="J513" s="38"/>
      <c r="K513" s="68" t="s">
        <v>112</v>
      </c>
      <c r="L513" s="68" t="s">
        <v>113</v>
      </c>
      <c r="M513" s="68" t="s">
        <v>2618</v>
      </c>
      <c r="N513" s="67">
        <v>21.514140000000001</v>
      </c>
      <c r="O513" s="67">
        <v>92.056359</v>
      </c>
      <c r="P513" s="74">
        <v>12</v>
      </c>
      <c r="Q513" s="74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38"/>
      <c r="AJ513" s="38"/>
    </row>
    <row r="514" spans="1:36" x14ac:dyDescent="0.3">
      <c r="A514" s="63">
        <v>508</v>
      </c>
      <c r="B514" s="102" t="s">
        <v>3520</v>
      </c>
      <c r="C514" s="102" t="s">
        <v>3521</v>
      </c>
      <c r="D514" s="64" t="s">
        <v>119</v>
      </c>
      <c r="E514" s="72" t="s">
        <v>1203</v>
      </c>
      <c r="F514" s="72" t="s">
        <v>1214</v>
      </c>
      <c r="G514" s="89" t="s">
        <v>43</v>
      </c>
      <c r="H514" s="38"/>
      <c r="I514" s="38"/>
      <c r="J514" s="38"/>
      <c r="K514" s="68" t="s">
        <v>2619</v>
      </c>
      <c r="L514" s="68" t="s">
        <v>2620</v>
      </c>
      <c r="M514" s="68" t="s">
        <v>2621</v>
      </c>
      <c r="N514" s="67">
        <v>21.500924999999999</v>
      </c>
      <c r="O514" s="67">
        <v>92.061999999999998</v>
      </c>
      <c r="P514" s="74">
        <v>4000</v>
      </c>
      <c r="Q514" s="74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8"/>
      <c r="AJ514" s="38"/>
    </row>
    <row r="515" spans="1:36" x14ac:dyDescent="0.3">
      <c r="A515" s="63">
        <v>509</v>
      </c>
      <c r="B515" s="102" t="s">
        <v>3520</v>
      </c>
      <c r="C515" s="102" t="s">
        <v>3521</v>
      </c>
      <c r="D515" s="64" t="s">
        <v>119</v>
      </c>
      <c r="E515" s="72" t="s">
        <v>1203</v>
      </c>
      <c r="F515" s="72" t="s">
        <v>1214</v>
      </c>
      <c r="G515" s="89" t="s">
        <v>44</v>
      </c>
      <c r="H515" s="38"/>
      <c r="I515" s="38"/>
      <c r="J515" s="38"/>
      <c r="K515" s="68" t="s">
        <v>2622</v>
      </c>
      <c r="L515" s="68" t="s">
        <v>2623</v>
      </c>
      <c r="M515" s="68" t="s">
        <v>2624</v>
      </c>
      <c r="N515" s="67">
        <v>21.517771</v>
      </c>
      <c r="O515" s="67">
        <v>92.065852000000007</v>
      </c>
      <c r="P515" s="74">
        <v>1500</v>
      </c>
      <c r="Q515" s="74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38"/>
      <c r="AJ515" s="38"/>
    </row>
    <row r="516" spans="1:36" x14ac:dyDescent="0.3">
      <c r="A516" s="63">
        <v>510</v>
      </c>
      <c r="B516" s="102" t="s">
        <v>3520</v>
      </c>
      <c r="C516" s="102" t="s">
        <v>3521</v>
      </c>
      <c r="D516" s="64" t="s">
        <v>119</v>
      </c>
      <c r="E516" s="72" t="s">
        <v>1203</v>
      </c>
      <c r="F516" s="72" t="s">
        <v>1214</v>
      </c>
      <c r="G516" s="89" t="s">
        <v>44</v>
      </c>
      <c r="H516" s="38"/>
      <c r="I516" s="38"/>
      <c r="J516" s="38"/>
      <c r="K516" s="68" t="s">
        <v>2511</v>
      </c>
      <c r="L516" s="68" t="s">
        <v>2512</v>
      </c>
      <c r="M516" s="68" t="s">
        <v>2625</v>
      </c>
      <c r="N516" s="67">
        <v>21.516024000000002</v>
      </c>
      <c r="O516" s="67">
        <v>92.070858999999999</v>
      </c>
      <c r="P516" s="74">
        <v>1000</v>
      </c>
      <c r="Q516" s="74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</row>
    <row r="517" spans="1:36" x14ac:dyDescent="0.3">
      <c r="A517" s="63">
        <v>511</v>
      </c>
      <c r="B517" s="102" t="s">
        <v>3520</v>
      </c>
      <c r="C517" s="102" t="s">
        <v>3521</v>
      </c>
      <c r="D517" s="64" t="s">
        <v>119</v>
      </c>
      <c r="E517" s="72" t="s">
        <v>1203</v>
      </c>
      <c r="F517" s="72" t="s">
        <v>1214</v>
      </c>
      <c r="G517" s="89" t="s">
        <v>45</v>
      </c>
      <c r="H517" s="38"/>
      <c r="I517" s="38"/>
      <c r="J517" s="38"/>
      <c r="K517" s="68" t="s">
        <v>2626</v>
      </c>
      <c r="L517" s="68" t="s">
        <v>2627</v>
      </c>
      <c r="M517" s="68" t="s">
        <v>2628</v>
      </c>
      <c r="N517" s="67">
        <v>21.511507000000002</v>
      </c>
      <c r="O517" s="67">
        <v>92.066838000000004</v>
      </c>
      <c r="P517" s="74">
        <v>1250</v>
      </c>
      <c r="Q517" s="74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</row>
    <row r="518" spans="1:36" x14ac:dyDescent="0.3">
      <c r="A518" s="63">
        <v>512</v>
      </c>
      <c r="B518" s="102" t="s">
        <v>3520</v>
      </c>
      <c r="C518" s="102" t="s">
        <v>3521</v>
      </c>
      <c r="D518" s="64" t="s">
        <v>119</v>
      </c>
      <c r="E518" s="72" t="s">
        <v>1203</v>
      </c>
      <c r="F518" s="72" t="s">
        <v>1214</v>
      </c>
      <c r="G518" s="89" t="s">
        <v>45</v>
      </c>
      <c r="H518" s="38"/>
      <c r="I518" s="38"/>
      <c r="J518" s="38"/>
      <c r="K518" s="83" t="s">
        <v>2629</v>
      </c>
      <c r="L518" s="83" t="s">
        <v>2630</v>
      </c>
      <c r="M518" s="68" t="s">
        <v>2631</v>
      </c>
      <c r="N518" s="67">
        <v>21.514752000000001</v>
      </c>
      <c r="O518" s="67">
        <v>92.074323000000007</v>
      </c>
      <c r="P518" s="74">
        <v>750</v>
      </c>
      <c r="Q518" s="74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</row>
    <row r="519" spans="1:36" x14ac:dyDescent="0.3">
      <c r="A519" s="63">
        <v>513</v>
      </c>
      <c r="B519" s="102" t="s">
        <v>3520</v>
      </c>
      <c r="C519" s="102" t="s">
        <v>3521</v>
      </c>
      <c r="D519" s="64" t="s">
        <v>119</v>
      </c>
      <c r="E519" s="72" t="s">
        <v>1203</v>
      </c>
      <c r="F519" s="72" t="s">
        <v>1214</v>
      </c>
      <c r="G519" s="89" t="s">
        <v>45</v>
      </c>
      <c r="H519" s="38"/>
      <c r="I519" s="38"/>
      <c r="J519" s="38"/>
      <c r="K519" s="68" t="s">
        <v>2632</v>
      </c>
      <c r="L519" s="68" t="s">
        <v>2633</v>
      </c>
      <c r="M519" s="68" t="s">
        <v>2634</v>
      </c>
      <c r="N519" s="67">
        <v>21.510306</v>
      </c>
      <c r="O519" s="67">
        <v>92.072832000000005</v>
      </c>
      <c r="P519" s="74">
        <v>1500</v>
      </c>
      <c r="Q519" s="74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38"/>
      <c r="AJ519" s="38"/>
    </row>
    <row r="520" spans="1:36" x14ac:dyDescent="0.3">
      <c r="A520" s="63">
        <v>514</v>
      </c>
      <c r="B520" s="102" t="s">
        <v>3520</v>
      </c>
      <c r="C520" s="102" t="s">
        <v>3521</v>
      </c>
      <c r="D520" s="64" t="s">
        <v>119</v>
      </c>
      <c r="E520" s="72" t="s">
        <v>1203</v>
      </c>
      <c r="F520" s="72" t="s">
        <v>1214</v>
      </c>
      <c r="G520" s="89" t="s">
        <v>45</v>
      </c>
      <c r="H520" s="38"/>
      <c r="I520" s="38"/>
      <c r="J520" s="38"/>
      <c r="K520" s="68" t="s">
        <v>2635</v>
      </c>
      <c r="L520" s="68" t="s">
        <v>2636</v>
      </c>
      <c r="M520" s="68" t="s">
        <v>2637</v>
      </c>
      <c r="N520" s="67">
        <v>21.509250000000002</v>
      </c>
      <c r="O520" s="67">
        <v>92.079981000000004</v>
      </c>
      <c r="P520" s="74">
        <v>250</v>
      </c>
      <c r="Q520" s="74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38"/>
      <c r="AJ520" s="38"/>
    </row>
    <row r="521" spans="1:36" x14ac:dyDescent="0.3">
      <c r="A521" s="63">
        <v>515</v>
      </c>
      <c r="B521" s="102" t="s">
        <v>3520</v>
      </c>
      <c r="C521" s="102" t="s">
        <v>3521</v>
      </c>
      <c r="D521" s="64" t="s">
        <v>119</v>
      </c>
      <c r="E521" s="72" t="s">
        <v>1203</v>
      </c>
      <c r="F521" s="72" t="s">
        <v>1214</v>
      </c>
      <c r="G521" s="89" t="s">
        <v>45</v>
      </c>
      <c r="H521" s="38"/>
      <c r="I521" s="38"/>
      <c r="J521" s="38"/>
      <c r="K521" s="68" t="s">
        <v>112</v>
      </c>
      <c r="L521" s="68" t="s">
        <v>113</v>
      </c>
      <c r="M521" s="68" t="s">
        <v>2638</v>
      </c>
      <c r="N521" s="67">
        <v>21.508433</v>
      </c>
      <c r="O521" s="67">
        <v>92.075755999999998</v>
      </c>
      <c r="P521" s="74">
        <v>40</v>
      </c>
      <c r="Q521" s="74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38"/>
      <c r="AJ521" s="38"/>
    </row>
    <row r="522" spans="1:36" x14ac:dyDescent="0.3">
      <c r="A522" s="63">
        <v>516</v>
      </c>
      <c r="B522" s="102" t="s">
        <v>3520</v>
      </c>
      <c r="C522" s="102" t="s">
        <v>3521</v>
      </c>
      <c r="D522" s="64" t="s">
        <v>119</v>
      </c>
      <c r="E522" s="72" t="s">
        <v>1203</v>
      </c>
      <c r="F522" s="72" t="s">
        <v>1214</v>
      </c>
      <c r="G522" s="89" t="s">
        <v>46</v>
      </c>
      <c r="H522" s="38"/>
      <c r="I522" s="38"/>
      <c r="J522" s="38"/>
      <c r="K522" s="68" t="s">
        <v>2639</v>
      </c>
      <c r="L522" s="68" t="s">
        <v>2640</v>
      </c>
      <c r="M522" s="68" t="s">
        <v>2641</v>
      </c>
      <c r="N522" s="67">
        <v>21.502330000000001</v>
      </c>
      <c r="O522" s="67">
        <v>92.078614000000002</v>
      </c>
      <c r="P522" s="74">
        <v>2620</v>
      </c>
      <c r="Q522" s="74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38"/>
      <c r="AJ522" s="38"/>
    </row>
    <row r="523" spans="1:36" x14ac:dyDescent="0.3">
      <c r="A523" s="63">
        <v>517</v>
      </c>
      <c r="B523" s="102" t="s">
        <v>3520</v>
      </c>
      <c r="C523" s="102" t="s">
        <v>3521</v>
      </c>
      <c r="D523" s="64" t="s">
        <v>119</v>
      </c>
      <c r="E523" s="72" t="s">
        <v>1203</v>
      </c>
      <c r="F523" s="72" t="s">
        <v>1214</v>
      </c>
      <c r="G523" s="89" t="s">
        <v>46</v>
      </c>
      <c r="H523" s="38"/>
      <c r="I523" s="38"/>
      <c r="J523" s="38"/>
      <c r="K523" s="68" t="s">
        <v>2642</v>
      </c>
      <c r="L523" s="68" t="s">
        <v>2643</v>
      </c>
      <c r="M523" s="68" t="s">
        <v>2644</v>
      </c>
      <c r="N523" s="67">
        <v>21.503705</v>
      </c>
      <c r="O523" s="67">
        <v>92.073509999999999</v>
      </c>
      <c r="P523" s="74">
        <v>380</v>
      </c>
      <c r="Q523" s="74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38"/>
      <c r="AJ523" s="38"/>
    </row>
    <row r="524" spans="1:36" x14ac:dyDescent="0.3">
      <c r="A524" s="63">
        <v>518</v>
      </c>
      <c r="B524" s="102" t="s">
        <v>3520</v>
      </c>
      <c r="C524" s="102" t="s">
        <v>3521</v>
      </c>
      <c r="D524" s="64" t="s">
        <v>119</v>
      </c>
      <c r="E524" s="72" t="s">
        <v>1203</v>
      </c>
      <c r="F524" s="72" t="s">
        <v>1214</v>
      </c>
      <c r="G524" s="89" t="s">
        <v>47</v>
      </c>
      <c r="H524" s="38"/>
      <c r="I524" s="38"/>
      <c r="J524" s="38"/>
      <c r="K524" s="68" t="s">
        <v>2645</v>
      </c>
      <c r="L524" s="68" t="s">
        <v>2646</v>
      </c>
      <c r="M524" s="68" t="s">
        <v>2647</v>
      </c>
      <c r="N524" s="67">
        <v>21.501808</v>
      </c>
      <c r="O524" s="67">
        <v>92.072013999999996</v>
      </c>
      <c r="P524" s="74">
        <v>1000</v>
      </c>
      <c r="Q524" s="74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38"/>
      <c r="AJ524" s="38"/>
    </row>
    <row r="525" spans="1:36" x14ac:dyDescent="0.3">
      <c r="A525" s="63">
        <v>519</v>
      </c>
      <c r="B525" s="102" t="s">
        <v>3520</v>
      </c>
      <c r="C525" s="102" t="s">
        <v>3521</v>
      </c>
      <c r="D525" s="64" t="s">
        <v>119</v>
      </c>
      <c r="E525" s="72" t="s">
        <v>1203</v>
      </c>
      <c r="F525" s="72" t="s">
        <v>1214</v>
      </c>
      <c r="G525" s="89" t="s">
        <v>47</v>
      </c>
      <c r="H525" s="38"/>
      <c r="I525" s="38"/>
      <c r="J525" s="38"/>
      <c r="K525" s="68" t="s">
        <v>2648</v>
      </c>
      <c r="L525" s="68" t="s">
        <v>2649</v>
      </c>
      <c r="M525" s="68" t="s">
        <v>2650</v>
      </c>
      <c r="N525" s="67">
        <v>21.498384999999999</v>
      </c>
      <c r="O525" s="67">
        <v>92.073167999999995</v>
      </c>
      <c r="P525" s="74">
        <v>1500</v>
      </c>
      <c r="Q525" s="74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38"/>
      <c r="AJ525" s="38"/>
    </row>
    <row r="526" spans="1:36" x14ac:dyDescent="0.3">
      <c r="A526" s="63">
        <v>520</v>
      </c>
      <c r="B526" s="102" t="s">
        <v>3520</v>
      </c>
      <c r="C526" s="102" t="s">
        <v>3521</v>
      </c>
      <c r="D526" s="64" t="s">
        <v>119</v>
      </c>
      <c r="E526" s="72" t="s">
        <v>1203</v>
      </c>
      <c r="F526" s="72" t="s">
        <v>1214</v>
      </c>
      <c r="G526" s="89" t="s">
        <v>47</v>
      </c>
      <c r="H526" s="38"/>
      <c r="I526" s="38"/>
      <c r="J526" s="38"/>
      <c r="K526" s="68" t="s">
        <v>2651</v>
      </c>
      <c r="L526" s="68" t="s">
        <v>2652</v>
      </c>
      <c r="M526" s="68" t="s">
        <v>2653</v>
      </c>
      <c r="N526" s="67">
        <v>21.496115</v>
      </c>
      <c r="O526" s="67">
        <v>92.082301000000001</v>
      </c>
      <c r="P526" s="74">
        <v>2500</v>
      </c>
      <c r="Q526" s="74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38"/>
      <c r="AJ526" s="38"/>
    </row>
    <row r="527" spans="1:36" x14ac:dyDescent="0.3">
      <c r="A527" s="63">
        <v>521</v>
      </c>
      <c r="B527" s="102" t="s">
        <v>3520</v>
      </c>
      <c r="C527" s="102" t="s">
        <v>3521</v>
      </c>
      <c r="D527" s="64" t="s">
        <v>119</v>
      </c>
      <c r="E527" s="72" t="s">
        <v>1203</v>
      </c>
      <c r="F527" s="72" t="s">
        <v>1214</v>
      </c>
      <c r="G527" s="89" t="s">
        <v>48</v>
      </c>
      <c r="H527" s="38"/>
      <c r="I527" s="38"/>
      <c r="J527" s="38"/>
      <c r="K527" s="68" t="s">
        <v>2654</v>
      </c>
      <c r="L527" s="68" t="s">
        <v>2655</v>
      </c>
      <c r="M527" s="68" t="s">
        <v>2656</v>
      </c>
      <c r="N527" s="67">
        <v>21.492965000000002</v>
      </c>
      <c r="O527" s="67">
        <v>92.066929999999999</v>
      </c>
      <c r="P527" s="74">
        <v>2500</v>
      </c>
      <c r="Q527" s="74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38"/>
      <c r="AJ527" s="38"/>
    </row>
    <row r="528" spans="1:36" x14ac:dyDescent="0.3">
      <c r="A528" s="63">
        <v>522</v>
      </c>
      <c r="B528" s="102" t="s">
        <v>3520</v>
      </c>
      <c r="C528" s="102" t="s">
        <v>3521</v>
      </c>
      <c r="D528" s="64" t="s">
        <v>119</v>
      </c>
      <c r="E528" s="72" t="s">
        <v>1203</v>
      </c>
      <c r="F528" s="72" t="s">
        <v>1214</v>
      </c>
      <c r="G528" s="89" t="s">
        <v>48</v>
      </c>
      <c r="H528" s="38"/>
      <c r="I528" s="38"/>
      <c r="J528" s="38"/>
      <c r="K528" s="68" t="s">
        <v>2657</v>
      </c>
      <c r="L528" s="68" t="s">
        <v>2658</v>
      </c>
      <c r="M528" s="68" t="s">
        <v>2659</v>
      </c>
      <c r="N528" s="67">
        <v>21.493884999999999</v>
      </c>
      <c r="O528" s="67">
        <v>92.075209999999998</v>
      </c>
      <c r="P528" s="74">
        <v>2500</v>
      </c>
      <c r="Q528" s="74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38"/>
      <c r="AJ528" s="38"/>
    </row>
    <row r="529" spans="1:36" x14ac:dyDescent="0.3">
      <c r="A529" s="63">
        <v>523</v>
      </c>
      <c r="B529" s="102" t="s">
        <v>3520</v>
      </c>
      <c r="C529" s="102" t="s">
        <v>3521</v>
      </c>
      <c r="D529" s="64" t="s">
        <v>119</v>
      </c>
      <c r="E529" s="72" t="s">
        <v>1203</v>
      </c>
      <c r="F529" s="72" t="s">
        <v>1214</v>
      </c>
      <c r="G529" s="89" t="s">
        <v>48</v>
      </c>
      <c r="H529" s="38"/>
      <c r="I529" s="38"/>
      <c r="J529" s="38"/>
      <c r="K529" s="68" t="s">
        <v>2660</v>
      </c>
      <c r="L529" s="68" t="s">
        <v>2661</v>
      </c>
      <c r="M529" s="68" t="s">
        <v>2662</v>
      </c>
      <c r="N529" s="67">
        <v>21.489757999999998</v>
      </c>
      <c r="O529" s="67">
        <v>92.078078000000005</v>
      </c>
      <c r="P529" s="74">
        <v>2200</v>
      </c>
      <c r="Q529" s="74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</row>
    <row r="530" spans="1:36" x14ac:dyDescent="0.3">
      <c r="A530" s="63">
        <v>524</v>
      </c>
      <c r="B530" s="102" t="s">
        <v>3520</v>
      </c>
      <c r="C530" s="102" t="s">
        <v>3521</v>
      </c>
      <c r="D530" s="64" t="s">
        <v>119</v>
      </c>
      <c r="E530" s="72" t="s">
        <v>1203</v>
      </c>
      <c r="F530" s="72" t="s">
        <v>1214</v>
      </c>
      <c r="G530" s="89" t="s">
        <v>48</v>
      </c>
      <c r="H530" s="38"/>
      <c r="I530" s="38"/>
      <c r="J530" s="38"/>
      <c r="K530" s="68" t="s">
        <v>2663</v>
      </c>
      <c r="L530" s="68" t="s">
        <v>2664</v>
      </c>
      <c r="M530" s="68" t="s">
        <v>2665</v>
      </c>
      <c r="N530" s="67">
        <v>21.487041999999999</v>
      </c>
      <c r="O530" s="67">
        <v>92.083741000000003</v>
      </c>
      <c r="P530" s="74">
        <v>1500</v>
      </c>
      <c r="Q530" s="74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38"/>
      <c r="AJ530" s="38"/>
    </row>
    <row r="531" spans="1:36" x14ac:dyDescent="0.3">
      <c r="A531" s="63">
        <v>525</v>
      </c>
      <c r="B531" s="102" t="s">
        <v>3520</v>
      </c>
      <c r="C531" s="102" t="s">
        <v>3521</v>
      </c>
      <c r="D531" s="64" t="s">
        <v>119</v>
      </c>
      <c r="E531" s="72" t="s">
        <v>1203</v>
      </c>
      <c r="F531" s="72" t="s">
        <v>1214</v>
      </c>
      <c r="G531" s="89" t="s">
        <v>48</v>
      </c>
      <c r="H531" s="38"/>
      <c r="I531" s="38"/>
      <c r="J531" s="38"/>
      <c r="K531" s="68" t="s">
        <v>2666</v>
      </c>
      <c r="L531" s="68" t="s">
        <v>2667</v>
      </c>
      <c r="M531" s="68" t="s">
        <v>2668</v>
      </c>
      <c r="N531" s="67">
        <v>21.489371999999999</v>
      </c>
      <c r="O531" s="67">
        <v>92.087851999999998</v>
      </c>
      <c r="P531" s="74">
        <v>500</v>
      </c>
      <c r="Q531" s="74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38"/>
      <c r="AJ531" s="38"/>
    </row>
    <row r="532" spans="1:36" x14ac:dyDescent="0.3">
      <c r="A532" s="63">
        <v>526</v>
      </c>
      <c r="B532" s="102" t="s">
        <v>3520</v>
      </c>
      <c r="C532" s="102" t="s">
        <v>3521</v>
      </c>
      <c r="D532" s="64" t="s">
        <v>119</v>
      </c>
      <c r="E532" s="72" t="s">
        <v>1203</v>
      </c>
      <c r="F532" s="72" t="s">
        <v>1214</v>
      </c>
      <c r="G532" s="89" t="s">
        <v>49</v>
      </c>
      <c r="H532" s="38"/>
      <c r="I532" s="38"/>
      <c r="J532" s="38"/>
      <c r="K532" s="68" t="s">
        <v>2669</v>
      </c>
      <c r="L532" s="68" t="s">
        <v>2670</v>
      </c>
      <c r="M532" s="68" t="s">
        <v>2671</v>
      </c>
      <c r="N532" s="67">
        <v>21.480062</v>
      </c>
      <c r="O532" s="67">
        <v>92.064054999999996</v>
      </c>
      <c r="P532" s="74">
        <v>2000</v>
      </c>
      <c r="Q532" s="74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38"/>
      <c r="AJ532" s="38"/>
    </row>
    <row r="533" spans="1:36" x14ac:dyDescent="0.3">
      <c r="A533" s="63">
        <v>527</v>
      </c>
      <c r="B533" s="102" t="s">
        <v>3520</v>
      </c>
      <c r="C533" s="102" t="s">
        <v>3521</v>
      </c>
      <c r="D533" s="64" t="s">
        <v>119</v>
      </c>
      <c r="E533" s="72" t="s">
        <v>1203</v>
      </c>
      <c r="F533" s="72" t="s">
        <v>1214</v>
      </c>
      <c r="G533" s="89" t="s">
        <v>49</v>
      </c>
      <c r="H533" s="38"/>
      <c r="I533" s="38"/>
      <c r="J533" s="38"/>
      <c r="K533" s="68" t="s">
        <v>2672</v>
      </c>
      <c r="L533" s="68" t="s">
        <v>2673</v>
      </c>
      <c r="M533" s="68" t="s">
        <v>2674</v>
      </c>
      <c r="N533" s="67">
        <v>21.479586999999999</v>
      </c>
      <c r="O533" s="67">
        <v>92.071640000000002</v>
      </c>
      <c r="P533" s="74">
        <v>1000</v>
      </c>
      <c r="Q533" s="74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</row>
    <row r="534" spans="1:36" x14ac:dyDescent="0.3">
      <c r="A534" s="63">
        <v>528</v>
      </c>
      <c r="B534" s="102" t="s">
        <v>3520</v>
      </c>
      <c r="C534" s="102" t="s">
        <v>3521</v>
      </c>
      <c r="D534" s="64" t="s">
        <v>119</v>
      </c>
      <c r="E534" s="72" t="s">
        <v>1203</v>
      </c>
      <c r="F534" s="72" t="s">
        <v>1214</v>
      </c>
      <c r="G534" s="89" t="s">
        <v>49</v>
      </c>
      <c r="H534" s="38"/>
      <c r="I534" s="38"/>
      <c r="J534" s="38"/>
      <c r="K534" s="68" t="s">
        <v>2675</v>
      </c>
      <c r="L534" s="68" t="s">
        <v>2676</v>
      </c>
      <c r="M534" s="68" t="s">
        <v>2677</v>
      </c>
      <c r="N534" s="67">
        <v>21.478797</v>
      </c>
      <c r="O534" s="67">
        <v>92.061564000000004</v>
      </c>
      <c r="P534" s="74">
        <v>500</v>
      </c>
      <c r="Q534" s="74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38"/>
      <c r="AJ534" s="38"/>
    </row>
  </sheetData>
  <mergeCells count="3">
    <mergeCell ref="G1:G2"/>
    <mergeCell ref="A5:D5"/>
    <mergeCell ref="U5:AF5"/>
  </mergeCells>
  <conditionalFormatting sqref="M7:M534">
    <cfRule type="duplicateValues" dxfId="5" priority="1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72"/>
  <sheetViews>
    <sheetView workbookViewId="0">
      <pane xSplit="12" ySplit="6" topLeftCell="Y7" activePane="bottomRight" state="frozen"/>
      <selection pane="topRight" activeCell="M1" sqref="M1"/>
      <selection pane="bottomLeft" activeCell="A6" sqref="A6"/>
      <selection pane="bottomRight" activeCell="U5" sqref="U5:AF5"/>
    </sheetView>
  </sheetViews>
  <sheetFormatPr defaultRowHeight="14.4" x14ac:dyDescent="0.3"/>
  <cols>
    <col min="1" max="1" width="4.109375" style="65" customWidth="1"/>
    <col min="2" max="2" width="14" style="65" customWidth="1"/>
    <col min="3" max="3" width="13.109375" style="65" customWidth="1"/>
    <col min="4" max="4" width="12.21875" style="65" customWidth="1"/>
    <col min="5" max="5" width="17" style="65" customWidth="1"/>
    <col min="6" max="6" width="12.109375" style="65" customWidth="1"/>
    <col min="7" max="7" width="6.88671875" style="65" customWidth="1"/>
    <col min="8" max="8" width="19.6640625" style="4" customWidth="1"/>
    <col min="9" max="9" width="7.21875" style="4" customWidth="1"/>
    <col min="10" max="10" width="15.6640625" style="4" customWidth="1"/>
    <col min="11" max="11" width="23.44140625" style="4" customWidth="1"/>
    <col min="12" max="12" width="19.21875" style="4" customWidth="1"/>
    <col min="13" max="13" width="8.33203125" style="4" customWidth="1"/>
    <col min="14" max="14" width="9.6640625" style="4" customWidth="1"/>
    <col min="15" max="15" width="10.44140625" style="4" customWidth="1"/>
    <col min="16" max="17" width="8.6640625" style="4" customWidth="1"/>
    <col min="18" max="18" width="7.33203125" style="4" customWidth="1"/>
    <col min="19" max="19" width="7.44140625" style="4" customWidth="1"/>
    <col min="20" max="20" width="7.33203125" style="4" customWidth="1"/>
    <col min="21" max="32" width="4.77734375" style="4" customWidth="1"/>
    <col min="33" max="33" width="15" style="4" customWidth="1"/>
    <col min="34" max="16384" width="8.88671875" style="4"/>
  </cols>
  <sheetData>
    <row r="1" spans="1:36" s="13" customFormat="1" x14ac:dyDescent="0.3">
      <c r="A1" s="55"/>
      <c r="B1" s="55"/>
      <c r="C1" s="55"/>
      <c r="D1" s="55"/>
      <c r="E1" s="55"/>
      <c r="F1" s="55"/>
      <c r="G1" s="165" t="s">
        <v>23</v>
      </c>
      <c r="H1" s="46" t="s">
        <v>0</v>
      </c>
      <c r="I1" s="47">
        <f>COUNTIF(I7:I691,"SK(H)")</f>
        <v>0</v>
      </c>
      <c r="J1" s="46" t="s">
        <v>1</v>
      </c>
      <c r="K1" s="46">
        <f>COUNTA(J7:J707)</f>
        <v>0</v>
      </c>
      <c r="L1" s="9"/>
      <c r="M1" s="9"/>
      <c r="N1" s="9"/>
      <c r="O1" s="9"/>
      <c r="Z1" s="11"/>
      <c r="AA1" s="8"/>
      <c r="AB1" s="8"/>
      <c r="AC1" s="8"/>
      <c r="AD1" s="11"/>
      <c r="AE1" s="11"/>
      <c r="AF1" s="11" t="s">
        <v>2</v>
      </c>
      <c r="AG1" s="11"/>
      <c r="AH1" s="10"/>
      <c r="AI1" s="12"/>
      <c r="AJ1" s="8"/>
    </row>
    <row r="2" spans="1:36" s="13" customFormat="1" x14ac:dyDescent="0.3">
      <c r="A2" s="55"/>
      <c r="B2" s="55"/>
      <c r="C2" s="55"/>
      <c r="D2" s="56"/>
      <c r="E2" s="57"/>
      <c r="F2" s="57"/>
      <c r="G2" s="165"/>
      <c r="H2" s="46" t="s">
        <v>3</v>
      </c>
      <c r="I2" s="47">
        <f>COUNTIF(I7:I692,"SHW(H)")</f>
        <v>0</v>
      </c>
      <c r="J2" s="46" t="s">
        <v>5</v>
      </c>
      <c r="K2" s="46">
        <f>COUNTA(K7:K372)</f>
        <v>366</v>
      </c>
      <c r="L2" s="9"/>
      <c r="M2" s="9"/>
      <c r="N2" s="9"/>
      <c r="O2" s="9"/>
      <c r="Z2" s="11"/>
      <c r="AA2" s="8"/>
      <c r="AB2" s="8"/>
      <c r="AC2" s="8"/>
      <c r="AD2" s="11"/>
      <c r="AE2" s="11"/>
      <c r="AF2" s="11" t="s">
        <v>4</v>
      </c>
      <c r="AG2" s="11"/>
      <c r="AH2" s="10"/>
      <c r="AI2" s="8"/>
      <c r="AJ2" s="8"/>
    </row>
    <row r="3" spans="1:36" s="13" customFormat="1" x14ac:dyDescent="0.3">
      <c r="A3" s="55"/>
      <c r="B3" s="55"/>
      <c r="C3" s="55"/>
      <c r="D3" s="56"/>
      <c r="E3" s="57"/>
      <c r="F3" s="57"/>
      <c r="G3" s="162"/>
      <c r="H3" s="9"/>
      <c r="I3" s="164"/>
      <c r="J3" s="9"/>
      <c r="K3" s="9"/>
      <c r="L3" s="9"/>
      <c r="M3" s="9"/>
      <c r="N3" s="9"/>
      <c r="O3" s="9"/>
      <c r="Z3" s="11"/>
      <c r="AA3" s="8"/>
      <c r="AB3" s="8"/>
      <c r="AC3" s="8"/>
      <c r="AD3" s="11"/>
      <c r="AE3" s="11"/>
      <c r="AF3" s="11" t="s">
        <v>6</v>
      </c>
      <c r="AG3" s="11"/>
      <c r="AH3" s="10"/>
      <c r="AI3" s="8"/>
      <c r="AJ3" s="8"/>
    </row>
    <row r="4" spans="1:36" s="13" customFormat="1" x14ac:dyDescent="0.3">
      <c r="A4" s="55"/>
      <c r="B4" s="55"/>
      <c r="C4" s="55"/>
      <c r="D4" s="55"/>
      <c r="E4" s="58"/>
      <c r="F4" s="58"/>
      <c r="G4" s="55"/>
      <c r="H4" s="8"/>
      <c r="I4" s="8"/>
      <c r="K4" s="11"/>
      <c r="L4" s="11"/>
      <c r="M4" s="11"/>
      <c r="N4" s="11"/>
      <c r="O4" s="11"/>
      <c r="Z4" s="11"/>
      <c r="AA4" s="8"/>
      <c r="AB4" s="8"/>
      <c r="AC4" s="8"/>
      <c r="AD4" s="11"/>
      <c r="AE4" s="11"/>
      <c r="AG4" s="11"/>
      <c r="AH4" s="10"/>
    </row>
    <row r="5" spans="1:36" ht="19.8" customHeight="1" x14ac:dyDescent="0.3">
      <c r="A5" s="166" t="s">
        <v>7</v>
      </c>
      <c r="B5" s="166"/>
      <c r="C5" s="166"/>
      <c r="D5" s="166"/>
      <c r="E5" s="103" t="s">
        <v>3524</v>
      </c>
      <c r="F5" s="103"/>
      <c r="G5" s="103"/>
      <c r="H5" s="2"/>
      <c r="I5" s="1"/>
      <c r="J5" s="1"/>
      <c r="K5" s="15"/>
      <c r="L5" s="15"/>
      <c r="M5" s="15"/>
      <c r="N5" s="15"/>
      <c r="O5" s="15"/>
      <c r="P5" s="5"/>
      <c r="Q5" s="5"/>
      <c r="R5" s="5"/>
      <c r="S5" s="5"/>
      <c r="T5" s="1"/>
      <c r="U5" s="167" t="s">
        <v>4489</v>
      </c>
      <c r="V5" s="168"/>
      <c r="W5" s="168"/>
      <c r="X5" s="168"/>
      <c r="Y5" s="168"/>
      <c r="Z5" s="168"/>
      <c r="AA5" s="168"/>
      <c r="AB5" s="168"/>
      <c r="AC5" s="168"/>
      <c r="AD5" s="168"/>
      <c r="AE5" s="168"/>
      <c r="AF5" s="168"/>
      <c r="AG5" s="6"/>
      <c r="AH5" s="3"/>
      <c r="AI5" s="7"/>
      <c r="AJ5" s="7"/>
    </row>
    <row r="6" spans="1:36" s="14" customFormat="1" ht="84.6" customHeight="1" x14ac:dyDescent="0.3">
      <c r="A6" s="60" t="s">
        <v>8</v>
      </c>
      <c r="B6" s="61" t="s">
        <v>3518</v>
      </c>
      <c r="C6" s="61" t="s">
        <v>3519</v>
      </c>
      <c r="D6" s="61" t="s">
        <v>9</v>
      </c>
      <c r="E6" s="61" t="s">
        <v>10</v>
      </c>
      <c r="F6" s="61" t="s">
        <v>11</v>
      </c>
      <c r="G6" s="62" t="s">
        <v>3523</v>
      </c>
      <c r="H6" s="19" t="s">
        <v>12</v>
      </c>
      <c r="I6" s="19" t="s">
        <v>13</v>
      </c>
      <c r="J6" s="48" t="s">
        <v>14</v>
      </c>
      <c r="K6" s="53" t="s">
        <v>34</v>
      </c>
      <c r="L6" s="81" t="s">
        <v>35</v>
      </c>
      <c r="M6" s="53" t="s">
        <v>40</v>
      </c>
      <c r="N6" s="53" t="s">
        <v>36</v>
      </c>
      <c r="O6" s="53" t="s">
        <v>37</v>
      </c>
      <c r="P6" s="19" t="s">
        <v>15</v>
      </c>
      <c r="Q6" s="19" t="s">
        <v>3522</v>
      </c>
      <c r="R6" s="19" t="s">
        <v>33</v>
      </c>
      <c r="S6" s="19" t="s">
        <v>38</v>
      </c>
      <c r="T6" s="19" t="s">
        <v>39</v>
      </c>
      <c r="U6" s="44" t="s">
        <v>26</v>
      </c>
      <c r="V6" s="45" t="s">
        <v>27</v>
      </c>
      <c r="W6" s="45" t="s">
        <v>16</v>
      </c>
      <c r="X6" s="45" t="s">
        <v>17</v>
      </c>
      <c r="Y6" s="45" t="s">
        <v>18</v>
      </c>
      <c r="Z6" s="45" t="s">
        <v>19</v>
      </c>
      <c r="AA6" s="45" t="s">
        <v>20</v>
      </c>
      <c r="AB6" s="45" t="s">
        <v>28</v>
      </c>
      <c r="AC6" s="45" t="s">
        <v>29</v>
      </c>
      <c r="AD6" s="45" t="s">
        <v>30</v>
      </c>
      <c r="AE6" s="45" t="s">
        <v>31</v>
      </c>
      <c r="AF6" s="45" t="s">
        <v>32</v>
      </c>
      <c r="AG6" s="49" t="s">
        <v>25</v>
      </c>
      <c r="AH6" s="50" t="s">
        <v>24</v>
      </c>
      <c r="AI6" s="51" t="s">
        <v>21</v>
      </c>
      <c r="AJ6" s="52" t="s">
        <v>22</v>
      </c>
    </row>
    <row r="7" spans="1:36" x14ac:dyDescent="0.3">
      <c r="A7" s="63">
        <v>1</v>
      </c>
      <c r="B7" s="102" t="s">
        <v>3520</v>
      </c>
      <c r="C7" s="102" t="s">
        <v>3521</v>
      </c>
      <c r="D7" s="64" t="s">
        <v>119</v>
      </c>
      <c r="E7" s="106" t="s">
        <v>3524</v>
      </c>
      <c r="F7" s="107" t="s">
        <v>3525</v>
      </c>
      <c r="G7" s="108">
        <v>1</v>
      </c>
      <c r="H7" s="106" t="s">
        <v>3526</v>
      </c>
      <c r="I7" s="106"/>
      <c r="J7" s="106"/>
      <c r="K7" s="109" t="s">
        <v>3527</v>
      </c>
      <c r="L7" s="109"/>
      <c r="M7" s="109"/>
      <c r="N7" s="109"/>
      <c r="O7" s="109"/>
      <c r="P7" s="110">
        <v>2267</v>
      </c>
      <c r="Q7" s="111">
        <v>504</v>
      </c>
      <c r="R7" s="112"/>
      <c r="S7" s="113">
        <f>155+1247</f>
        <v>1402</v>
      </c>
      <c r="T7" s="113"/>
      <c r="U7" s="106"/>
      <c r="V7" s="106"/>
      <c r="W7" s="106"/>
      <c r="X7" s="106"/>
      <c r="Y7" s="106"/>
      <c r="Z7" s="114"/>
      <c r="AA7" s="38"/>
      <c r="AB7" s="38"/>
      <c r="AC7" s="38"/>
      <c r="AD7" s="38"/>
      <c r="AE7" s="38"/>
      <c r="AF7" s="38"/>
      <c r="AG7" s="16"/>
      <c r="AH7" s="24"/>
      <c r="AI7" s="25"/>
      <c r="AJ7" s="25"/>
    </row>
    <row r="8" spans="1:36" x14ac:dyDescent="0.3">
      <c r="A8" s="63">
        <v>2</v>
      </c>
      <c r="B8" s="102" t="s">
        <v>3520</v>
      </c>
      <c r="C8" s="102" t="s">
        <v>3521</v>
      </c>
      <c r="D8" s="64" t="s">
        <v>119</v>
      </c>
      <c r="E8" s="106" t="s">
        <v>3524</v>
      </c>
      <c r="F8" s="107" t="s">
        <v>3525</v>
      </c>
      <c r="G8" s="108">
        <v>1</v>
      </c>
      <c r="H8" s="106" t="s">
        <v>3526</v>
      </c>
      <c r="I8" s="106"/>
      <c r="J8" s="38"/>
      <c r="K8" s="109" t="s">
        <v>3528</v>
      </c>
      <c r="L8" s="109"/>
      <c r="M8" s="109"/>
      <c r="N8" s="109"/>
      <c r="O8" s="109"/>
      <c r="P8" s="110">
        <v>1128</v>
      </c>
      <c r="Q8" s="110">
        <v>242</v>
      </c>
      <c r="R8" s="112"/>
      <c r="S8" s="113">
        <v>60</v>
      </c>
      <c r="T8" s="113"/>
      <c r="U8" s="38"/>
      <c r="V8" s="38"/>
      <c r="W8" s="38"/>
      <c r="X8" s="38"/>
      <c r="Y8" s="38"/>
      <c r="Z8" s="115"/>
      <c r="AA8" s="38"/>
      <c r="AB8" s="38"/>
      <c r="AC8" s="38"/>
      <c r="AD8" s="38"/>
      <c r="AE8" s="38"/>
      <c r="AF8" s="38"/>
      <c r="AG8" s="17"/>
      <c r="AH8" s="24"/>
      <c r="AI8" s="25"/>
      <c r="AJ8" s="25"/>
    </row>
    <row r="9" spans="1:36" x14ac:dyDescent="0.3">
      <c r="A9" s="63">
        <v>3</v>
      </c>
      <c r="B9" s="102" t="s">
        <v>3520</v>
      </c>
      <c r="C9" s="102" t="s">
        <v>3521</v>
      </c>
      <c r="D9" s="64" t="s">
        <v>119</v>
      </c>
      <c r="E9" s="106" t="s">
        <v>3524</v>
      </c>
      <c r="F9" s="107" t="s">
        <v>3525</v>
      </c>
      <c r="G9" s="108">
        <v>1</v>
      </c>
      <c r="H9" s="106" t="s">
        <v>3526</v>
      </c>
      <c r="I9" s="106"/>
      <c r="J9" s="38"/>
      <c r="K9" s="109" t="s">
        <v>3529</v>
      </c>
      <c r="L9" s="109"/>
      <c r="M9" s="109"/>
      <c r="N9" s="109"/>
      <c r="O9" s="109"/>
      <c r="P9" s="110">
        <v>348</v>
      </c>
      <c r="Q9" s="111">
        <v>77</v>
      </c>
      <c r="R9" s="112"/>
      <c r="S9" s="113"/>
      <c r="T9" s="113"/>
      <c r="U9" s="38"/>
      <c r="V9" s="38"/>
      <c r="W9" s="38"/>
      <c r="X9" s="38"/>
      <c r="Y9" s="38"/>
      <c r="Z9" s="115"/>
      <c r="AA9" s="38"/>
      <c r="AB9" s="38"/>
      <c r="AC9" s="38"/>
      <c r="AD9" s="38"/>
      <c r="AE9" s="38"/>
      <c r="AF9" s="38"/>
      <c r="AG9" s="17"/>
      <c r="AH9" s="24"/>
      <c r="AI9" s="25"/>
      <c r="AJ9" s="25"/>
    </row>
    <row r="10" spans="1:36" x14ac:dyDescent="0.3">
      <c r="A10" s="63">
        <v>4</v>
      </c>
      <c r="B10" s="102" t="s">
        <v>3520</v>
      </c>
      <c r="C10" s="102" t="s">
        <v>3521</v>
      </c>
      <c r="D10" s="64" t="s">
        <v>119</v>
      </c>
      <c r="E10" s="106" t="s">
        <v>3524</v>
      </c>
      <c r="F10" s="107" t="s">
        <v>3525</v>
      </c>
      <c r="G10" s="108">
        <v>1</v>
      </c>
      <c r="H10" s="106" t="s">
        <v>3526</v>
      </c>
      <c r="I10" s="106"/>
      <c r="J10" s="38"/>
      <c r="K10" s="109" t="s">
        <v>3530</v>
      </c>
      <c r="L10" s="109"/>
      <c r="M10" s="109"/>
      <c r="N10" s="109"/>
      <c r="O10" s="109"/>
      <c r="P10" s="110">
        <v>907</v>
      </c>
      <c r="Q10" s="111">
        <v>190</v>
      </c>
      <c r="R10" s="112"/>
      <c r="S10" s="113">
        <v>41</v>
      </c>
      <c r="T10" s="113"/>
      <c r="U10" s="38"/>
      <c r="V10" s="38"/>
      <c r="W10" s="38"/>
      <c r="X10" s="38"/>
      <c r="Y10" s="38"/>
      <c r="Z10" s="115"/>
      <c r="AA10" s="38"/>
      <c r="AB10" s="38"/>
      <c r="AC10" s="38"/>
      <c r="AD10" s="38"/>
      <c r="AE10" s="38"/>
      <c r="AF10" s="38"/>
      <c r="AG10" s="17"/>
      <c r="AH10" s="24"/>
      <c r="AI10" s="25"/>
      <c r="AJ10" s="25"/>
    </row>
    <row r="11" spans="1:36" x14ac:dyDescent="0.3">
      <c r="A11" s="63">
        <v>5</v>
      </c>
      <c r="B11" s="102" t="s">
        <v>3520</v>
      </c>
      <c r="C11" s="102" t="s">
        <v>3521</v>
      </c>
      <c r="D11" s="64" t="s">
        <v>119</v>
      </c>
      <c r="E11" s="106" t="s">
        <v>3524</v>
      </c>
      <c r="F11" s="107" t="s">
        <v>3525</v>
      </c>
      <c r="G11" s="108">
        <v>2</v>
      </c>
      <c r="H11" s="106" t="s">
        <v>3526</v>
      </c>
      <c r="I11" s="106"/>
      <c r="J11" s="38"/>
      <c r="K11" s="109" t="s">
        <v>3528</v>
      </c>
      <c r="L11" s="109"/>
      <c r="M11" s="109"/>
      <c r="N11" s="109"/>
      <c r="O11" s="109"/>
      <c r="P11" s="110">
        <v>1882</v>
      </c>
      <c r="Q11" s="116">
        <v>398</v>
      </c>
      <c r="R11" s="112"/>
      <c r="S11" s="113">
        <v>18</v>
      </c>
      <c r="T11" s="113"/>
      <c r="U11" s="38"/>
      <c r="V11" s="38"/>
      <c r="W11" s="38"/>
      <c r="X11" s="38"/>
      <c r="Y11" s="38"/>
      <c r="Z11" s="115"/>
      <c r="AA11" s="38"/>
      <c r="AB11" s="38"/>
      <c r="AC11" s="38"/>
      <c r="AD11" s="38"/>
      <c r="AE11" s="38"/>
      <c r="AF11" s="38"/>
      <c r="AG11" s="16"/>
      <c r="AH11" s="24"/>
      <c r="AI11" s="25"/>
      <c r="AJ11" s="25"/>
    </row>
    <row r="12" spans="1:36" x14ac:dyDescent="0.3">
      <c r="A12" s="63">
        <v>6</v>
      </c>
      <c r="B12" s="102" t="s">
        <v>3520</v>
      </c>
      <c r="C12" s="102" t="s">
        <v>3521</v>
      </c>
      <c r="D12" s="64" t="s">
        <v>119</v>
      </c>
      <c r="E12" s="106" t="s">
        <v>3524</v>
      </c>
      <c r="F12" s="107" t="s">
        <v>3525</v>
      </c>
      <c r="G12" s="108">
        <v>2</v>
      </c>
      <c r="H12" s="106" t="s">
        <v>3526</v>
      </c>
      <c r="I12" s="106"/>
      <c r="J12" s="38"/>
      <c r="K12" s="109" t="s">
        <v>3531</v>
      </c>
      <c r="L12" s="109"/>
      <c r="M12" s="109"/>
      <c r="N12" s="109"/>
      <c r="O12" s="109"/>
      <c r="P12" s="110">
        <v>1810</v>
      </c>
      <c r="Q12" s="111">
        <v>366</v>
      </c>
      <c r="R12" s="112"/>
      <c r="S12" s="113">
        <v>85</v>
      </c>
      <c r="T12" s="113"/>
      <c r="U12" s="38"/>
      <c r="V12" s="38"/>
      <c r="W12" s="38"/>
      <c r="X12" s="38"/>
      <c r="Y12" s="38"/>
      <c r="Z12" s="115"/>
      <c r="AA12" s="38"/>
      <c r="AB12" s="38"/>
      <c r="AC12" s="38"/>
      <c r="AD12" s="38"/>
      <c r="AE12" s="38"/>
      <c r="AF12" s="38"/>
      <c r="AG12" s="17"/>
      <c r="AH12" s="24"/>
      <c r="AI12" s="25"/>
      <c r="AJ12" s="25"/>
    </row>
    <row r="13" spans="1:36" x14ac:dyDescent="0.3">
      <c r="A13" s="63">
        <v>7</v>
      </c>
      <c r="B13" s="102" t="s">
        <v>3520</v>
      </c>
      <c r="C13" s="102" t="s">
        <v>3521</v>
      </c>
      <c r="D13" s="64" t="s">
        <v>119</v>
      </c>
      <c r="E13" s="106" t="s">
        <v>3524</v>
      </c>
      <c r="F13" s="107" t="s">
        <v>3525</v>
      </c>
      <c r="G13" s="108">
        <v>3</v>
      </c>
      <c r="H13" s="38" t="s">
        <v>3532</v>
      </c>
      <c r="I13" s="38"/>
      <c r="J13" s="38"/>
      <c r="K13" s="109" t="s">
        <v>3533</v>
      </c>
      <c r="L13" s="109"/>
      <c r="M13" s="109"/>
      <c r="N13" s="109"/>
      <c r="O13" s="109"/>
      <c r="P13" s="110">
        <v>480</v>
      </c>
      <c r="Q13" s="111">
        <v>94</v>
      </c>
      <c r="R13" s="112"/>
      <c r="S13" s="113"/>
      <c r="T13" s="113"/>
      <c r="U13" s="38"/>
      <c r="V13" s="38"/>
      <c r="W13" s="38"/>
      <c r="X13" s="38"/>
      <c r="Y13" s="38"/>
      <c r="Z13" s="115"/>
      <c r="AA13" s="38"/>
      <c r="AB13" s="38"/>
      <c r="AC13" s="38"/>
      <c r="AD13" s="38"/>
      <c r="AE13" s="38"/>
      <c r="AF13" s="38"/>
      <c r="AG13" s="17"/>
      <c r="AH13" s="24"/>
      <c r="AI13" s="25"/>
      <c r="AJ13" s="25"/>
    </row>
    <row r="14" spans="1:36" x14ac:dyDescent="0.3">
      <c r="A14" s="63">
        <v>8</v>
      </c>
      <c r="B14" s="102" t="s">
        <v>3520</v>
      </c>
      <c r="C14" s="102" t="s">
        <v>3521</v>
      </c>
      <c r="D14" s="64" t="s">
        <v>119</v>
      </c>
      <c r="E14" s="106" t="s">
        <v>3524</v>
      </c>
      <c r="F14" s="107" t="s">
        <v>3525</v>
      </c>
      <c r="G14" s="108">
        <v>3</v>
      </c>
      <c r="H14" s="38" t="s">
        <v>3532</v>
      </c>
      <c r="I14" s="38"/>
      <c r="J14" s="38"/>
      <c r="K14" s="109" t="s">
        <v>3534</v>
      </c>
      <c r="L14" s="109"/>
      <c r="M14" s="109"/>
      <c r="N14" s="109"/>
      <c r="O14" s="109"/>
      <c r="P14" s="110">
        <v>1223</v>
      </c>
      <c r="Q14" s="111">
        <v>239</v>
      </c>
      <c r="R14" s="112"/>
      <c r="S14" s="113">
        <v>93</v>
      </c>
      <c r="T14" s="113"/>
      <c r="U14" s="38"/>
      <c r="V14" s="38"/>
      <c r="W14" s="38"/>
      <c r="X14" s="38"/>
      <c r="Y14" s="38"/>
      <c r="Z14" s="115"/>
      <c r="AA14" s="38"/>
      <c r="AB14" s="38"/>
      <c r="AC14" s="38"/>
      <c r="AD14" s="38"/>
      <c r="AE14" s="38"/>
      <c r="AF14" s="38"/>
      <c r="AG14" s="16"/>
      <c r="AH14" s="24"/>
      <c r="AI14" s="25"/>
      <c r="AJ14" s="25"/>
    </row>
    <row r="15" spans="1:36" x14ac:dyDescent="0.3">
      <c r="A15" s="63">
        <v>9</v>
      </c>
      <c r="B15" s="102" t="s">
        <v>3520</v>
      </c>
      <c r="C15" s="102" t="s">
        <v>3521</v>
      </c>
      <c r="D15" s="64" t="s">
        <v>119</v>
      </c>
      <c r="E15" s="106" t="s">
        <v>3524</v>
      </c>
      <c r="F15" s="107" t="s">
        <v>3525</v>
      </c>
      <c r="G15" s="108">
        <v>3</v>
      </c>
      <c r="H15" s="38" t="s">
        <v>3532</v>
      </c>
      <c r="I15" s="38"/>
      <c r="J15" s="38"/>
      <c r="K15" s="109" t="s">
        <v>3535</v>
      </c>
      <c r="L15" s="109"/>
      <c r="M15" s="109"/>
      <c r="N15" s="109"/>
      <c r="O15" s="109"/>
      <c r="P15" s="110">
        <v>302</v>
      </c>
      <c r="Q15" s="111">
        <v>57</v>
      </c>
      <c r="R15" s="112"/>
      <c r="S15" s="113"/>
      <c r="T15" s="117"/>
      <c r="U15" s="38"/>
      <c r="V15" s="38"/>
      <c r="W15" s="38"/>
      <c r="X15" s="38"/>
      <c r="Y15" s="38"/>
      <c r="Z15" s="115"/>
      <c r="AA15" s="38"/>
      <c r="AB15" s="38"/>
      <c r="AC15" s="38"/>
      <c r="AD15" s="38"/>
      <c r="AE15" s="38"/>
      <c r="AF15" s="38"/>
      <c r="AG15" s="17"/>
      <c r="AH15" s="24"/>
      <c r="AI15" s="25"/>
      <c r="AJ15" s="25"/>
    </row>
    <row r="16" spans="1:36" x14ac:dyDescent="0.3">
      <c r="A16" s="63">
        <v>10</v>
      </c>
      <c r="B16" s="102" t="s">
        <v>3520</v>
      </c>
      <c r="C16" s="102" t="s">
        <v>3521</v>
      </c>
      <c r="D16" s="64" t="s">
        <v>119</v>
      </c>
      <c r="E16" s="106" t="s">
        <v>3524</v>
      </c>
      <c r="F16" s="107" t="s">
        <v>3525</v>
      </c>
      <c r="G16" s="108">
        <v>3</v>
      </c>
      <c r="H16" s="38" t="s">
        <v>3532</v>
      </c>
      <c r="I16" s="38"/>
      <c r="J16" s="38"/>
      <c r="K16" s="109" t="s">
        <v>3536</v>
      </c>
      <c r="L16" s="109"/>
      <c r="M16" s="109"/>
      <c r="N16" s="109"/>
      <c r="O16" s="109"/>
      <c r="P16" s="110">
        <v>2422</v>
      </c>
      <c r="Q16" s="110">
        <v>469</v>
      </c>
      <c r="R16" s="112"/>
      <c r="S16" s="113">
        <v>123</v>
      </c>
      <c r="T16" s="113"/>
      <c r="U16" s="38"/>
      <c r="V16" s="38"/>
      <c r="W16" s="38"/>
      <c r="X16" s="38"/>
      <c r="Y16" s="38"/>
      <c r="Z16" s="115"/>
      <c r="AA16" s="38"/>
      <c r="AB16" s="38"/>
      <c r="AC16" s="38"/>
      <c r="AD16" s="38"/>
      <c r="AE16" s="38"/>
      <c r="AF16" s="38"/>
      <c r="AG16" s="17"/>
      <c r="AH16" s="24"/>
      <c r="AI16" s="25"/>
      <c r="AJ16" s="25"/>
    </row>
    <row r="17" spans="1:36" x14ac:dyDescent="0.3">
      <c r="A17" s="63">
        <v>11</v>
      </c>
      <c r="B17" s="102" t="s">
        <v>3520</v>
      </c>
      <c r="C17" s="102" t="s">
        <v>3521</v>
      </c>
      <c r="D17" s="64" t="s">
        <v>119</v>
      </c>
      <c r="E17" s="106" t="s">
        <v>3524</v>
      </c>
      <c r="F17" s="107" t="s">
        <v>3525</v>
      </c>
      <c r="G17" s="108">
        <v>4</v>
      </c>
      <c r="H17" s="38" t="s">
        <v>3532</v>
      </c>
      <c r="I17" s="38"/>
      <c r="J17" s="38"/>
      <c r="K17" s="109" t="s">
        <v>3537</v>
      </c>
      <c r="L17" s="109"/>
      <c r="M17" s="109"/>
      <c r="N17" s="109"/>
      <c r="O17" s="109"/>
      <c r="P17" s="110">
        <v>1634</v>
      </c>
      <c r="Q17" s="111">
        <v>331</v>
      </c>
      <c r="R17" s="112"/>
      <c r="S17" s="113"/>
      <c r="T17" s="113"/>
      <c r="U17" s="38"/>
      <c r="V17" s="38"/>
      <c r="W17" s="38"/>
      <c r="X17" s="38"/>
      <c r="Y17" s="38"/>
      <c r="Z17" s="115"/>
      <c r="AA17" s="38"/>
      <c r="AB17" s="38"/>
      <c r="AC17" s="38"/>
      <c r="AD17" s="38"/>
      <c r="AE17" s="38"/>
      <c r="AF17" s="38"/>
      <c r="AG17" s="17"/>
      <c r="AH17" s="24"/>
      <c r="AI17" s="25"/>
      <c r="AJ17" s="25"/>
    </row>
    <row r="18" spans="1:36" x14ac:dyDescent="0.3">
      <c r="A18" s="63">
        <v>12</v>
      </c>
      <c r="B18" s="102" t="s">
        <v>3520</v>
      </c>
      <c r="C18" s="102" t="s">
        <v>3521</v>
      </c>
      <c r="D18" s="64" t="s">
        <v>119</v>
      </c>
      <c r="E18" s="106" t="s">
        <v>3524</v>
      </c>
      <c r="F18" s="107" t="s">
        <v>3525</v>
      </c>
      <c r="G18" s="108">
        <v>4</v>
      </c>
      <c r="H18" s="38" t="s">
        <v>3532</v>
      </c>
      <c r="I18" s="38"/>
      <c r="J18" s="38"/>
      <c r="K18" s="109" t="s">
        <v>3538</v>
      </c>
      <c r="L18" s="109"/>
      <c r="M18" s="109"/>
      <c r="N18" s="109"/>
      <c r="O18" s="109"/>
      <c r="P18" s="110">
        <v>1327</v>
      </c>
      <c r="Q18" s="110">
        <v>264</v>
      </c>
      <c r="R18" s="112"/>
      <c r="S18" s="113"/>
      <c r="T18" s="113"/>
      <c r="U18" s="38"/>
      <c r="V18" s="38"/>
      <c r="W18" s="38"/>
      <c r="X18" s="38"/>
      <c r="Y18" s="38"/>
      <c r="Z18" s="115"/>
      <c r="AA18" s="38"/>
      <c r="AB18" s="38"/>
      <c r="AC18" s="38"/>
      <c r="AD18" s="38"/>
      <c r="AE18" s="38"/>
      <c r="AF18" s="38"/>
      <c r="AG18" s="17"/>
      <c r="AH18" s="24"/>
      <c r="AI18" s="25"/>
      <c r="AJ18" s="25"/>
    </row>
    <row r="19" spans="1:36" x14ac:dyDescent="0.3">
      <c r="A19" s="63">
        <v>13</v>
      </c>
      <c r="B19" s="102" t="s">
        <v>3520</v>
      </c>
      <c r="C19" s="102" t="s">
        <v>3521</v>
      </c>
      <c r="D19" s="64" t="s">
        <v>119</v>
      </c>
      <c r="E19" s="106" t="s">
        <v>3524</v>
      </c>
      <c r="F19" s="107" t="s">
        <v>3525</v>
      </c>
      <c r="G19" s="108">
        <v>4</v>
      </c>
      <c r="H19" s="38" t="s">
        <v>3532</v>
      </c>
      <c r="I19" s="38"/>
      <c r="J19" s="38"/>
      <c r="K19" s="109" t="s">
        <v>3539</v>
      </c>
      <c r="L19" s="109"/>
      <c r="M19" s="109"/>
      <c r="N19" s="109"/>
      <c r="O19" s="109"/>
      <c r="P19" s="110">
        <v>5504</v>
      </c>
      <c r="Q19" s="110">
        <v>1080</v>
      </c>
      <c r="R19" s="112"/>
      <c r="S19" s="113">
        <v>287</v>
      </c>
      <c r="T19" s="113"/>
      <c r="U19" s="38"/>
      <c r="V19" s="38"/>
      <c r="W19" s="38"/>
      <c r="X19" s="38"/>
      <c r="Y19" s="38"/>
      <c r="Z19" s="115"/>
      <c r="AA19" s="38"/>
      <c r="AB19" s="38"/>
      <c r="AC19" s="38"/>
      <c r="AD19" s="38"/>
      <c r="AE19" s="38"/>
      <c r="AF19" s="38"/>
      <c r="AG19" s="17"/>
      <c r="AH19" s="24"/>
      <c r="AI19" s="25"/>
      <c r="AJ19" s="25"/>
    </row>
    <row r="20" spans="1:36" x14ac:dyDescent="0.3">
      <c r="A20" s="63">
        <v>14</v>
      </c>
      <c r="B20" s="102" t="s">
        <v>3520</v>
      </c>
      <c r="C20" s="102" t="s">
        <v>3521</v>
      </c>
      <c r="D20" s="64" t="s">
        <v>119</v>
      </c>
      <c r="E20" s="106" t="s">
        <v>3524</v>
      </c>
      <c r="F20" s="107" t="s">
        <v>3525</v>
      </c>
      <c r="G20" s="108">
        <v>5</v>
      </c>
      <c r="H20" s="38" t="s">
        <v>3540</v>
      </c>
      <c r="I20" s="38"/>
      <c r="J20" s="38"/>
      <c r="K20" s="109" t="s">
        <v>3541</v>
      </c>
      <c r="L20" s="109"/>
      <c r="M20" s="109"/>
      <c r="N20" s="109"/>
      <c r="O20" s="109"/>
      <c r="P20" s="110">
        <v>1462</v>
      </c>
      <c r="Q20" s="110">
        <v>287</v>
      </c>
      <c r="R20" s="112"/>
      <c r="S20" s="113"/>
      <c r="T20" s="113"/>
      <c r="U20" s="38"/>
      <c r="V20" s="38"/>
      <c r="W20" s="38"/>
      <c r="X20" s="38"/>
      <c r="Y20" s="38"/>
      <c r="Z20" s="115"/>
      <c r="AA20" s="38"/>
      <c r="AB20" s="38"/>
      <c r="AC20" s="38"/>
      <c r="AD20" s="38"/>
      <c r="AE20" s="38"/>
      <c r="AF20" s="38"/>
      <c r="AG20" s="17"/>
      <c r="AH20" s="24"/>
      <c r="AI20" s="25"/>
      <c r="AJ20" s="25"/>
    </row>
    <row r="21" spans="1:36" x14ac:dyDescent="0.3">
      <c r="A21" s="63">
        <v>15</v>
      </c>
      <c r="B21" s="102" t="s">
        <v>3520</v>
      </c>
      <c r="C21" s="102" t="s">
        <v>3521</v>
      </c>
      <c r="D21" s="64" t="s">
        <v>119</v>
      </c>
      <c r="E21" s="106" t="s">
        <v>3524</v>
      </c>
      <c r="F21" s="107" t="s">
        <v>3525</v>
      </c>
      <c r="G21" s="108">
        <v>5</v>
      </c>
      <c r="H21" s="38" t="s">
        <v>3540</v>
      </c>
      <c r="I21" s="38"/>
      <c r="J21" s="38"/>
      <c r="K21" s="109" t="s">
        <v>3542</v>
      </c>
      <c r="L21" s="109"/>
      <c r="M21" s="109"/>
      <c r="N21" s="109"/>
      <c r="O21" s="109"/>
      <c r="P21" s="110">
        <v>1355</v>
      </c>
      <c r="Q21" s="111">
        <v>259</v>
      </c>
      <c r="R21" s="112"/>
      <c r="S21" s="113">
        <v>52</v>
      </c>
      <c r="T21" s="113"/>
      <c r="U21" s="38"/>
      <c r="V21" s="38"/>
      <c r="W21" s="38"/>
      <c r="X21" s="38"/>
      <c r="Y21" s="38"/>
      <c r="Z21" s="115"/>
      <c r="AA21" s="38"/>
      <c r="AB21" s="38"/>
      <c r="AC21" s="38"/>
      <c r="AD21" s="38"/>
      <c r="AE21" s="38"/>
      <c r="AF21" s="38"/>
      <c r="AG21" s="17"/>
      <c r="AH21" s="24"/>
      <c r="AI21" s="25"/>
      <c r="AJ21" s="25"/>
    </row>
    <row r="22" spans="1:36" x14ac:dyDescent="0.3">
      <c r="A22" s="63">
        <v>16</v>
      </c>
      <c r="B22" s="102" t="s">
        <v>3520</v>
      </c>
      <c r="C22" s="102" t="s">
        <v>3521</v>
      </c>
      <c r="D22" s="64" t="s">
        <v>119</v>
      </c>
      <c r="E22" s="106" t="s">
        <v>3524</v>
      </c>
      <c r="F22" s="107" t="s">
        <v>3525</v>
      </c>
      <c r="G22" s="108">
        <v>5</v>
      </c>
      <c r="H22" s="38" t="s">
        <v>3540</v>
      </c>
      <c r="I22" s="38"/>
      <c r="J22" s="38"/>
      <c r="K22" s="109" t="s">
        <v>3543</v>
      </c>
      <c r="L22" s="109"/>
      <c r="M22" s="109"/>
      <c r="N22" s="109"/>
      <c r="O22" s="109"/>
      <c r="P22" s="110">
        <v>1354</v>
      </c>
      <c r="Q22" s="111">
        <v>281</v>
      </c>
      <c r="R22" s="112"/>
      <c r="S22" s="113"/>
      <c r="T22" s="113"/>
      <c r="U22" s="38"/>
      <c r="V22" s="38"/>
      <c r="W22" s="38"/>
      <c r="X22" s="38"/>
      <c r="Y22" s="38"/>
      <c r="Z22" s="115"/>
      <c r="AA22" s="38"/>
      <c r="AB22" s="38"/>
      <c r="AC22" s="38"/>
      <c r="AD22" s="38"/>
      <c r="AE22" s="38"/>
      <c r="AF22" s="38"/>
      <c r="AG22" s="17"/>
      <c r="AH22" s="24"/>
      <c r="AI22" s="25"/>
      <c r="AJ22" s="25"/>
    </row>
    <row r="23" spans="1:36" x14ac:dyDescent="0.3">
      <c r="A23" s="63">
        <v>17</v>
      </c>
      <c r="B23" s="102" t="s">
        <v>3520</v>
      </c>
      <c r="C23" s="102" t="s">
        <v>3521</v>
      </c>
      <c r="D23" s="64" t="s">
        <v>119</v>
      </c>
      <c r="E23" s="106" t="s">
        <v>3524</v>
      </c>
      <c r="F23" s="107" t="s">
        <v>3525</v>
      </c>
      <c r="G23" s="108">
        <v>6</v>
      </c>
      <c r="H23" s="38" t="s">
        <v>3544</v>
      </c>
      <c r="I23" s="38"/>
      <c r="J23" s="38"/>
      <c r="K23" s="109" t="s">
        <v>3545</v>
      </c>
      <c r="L23" s="109"/>
      <c r="M23" s="109"/>
      <c r="N23" s="109"/>
      <c r="O23" s="109"/>
      <c r="P23" s="110">
        <v>301</v>
      </c>
      <c r="Q23" s="111">
        <v>60</v>
      </c>
      <c r="R23" s="112"/>
      <c r="S23" s="113"/>
      <c r="T23" s="113"/>
      <c r="U23" s="38"/>
      <c r="V23" s="38"/>
      <c r="W23" s="38"/>
      <c r="X23" s="38"/>
      <c r="Y23" s="38"/>
      <c r="Z23" s="115"/>
      <c r="AA23" s="38"/>
      <c r="AB23" s="38"/>
      <c r="AC23" s="38"/>
      <c r="AD23" s="38"/>
      <c r="AE23" s="38"/>
      <c r="AF23" s="38"/>
      <c r="AG23" s="17"/>
      <c r="AH23" s="24"/>
      <c r="AI23" s="25"/>
      <c r="AJ23" s="25"/>
    </row>
    <row r="24" spans="1:36" x14ac:dyDescent="0.3">
      <c r="A24" s="63">
        <v>18</v>
      </c>
      <c r="B24" s="102" t="s">
        <v>3520</v>
      </c>
      <c r="C24" s="102" t="s">
        <v>3521</v>
      </c>
      <c r="D24" s="64" t="s">
        <v>119</v>
      </c>
      <c r="E24" s="106" t="s">
        <v>3524</v>
      </c>
      <c r="F24" s="107" t="s">
        <v>3525</v>
      </c>
      <c r="G24" s="108">
        <v>6</v>
      </c>
      <c r="H24" s="38" t="s">
        <v>3546</v>
      </c>
      <c r="I24" s="38"/>
      <c r="J24" s="38"/>
      <c r="K24" s="109" t="s">
        <v>3547</v>
      </c>
      <c r="L24" s="109"/>
      <c r="M24" s="109"/>
      <c r="N24" s="109"/>
      <c r="O24" s="109"/>
      <c r="P24" s="110">
        <v>942</v>
      </c>
      <c r="Q24" s="111">
        <v>185</v>
      </c>
      <c r="R24" s="112"/>
      <c r="S24" s="113"/>
      <c r="T24" s="113"/>
      <c r="U24" s="38"/>
      <c r="V24" s="38"/>
      <c r="W24" s="38"/>
      <c r="X24" s="38"/>
      <c r="Y24" s="38"/>
      <c r="Z24" s="115"/>
      <c r="AA24" s="38"/>
      <c r="AB24" s="38"/>
      <c r="AC24" s="38"/>
      <c r="AD24" s="38"/>
      <c r="AE24" s="38"/>
      <c r="AF24" s="38"/>
      <c r="AG24" s="17"/>
      <c r="AH24" s="24"/>
      <c r="AI24" s="25"/>
      <c r="AJ24" s="25"/>
    </row>
    <row r="25" spans="1:36" x14ac:dyDescent="0.3">
      <c r="A25" s="63">
        <v>19</v>
      </c>
      <c r="B25" s="102" t="s">
        <v>3520</v>
      </c>
      <c r="C25" s="102" t="s">
        <v>3521</v>
      </c>
      <c r="D25" s="64" t="s">
        <v>119</v>
      </c>
      <c r="E25" s="106" t="s">
        <v>3524</v>
      </c>
      <c r="F25" s="107" t="s">
        <v>3525</v>
      </c>
      <c r="G25" s="108">
        <v>6</v>
      </c>
      <c r="H25" s="38" t="s">
        <v>3546</v>
      </c>
      <c r="I25" s="38"/>
      <c r="J25" s="38"/>
      <c r="K25" s="109" t="s">
        <v>3548</v>
      </c>
      <c r="L25" s="109"/>
      <c r="M25" s="109"/>
      <c r="N25" s="109"/>
      <c r="O25" s="109"/>
      <c r="P25" s="110">
        <v>492</v>
      </c>
      <c r="Q25" s="111">
        <v>88</v>
      </c>
      <c r="R25" s="112"/>
      <c r="S25" s="113"/>
      <c r="T25" s="113"/>
      <c r="U25" s="38"/>
      <c r="V25" s="38"/>
      <c r="W25" s="38"/>
      <c r="X25" s="38"/>
      <c r="Y25" s="38"/>
      <c r="Z25" s="115"/>
      <c r="AA25" s="38"/>
      <c r="AB25" s="38"/>
      <c r="AC25" s="38"/>
      <c r="AD25" s="38"/>
      <c r="AE25" s="38"/>
      <c r="AF25" s="38"/>
      <c r="AG25" s="17"/>
      <c r="AH25" s="24"/>
      <c r="AI25" s="25"/>
      <c r="AJ25" s="25"/>
    </row>
    <row r="26" spans="1:36" x14ac:dyDescent="0.3">
      <c r="A26" s="63">
        <v>20</v>
      </c>
      <c r="B26" s="102" t="s">
        <v>3520</v>
      </c>
      <c r="C26" s="102" t="s">
        <v>3521</v>
      </c>
      <c r="D26" s="64" t="s">
        <v>119</v>
      </c>
      <c r="E26" s="106" t="s">
        <v>3524</v>
      </c>
      <c r="F26" s="107" t="s">
        <v>3525</v>
      </c>
      <c r="G26" s="108">
        <v>6</v>
      </c>
      <c r="H26" s="38" t="s">
        <v>3546</v>
      </c>
      <c r="I26" s="38"/>
      <c r="J26" s="38"/>
      <c r="K26" s="109" t="s">
        <v>3549</v>
      </c>
      <c r="L26" s="109"/>
      <c r="M26" s="109"/>
      <c r="N26" s="109"/>
      <c r="O26" s="109"/>
      <c r="P26" s="110">
        <v>1287</v>
      </c>
      <c r="Q26" s="110">
        <v>268</v>
      </c>
      <c r="R26" s="112"/>
      <c r="S26" s="113"/>
      <c r="T26" s="113"/>
      <c r="U26" s="38"/>
      <c r="V26" s="38"/>
      <c r="W26" s="38"/>
      <c r="X26" s="38"/>
      <c r="Y26" s="38"/>
      <c r="Z26" s="115"/>
      <c r="AA26" s="38"/>
      <c r="AB26" s="38"/>
      <c r="AC26" s="38"/>
      <c r="AD26" s="38"/>
      <c r="AE26" s="38"/>
      <c r="AF26" s="38"/>
      <c r="AG26" s="17"/>
      <c r="AH26" s="24"/>
      <c r="AI26" s="25"/>
      <c r="AJ26" s="25"/>
    </row>
    <row r="27" spans="1:36" x14ac:dyDescent="0.3">
      <c r="A27" s="63">
        <v>21</v>
      </c>
      <c r="B27" s="102" t="s">
        <v>3520</v>
      </c>
      <c r="C27" s="102" t="s">
        <v>3521</v>
      </c>
      <c r="D27" s="64" t="s">
        <v>119</v>
      </c>
      <c r="E27" s="106" t="s">
        <v>3524</v>
      </c>
      <c r="F27" s="107" t="s">
        <v>3525</v>
      </c>
      <c r="G27" s="108">
        <v>6</v>
      </c>
      <c r="H27" s="38" t="s">
        <v>3546</v>
      </c>
      <c r="I27" s="38"/>
      <c r="J27" s="38"/>
      <c r="K27" s="109" t="s">
        <v>3550</v>
      </c>
      <c r="L27" s="109"/>
      <c r="M27" s="109"/>
      <c r="N27" s="109"/>
      <c r="O27" s="109"/>
      <c r="P27" s="110">
        <v>1324</v>
      </c>
      <c r="Q27" s="110">
        <v>274</v>
      </c>
      <c r="R27" s="112"/>
      <c r="S27" s="113"/>
      <c r="T27" s="113"/>
      <c r="U27" s="38"/>
      <c r="V27" s="38"/>
      <c r="W27" s="38"/>
      <c r="X27" s="38"/>
      <c r="Y27" s="38"/>
      <c r="Z27" s="115"/>
      <c r="AA27" s="38"/>
      <c r="AB27" s="38"/>
      <c r="AC27" s="38"/>
      <c r="AD27" s="38"/>
      <c r="AE27" s="38"/>
      <c r="AF27" s="38"/>
      <c r="AG27" s="17"/>
      <c r="AH27" s="24"/>
      <c r="AI27" s="25"/>
      <c r="AJ27" s="25"/>
    </row>
    <row r="28" spans="1:36" x14ac:dyDescent="0.3">
      <c r="A28" s="63">
        <v>22</v>
      </c>
      <c r="B28" s="102" t="s">
        <v>3520</v>
      </c>
      <c r="C28" s="102" t="s">
        <v>3521</v>
      </c>
      <c r="D28" s="64" t="s">
        <v>119</v>
      </c>
      <c r="E28" s="106" t="s">
        <v>3524</v>
      </c>
      <c r="F28" s="107" t="s">
        <v>3525</v>
      </c>
      <c r="G28" s="108">
        <v>6</v>
      </c>
      <c r="H28" s="38" t="s">
        <v>3546</v>
      </c>
      <c r="I28" s="38"/>
      <c r="J28" s="38"/>
      <c r="K28" s="109" t="s">
        <v>3551</v>
      </c>
      <c r="L28" s="109"/>
      <c r="M28" s="109"/>
      <c r="N28" s="109"/>
      <c r="O28" s="109"/>
      <c r="P28" s="110">
        <v>1081</v>
      </c>
      <c r="Q28" s="111">
        <v>224</v>
      </c>
      <c r="R28" s="112"/>
      <c r="S28" s="113">
        <v>69</v>
      </c>
      <c r="T28" s="113"/>
      <c r="U28" s="38"/>
      <c r="V28" s="38"/>
      <c r="W28" s="38"/>
      <c r="X28" s="38"/>
      <c r="Y28" s="38"/>
      <c r="Z28" s="115"/>
      <c r="AA28" s="38"/>
      <c r="AB28" s="38"/>
      <c r="AC28" s="38"/>
      <c r="AD28" s="38"/>
      <c r="AE28" s="38"/>
      <c r="AF28" s="38"/>
      <c r="AG28" s="17"/>
      <c r="AH28" s="24"/>
      <c r="AI28" s="25"/>
      <c r="AJ28" s="25"/>
    </row>
    <row r="29" spans="1:36" x14ac:dyDescent="0.3">
      <c r="A29" s="63">
        <v>23</v>
      </c>
      <c r="B29" s="102" t="s">
        <v>3520</v>
      </c>
      <c r="C29" s="102" t="s">
        <v>3521</v>
      </c>
      <c r="D29" s="64" t="s">
        <v>119</v>
      </c>
      <c r="E29" s="106" t="s">
        <v>3524</v>
      </c>
      <c r="F29" s="107" t="s">
        <v>3525</v>
      </c>
      <c r="G29" s="108">
        <v>6</v>
      </c>
      <c r="H29" s="38" t="s">
        <v>3546</v>
      </c>
      <c r="I29" s="38"/>
      <c r="J29" s="38"/>
      <c r="K29" s="109" t="s">
        <v>3552</v>
      </c>
      <c r="L29" s="109"/>
      <c r="M29" s="109"/>
      <c r="N29" s="109"/>
      <c r="O29" s="109"/>
      <c r="P29" s="110">
        <v>645</v>
      </c>
      <c r="Q29" s="111">
        <v>112</v>
      </c>
      <c r="R29" s="112"/>
      <c r="S29" s="113">
        <f>35+376</f>
        <v>411</v>
      </c>
      <c r="T29" s="113"/>
      <c r="U29" s="38"/>
      <c r="V29" s="38"/>
      <c r="W29" s="38"/>
      <c r="X29" s="38"/>
      <c r="Y29" s="38"/>
      <c r="Z29" s="115"/>
      <c r="AA29" s="38"/>
      <c r="AB29" s="38"/>
      <c r="AC29" s="38"/>
      <c r="AD29" s="38"/>
      <c r="AE29" s="38"/>
      <c r="AF29" s="38"/>
      <c r="AG29" s="17"/>
      <c r="AH29" s="24"/>
      <c r="AI29" s="25"/>
      <c r="AJ29" s="25"/>
    </row>
    <row r="30" spans="1:36" x14ac:dyDescent="0.3">
      <c r="A30" s="63">
        <v>24</v>
      </c>
      <c r="B30" s="102" t="s">
        <v>3520</v>
      </c>
      <c r="C30" s="102" t="s">
        <v>3521</v>
      </c>
      <c r="D30" s="64" t="s">
        <v>119</v>
      </c>
      <c r="E30" s="106" t="s">
        <v>3524</v>
      </c>
      <c r="F30" s="107" t="s">
        <v>3525</v>
      </c>
      <c r="G30" s="108">
        <v>6</v>
      </c>
      <c r="H30" s="38" t="s">
        <v>3546</v>
      </c>
      <c r="I30" s="38"/>
      <c r="J30" s="38"/>
      <c r="K30" s="109" t="s">
        <v>3553</v>
      </c>
      <c r="L30" s="109"/>
      <c r="M30" s="109"/>
      <c r="N30" s="109"/>
      <c r="O30" s="109"/>
      <c r="P30" s="110">
        <v>651</v>
      </c>
      <c r="Q30" s="111">
        <v>122</v>
      </c>
      <c r="R30" s="112"/>
      <c r="S30" s="113"/>
      <c r="T30" s="113"/>
      <c r="U30" s="38"/>
      <c r="V30" s="38"/>
      <c r="W30" s="38"/>
      <c r="X30" s="38"/>
      <c r="Y30" s="38"/>
      <c r="Z30" s="115"/>
      <c r="AA30" s="38"/>
      <c r="AB30" s="38"/>
      <c r="AC30" s="38"/>
      <c r="AD30" s="38"/>
      <c r="AE30" s="38"/>
      <c r="AF30" s="38"/>
      <c r="AG30" s="17"/>
      <c r="AH30" s="24"/>
      <c r="AI30" s="25"/>
      <c r="AJ30" s="25"/>
    </row>
    <row r="31" spans="1:36" x14ac:dyDescent="0.3">
      <c r="A31" s="63">
        <v>25</v>
      </c>
      <c r="B31" s="102" t="s">
        <v>3520</v>
      </c>
      <c r="C31" s="102" t="s">
        <v>3521</v>
      </c>
      <c r="D31" s="64" t="s">
        <v>119</v>
      </c>
      <c r="E31" s="106" t="s">
        <v>3524</v>
      </c>
      <c r="F31" s="107" t="s">
        <v>3525</v>
      </c>
      <c r="G31" s="108">
        <v>6</v>
      </c>
      <c r="H31" s="38" t="s">
        <v>3546</v>
      </c>
      <c r="I31" s="38"/>
      <c r="J31" s="38"/>
      <c r="K31" s="109" t="s">
        <v>3554</v>
      </c>
      <c r="L31" s="109"/>
      <c r="M31" s="109"/>
      <c r="N31" s="109"/>
      <c r="O31" s="109"/>
      <c r="P31" s="110">
        <v>3758</v>
      </c>
      <c r="Q31" s="111">
        <v>813</v>
      </c>
      <c r="R31" s="112"/>
      <c r="S31" s="113">
        <v>37</v>
      </c>
      <c r="T31" s="113"/>
      <c r="U31" s="38"/>
      <c r="V31" s="38"/>
      <c r="W31" s="38"/>
      <c r="X31" s="38"/>
      <c r="Y31" s="38"/>
      <c r="Z31" s="115"/>
      <c r="AA31" s="38"/>
      <c r="AB31" s="38"/>
      <c r="AC31" s="38"/>
      <c r="AD31" s="38"/>
      <c r="AE31" s="38"/>
      <c r="AF31" s="38"/>
      <c r="AG31" s="17"/>
      <c r="AH31" s="24"/>
      <c r="AI31" s="25"/>
      <c r="AJ31" s="25"/>
    </row>
    <row r="32" spans="1:36" x14ac:dyDescent="0.3">
      <c r="A32" s="63">
        <v>26</v>
      </c>
      <c r="B32" s="102" t="s">
        <v>3520</v>
      </c>
      <c r="C32" s="102" t="s">
        <v>3521</v>
      </c>
      <c r="D32" s="64" t="s">
        <v>119</v>
      </c>
      <c r="E32" s="106" t="s">
        <v>3524</v>
      </c>
      <c r="F32" s="107" t="s">
        <v>3525</v>
      </c>
      <c r="G32" s="108">
        <v>7</v>
      </c>
      <c r="H32" s="38" t="s">
        <v>3540</v>
      </c>
      <c r="I32" s="38"/>
      <c r="J32" s="38"/>
      <c r="K32" s="109" t="s">
        <v>3555</v>
      </c>
      <c r="L32" s="109"/>
      <c r="M32" s="109"/>
      <c r="N32" s="109"/>
      <c r="O32" s="109"/>
      <c r="P32" s="110">
        <v>1906</v>
      </c>
      <c r="Q32" s="110">
        <v>367</v>
      </c>
      <c r="R32" s="112"/>
      <c r="S32" s="113"/>
      <c r="T32" s="113"/>
      <c r="U32" s="38"/>
      <c r="V32" s="38"/>
      <c r="W32" s="38"/>
      <c r="X32" s="38"/>
      <c r="Y32" s="38"/>
      <c r="Z32" s="115"/>
      <c r="AA32" s="38"/>
      <c r="AB32" s="38"/>
      <c r="AC32" s="38"/>
      <c r="AD32" s="38"/>
      <c r="AE32" s="38"/>
      <c r="AF32" s="38"/>
      <c r="AG32" s="17"/>
      <c r="AH32" s="24"/>
      <c r="AI32" s="25"/>
      <c r="AJ32" s="25"/>
    </row>
    <row r="33" spans="1:36" x14ac:dyDescent="0.3">
      <c r="A33" s="63">
        <v>27</v>
      </c>
      <c r="B33" s="102" t="s">
        <v>3520</v>
      </c>
      <c r="C33" s="102" t="s">
        <v>3521</v>
      </c>
      <c r="D33" s="64" t="s">
        <v>119</v>
      </c>
      <c r="E33" s="106" t="s">
        <v>3524</v>
      </c>
      <c r="F33" s="107" t="s">
        <v>3525</v>
      </c>
      <c r="G33" s="108">
        <v>7</v>
      </c>
      <c r="H33" s="38" t="s">
        <v>3540</v>
      </c>
      <c r="I33" s="38"/>
      <c r="J33" s="38"/>
      <c r="K33" s="109" t="s">
        <v>3556</v>
      </c>
      <c r="L33" s="109"/>
      <c r="M33" s="109"/>
      <c r="N33" s="109"/>
      <c r="O33" s="109"/>
      <c r="P33" s="108">
        <v>754</v>
      </c>
      <c r="Q33" s="108">
        <v>153</v>
      </c>
      <c r="R33" s="112"/>
      <c r="S33" s="113"/>
      <c r="T33" s="113"/>
      <c r="U33" s="38"/>
      <c r="V33" s="38"/>
      <c r="W33" s="38"/>
      <c r="X33" s="38"/>
      <c r="Y33" s="38"/>
      <c r="Z33" s="115"/>
      <c r="AA33" s="38"/>
      <c r="AB33" s="38"/>
      <c r="AC33" s="38"/>
      <c r="AD33" s="38"/>
      <c r="AE33" s="38"/>
      <c r="AF33" s="38"/>
      <c r="AG33" s="17"/>
      <c r="AH33" s="24"/>
      <c r="AI33" s="25"/>
      <c r="AJ33" s="25"/>
    </row>
    <row r="34" spans="1:36" x14ac:dyDescent="0.3">
      <c r="A34" s="63">
        <v>28</v>
      </c>
      <c r="B34" s="102" t="s">
        <v>3520</v>
      </c>
      <c r="C34" s="102" t="s">
        <v>3521</v>
      </c>
      <c r="D34" s="64" t="s">
        <v>119</v>
      </c>
      <c r="E34" s="106" t="s">
        <v>3524</v>
      </c>
      <c r="F34" s="107" t="s">
        <v>3525</v>
      </c>
      <c r="G34" s="108">
        <v>8</v>
      </c>
      <c r="H34" s="38" t="s">
        <v>3546</v>
      </c>
      <c r="I34" s="38"/>
      <c r="J34" s="38"/>
      <c r="K34" s="109" t="s">
        <v>3557</v>
      </c>
      <c r="L34" s="109"/>
      <c r="M34" s="109"/>
      <c r="N34" s="109"/>
      <c r="O34" s="109"/>
      <c r="P34" s="110">
        <v>1471</v>
      </c>
      <c r="Q34" s="110">
        <v>313</v>
      </c>
      <c r="R34" s="112"/>
      <c r="S34" s="113"/>
      <c r="T34" s="113"/>
      <c r="U34" s="38"/>
      <c r="V34" s="38"/>
      <c r="W34" s="38"/>
      <c r="X34" s="38"/>
      <c r="Y34" s="38"/>
      <c r="Z34" s="115"/>
      <c r="AA34" s="38"/>
      <c r="AB34" s="38"/>
      <c r="AC34" s="38"/>
      <c r="AD34" s="38"/>
      <c r="AE34" s="38"/>
      <c r="AF34" s="38"/>
      <c r="AG34" s="17"/>
      <c r="AH34" s="24"/>
      <c r="AI34" s="25"/>
      <c r="AJ34" s="25"/>
    </row>
    <row r="35" spans="1:36" x14ac:dyDescent="0.3">
      <c r="A35" s="63">
        <v>29</v>
      </c>
      <c r="B35" s="102" t="s">
        <v>3520</v>
      </c>
      <c r="C35" s="102" t="s">
        <v>3521</v>
      </c>
      <c r="D35" s="64" t="s">
        <v>119</v>
      </c>
      <c r="E35" s="106" t="s">
        <v>3524</v>
      </c>
      <c r="F35" s="107" t="s">
        <v>3525</v>
      </c>
      <c r="G35" s="108">
        <v>8</v>
      </c>
      <c r="H35" s="38" t="s">
        <v>3546</v>
      </c>
      <c r="I35" s="38"/>
      <c r="J35" s="38"/>
      <c r="K35" s="109" t="s">
        <v>3549</v>
      </c>
      <c r="L35" s="109"/>
      <c r="M35" s="109"/>
      <c r="N35" s="109"/>
      <c r="O35" s="109"/>
      <c r="P35" s="110">
        <v>847</v>
      </c>
      <c r="Q35" s="110">
        <v>178</v>
      </c>
      <c r="R35" s="112"/>
      <c r="S35" s="113"/>
      <c r="T35" s="113"/>
      <c r="U35" s="38"/>
      <c r="V35" s="38"/>
      <c r="W35" s="38"/>
      <c r="X35" s="38"/>
      <c r="Y35" s="38"/>
      <c r="Z35" s="115"/>
      <c r="AA35" s="38"/>
      <c r="AB35" s="38"/>
      <c r="AC35" s="38"/>
      <c r="AD35" s="38"/>
      <c r="AE35" s="38"/>
      <c r="AF35" s="38"/>
      <c r="AG35" s="17"/>
      <c r="AH35" s="24"/>
      <c r="AI35" s="29"/>
      <c r="AJ35" s="29"/>
    </row>
    <row r="36" spans="1:36" x14ac:dyDescent="0.3">
      <c r="A36" s="63">
        <v>30</v>
      </c>
      <c r="B36" s="102" t="s">
        <v>3520</v>
      </c>
      <c r="C36" s="102" t="s">
        <v>3521</v>
      </c>
      <c r="D36" s="64" t="s">
        <v>119</v>
      </c>
      <c r="E36" s="106" t="s">
        <v>3524</v>
      </c>
      <c r="F36" s="107" t="s">
        <v>3525</v>
      </c>
      <c r="G36" s="108">
        <v>8</v>
      </c>
      <c r="H36" s="38" t="s">
        <v>3546</v>
      </c>
      <c r="I36" s="38"/>
      <c r="J36" s="38"/>
      <c r="K36" s="109" t="s">
        <v>3558</v>
      </c>
      <c r="L36" s="109"/>
      <c r="M36" s="109"/>
      <c r="N36" s="109"/>
      <c r="O36" s="109"/>
      <c r="P36" s="110">
        <v>422</v>
      </c>
      <c r="Q36" s="111">
        <v>94</v>
      </c>
      <c r="R36" s="112"/>
      <c r="S36" s="113"/>
      <c r="T36" s="113"/>
      <c r="U36" s="38"/>
      <c r="V36" s="38"/>
      <c r="W36" s="38"/>
      <c r="X36" s="38"/>
      <c r="Y36" s="38"/>
      <c r="Z36" s="115"/>
      <c r="AA36" s="38"/>
      <c r="AB36" s="38"/>
      <c r="AC36" s="38"/>
      <c r="AD36" s="38"/>
      <c r="AE36" s="38"/>
      <c r="AF36" s="38"/>
      <c r="AG36" s="17"/>
      <c r="AH36" s="24"/>
      <c r="AI36" s="30"/>
      <c r="AJ36" s="30"/>
    </row>
    <row r="37" spans="1:36" x14ac:dyDescent="0.3">
      <c r="A37" s="63">
        <v>31</v>
      </c>
      <c r="B37" s="102" t="s">
        <v>3520</v>
      </c>
      <c r="C37" s="102" t="s">
        <v>3521</v>
      </c>
      <c r="D37" s="64" t="s">
        <v>119</v>
      </c>
      <c r="E37" s="106" t="s">
        <v>3524</v>
      </c>
      <c r="F37" s="107" t="s">
        <v>3525</v>
      </c>
      <c r="G37" s="108">
        <v>9</v>
      </c>
      <c r="H37" s="38" t="s">
        <v>3546</v>
      </c>
      <c r="I37" s="38"/>
      <c r="J37" s="38"/>
      <c r="K37" s="109" t="s">
        <v>3559</v>
      </c>
      <c r="L37" s="109"/>
      <c r="M37" s="109"/>
      <c r="N37" s="109"/>
      <c r="O37" s="109"/>
      <c r="P37" s="108">
        <v>4183</v>
      </c>
      <c r="Q37" s="108">
        <v>875</v>
      </c>
      <c r="R37" s="112"/>
      <c r="S37" s="113">
        <v>444</v>
      </c>
      <c r="T37" s="113"/>
      <c r="U37" s="38"/>
      <c r="V37" s="38"/>
      <c r="W37" s="38"/>
      <c r="X37" s="38"/>
      <c r="Y37" s="38"/>
      <c r="Z37" s="115"/>
      <c r="AA37" s="38"/>
      <c r="AB37" s="38"/>
      <c r="AC37" s="38"/>
      <c r="AD37" s="38"/>
      <c r="AE37" s="38"/>
      <c r="AF37" s="38"/>
      <c r="AG37" s="17"/>
      <c r="AH37" s="24"/>
      <c r="AI37" s="31"/>
      <c r="AJ37" s="31"/>
    </row>
    <row r="38" spans="1:36" x14ac:dyDescent="0.3">
      <c r="A38" s="63">
        <v>32</v>
      </c>
      <c r="B38" s="102" t="s">
        <v>3520</v>
      </c>
      <c r="C38" s="102" t="s">
        <v>3521</v>
      </c>
      <c r="D38" s="64" t="s">
        <v>119</v>
      </c>
      <c r="E38" s="106" t="s">
        <v>3524</v>
      </c>
      <c r="F38" s="107" t="s">
        <v>3525</v>
      </c>
      <c r="G38" s="108">
        <v>9</v>
      </c>
      <c r="H38" s="38" t="s">
        <v>3546</v>
      </c>
      <c r="I38" s="38"/>
      <c r="J38" s="38"/>
      <c r="K38" s="109" t="s">
        <v>3560</v>
      </c>
      <c r="L38" s="109"/>
      <c r="M38" s="109"/>
      <c r="N38" s="109"/>
      <c r="O38" s="109"/>
      <c r="P38" s="110">
        <v>714</v>
      </c>
      <c r="Q38" s="111">
        <v>142</v>
      </c>
      <c r="R38" s="112"/>
      <c r="S38" s="113"/>
      <c r="T38" s="113"/>
      <c r="U38" s="38"/>
      <c r="V38" s="38"/>
      <c r="W38" s="38"/>
      <c r="X38" s="38"/>
      <c r="Y38" s="38"/>
      <c r="Z38" s="115"/>
      <c r="AA38" s="38"/>
      <c r="AB38" s="38"/>
      <c r="AC38" s="38"/>
      <c r="AD38" s="38"/>
      <c r="AE38" s="38"/>
      <c r="AF38" s="38"/>
      <c r="AG38" s="17"/>
      <c r="AH38" s="24"/>
      <c r="AI38" s="31"/>
      <c r="AJ38" s="31"/>
    </row>
    <row r="39" spans="1:36" x14ac:dyDescent="0.3">
      <c r="A39" s="63">
        <v>33</v>
      </c>
      <c r="B39" s="102" t="s">
        <v>3520</v>
      </c>
      <c r="C39" s="102" t="s">
        <v>3521</v>
      </c>
      <c r="D39" s="64" t="s">
        <v>119</v>
      </c>
      <c r="E39" s="106" t="s">
        <v>3524</v>
      </c>
      <c r="F39" s="107" t="s">
        <v>3561</v>
      </c>
      <c r="G39" s="108">
        <v>1</v>
      </c>
      <c r="H39" s="38" t="s">
        <v>3562</v>
      </c>
      <c r="I39" s="38"/>
      <c r="J39" s="38"/>
      <c r="K39" s="109" t="s">
        <v>3563</v>
      </c>
      <c r="L39" s="109"/>
      <c r="M39" s="109"/>
      <c r="N39" s="109"/>
      <c r="O39" s="109"/>
      <c r="P39" s="110">
        <v>8992</v>
      </c>
      <c r="Q39" s="110">
        <v>1820</v>
      </c>
      <c r="R39" s="112"/>
      <c r="S39" s="113">
        <v>489</v>
      </c>
      <c r="T39" s="113"/>
      <c r="U39" s="38"/>
      <c r="V39" s="38"/>
      <c r="W39" s="38"/>
      <c r="X39" s="38"/>
      <c r="Y39" s="38"/>
      <c r="Z39" s="115"/>
      <c r="AA39" s="38"/>
      <c r="AB39" s="38"/>
      <c r="AC39" s="38"/>
      <c r="AD39" s="38"/>
      <c r="AE39" s="38"/>
      <c r="AF39" s="38"/>
      <c r="AG39" s="17"/>
      <c r="AH39" s="24"/>
      <c r="AI39" s="29"/>
      <c r="AJ39" s="29"/>
    </row>
    <row r="40" spans="1:36" x14ac:dyDescent="0.3">
      <c r="A40" s="63">
        <v>34</v>
      </c>
      <c r="B40" s="102" t="s">
        <v>3520</v>
      </c>
      <c r="C40" s="102" t="s">
        <v>3521</v>
      </c>
      <c r="D40" s="64" t="s">
        <v>119</v>
      </c>
      <c r="E40" s="106" t="s">
        <v>3524</v>
      </c>
      <c r="F40" s="107" t="s">
        <v>3561</v>
      </c>
      <c r="G40" s="108">
        <v>2</v>
      </c>
      <c r="H40" s="38" t="s">
        <v>3526</v>
      </c>
      <c r="I40" s="38"/>
      <c r="J40" s="38"/>
      <c r="K40" s="109" t="s">
        <v>3564</v>
      </c>
      <c r="L40" s="109"/>
      <c r="M40" s="109"/>
      <c r="N40" s="109"/>
      <c r="O40" s="109"/>
      <c r="P40" s="110">
        <v>5376</v>
      </c>
      <c r="Q40" s="111">
        <v>1082</v>
      </c>
      <c r="R40" s="112"/>
      <c r="S40" s="113">
        <v>298</v>
      </c>
      <c r="T40" s="113"/>
      <c r="U40" s="38"/>
      <c r="V40" s="38"/>
      <c r="W40" s="38"/>
      <c r="X40" s="38"/>
      <c r="Y40" s="38"/>
      <c r="Z40" s="115"/>
      <c r="AA40" s="38"/>
      <c r="AB40" s="38"/>
      <c r="AC40" s="38"/>
      <c r="AD40" s="38"/>
      <c r="AE40" s="38"/>
      <c r="AF40" s="38"/>
      <c r="AG40" s="17"/>
      <c r="AH40" s="24"/>
      <c r="AI40" s="29"/>
      <c r="AJ40" s="29"/>
    </row>
    <row r="41" spans="1:36" x14ac:dyDescent="0.3">
      <c r="A41" s="63">
        <v>35</v>
      </c>
      <c r="B41" s="102" t="s">
        <v>3520</v>
      </c>
      <c r="C41" s="102" t="s">
        <v>3521</v>
      </c>
      <c r="D41" s="64" t="s">
        <v>119</v>
      </c>
      <c r="E41" s="106" t="s">
        <v>3524</v>
      </c>
      <c r="F41" s="107" t="s">
        <v>3561</v>
      </c>
      <c r="G41" s="108">
        <v>2</v>
      </c>
      <c r="H41" s="38" t="s">
        <v>3526</v>
      </c>
      <c r="I41" s="38"/>
      <c r="J41" s="38"/>
      <c r="K41" s="109" t="s">
        <v>3565</v>
      </c>
      <c r="L41" s="109"/>
      <c r="M41" s="109"/>
      <c r="N41" s="109"/>
      <c r="O41" s="109"/>
      <c r="P41" s="110">
        <v>4239</v>
      </c>
      <c r="Q41" s="110">
        <v>862</v>
      </c>
      <c r="R41" s="112"/>
      <c r="S41" s="113">
        <v>102</v>
      </c>
      <c r="T41" s="113"/>
      <c r="U41" s="38">
        <v>1</v>
      </c>
      <c r="V41" s="38"/>
      <c r="W41" s="38"/>
      <c r="X41" s="38"/>
      <c r="Y41" s="38"/>
      <c r="Z41" s="115"/>
      <c r="AA41" s="38"/>
      <c r="AB41" s="38"/>
      <c r="AC41" s="38"/>
      <c r="AD41" s="38"/>
      <c r="AE41" s="38"/>
      <c r="AF41" s="38"/>
      <c r="AG41" s="17"/>
      <c r="AH41" s="24"/>
      <c r="AI41" s="25"/>
      <c r="AJ41" s="25"/>
    </row>
    <row r="42" spans="1:36" x14ac:dyDescent="0.3">
      <c r="A42" s="63">
        <v>36</v>
      </c>
      <c r="B42" s="102" t="s">
        <v>3520</v>
      </c>
      <c r="C42" s="102" t="s">
        <v>3521</v>
      </c>
      <c r="D42" s="64" t="s">
        <v>119</v>
      </c>
      <c r="E42" s="106" t="s">
        <v>3524</v>
      </c>
      <c r="F42" s="107" t="s">
        <v>3561</v>
      </c>
      <c r="G42" s="108">
        <v>2</v>
      </c>
      <c r="H42" s="38" t="s">
        <v>3526</v>
      </c>
      <c r="I42" s="38"/>
      <c r="J42" s="38"/>
      <c r="K42" s="109" t="s">
        <v>3566</v>
      </c>
      <c r="L42" s="109"/>
      <c r="M42" s="109"/>
      <c r="N42" s="109"/>
      <c r="O42" s="109"/>
      <c r="P42" s="110">
        <v>2111</v>
      </c>
      <c r="Q42" s="111">
        <v>450</v>
      </c>
      <c r="R42" s="112"/>
      <c r="S42" s="113"/>
      <c r="T42" s="113"/>
      <c r="U42" s="38"/>
      <c r="V42" s="38"/>
      <c r="W42" s="38"/>
      <c r="X42" s="38"/>
      <c r="Y42" s="38"/>
      <c r="Z42" s="115"/>
      <c r="AA42" s="38"/>
      <c r="AB42" s="38"/>
      <c r="AC42" s="38"/>
      <c r="AD42" s="38"/>
      <c r="AE42" s="38"/>
      <c r="AF42" s="38"/>
      <c r="AG42" s="17"/>
      <c r="AH42" s="24"/>
      <c r="AI42" s="25"/>
      <c r="AJ42" s="25"/>
    </row>
    <row r="43" spans="1:36" x14ac:dyDescent="0.3">
      <c r="A43" s="63">
        <v>37</v>
      </c>
      <c r="B43" s="102" t="s">
        <v>3520</v>
      </c>
      <c r="C43" s="102" t="s">
        <v>3521</v>
      </c>
      <c r="D43" s="64" t="s">
        <v>119</v>
      </c>
      <c r="E43" s="106" t="s">
        <v>3524</v>
      </c>
      <c r="F43" s="107" t="s">
        <v>3561</v>
      </c>
      <c r="G43" s="108">
        <v>3</v>
      </c>
      <c r="H43" s="38" t="s">
        <v>3562</v>
      </c>
      <c r="I43" s="38"/>
      <c r="J43" s="38"/>
      <c r="K43" s="109" t="s">
        <v>3567</v>
      </c>
      <c r="L43" s="109"/>
      <c r="M43" s="109"/>
      <c r="N43" s="109"/>
      <c r="O43" s="109"/>
      <c r="P43" s="108">
        <v>4049</v>
      </c>
      <c r="Q43" s="108">
        <v>843</v>
      </c>
      <c r="R43" s="112"/>
      <c r="S43" s="113">
        <f>201+1414</f>
        <v>1615</v>
      </c>
      <c r="T43" s="113"/>
      <c r="U43" s="38"/>
      <c r="V43" s="38"/>
      <c r="W43" s="38"/>
      <c r="X43" s="38"/>
      <c r="Y43" s="38"/>
      <c r="Z43" s="115"/>
      <c r="AA43" s="38"/>
      <c r="AB43" s="38"/>
      <c r="AC43" s="38"/>
      <c r="AD43" s="38"/>
      <c r="AE43" s="38"/>
      <c r="AF43" s="38"/>
      <c r="AG43" s="17"/>
      <c r="AH43" s="24"/>
      <c r="AI43" s="25"/>
      <c r="AJ43" s="25"/>
    </row>
    <row r="44" spans="1:36" x14ac:dyDescent="0.3">
      <c r="A44" s="63">
        <v>38</v>
      </c>
      <c r="B44" s="102" t="s">
        <v>3520</v>
      </c>
      <c r="C44" s="102" t="s">
        <v>3521</v>
      </c>
      <c r="D44" s="64" t="s">
        <v>119</v>
      </c>
      <c r="E44" s="106" t="s">
        <v>3524</v>
      </c>
      <c r="F44" s="107" t="s">
        <v>3561</v>
      </c>
      <c r="G44" s="108">
        <v>3</v>
      </c>
      <c r="H44" s="38" t="s">
        <v>3562</v>
      </c>
      <c r="I44" s="38"/>
      <c r="J44" s="38"/>
      <c r="K44" s="109" t="s">
        <v>3568</v>
      </c>
      <c r="L44" s="109"/>
      <c r="M44" s="109"/>
      <c r="N44" s="109"/>
      <c r="O44" s="109"/>
      <c r="P44" s="110">
        <v>1559</v>
      </c>
      <c r="Q44" s="111">
        <v>312</v>
      </c>
      <c r="R44" s="112"/>
      <c r="S44" s="113">
        <f>36+748</f>
        <v>784</v>
      </c>
      <c r="T44" s="113"/>
      <c r="U44" s="38"/>
      <c r="V44" s="38"/>
      <c r="W44" s="38"/>
      <c r="X44" s="38"/>
      <c r="Y44" s="38"/>
      <c r="Z44" s="115"/>
      <c r="AA44" s="38"/>
      <c r="AB44" s="38"/>
      <c r="AC44" s="38"/>
      <c r="AD44" s="38"/>
      <c r="AE44" s="38"/>
      <c r="AF44" s="38"/>
      <c r="AG44" s="17"/>
      <c r="AH44" s="24"/>
      <c r="AI44" s="32"/>
      <c r="AJ44" s="32"/>
    </row>
    <row r="45" spans="1:36" x14ac:dyDescent="0.3">
      <c r="A45" s="63">
        <v>39</v>
      </c>
      <c r="B45" s="102" t="s">
        <v>3520</v>
      </c>
      <c r="C45" s="102" t="s">
        <v>3521</v>
      </c>
      <c r="D45" s="64" t="s">
        <v>119</v>
      </c>
      <c r="E45" s="106" t="s">
        <v>3524</v>
      </c>
      <c r="F45" s="107" t="s">
        <v>3561</v>
      </c>
      <c r="G45" s="108">
        <v>4</v>
      </c>
      <c r="H45" s="38" t="s">
        <v>3569</v>
      </c>
      <c r="I45" s="38"/>
      <c r="J45" s="38"/>
      <c r="K45" s="109" t="s">
        <v>3570</v>
      </c>
      <c r="L45" s="109"/>
      <c r="M45" s="109"/>
      <c r="N45" s="109"/>
      <c r="O45" s="109"/>
      <c r="P45" s="110">
        <v>3467</v>
      </c>
      <c r="Q45" s="110">
        <v>770</v>
      </c>
      <c r="R45" s="112"/>
      <c r="S45" s="113">
        <v>71</v>
      </c>
      <c r="T45" s="113"/>
      <c r="U45" s="38"/>
      <c r="V45" s="38"/>
      <c r="W45" s="38"/>
      <c r="X45" s="38"/>
      <c r="Y45" s="38"/>
      <c r="Z45" s="115"/>
      <c r="AA45" s="38"/>
      <c r="AB45" s="38"/>
      <c r="AC45" s="38"/>
      <c r="AD45" s="38"/>
      <c r="AE45" s="38"/>
      <c r="AF45" s="38"/>
      <c r="AG45" s="17"/>
      <c r="AH45" s="24"/>
      <c r="AI45" s="33"/>
      <c r="AJ45" s="33"/>
    </row>
    <row r="46" spans="1:36" x14ac:dyDescent="0.3">
      <c r="A46" s="63">
        <v>40</v>
      </c>
      <c r="B46" s="102" t="s">
        <v>3520</v>
      </c>
      <c r="C46" s="102" t="s">
        <v>3521</v>
      </c>
      <c r="D46" s="64" t="s">
        <v>119</v>
      </c>
      <c r="E46" s="106" t="s">
        <v>3524</v>
      </c>
      <c r="F46" s="107" t="s">
        <v>3561</v>
      </c>
      <c r="G46" s="108">
        <v>4</v>
      </c>
      <c r="H46" s="38" t="s">
        <v>3569</v>
      </c>
      <c r="I46" s="38"/>
      <c r="J46" s="38"/>
      <c r="K46" s="109" t="s">
        <v>3571</v>
      </c>
      <c r="L46" s="109"/>
      <c r="M46" s="109"/>
      <c r="N46" s="109"/>
      <c r="O46" s="109"/>
      <c r="P46" s="108">
        <v>563</v>
      </c>
      <c r="Q46" s="108">
        <v>124</v>
      </c>
      <c r="R46" s="112"/>
      <c r="S46" s="113"/>
      <c r="T46" s="113"/>
      <c r="U46" s="38"/>
      <c r="V46" s="38"/>
      <c r="W46" s="38"/>
      <c r="X46" s="38"/>
      <c r="Y46" s="38"/>
      <c r="Z46" s="115"/>
      <c r="AA46" s="38"/>
      <c r="AB46" s="38"/>
      <c r="AC46" s="38"/>
      <c r="AD46" s="38"/>
      <c r="AE46" s="38"/>
      <c r="AF46" s="38"/>
      <c r="AG46" s="17"/>
      <c r="AH46" s="24"/>
      <c r="AI46" s="33"/>
      <c r="AJ46" s="33"/>
    </row>
    <row r="47" spans="1:36" x14ac:dyDescent="0.3">
      <c r="A47" s="63">
        <v>41</v>
      </c>
      <c r="B47" s="102" t="s">
        <v>3520</v>
      </c>
      <c r="C47" s="102" t="s">
        <v>3521</v>
      </c>
      <c r="D47" s="64" t="s">
        <v>119</v>
      </c>
      <c r="E47" s="106" t="s">
        <v>3524</v>
      </c>
      <c r="F47" s="107" t="s">
        <v>3561</v>
      </c>
      <c r="G47" s="108">
        <v>5</v>
      </c>
      <c r="H47" s="38" t="s">
        <v>3569</v>
      </c>
      <c r="I47" s="38"/>
      <c r="J47" s="38"/>
      <c r="K47" s="109" t="s">
        <v>3572</v>
      </c>
      <c r="L47" s="109"/>
      <c r="M47" s="109"/>
      <c r="N47" s="109"/>
      <c r="O47" s="109"/>
      <c r="P47" s="110">
        <v>899</v>
      </c>
      <c r="Q47" s="110">
        <v>205</v>
      </c>
      <c r="R47" s="112"/>
      <c r="S47" s="113"/>
      <c r="T47" s="113"/>
      <c r="U47" s="38"/>
      <c r="V47" s="38"/>
      <c r="W47" s="38"/>
      <c r="X47" s="38"/>
      <c r="Y47" s="38"/>
      <c r="Z47" s="115"/>
      <c r="AA47" s="38"/>
      <c r="AB47" s="38"/>
      <c r="AC47" s="38"/>
      <c r="AD47" s="38"/>
      <c r="AE47" s="38"/>
      <c r="AF47" s="38"/>
      <c r="AG47" s="17"/>
      <c r="AH47" s="24"/>
      <c r="AI47" s="33"/>
      <c r="AJ47" s="33"/>
    </row>
    <row r="48" spans="1:36" x14ac:dyDescent="0.3">
      <c r="A48" s="63">
        <v>42</v>
      </c>
      <c r="B48" s="102" t="s">
        <v>3520</v>
      </c>
      <c r="C48" s="102" t="s">
        <v>3521</v>
      </c>
      <c r="D48" s="64" t="s">
        <v>119</v>
      </c>
      <c r="E48" s="106" t="s">
        <v>3524</v>
      </c>
      <c r="F48" s="107" t="s">
        <v>3561</v>
      </c>
      <c r="G48" s="108">
        <v>5</v>
      </c>
      <c r="H48" s="38" t="s">
        <v>3569</v>
      </c>
      <c r="I48" s="38"/>
      <c r="J48" s="38"/>
      <c r="K48" s="109" t="s">
        <v>3573</v>
      </c>
      <c r="L48" s="109"/>
      <c r="M48" s="109"/>
      <c r="N48" s="109"/>
      <c r="O48" s="109"/>
      <c r="P48" s="110">
        <v>2670</v>
      </c>
      <c r="Q48" s="110">
        <v>593</v>
      </c>
      <c r="R48" s="112"/>
      <c r="S48" s="113">
        <v>136</v>
      </c>
      <c r="T48" s="113"/>
      <c r="U48" s="38"/>
      <c r="V48" s="38"/>
      <c r="W48" s="38"/>
      <c r="X48" s="38"/>
      <c r="Y48" s="38"/>
      <c r="Z48" s="115"/>
      <c r="AA48" s="38"/>
      <c r="AB48" s="38"/>
      <c r="AC48" s="38"/>
      <c r="AD48" s="38"/>
      <c r="AE48" s="38"/>
      <c r="AF48" s="38"/>
      <c r="AG48" s="34"/>
      <c r="AH48" s="24"/>
      <c r="AI48" s="35"/>
      <c r="AJ48" s="35"/>
    </row>
    <row r="49" spans="1:36" x14ac:dyDescent="0.3">
      <c r="A49" s="63">
        <v>43</v>
      </c>
      <c r="B49" s="102" t="s">
        <v>3520</v>
      </c>
      <c r="C49" s="102" t="s">
        <v>3521</v>
      </c>
      <c r="D49" s="64" t="s">
        <v>119</v>
      </c>
      <c r="E49" s="106" t="s">
        <v>3524</v>
      </c>
      <c r="F49" s="107" t="s">
        <v>3561</v>
      </c>
      <c r="G49" s="108">
        <v>5</v>
      </c>
      <c r="H49" s="38" t="s">
        <v>3569</v>
      </c>
      <c r="I49" s="38"/>
      <c r="J49" s="38"/>
      <c r="K49" s="109" t="s">
        <v>3574</v>
      </c>
      <c r="L49" s="109"/>
      <c r="M49" s="109"/>
      <c r="N49" s="109"/>
      <c r="O49" s="109"/>
      <c r="P49" s="110">
        <v>2575</v>
      </c>
      <c r="Q49" s="110">
        <v>553</v>
      </c>
      <c r="R49" s="118"/>
      <c r="S49" s="113"/>
      <c r="T49" s="117"/>
      <c r="U49" s="38"/>
      <c r="V49" s="38"/>
      <c r="W49" s="38"/>
      <c r="X49" s="38"/>
      <c r="Y49" s="38"/>
      <c r="Z49" s="115"/>
      <c r="AA49" s="38"/>
      <c r="AB49" s="38"/>
      <c r="AC49" s="38"/>
      <c r="AD49" s="38"/>
      <c r="AE49" s="38"/>
      <c r="AF49" s="38"/>
      <c r="AG49" s="17"/>
      <c r="AH49" s="24"/>
      <c r="AI49" s="33"/>
      <c r="AJ49" s="33"/>
    </row>
    <row r="50" spans="1:36" x14ac:dyDescent="0.3">
      <c r="A50" s="63">
        <v>44</v>
      </c>
      <c r="B50" s="102" t="s">
        <v>3520</v>
      </c>
      <c r="C50" s="102" t="s">
        <v>3521</v>
      </c>
      <c r="D50" s="64" t="s">
        <v>119</v>
      </c>
      <c r="E50" s="106" t="s">
        <v>3524</v>
      </c>
      <c r="F50" s="107" t="s">
        <v>3561</v>
      </c>
      <c r="G50" s="108">
        <v>6</v>
      </c>
      <c r="H50" s="38" t="s">
        <v>3575</v>
      </c>
      <c r="I50" s="38"/>
      <c r="J50" s="38"/>
      <c r="K50" s="109" t="s">
        <v>3576</v>
      </c>
      <c r="L50" s="109"/>
      <c r="M50" s="109"/>
      <c r="N50" s="109"/>
      <c r="O50" s="109"/>
      <c r="P50" s="110">
        <v>1861</v>
      </c>
      <c r="Q50" s="111">
        <v>341</v>
      </c>
      <c r="R50" s="112"/>
      <c r="S50" s="113">
        <v>83</v>
      </c>
      <c r="T50" s="112"/>
      <c r="U50" s="38"/>
      <c r="V50" s="38"/>
      <c r="W50" s="38"/>
      <c r="X50" s="38"/>
      <c r="Y50" s="38"/>
      <c r="Z50" s="115"/>
      <c r="AA50" s="38"/>
      <c r="AB50" s="38"/>
      <c r="AC50" s="38"/>
      <c r="AD50" s="38"/>
      <c r="AE50" s="38"/>
      <c r="AF50" s="38"/>
      <c r="AG50" s="17"/>
      <c r="AH50" s="24"/>
      <c r="AI50" s="33"/>
      <c r="AJ50" s="33"/>
    </row>
    <row r="51" spans="1:36" x14ac:dyDescent="0.3">
      <c r="A51" s="63">
        <v>45</v>
      </c>
      <c r="B51" s="102" t="s">
        <v>3520</v>
      </c>
      <c r="C51" s="102" t="s">
        <v>3521</v>
      </c>
      <c r="D51" s="64" t="s">
        <v>119</v>
      </c>
      <c r="E51" s="106" t="s">
        <v>3524</v>
      </c>
      <c r="F51" s="107" t="s">
        <v>3561</v>
      </c>
      <c r="G51" s="108">
        <v>6</v>
      </c>
      <c r="H51" s="38" t="s">
        <v>3575</v>
      </c>
      <c r="I51" s="38"/>
      <c r="J51" s="38"/>
      <c r="K51" s="109" t="s">
        <v>3577</v>
      </c>
      <c r="L51" s="109"/>
      <c r="M51" s="109"/>
      <c r="N51" s="109"/>
      <c r="O51" s="109"/>
      <c r="P51" s="110">
        <v>936</v>
      </c>
      <c r="Q51" s="111">
        <v>186</v>
      </c>
      <c r="R51" s="112"/>
      <c r="S51" s="113"/>
      <c r="T51" s="113"/>
      <c r="U51" s="38"/>
      <c r="V51" s="38"/>
      <c r="W51" s="38"/>
      <c r="X51" s="38"/>
      <c r="Y51" s="38"/>
      <c r="Z51" s="115"/>
      <c r="AA51" s="38"/>
      <c r="AB51" s="38"/>
      <c r="AC51" s="38"/>
      <c r="AD51" s="38"/>
      <c r="AE51" s="38"/>
      <c r="AF51" s="38"/>
      <c r="AG51" s="17"/>
      <c r="AH51" s="24"/>
      <c r="AI51" s="25"/>
      <c r="AJ51" s="25"/>
    </row>
    <row r="52" spans="1:36" x14ac:dyDescent="0.3">
      <c r="A52" s="63">
        <v>46</v>
      </c>
      <c r="B52" s="102" t="s">
        <v>3520</v>
      </c>
      <c r="C52" s="102" t="s">
        <v>3521</v>
      </c>
      <c r="D52" s="64" t="s">
        <v>119</v>
      </c>
      <c r="E52" s="106" t="s">
        <v>3524</v>
      </c>
      <c r="F52" s="107" t="s">
        <v>3561</v>
      </c>
      <c r="G52" s="108">
        <v>6</v>
      </c>
      <c r="H52" s="38" t="s">
        <v>3575</v>
      </c>
      <c r="I52" s="38"/>
      <c r="J52" s="38"/>
      <c r="K52" s="109" t="s">
        <v>3578</v>
      </c>
      <c r="L52" s="109"/>
      <c r="M52" s="109"/>
      <c r="N52" s="109"/>
      <c r="O52" s="109"/>
      <c r="P52" s="110">
        <v>865</v>
      </c>
      <c r="Q52" s="110">
        <v>160</v>
      </c>
      <c r="R52" s="112"/>
      <c r="S52" s="113"/>
      <c r="T52" s="112"/>
      <c r="U52" s="38"/>
      <c r="V52" s="38"/>
      <c r="W52" s="38"/>
      <c r="X52" s="38"/>
      <c r="Y52" s="38"/>
      <c r="Z52" s="115"/>
      <c r="AA52" s="38"/>
      <c r="AB52" s="38"/>
      <c r="AC52" s="38"/>
      <c r="AD52" s="38"/>
      <c r="AE52" s="38"/>
      <c r="AF52" s="38"/>
      <c r="AG52" s="17"/>
      <c r="AH52" s="24"/>
      <c r="AI52" s="25"/>
      <c r="AJ52" s="25"/>
    </row>
    <row r="53" spans="1:36" x14ac:dyDescent="0.3">
      <c r="A53" s="63">
        <v>47</v>
      </c>
      <c r="B53" s="102" t="s">
        <v>3520</v>
      </c>
      <c r="C53" s="102" t="s">
        <v>3521</v>
      </c>
      <c r="D53" s="64" t="s">
        <v>119</v>
      </c>
      <c r="E53" s="106" t="s">
        <v>3524</v>
      </c>
      <c r="F53" s="107" t="s">
        <v>3561</v>
      </c>
      <c r="G53" s="108">
        <v>7</v>
      </c>
      <c r="H53" s="38" t="s">
        <v>3579</v>
      </c>
      <c r="I53" s="38"/>
      <c r="J53" s="38"/>
      <c r="K53" s="109" t="s">
        <v>3542</v>
      </c>
      <c r="L53" s="109"/>
      <c r="M53" s="109"/>
      <c r="N53" s="109"/>
      <c r="O53" s="109"/>
      <c r="P53" s="110">
        <v>2424</v>
      </c>
      <c r="Q53" s="110">
        <v>497</v>
      </c>
      <c r="R53" s="112"/>
      <c r="S53" s="113">
        <v>55</v>
      </c>
      <c r="T53" s="113"/>
      <c r="U53" s="38"/>
      <c r="V53" s="38"/>
      <c r="W53" s="38"/>
      <c r="X53" s="38"/>
      <c r="Y53" s="38"/>
      <c r="Z53" s="115"/>
      <c r="AA53" s="38"/>
      <c r="AB53" s="38"/>
      <c r="AC53" s="38"/>
      <c r="AD53" s="38"/>
      <c r="AE53" s="38"/>
      <c r="AF53" s="38"/>
      <c r="AG53" s="17"/>
      <c r="AH53" s="24"/>
      <c r="AI53" s="25"/>
      <c r="AJ53" s="25"/>
    </row>
    <row r="54" spans="1:36" x14ac:dyDescent="0.3">
      <c r="A54" s="63">
        <v>48</v>
      </c>
      <c r="B54" s="102" t="s">
        <v>3520</v>
      </c>
      <c r="C54" s="102" t="s">
        <v>3521</v>
      </c>
      <c r="D54" s="64" t="s">
        <v>119</v>
      </c>
      <c r="E54" s="106" t="s">
        <v>3524</v>
      </c>
      <c r="F54" s="107" t="s">
        <v>3561</v>
      </c>
      <c r="G54" s="108">
        <v>7</v>
      </c>
      <c r="H54" s="38" t="s">
        <v>3579</v>
      </c>
      <c r="I54" s="38"/>
      <c r="J54" s="38"/>
      <c r="K54" s="109" t="s">
        <v>3580</v>
      </c>
      <c r="L54" s="109"/>
      <c r="M54" s="109"/>
      <c r="N54" s="109"/>
      <c r="O54" s="109"/>
      <c r="P54" s="110">
        <v>2198</v>
      </c>
      <c r="Q54" s="111">
        <v>513</v>
      </c>
      <c r="R54" s="112"/>
      <c r="S54" s="113"/>
      <c r="T54" s="112"/>
      <c r="U54" s="38"/>
      <c r="V54" s="38"/>
      <c r="W54" s="38"/>
      <c r="X54" s="38"/>
      <c r="Y54" s="38"/>
      <c r="Z54" s="115"/>
      <c r="AA54" s="38"/>
      <c r="AB54" s="38"/>
      <c r="AC54" s="38"/>
      <c r="AD54" s="38"/>
      <c r="AE54" s="38"/>
      <c r="AF54" s="38"/>
      <c r="AG54" s="17"/>
      <c r="AH54" s="24"/>
      <c r="AI54" s="25"/>
      <c r="AJ54" s="25"/>
    </row>
    <row r="55" spans="1:36" x14ac:dyDescent="0.3">
      <c r="A55" s="63">
        <v>49</v>
      </c>
      <c r="B55" s="102" t="s">
        <v>3520</v>
      </c>
      <c r="C55" s="102" t="s">
        <v>3521</v>
      </c>
      <c r="D55" s="64" t="s">
        <v>119</v>
      </c>
      <c r="E55" s="106" t="s">
        <v>3524</v>
      </c>
      <c r="F55" s="107" t="s">
        <v>3561</v>
      </c>
      <c r="G55" s="108">
        <v>7</v>
      </c>
      <c r="H55" s="38" t="s">
        <v>3579</v>
      </c>
      <c r="I55" s="38"/>
      <c r="J55" s="38"/>
      <c r="K55" s="109" t="s">
        <v>3581</v>
      </c>
      <c r="L55" s="109"/>
      <c r="M55" s="109"/>
      <c r="N55" s="109"/>
      <c r="O55" s="109"/>
      <c r="P55" s="110">
        <v>1223</v>
      </c>
      <c r="Q55" s="111">
        <v>249</v>
      </c>
      <c r="R55" s="112"/>
      <c r="S55" s="113">
        <v>543</v>
      </c>
      <c r="T55" s="113"/>
      <c r="U55" s="38"/>
      <c r="V55" s="38"/>
      <c r="W55" s="38"/>
      <c r="X55" s="38"/>
      <c r="Y55" s="38"/>
      <c r="Z55" s="115"/>
      <c r="AA55" s="38"/>
      <c r="AB55" s="38"/>
      <c r="AC55" s="38"/>
      <c r="AD55" s="38"/>
      <c r="AE55" s="38"/>
      <c r="AF55" s="38"/>
      <c r="AG55" s="17"/>
      <c r="AH55" s="24"/>
      <c r="AI55" s="25"/>
      <c r="AJ55" s="25"/>
    </row>
    <row r="56" spans="1:36" x14ac:dyDescent="0.3">
      <c r="A56" s="63">
        <v>50</v>
      </c>
      <c r="B56" s="102" t="s">
        <v>3520</v>
      </c>
      <c r="C56" s="102" t="s">
        <v>3521</v>
      </c>
      <c r="D56" s="64" t="s">
        <v>119</v>
      </c>
      <c r="E56" s="106" t="s">
        <v>3524</v>
      </c>
      <c r="F56" s="107" t="s">
        <v>3561</v>
      </c>
      <c r="G56" s="108">
        <v>7</v>
      </c>
      <c r="H56" s="38" t="s">
        <v>3579</v>
      </c>
      <c r="I56" s="38"/>
      <c r="J56" s="38"/>
      <c r="K56" s="109" t="s">
        <v>3582</v>
      </c>
      <c r="L56" s="109"/>
      <c r="M56" s="109"/>
      <c r="N56" s="109"/>
      <c r="O56" s="109"/>
      <c r="P56" s="110">
        <v>1097</v>
      </c>
      <c r="Q56" s="111">
        <v>236</v>
      </c>
      <c r="R56" s="112"/>
      <c r="S56" s="113">
        <v>36</v>
      </c>
      <c r="T56" s="112"/>
      <c r="U56" s="38"/>
      <c r="V56" s="38"/>
      <c r="W56" s="38"/>
      <c r="X56" s="38"/>
      <c r="Y56" s="38"/>
      <c r="Z56" s="115"/>
      <c r="AA56" s="38"/>
      <c r="AB56" s="38"/>
      <c r="AC56" s="38"/>
      <c r="AD56" s="38"/>
      <c r="AE56" s="38"/>
      <c r="AF56" s="38"/>
      <c r="AG56" s="17"/>
      <c r="AH56" s="24"/>
      <c r="AI56" s="25"/>
      <c r="AJ56" s="25"/>
    </row>
    <row r="57" spans="1:36" x14ac:dyDescent="0.3">
      <c r="A57" s="63">
        <v>51</v>
      </c>
      <c r="B57" s="102" t="s">
        <v>3520</v>
      </c>
      <c r="C57" s="102" t="s">
        <v>3521</v>
      </c>
      <c r="D57" s="64" t="s">
        <v>119</v>
      </c>
      <c r="E57" s="106" t="s">
        <v>3524</v>
      </c>
      <c r="F57" s="107" t="s">
        <v>3561</v>
      </c>
      <c r="G57" s="108">
        <v>8</v>
      </c>
      <c r="H57" s="38" t="s">
        <v>3575</v>
      </c>
      <c r="I57" s="38"/>
      <c r="J57" s="38"/>
      <c r="K57" s="109" t="s">
        <v>3583</v>
      </c>
      <c r="L57" s="109"/>
      <c r="M57" s="109"/>
      <c r="N57" s="109"/>
      <c r="O57" s="109"/>
      <c r="P57" s="110">
        <v>1019</v>
      </c>
      <c r="Q57" s="111">
        <v>183</v>
      </c>
      <c r="R57" s="112"/>
      <c r="S57" s="113"/>
      <c r="T57" s="112"/>
      <c r="U57" s="38"/>
      <c r="V57" s="38"/>
      <c r="W57" s="38"/>
      <c r="X57" s="38"/>
      <c r="Y57" s="38"/>
      <c r="Z57" s="115"/>
      <c r="AA57" s="38"/>
      <c r="AB57" s="38"/>
      <c r="AC57" s="38"/>
      <c r="AD57" s="38"/>
      <c r="AE57" s="38"/>
      <c r="AF57" s="38"/>
      <c r="AG57" s="17"/>
      <c r="AH57" s="24"/>
      <c r="AI57" s="25"/>
      <c r="AJ57" s="25"/>
    </row>
    <row r="58" spans="1:36" x14ac:dyDescent="0.3">
      <c r="A58" s="63">
        <v>52</v>
      </c>
      <c r="B58" s="102" t="s">
        <v>3520</v>
      </c>
      <c r="C58" s="102" t="s">
        <v>3521</v>
      </c>
      <c r="D58" s="64" t="s">
        <v>119</v>
      </c>
      <c r="E58" s="106" t="s">
        <v>3524</v>
      </c>
      <c r="F58" s="107" t="s">
        <v>3561</v>
      </c>
      <c r="G58" s="108">
        <v>8</v>
      </c>
      <c r="H58" s="38" t="s">
        <v>3575</v>
      </c>
      <c r="I58" s="38"/>
      <c r="J58" s="38"/>
      <c r="K58" s="109" t="s">
        <v>3584</v>
      </c>
      <c r="L58" s="109"/>
      <c r="M58" s="109"/>
      <c r="N58" s="109"/>
      <c r="O58" s="109"/>
      <c r="P58" s="110">
        <v>1552</v>
      </c>
      <c r="Q58" s="111">
        <v>275</v>
      </c>
      <c r="R58" s="112"/>
      <c r="S58" s="113"/>
      <c r="T58" s="112"/>
      <c r="U58" s="38"/>
      <c r="V58" s="38"/>
      <c r="W58" s="38"/>
      <c r="X58" s="38"/>
      <c r="Y58" s="38"/>
      <c r="Z58" s="115"/>
      <c r="AA58" s="38"/>
      <c r="AB58" s="38"/>
      <c r="AC58" s="38"/>
      <c r="AD58" s="38"/>
      <c r="AE58" s="38"/>
      <c r="AF58" s="38"/>
      <c r="AG58" s="17"/>
      <c r="AH58" s="24"/>
      <c r="AI58" s="25"/>
      <c r="AJ58" s="25"/>
    </row>
    <row r="59" spans="1:36" x14ac:dyDescent="0.3">
      <c r="A59" s="63">
        <v>53</v>
      </c>
      <c r="B59" s="102" t="s">
        <v>3520</v>
      </c>
      <c r="C59" s="102" t="s">
        <v>3521</v>
      </c>
      <c r="D59" s="64" t="s">
        <v>119</v>
      </c>
      <c r="E59" s="106" t="s">
        <v>3524</v>
      </c>
      <c r="F59" s="107" t="s">
        <v>3561</v>
      </c>
      <c r="G59" s="108">
        <v>8</v>
      </c>
      <c r="H59" s="38" t="s">
        <v>3575</v>
      </c>
      <c r="I59" s="38"/>
      <c r="J59" s="38"/>
      <c r="K59" s="109" t="s">
        <v>3585</v>
      </c>
      <c r="L59" s="109"/>
      <c r="M59" s="109"/>
      <c r="N59" s="109"/>
      <c r="O59" s="109"/>
      <c r="P59" s="110">
        <v>1950</v>
      </c>
      <c r="Q59" s="111">
        <v>375</v>
      </c>
      <c r="R59" s="112"/>
      <c r="S59" s="113"/>
      <c r="T59" s="113"/>
      <c r="U59" s="38"/>
      <c r="V59" s="38"/>
      <c r="W59" s="38"/>
      <c r="X59" s="38"/>
      <c r="Y59" s="38"/>
      <c r="Z59" s="115"/>
      <c r="AA59" s="38"/>
      <c r="AB59" s="38"/>
      <c r="AC59" s="38"/>
      <c r="AD59" s="38"/>
      <c r="AE59" s="38"/>
      <c r="AF59" s="38"/>
      <c r="AG59" s="17"/>
      <c r="AH59" s="24"/>
      <c r="AI59" s="25"/>
      <c r="AJ59" s="25"/>
    </row>
    <row r="60" spans="1:36" x14ac:dyDescent="0.3">
      <c r="A60" s="63">
        <v>54</v>
      </c>
      <c r="B60" s="102" t="s">
        <v>3520</v>
      </c>
      <c r="C60" s="102" t="s">
        <v>3521</v>
      </c>
      <c r="D60" s="64" t="s">
        <v>119</v>
      </c>
      <c r="E60" s="106" t="s">
        <v>3524</v>
      </c>
      <c r="F60" s="107" t="s">
        <v>3561</v>
      </c>
      <c r="G60" s="108">
        <v>8</v>
      </c>
      <c r="H60" s="38" t="s">
        <v>3575</v>
      </c>
      <c r="I60" s="38"/>
      <c r="J60" s="38"/>
      <c r="K60" s="109" t="s">
        <v>3586</v>
      </c>
      <c r="L60" s="109"/>
      <c r="M60" s="109"/>
      <c r="N60" s="109"/>
      <c r="O60" s="109"/>
      <c r="P60" s="108">
        <v>1427</v>
      </c>
      <c r="Q60" s="108">
        <v>278</v>
      </c>
      <c r="R60" s="112"/>
      <c r="S60" s="113"/>
      <c r="T60" s="112"/>
      <c r="U60" s="38"/>
      <c r="V60" s="38"/>
      <c r="W60" s="38"/>
      <c r="X60" s="38"/>
      <c r="Y60" s="38"/>
      <c r="Z60" s="115"/>
      <c r="AA60" s="38"/>
      <c r="AB60" s="38"/>
      <c r="AC60" s="38"/>
      <c r="AD60" s="38"/>
      <c r="AE60" s="38"/>
      <c r="AF60" s="38"/>
      <c r="AG60" s="17"/>
      <c r="AH60" s="24"/>
      <c r="AI60" s="25"/>
      <c r="AJ60" s="25"/>
    </row>
    <row r="61" spans="1:36" x14ac:dyDescent="0.3">
      <c r="A61" s="63">
        <v>55</v>
      </c>
      <c r="B61" s="102" t="s">
        <v>3520</v>
      </c>
      <c r="C61" s="102" t="s">
        <v>3521</v>
      </c>
      <c r="D61" s="64" t="s">
        <v>119</v>
      </c>
      <c r="E61" s="106" t="s">
        <v>3524</v>
      </c>
      <c r="F61" s="107" t="s">
        <v>3561</v>
      </c>
      <c r="G61" s="119">
        <v>9</v>
      </c>
      <c r="H61" s="38" t="s">
        <v>3579</v>
      </c>
      <c r="I61" s="38"/>
      <c r="J61" s="38"/>
      <c r="K61" s="109" t="s">
        <v>3587</v>
      </c>
      <c r="L61" s="109"/>
      <c r="M61" s="109"/>
      <c r="N61" s="109"/>
      <c r="O61" s="109"/>
      <c r="P61" s="110">
        <v>5878</v>
      </c>
      <c r="Q61" s="110">
        <v>1190</v>
      </c>
      <c r="R61" s="112"/>
      <c r="S61" s="113">
        <v>55</v>
      </c>
      <c r="T61" s="113"/>
      <c r="U61" s="38"/>
      <c r="V61" s="38"/>
      <c r="W61" s="38"/>
      <c r="X61" s="38"/>
      <c r="Y61" s="38"/>
      <c r="Z61" s="115"/>
      <c r="AA61" s="38"/>
      <c r="AB61" s="38"/>
      <c r="AC61" s="38"/>
      <c r="AD61" s="38"/>
      <c r="AE61" s="38"/>
      <c r="AF61" s="38"/>
      <c r="AG61" s="17"/>
      <c r="AH61" s="24"/>
      <c r="AI61" s="25"/>
      <c r="AJ61" s="25"/>
    </row>
    <row r="62" spans="1:36" x14ac:dyDescent="0.3">
      <c r="A62" s="63">
        <v>56</v>
      </c>
      <c r="B62" s="102" t="s">
        <v>3520</v>
      </c>
      <c r="C62" s="102" t="s">
        <v>3521</v>
      </c>
      <c r="D62" s="64" t="s">
        <v>119</v>
      </c>
      <c r="E62" s="106" t="s">
        <v>3524</v>
      </c>
      <c r="F62" s="107" t="s">
        <v>3561</v>
      </c>
      <c r="G62" s="119">
        <v>9</v>
      </c>
      <c r="H62" s="38" t="s">
        <v>3579</v>
      </c>
      <c r="I62" s="38"/>
      <c r="J62" s="38"/>
      <c r="K62" s="109" t="s">
        <v>3588</v>
      </c>
      <c r="L62" s="109"/>
      <c r="M62" s="109"/>
      <c r="N62" s="109"/>
      <c r="O62" s="109"/>
      <c r="P62" s="110">
        <v>1089</v>
      </c>
      <c r="Q62" s="111">
        <v>214</v>
      </c>
      <c r="R62" s="112"/>
      <c r="S62" s="113">
        <f>48+645</f>
        <v>693</v>
      </c>
      <c r="T62" s="113"/>
      <c r="U62" s="38"/>
      <c r="V62" s="38"/>
      <c r="W62" s="38"/>
      <c r="X62" s="38"/>
      <c r="Y62" s="38"/>
      <c r="Z62" s="115"/>
      <c r="AA62" s="38"/>
      <c r="AB62" s="38"/>
      <c r="AC62" s="38"/>
      <c r="AD62" s="38"/>
      <c r="AE62" s="38"/>
      <c r="AF62" s="38"/>
      <c r="AG62" s="17"/>
      <c r="AH62" s="24"/>
      <c r="AI62" s="25"/>
      <c r="AJ62" s="25"/>
    </row>
    <row r="63" spans="1:36" x14ac:dyDescent="0.3">
      <c r="A63" s="63">
        <v>57</v>
      </c>
      <c r="B63" s="102" t="s">
        <v>3520</v>
      </c>
      <c r="C63" s="102" t="s">
        <v>3521</v>
      </c>
      <c r="D63" s="64" t="s">
        <v>119</v>
      </c>
      <c r="E63" s="106" t="s">
        <v>3524</v>
      </c>
      <c r="F63" s="107" t="s">
        <v>3561</v>
      </c>
      <c r="G63" s="119">
        <v>9</v>
      </c>
      <c r="H63" s="38" t="s">
        <v>3579</v>
      </c>
      <c r="I63" s="38"/>
      <c r="J63" s="38"/>
      <c r="K63" s="109" t="s">
        <v>3589</v>
      </c>
      <c r="L63" s="109"/>
      <c r="M63" s="109"/>
      <c r="N63" s="109"/>
      <c r="O63" s="109"/>
      <c r="P63" s="110">
        <v>686</v>
      </c>
      <c r="Q63" s="111">
        <v>142</v>
      </c>
      <c r="R63" s="112"/>
      <c r="S63" s="113">
        <f>70+161</f>
        <v>231</v>
      </c>
      <c r="T63" s="113"/>
      <c r="U63" s="38"/>
      <c r="V63" s="38"/>
      <c r="W63" s="38"/>
      <c r="X63" s="38"/>
      <c r="Y63" s="38"/>
      <c r="Z63" s="115"/>
      <c r="AA63" s="38"/>
      <c r="AB63" s="38"/>
      <c r="AC63" s="38"/>
      <c r="AD63" s="38"/>
      <c r="AE63" s="38"/>
      <c r="AF63" s="38"/>
      <c r="AG63" s="17"/>
      <c r="AH63" s="24"/>
      <c r="AI63" s="25"/>
      <c r="AJ63" s="25"/>
    </row>
    <row r="64" spans="1:36" x14ac:dyDescent="0.3">
      <c r="A64" s="63">
        <v>58</v>
      </c>
      <c r="B64" s="102" t="s">
        <v>3520</v>
      </c>
      <c r="C64" s="102" t="s">
        <v>3521</v>
      </c>
      <c r="D64" s="64" t="s">
        <v>119</v>
      </c>
      <c r="E64" s="106" t="s">
        <v>3524</v>
      </c>
      <c r="F64" s="107" t="s">
        <v>3561</v>
      </c>
      <c r="G64" s="119">
        <v>9</v>
      </c>
      <c r="H64" s="38" t="s">
        <v>3579</v>
      </c>
      <c r="I64" s="38"/>
      <c r="J64" s="38"/>
      <c r="K64" s="109" t="s">
        <v>3590</v>
      </c>
      <c r="L64" s="109"/>
      <c r="M64" s="109"/>
      <c r="N64" s="109"/>
      <c r="O64" s="109"/>
      <c r="P64" s="110">
        <v>695</v>
      </c>
      <c r="Q64" s="111">
        <v>146</v>
      </c>
      <c r="R64" s="112"/>
      <c r="S64" s="113">
        <v>65</v>
      </c>
      <c r="T64" s="113"/>
      <c r="U64" s="38"/>
      <c r="V64" s="38"/>
      <c r="W64" s="38"/>
      <c r="X64" s="38"/>
      <c r="Y64" s="38"/>
      <c r="Z64" s="115"/>
      <c r="AA64" s="38"/>
      <c r="AB64" s="38"/>
      <c r="AC64" s="38"/>
      <c r="AD64" s="38"/>
      <c r="AE64" s="38"/>
      <c r="AF64" s="38"/>
      <c r="AG64" s="17"/>
      <c r="AH64" s="24"/>
      <c r="AI64" s="25"/>
      <c r="AJ64" s="25"/>
    </row>
    <row r="65" spans="1:36" x14ac:dyDescent="0.3">
      <c r="A65" s="63">
        <v>59</v>
      </c>
      <c r="B65" s="102" t="s">
        <v>3520</v>
      </c>
      <c r="C65" s="102" t="s">
        <v>3521</v>
      </c>
      <c r="D65" s="64" t="s">
        <v>119</v>
      </c>
      <c r="E65" s="106" t="s">
        <v>3524</v>
      </c>
      <c r="F65" s="107" t="s">
        <v>3591</v>
      </c>
      <c r="G65" s="108">
        <v>1</v>
      </c>
      <c r="H65" s="38" t="s">
        <v>3592</v>
      </c>
      <c r="I65" s="38"/>
      <c r="J65" s="38"/>
      <c r="K65" s="109" t="s">
        <v>3593</v>
      </c>
      <c r="L65" s="109"/>
      <c r="M65" s="109"/>
      <c r="N65" s="109"/>
      <c r="O65" s="109"/>
      <c r="P65" s="110">
        <v>2944</v>
      </c>
      <c r="Q65" s="111">
        <v>534</v>
      </c>
      <c r="R65" s="112"/>
      <c r="S65" s="113">
        <v>36</v>
      </c>
      <c r="T65" s="113"/>
      <c r="U65" s="38"/>
      <c r="V65" s="38"/>
      <c r="W65" s="38"/>
      <c r="X65" s="38"/>
      <c r="Y65" s="38"/>
      <c r="Z65" s="115"/>
      <c r="AA65" s="38"/>
      <c r="AB65" s="38"/>
      <c r="AC65" s="38"/>
      <c r="AD65" s="38"/>
      <c r="AE65" s="38"/>
      <c r="AF65" s="38"/>
      <c r="AG65" s="17"/>
      <c r="AH65" s="24"/>
      <c r="AI65" s="25"/>
      <c r="AJ65" s="25"/>
    </row>
    <row r="66" spans="1:36" x14ac:dyDescent="0.3">
      <c r="A66" s="63">
        <v>60</v>
      </c>
      <c r="B66" s="102" t="s">
        <v>3520</v>
      </c>
      <c r="C66" s="102" t="s">
        <v>3521</v>
      </c>
      <c r="D66" s="64" t="s">
        <v>119</v>
      </c>
      <c r="E66" s="106" t="s">
        <v>3524</v>
      </c>
      <c r="F66" s="107" t="s">
        <v>3591</v>
      </c>
      <c r="G66" s="108">
        <v>2</v>
      </c>
      <c r="H66" s="38" t="s">
        <v>3594</v>
      </c>
      <c r="I66" s="38"/>
      <c r="J66" s="38"/>
      <c r="K66" s="109" t="s">
        <v>3595</v>
      </c>
      <c r="L66" s="109"/>
      <c r="M66" s="109"/>
      <c r="N66" s="109"/>
      <c r="O66" s="109"/>
      <c r="P66" s="108">
        <v>2824</v>
      </c>
      <c r="Q66" s="108">
        <v>668</v>
      </c>
      <c r="R66" s="112"/>
      <c r="S66" s="113">
        <v>67</v>
      </c>
      <c r="T66" s="113"/>
      <c r="U66" s="38"/>
      <c r="V66" s="38"/>
      <c r="W66" s="38"/>
      <c r="X66" s="38"/>
      <c r="Y66" s="38"/>
      <c r="Z66" s="115"/>
      <c r="AA66" s="38"/>
      <c r="AB66" s="38"/>
      <c r="AC66" s="38"/>
      <c r="AD66" s="38"/>
      <c r="AE66" s="38"/>
      <c r="AF66" s="38"/>
      <c r="AG66" s="17"/>
      <c r="AH66" s="24"/>
      <c r="AI66" s="25"/>
      <c r="AJ66" s="25"/>
    </row>
    <row r="67" spans="1:36" x14ac:dyDescent="0.3">
      <c r="A67" s="63">
        <v>61</v>
      </c>
      <c r="B67" s="102" t="s">
        <v>3520</v>
      </c>
      <c r="C67" s="102" t="s">
        <v>3521</v>
      </c>
      <c r="D67" s="64" t="s">
        <v>119</v>
      </c>
      <c r="E67" s="106" t="s">
        <v>3524</v>
      </c>
      <c r="F67" s="107" t="s">
        <v>3591</v>
      </c>
      <c r="G67" s="110">
        <v>3</v>
      </c>
      <c r="H67" s="38" t="s">
        <v>3596</v>
      </c>
      <c r="I67" s="38"/>
      <c r="J67" s="38"/>
      <c r="K67" s="109" t="s">
        <v>3597</v>
      </c>
      <c r="L67" s="109"/>
      <c r="M67" s="109"/>
      <c r="N67" s="109"/>
      <c r="O67" s="109"/>
      <c r="P67" s="110">
        <v>1102</v>
      </c>
      <c r="Q67" s="110">
        <v>194</v>
      </c>
      <c r="R67" s="112"/>
      <c r="S67" s="113">
        <v>28</v>
      </c>
      <c r="T67" s="113"/>
      <c r="U67" s="38"/>
      <c r="V67" s="38"/>
      <c r="W67" s="38"/>
      <c r="X67" s="38"/>
      <c r="Y67" s="38"/>
      <c r="Z67" s="115"/>
      <c r="AA67" s="38"/>
      <c r="AB67" s="38"/>
      <c r="AC67" s="38"/>
      <c r="AD67" s="38"/>
      <c r="AE67" s="38"/>
      <c r="AF67" s="38"/>
      <c r="AG67" s="17"/>
      <c r="AH67" s="24"/>
      <c r="AI67" s="25"/>
      <c r="AJ67" s="25"/>
    </row>
    <row r="68" spans="1:36" x14ac:dyDescent="0.3">
      <c r="A68" s="63">
        <v>62</v>
      </c>
      <c r="B68" s="102" t="s">
        <v>3520</v>
      </c>
      <c r="C68" s="102" t="s">
        <v>3521</v>
      </c>
      <c r="D68" s="64" t="s">
        <v>119</v>
      </c>
      <c r="E68" s="106" t="s">
        <v>3524</v>
      </c>
      <c r="F68" s="107" t="s">
        <v>3591</v>
      </c>
      <c r="G68" s="110">
        <v>3</v>
      </c>
      <c r="H68" s="38" t="s">
        <v>3596</v>
      </c>
      <c r="I68" s="38"/>
      <c r="J68" s="38"/>
      <c r="K68" s="109" t="s">
        <v>3598</v>
      </c>
      <c r="L68" s="109"/>
      <c r="M68" s="109"/>
      <c r="N68" s="109"/>
      <c r="O68" s="109"/>
      <c r="P68" s="110">
        <v>1233</v>
      </c>
      <c r="Q68" s="110">
        <v>225</v>
      </c>
      <c r="R68" s="112"/>
      <c r="S68" s="113"/>
      <c r="T68" s="113"/>
      <c r="U68" s="38"/>
      <c r="V68" s="38"/>
      <c r="W68" s="38"/>
      <c r="X68" s="38"/>
      <c r="Y68" s="38"/>
      <c r="Z68" s="115"/>
      <c r="AA68" s="38"/>
      <c r="AB68" s="38"/>
      <c r="AC68" s="38"/>
      <c r="AD68" s="38"/>
      <c r="AE68" s="38"/>
      <c r="AF68" s="38"/>
      <c r="AG68" s="17"/>
      <c r="AH68" s="24"/>
      <c r="AI68" s="25"/>
      <c r="AJ68" s="25"/>
    </row>
    <row r="69" spans="1:36" x14ac:dyDescent="0.3">
      <c r="A69" s="63">
        <v>63</v>
      </c>
      <c r="B69" s="102" t="s">
        <v>3520</v>
      </c>
      <c r="C69" s="102" t="s">
        <v>3521</v>
      </c>
      <c r="D69" s="64" t="s">
        <v>119</v>
      </c>
      <c r="E69" s="106" t="s">
        <v>3524</v>
      </c>
      <c r="F69" s="107" t="s">
        <v>3591</v>
      </c>
      <c r="G69" s="110">
        <v>3</v>
      </c>
      <c r="H69" s="38" t="s">
        <v>3596</v>
      </c>
      <c r="I69" s="38"/>
      <c r="J69" s="38"/>
      <c r="K69" s="109" t="s">
        <v>3599</v>
      </c>
      <c r="L69" s="109"/>
      <c r="M69" s="109"/>
      <c r="N69" s="109"/>
      <c r="O69" s="109"/>
      <c r="P69" s="110">
        <v>823</v>
      </c>
      <c r="Q69" s="110">
        <v>156</v>
      </c>
      <c r="R69" s="112"/>
      <c r="S69" s="113"/>
      <c r="T69" s="113"/>
      <c r="U69" s="38"/>
      <c r="V69" s="38"/>
      <c r="W69" s="38"/>
      <c r="X69" s="38"/>
      <c r="Y69" s="38"/>
      <c r="Z69" s="115"/>
      <c r="AA69" s="38"/>
      <c r="AB69" s="38"/>
      <c r="AC69" s="38"/>
      <c r="AD69" s="38"/>
      <c r="AE69" s="38"/>
      <c r="AF69" s="38"/>
      <c r="AG69" s="17"/>
      <c r="AH69" s="24"/>
      <c r="AI69" s="25"/>
      <c r="AJ69" s="25"/>
    </row>
    <row r="70" spans="1:36" x14ac:dyDescent="0.3">
      <c r="A70" s="63">
        <v>64</v>
      </c>
      <c r="B70" s="102" t="s">
        <v>3520</v>
      </c>
      <c r="C70" s="102" t="s">
        <v>3521</v>
      </c>
      <c r="D70" s="64" t="s">
        <v>119</v>
      </c>
      <c r="E70" s="106" t="s">
        <v>3524</v>
      </c>
      <c r="F70" s="107" t="s">
        <v>3591</v>
      </c>
      <c r="G70" s="110">
        <v>3</v>
      </c>
      <c r="H70" s="38" t="s">
        <v>3596</v>
      </c>
      <c r="I70" s="38"/>
      <c r="J70" s="38"/>
      <c r="K70" s="109" t="s">
        <v>3600</v>
      </c>
      <c r="L70" s="109"/>
      <c r="M70" s="109"/>
      <c r="N70" s="109"/>
      <c r="O70" s="109"/>
      <c r="P70" s="110">
        <v>1054</v>
      </c>
      <c r="Q70" s="111">
        <v>199</v>
      </c>
      <c r="R70" s="112"/>
      <c r="S70" s="113">
        <v>19</v>
      </c>
      <c r="T70" s="113"/>
      <c r="U70" s="38"/>
      <c r="V70" s="38"/>
      <c r="W70" s="38"/>
      <c r="X70" s="38"/>
      <c r="Y70" s="38"/>
      <c r="Z70" s="115"/>
      <c r="AA70" s="38"/>
      <c r="AB70" s="38"/>
      <c r="AC70" s="38"/>
      <c r="AD70" s="38"/>
      <c r="AE70" s="38"/>
      <c r="AF70" s="38"/>
      <c r="AG70" s="17"/>
      <c r="AH70" s="24"/>
      <c r="AI70" s="25"/>
      <c r="AJ70" s="25"/>
    </row>
    <row r="71" spans="1:36" x14ac:dyDescent="0.3">
      <c r="A71" s="63">
        <v>65</v>
      </c>
      <c r="B71" s="102" t="s">
        <v>3520</v>
      </c>
      <c r="C71" s="102" t="s">
        <v>3521</v>
      </c>
      <c r="D71" s="64" t="s">
        <v>119</v>
      </c>
      <c r="E71" s="106" t="s">
        <v>3524</v>
      </c>
      <c r="F71" s="107" t="s">
        <v>3591</v>
      </c>
      <c r="G71" s="108">
        <v>4</v>
      </c>
      <c r="H71" s="38" t="s">
        <v>3594</v>
      </c>
      <c r="I71" s="38"/>
      <c r="J71" s="38"/>
      <c r="K71" s="109" t="s">
        <v>3601</v>
      </c>
      <c r="L71" s="109"/>
      <c r="M71" s="109"/>
      <c r="N71" s="109"/>
      <c r="O71" s="109"/>
      <c r="P71" s="110">
        <v>2814</v>
      </c>
      <c r="Q71" s="111">
        <v>580</v>
      </c>
      <c r="R71" s="118"/>
      <c r="S71" s="113">
        <v>52</v>
      </c>
      <c r="T71" s="118"/>
      <c r="U71" s="38"/>
      <c r="V71" s="38"/>
      <c r="W71" s="38"/>
      <c r="X71" s="38"/>
      <c r="Y71" s="38"/>
      <c r="Z71" s="115"/>
      <c r="AA71" s="38"/>
      <c r="AB71" s="38"/>
      <c r="AC71" s="38"/>
      <c r="AD71" s="38"/>
      <c r="AE71" s="38"/>
      <c r="AF71" s="38"/>
      <c r="AG71" s="17"/>
      <c r="AH71" s="24"/>
      <c r="AI71" s="25"/>
      <c r="AJ71" s="25"/>
    </row>
    <row r="72" spans="1:36" x14ac:dyDescent="0.3">
      <c r="A72" s="63">
        <v>66</v>
      </c>
      <c r="B72" s="102" t="s">
        <v>3520</v>
      </c>
      <c r="C72" s="102" t="s">
        <v>3521</v>
      </c>
      <c r="D72" s="64" t="s">
        <v>119</v>
      </c>
      <c r="E72" s="106" t="s">
        <v>3524</v>
      </c>
      <c r="F72" s="107" t="s">
        <v>3591</v>
      </c>
      <c r="G72" s="108">
        <v>5</v>
      </c>
      <c r="H72" s="38" t="s">
        <v>3602</v>
      </c>
      <c r="I72" s="38"/>
      <c r="J72" s="38"/>
      <c r="K72" s="109" t="s">
        <v>3603</v>
      </c>
      <c r="L72" s="109"/>
      <c r="M72" s="109"/>
      <c r="N72" s="109"/>
      <c r="O72" s="109"/>
      <c r="P72" s="110">
        <v>4054</v>
      </c>
      <c r="Q72" s="111">
        <v>817</v>
      </c>
      <c r="R72" s="112"/>
      <c r="S72" s="113">
        <f>34+1971</f>
        <v>2005</v>
      </c>
      <c r="T72" s="112"/>
      <c r="U72" s="38"/>
      <c r="V72" s="38"/>
      <c r="W72" s="38"/>
      <c r="X72" s="38"/>
      <c r="Y72" s="38"/>
      <c r="Z72" s="115"/>
      <c r="AA72" s="38"/>
      <c r="AB72" s="38"/>
      <c r="AC72" s="38"/>
      <c r="AD72" s="38"/>
      <c r="AE72" s="38"/>
      <c r="AF72" s="38"/>
      <c r="AG72" s="17"/>
      <c r="AH72" s="24"/>
      <c r="AI72" s="25"/>
      <c r="AJ72" s="25"/>
    </row>
    <row r="73" spans="1:36" x14ac:dyDescent="0.3">
      <c r="A73" s="63">
        <v>67</v>
      </c>
      <c r="B73" s="102" t="s">
        <v>3520</v>
      </c>
      <c r="C73" s="102" t="s">
        <v>3521</v>
      </c>
      <c r="D73" s="64" t="s">
        <v>119</v>
      </c>
      <c r="E73" s="106" t="s">
        <v>3524</v>
      </c>
      <c r="F73" s="107" t="s">
        <v>3591</v>
      </c>
      <c r="G73" s="108">
        <v>6</v>
      </c>
      <c r="H73" s="38" t="s">
        <v>3602</v>
      </c>
      <c r="I73" s="38"/>
      <c r="J73" s="38"/>
      <c r="K73" s="109" t="s">
        <v>3604</v>
      </c>
      <c r="L73" s="109"/>
      <c r="M73" s="109"/>
      <c r="N73" s="109"/>
      <c r="O73" s="109"/>
      <c r="P73" s="110">
        <v>1652</v>
      </c>
      <c r="Q73" s="110">
        <v>301</v>
      </c>
      <c r="R73" s="112"/>
      <c r="S73" s="113">
        <v>8</v>
      </c>
      <c r="T73" s="112"/>
      <c r="U73" s="38"/>
      <c r="V73" s="38"/>
      <c r="W73" s="38"/>
      <c r="X73" s="38"/>
      <c r="Y73" s="38"/>
      <c r="Z73" s="115"/>
      <c r="AA73" s="38"/>
      <c r="AB73" s="38"/>
      <c r="AC73" s="38"/>
      <c r="AD73" s="38"/>
      <c r="AE73" s="38"/>
      <c r="AF73" s="38"/>
      <c r="AG73" s="17"/>
      <c r="AH73" s="24"/>
      <c r="AI73" s="25"/>
      <c r="AJ73" s="25"/>
    </row>
    <row r="74" spans="1:36" x14ac:dyDescent="0.3">
      <c r="A74" s="63">
        <v>68</v>
      </c>
      <c r="B74" s="102" t="s">
        <v>3520</v>
      </c>
      <c r="C74" s="102" t="s">
        <v>3521</v>
      </c>
      <c r="D74" s="64" t="s">
        <v>119</v>
      </c>
      <c r="E74" s="106" t="s">
        <v>3524</v>
      </c>
      <c r="F74" s="107" t="s">
        <v>3591</v>
      </c>
      <c r="G74" s="108">
        <v>6</v>
      </c>
      <c r="H74" s="38" t="s">
        <v>3602</v>
      </c>
      <c r="I74" s="38"/>
      <c r="J74" s="38"/>
      <c r="K74" s="109" t="s">
        <v>3605</v>
      </c>
      <c r="L74" s="109"/>
      <c r="M74" s="109"/>
      <c r="N74" s="109"/>
      <c r="O74" s="109"/>
      <c r="P74" s="110">
        <v>2147</v>
      </c>
      <c r="Q74" s="110">
        <v>392</v>
      </c>
      <c r="R74" s="112"/>
      <c r="S74" s="113">
        <v>72</v>
      </c>
      <c r="T74" s="112"/>
      <c r="U74" s="38"/>
      <c r="V74" s="38"/>
      <c r="W74" s="38"/>
      <c r="X74" s="38"/>
      <c r="Y74" s="38"/>
      <c r="Z74" s="115"/>
      <c r="AA74" s="38"/>
      <c r="AB74" s="38"/>
      <c r="AC74" s="38"/>
      <c r="AD74" s="38"/>
      <c r="AE74" s="38"/>
      <c r="AF74" s="38"/>
      <c r="AG74" s="17"/>
      <c r="AH74" s="24"/>
      <c r="AI74" s="25"/>
      <c r="AJ74" s="25"/>
    </row>
    <row r="75" spans="1:36" x14ac:dyDescent="0.3">
      <c r="A75" s="63">
        <v>69</v>
      </c>
      <c r="B75" s="102" t="s">
        <v>3520</v>
      </c>
      <c r="C75" s="102" t="s">
        <v>3521</v>
      </c>
      <c r="D75" s="64" t="s">
        <v>119</v>
      </c>
      <c r="E75" s="106" t="s">
        <v>3524</v>
      </c>
      <c r="F75" s="107" t="s">
        <v>3591</v>
      </c>
      <c r="G75" s="108">
        <v>6</v>
      </c>
      <c r="H75" s="38" t="s">
        <v>3602</v>
      </c>
      <c r="I75" s="38"/>
      <c r="J75" s="38"/>
      <c r="K75" s="109" t="s">
        <v>3606</v>
      </c>
      <c r="L75" s="109"/>
      <c r="M75" s="109"/>
      <c r="N75" s="109"/>
      <c r="O75" s="109"/>
      <c r="P75" s="110">
        <v>1262</v>
      </c>
      <c r="Q75" s="111">
        <v>254</v>
      </c>
      <c r="R75" s="112"/>
      <c r="S75" s="113">
        <f>115+608</f>
        <v>723</v>
      </c>
      <c r="T75" s="113"/>
      <c r="U75" s="38"/>
      <c r="V75" s="38"/>
      <c r="W75" s="38"/>
      <c r="X75" s="38"/>
      <c r="Y75" s="38"/>
      <c r="Z75" s="115"/>
      <c r="AA75" s="38"/>
      <c r="AB75" s="38"/>
      <c r="AC75" s="38"/>
      <c r="AD75" s="38"/>
      <c r="AE75" s="38"/>
      <c r="AF75" s="38"/>
      <c r="AG75" s="17"/>
      <c r="AH75" s="24"/>
      <c r="AI75" s="25"/>
      <c r="AJ75" s="25"/>
    </row>
    <row r="76" spans="1:36" x14ac:dyDescent="0.3">
      <c r="A76" s="63">
        <v>70</v>
      </c>
      <c r="B76" s="102" t="s">
        <v>3520</v>
      </c>
      <c r="C76" s="102" t="s">
        <v>3521</v>
      </c>
      <c r="D76" s="64" t="s">
        <v>119</v>
      </c>
      <c r="E76" s="106" t="s">
        <v>3524</v>
      </c>
      <c r="F76" s="107" t="s">
        <v>3591</v>
      </c>
      <c r="G76" s="108">
        <v>7</v>
      </c>
      <c r="H76" s="38" t="s">
        <v>3607</v>
      </c>
      <c r="I76" s="38"/>
      <c r="J76" s="38"/>
      <c r="K76" s="109" t="s">
        <v>3608</v>
      </c>
      <c r="L76" s="109"/>
      <c r="M76" s="109"/>
      <c r="N76" s="109"/>
      <c r="O76" s="109"/>
      <c r="P76" s="110">
        <v>2217</v>
      </c>
      <c r="Q76" s="110">
        <v>456</v>
      </c>
      <c r="R76" s="112"/>
      <c r="S76" s="113">
        <v>60</v>
      </c>
      <c r="T76" s="113"/>
      <c r="U76" s="38"/>
      <c r="V76" s="38"/>
      <c r="W76" s="38"/>
      <c r="X76" s="38"/>
      <c r="Y76" s="38"/>
      <c r="Z76" s="115"/>
      <c r="AA76" s="38"/>
      <c r="AB76" s="38"/>
      <c r="AC76" s="38"/>
      <c r="AD76" s="38"/>
      <c r="AE76" s="38"/>
      <c r="AF76" s="38"/>
      <c r="AG76" s="17"/>
      <c r="AH76" s="24"/>
      <c r="AI76" s="25"/>
      <c r="AJ76" s="25"/>
    </row>
    <row r="77" spans="1:36" x14ac:dyDescent="0.3">
      <c r="A77" s="63">
        <v>71</v>
      </c>
      <c r="B77" s="102" t="s">
        <v>3520</v>
      </c>
      <c r="C77" s="102" t="s">
        <v>3521</v>
      </c>
      <c r="D77" s="64" t="s">
        <v>119</v>
      </c>
      <c r="E77" s="106" t="s">
        <v>3524</v>
      </c>
      <c r="F77" s="107" t="s">
        <v>3591</v>
      </c>
      <c r="G77" s="108">
        <v>7</v>
      </c>
      <c r="H77" s="38" t="s">
        <v>3607</v>
      </c>
      <c r="I77" s="38"/>
      <c r="J77" s="38"/>
      <c r="K77" s="109" t="s">
        <v>3609</v>
      </c>
      <c r="L77" s="109"/>
      <c r="M77" s="109"/>
      <c r="N77" s="109"/>
      <c r="O77" s="109"/>
      <c r="P77" s="110">
        <v>382</v>
      </c>
      <c r="Q77" s="111">
        <v>79</v>
      </c>
      <c r="R77" s="112"/>
      <c r="S77" s="113"/>
      <c r="T77" s="113"/>
      <c r="U77" s="38"/>
      <c r="V77" s="38"/>
      <c r="W77" s="38"/>
      <c r="X77" s="38"/>
      <c r="Y77" s="38"/>
      <c r="Z77" s="115"/>
      <c r="AA77" s="38"/>
      <c r="AB77" s="38"/>
      <c r="AC77" s="38"/>
      <c r="AD77" s="38"/>
      <c r="AE77" s="38"/>
      <c r="AF77" s="38"/>
      <c r="AG77" s="17"/>
      <c r="AH77" s="24"/>
      <c r="AI77" s="25"/>
      <c r="AJ77" s="25"/>
    </row>
    <row r="78" spans="1:36" x14ac:dyDescent="0.3">
      <c r="A78" s="63">
        <v>72</v>
      </c>
      <c r="B78" s="102" t="s">
        <v>3520</v>
      </c>
      <c r="C78" s="102" t="s">
        <v>3521</v>
      </c>
      <c r="D78" s="64" t="s">
        <v>119</v>
      </c>
      <c r="E78" s="106" t="s">
        <v>3524</v>
      </c>
      <c r="F78" s="107" t="s">
        <v>3591</v>
      </c>
      <c r="G78" s="108">
        <v>8</v>
      </c>
      <c r="H78" s="38" t="s">
        <v>3596</v>
      </c>
      <c r="I78" s="38"/>
      <c r="J78" s="38"/>
      <c r="K78" s="109" t="s">
        <v>3610</v>
      </c>
      <c r="L78" s="109"/>
      <c r="M78" s="109"/>
      <c r="N78" s="109"/>
      <c r="O78" s="109"/>
      <c r="P78" s="110">
        <v>999</v>
      </c>
      <c r="Q78" s="110">
        <v>200</v>
      </c>
      <c r="R78" s="112"/>
      <c r="S78" s="113"/>
      <c r="T78" s="113"/>
      <c r="U78" s="38"/>
      <c r="V78" s="38"/>
      <c r="W78" s="38"/>
      <c r="X78" s="38"/>
      <c r="Y78" s="38"/>
      <c r="Z78" s="115"/>
      <c r="AA78" s="38"/>
      <c r="AB78" s="38"/>
      <c r="AC78" s="38"/>
      <c r="AD78" s="38"/>
      <c r="AE78" s="38"/>
      <c r="AF78" s="38"/>
      <c r="AG78" s="17"/>
      <c r="AH78" s="24"/>
      <c r="AI78" s="25"/>
      <c r="AJ78" s="25"/>
    </row>
    <row r="79" spans="1:36" x14ac:dyDescent="0.3">
      <c r="A79" s="63">
        <v>73</v>
      </c>
      <c r="B79" s="102" t="s">
        <v>3520</v>
      </c>
      <c r="C79" s="102" t="s">
        <v>3521</v>
      </c>
      <c r="D79" s="64" t="s">
        <v>119</v>
      </c>
      <c r="E79" s="106" t="s">
        <v>3524</v>
      </c>
      <c r="F79" s="107" t="s">
        <v>3591</v>
      </c>
      <c r="G79" s="108">
        <v>8</v>
      </c>
      <c r="H79" s="38" t="s">
        <v>3596</v>
      </c>
      <c r="I79" s="38"/>
      <c r="J79" s="38"/>
      <c r="K79" s="109" t="s">
        <v>3611</v>
      </c>
      <c r="L79" s="109"/>
      <c r="M79" s="109"/>
      <c r="N79" s="109"/>
      <c r="O79" s="109"/>
      <c r="P79" s="110">
        <v>685</v>
      </c>
      <c r="Q79" s="110">
        <v>138</v>
      </c>
      <c r="R79" s="112"/>
      <c r="S79" s="113">
        <v>8</v>
      </c>
      <c r="T79" s="113"/>
      <c r="U79" s="38"/>
      <c r="V79" s="38"/>
      <c r="W79" s="38"/>
      <c r="X79" s="38"/>
      <c r="Y79" s="38"/>
      <c r="Z79" s="115"/>
      <c r="AA79" s="38"/>
      <c r="AB79" s="38"/>
      <c r="AC79" s="38"/>
      <c r="AD79" s="38"/>
      <c r="AE79" s="38"/>
      <c r="AF79" s="38"/>
      <c r="AG79" s="17"/>
      <c r="AH79" s="24"/>
      <c r="AI79" s="25"/>
      <c r="AJ79" s="25"/>
    </row>
    <row r="80" spans="1:36" x14ac:dyDescent="0.3">
      <c r="A80" s="63">
        <v>74</v>
      </c>
      <c r="B80" s="102" t="s">
        <v>3520</v>
      </c>
      <c r="C80" s="102" t="s">
        <v>3521</v>
      </c>
      <c r="D80" s="64" t="s">
        <v>119</v>
      </c>
      <c r="E80" s="106" t="s">
        <v>3524</v>
      </c>
      <c r="F80" s="107" t="s">
        <v>3591</v>
      </c>
      <c r="G80" s="108">
        <v>8</v>
      </c>
      <c r="H80" s="38" t="s">
        <v>3596</v>
      </c>
      <c r="I80" s="38"/>
      <c r="J80" s="38"/>
      <c r="K80" s="109" t="s">
        <v>3612</v>
      </c>
      <c r="L80" s="109"/>
      <c r="M80" s="109"/>
      <c r="N80" s="109"/>
      <c r="O80" s="109"/>
      <c r="P80" s="110">
        <v>2531</v>
      </c>
      <c r="Q80" s="111">
        <v>495</v>
      </c>
      <c r="R80" s="112"/>
      <c r="S80" s="113">
        <v>48</v>
      </c>
      <c r="T80" s="113"/>
      <c r="U80" s="38"/>
      <c r="V80" s="38"/>
      <c r="W80" s="38"/>
      <c r="X80" s="38"/>
      <c r="Y80" s="38"/>
      <c r="Z80" s="115"/>
      <c r="AA80" s="38"/>
      <c r="AB80" s="38"/>
      <c r="AC80" s="38"/>
      <c r="AD80" s="38"/>
      <c r="AE80" s="38"/>
      <c r="AF80" s="38"/>
      <c r="AG80" s="17"/>
      <c r="AH80" s="24"/>
      <c r="AI80" s="25"/>
      <c r="AJ80" s="25"/>
    </row>
    <row r="81" spans="1:36" x14ac:dyDescent="0.3">
      <c r="A81" s="63">
        <v>75</v>
      </c>
      <c r="B81" s="102" t="s">
        <v>3520</v>
      </c>
      <c r="C81" s="102" t="s">
        <v>3521</v>
      </c>
      <c r="D81" s="64" t="s">
        <v>119</v>
      </c>
      <c r="E81" s="106" t="s">
        <v>3524</v>
      </c>
      <c r="F81" s="107" t="s">
        <v>3591</v>
      </c>
      <c r="G81" s="108">
        <v>8</v>
      </c>
      <c r="H81" s="38" t="s">
        <v>3596</v>
      </c>
      <c r="I81" s="38"/>
      <c r="J81" s="38"/>
      <c r="K81" s="109" t="s">
        <v>3613</v>
      </c>
      <c r="L81" s="109"/>
      <c r="M81" s="109"/>
      <c r="N81" s="109"/>
      <c r="O81" s="109"/>
      <c r="P81" s="108">
        <v>1736</v>
      </c>
      <c r="Q81" s="108">
        <v>321</v>
      </c>
      <c r="R81" s="112"/>
      <c r="S81" s="113">
        <f>40+927</f>
        <v>967</v>
      </c>
      <c r="T81" s="112"/>
      <c r="U81" s="38"/>
      <c r="V81" s="38"/>
      <c r="W81" s="38"/>
      <c r="X81" s="38"/>
      <c r="Y81" s="38"/>
      <c r="Z81" s="115"/>
      <c r="AA81" s="38"/>
      <c r="AB81" s="38"/>
      <c r="AC81" s="38"/>
      <c r="AD81" s="38"/>
      <c r="AE81" s="38"/>
      <c r="AF81" s="38"/>
      <c r="AG81" s="17"/>
      <c r="AH81" s="24"/>
      <c r="AI81" s="25"/>
      <c r="AJ81" s="25"/>
    </row>
    <row r="82" spans="1:36" x14ac:dyDescent="0.3">
      <c r="A82" s="63">
        <v>76</v>
      </c>
      <c r="B82" s="102" t="s">
        <v>3520</v>
      </c>
      <c r="C82" s="102" t="s">
        <v>3521</v>
      </c>
      <c r="D82" s="64" t="s">
        <v>119</v>
      </c>
      <c r="E82" s="106" t="s">
        <v>3524</v>
      </c>
      <c r="F82" s="107" t="s">
        <v>3591</v>
      </c>
      <c r="G82" s="108">
        <v>9</v>
      </c>
      <c r="H82" s="38" t="s">
        <v>3607</v>
      </c>
      <c r="I82" s="38"/>
      <c r="J82" s="38"/>
      <c r="K82" s="109" t="s">
        <v>3614</v>
      </c>
      <c r="L82" s="109"/>
      <c r="M82" s="109"/>
      <c r="N82" s="109"/>
      <c r="O82" s="109"/>
      <c r="P82" s="110">
        <v>1013</v>
      </c>
      <c r="Q82" s="111">
        <v>198</v>
      </c>
      <c r="R82" s="112"/>
      <c r="S82" s="113"/>
      <c r="T82" s="113"/>
      <c r="U82" s="38"/>
      <c r="V82" s="38"/>
      <c r="W82" s="38"/>
      <c r="X82" s="38"/>
      <c r="Y82" s="38"/>
      <c r="Z82" s="115"/>
      <c r="AA82" s="38"/>
      <c r="AB82" s="38"/>
      <c r="AC82" s="38"/>
      <c r="AD82" s="38"/>
      <c r="AE82" s="38"/>
      <c r="AF82" s="38"/>
      <c r="AG82" s="17"/>
      <c r="AH82" s="24"/>
      <c r="AI82" s="25"/>
      <c r="AJ82" s="25"/>
    </row>
    <row r="83" spans="1:36" x14ac:dyDescent="0.3">
      <c r="A83" s="63">
        <v>77</v>
      </c>
      <c r="B83" s="102" t="s">
        <v>3520</v>
      </c>
      <c r="C83" s="102" t="s">
        <v>3521</v>
      </c>
      <c r="D83" s="64" t="s">
        <v>119</v>
      </c>
      <c r="E83" s="106" t="s">
        <v>3524</v>
      </c>
      <c r="F83" s="107" t="s">
        <v>3591</v>
      </c>
      <c r="G83" s="108">
        <v>9</v>
      </c>
      <c r="H83" s="38" t="s">
        <v>3607</v>
      </c>
      <c r="I83" s="38"/>
      <c r="J83" s="38"/>
      <c r="K83" s="109" t="s">
        <v>3615</v>
      </c>
      <c r="L83" s="109"/>
      <c r="M83" s="109"/>
      <c r="N83" s="109"/>
      <c r="O83" s="109"/>
      <c r="P83" s="110">
        <v>765</v>
      </c>
      <c r="Q83" s="111">
        <v>147</v>
      </c>
      <c r="R83" s="112"/>
      <c r="S83" s="113">
        <f>38+419</f>
        <v>457</v>
      </c>
      <c r="T83" s="113"/>
      <c r="U83" s="38"/>
      <c r="V83" s="38"/>
      <c r="W83" s="38"/>
      <c r="X83" s="38"/>
      <c r="Y83" s="38"/>
      <c r="Z83" s="115"/>
      <c r="AA83" s="38"/>
      <c r="AB83" s="38"/>
      <c r="AC83" s="38"/>
      <c r="AD83" s="38"/>
      <c r="AE83" s="38"/>
      <c r="AF83" s="38"/>
      <c r="AG83" s="17"/>
      <c r="AH83" s="24"/>
      <c r="AI83" s="25"/>
      <c r="AJ83" s="25"/>
    </row>
    <row r="84" spans="1:36" x14ac:dyDescent="0.3">
      <c r="A84" s="63">
        <v>78</v>
      </c>
      <c r="B84" s="102" t="s">
        <v>3520</v>
      </c>
      <c r="C84" s="102" t="s">
        <v>3521</v>
      </c>
      <c r="D84" s="64" t="s">
        <v>119</v>
      </c>
      <c r="E84" s="106" t="s">
        <v>3524</v>
      </c>
      <c r="F84" s="107" t="s">
        <v>3591</v>
      </c>
      <c r="G84" s="108">
        <v>9</v>
      </c>
      <c r="H84" s="38" t="s">
        <v>3607</v>
      </c>
      <c r="I84" s="38"/>
      <c r="J84" s="38"/>
      <c r="K84" s="109" t="s">
        <v>3616</v>
      </c>
      <c r="L84" s="109"/>
      <c r="M84" s="109"/>
      <c r="N84" s="109"/>
      <c r="O84" s="109"/>
      <c r="P84" s="110">
        <v>672</v>
      </c>
      <c r="Q84" s="111">
        <v>133</v>
      </c>
      <c r="R84" s="112"/>
      <c r="S84" s="113"/>
      <c r="T84" s="112"/>
      <c r="U84" s="38"/>
      <c r="V84" s="38"/>
      <c r="W84" s="38"/>
      <c r="X84" s="38"/>
      <c r="Y84" s="38"/>
      <c r="Z84" s="115"/>
      <c r="AA84" s="38"/>
      <c r="AB84" s="38"/>
      <c r="AC84" s="38"/>
      <c r="AD84" s="38"/>
      <c r="AE84" s="38"/>
      <c r="AF84" s="38"/>
      <c r="AG84" s="17"/>
      <c r="AH84" s="24"/>
      <c r="AI84" s="25"/>
      <c r="AJ84" s="25"/>
    </row>
    <row r="85" spans="1:36" x14ac:dyDescent="0.3">
      <c r="A85" s="63">
        <v>79</v>
      </c>
      <c r="B85" s="102" t="s">
        <v>3520</v>
      </c>
      <c r="C85" s="102" t="s">
        <v>3521</v>
      </c>
      <c r="D85" s="64" t="s">
        <v>119</v>
      </c>
      <c r="E85" s="106" t="s">
        <v>3524</v>
      </c>
      <c r="F85" s="107" t="s">
        <v>3591</v>
      </c>
      <c r="G85" s="108">
        <v>9</v>
      </c>
      <c r="H85" s="38" t="s">
        <v>3607</v>
      </c>
      <c r="I85" s="38"/>
      <c r="J85" s="38"/>
      <c r="K85" s="109" t="s">
        <v>3617</v>
      </c>
      <c r="L85" s="109"/>
      <c r="M85" s="109"/>
      <c r="N85" s="109"/>
      <c r="O85" s="109"/>
      <c r="P85" s="110">
        <v>947</v>
      </c>
      <c r="Q85" s="111">
        <v>153</v>
      </c>
      <c r="R85" s="112"/>
      <c r="S85" s="113"/>
      <c r="T85" s="112"/>
      <c r="U85" s="38"/>
      <c r="V85" s="38"/>
      <c r="W85" s="38"/>
      <c r="X85" s="38"/>
      <c r="Y85" s="38"/>
      <c r="Z85" s="115"/>
      <c r="AA85" s="38"/>
      <c r="AB85" s="38"/>
      <c r="AC85" s="38"/>
      <c r="AD85" s="38"/>
      <c r="AE85" s="38"/>
      <c r="AF85" s="38"/>
      <c r="AG85" s="17"/>
      <c r="AH85" s="24"/>
      <c r="AI85" s="25"/>
      <c r="AJ85" s="25"/>
    </row>
    <row r="86" spans="1:36" x14ac:dyDescent="0.3">
      <c r="A86" s="63">
        <v>80</v>
      </c>
      <c r="B86" s="102" t="s">
        <v>3520</v>
      </c>
      <c r="C86" s="102" t="s">
        <v>3521</v>
      </c>
      <c r="D86" s="64" t="s">
        <v>119</v>
      </c>
      <c r="E86" s="106" t="s">
        <v>3524</v>
      </c>
      <c r="F86" s="107" t="s">
        <v>3591</v>
      </c>
      <c r="G86" s="108">
        <v>9</v>
      </c>
      <c r="H86" s="38" t="s">
        <v>3607</v>
      </c>
      <c r="I86" s="38"/>
      <c r="J86" s="38"/>
      <c r="K86" s="109" t="s">
        <v>3618</v>
      </c>
      <c r="L86" s="109"/>
      <c r="M86" s="109"/>
      <c r="N86" s="109"/>
      <c r="O86" s="109"/>
      <c r="P86" s="110">
        <v>463</v>
      </c>
      <c r="Q86" s="110">
        <v>92</v>
      </c>
      <c r="R86" s="112"/>
      <c r="S86" s="113"/>
      <c r="T86" s="112"/>
      <c r="U86" s="38"/>
      <c r="V86" s="38"/>
      <c r="W86" s="38"/>
      <c r="X86" s="38"/>
      <c r="Y86" s="38"/>
      <c r="Z86" s="115"/>
      <c r="AA86" s="38"/>
      <c r="AB86" s="38"/>
      <c r="AC86" s="38"/>
      <c r="AD86" s="38"/>
      <c r="AE86" s="38"/>
      <c r="AF86" s="38"/>
      <c r="AG86" s="17"/>
      <c r="AH86" s="24"/>
      <c r="AI86" s="25"/>
      <c r="AJ86" s="25"/>
    </row>
    <row r="87" spans="1:36" x14ac:dyDescent="0.3">
      <c r="A87" s="63">
        <v>81</v>
      </c>
      <c r="B87" s="102" t="s">
        <v>3520</v>
      </c>
      <c r="C87" s="102" t="s">
        <v>3521</v>
      </c>
      <c r="D87" s="64" t="s">
        <v>119</v>
      </c>
      <c r="E87" s="106" t="s">
        <v>3524</v>
      </c>
      <c r="F87" s="107" t="s">
        <v>3591</v>
      </c>
      <c r="G87" s="108">
        <v>9</v>
      </c>
      <c r="H87" s="38" t="s">
        <v>3607</v>
      </c>
      <c r="I87" s="38"/>
      <c r="J87" s="38"/>
      <c r="K87" s="109" t="s">
        <v>3619</v>
      </c>
      <c r="L87" s="109"/>
      <c r="M87" s="109"/>
      <c r="N87" s="109"/>
      <c r="O87" s="109"/>
      <c r="P87" s="110">
        <v>5180</v>
      </c>
      <c r="Q87" s="110">
        <v>966</v>
      </c>
      <c r="R87" s="112"/>
      <c r="S87" s="113">
        <f>376+418</f>
        <v>794</v>
      </c>
      <c r="T87" s="112"/>
      <c r="U87" s="38"/>
      <c r="V87" s="38"/>
      <c r="W87" s="38"/>
      <c r="X87" s="38"/>
      <c r="Y87" s="38"/>
      <c r="Z87" s="115"/>
      <c r="AA87" s="38"/>
      <c r="AB87" s="38"/>
      <c r="AC87" s="38"/>
      <c r="AD87" s="38"/>
      <c r="AE87" s="38"/>
      <c r="AF87" s="38"/>
      <c r="AG87" s="17"/>
      <c r="AH87" s="24"/>
      <c r="AI87" s="25"/>
      <c r="AJ87" s="25"/>
    </row>
    <row r="88" spans="1:36" x14ac:dyDescent="0.3">
      <c r="A88" s="63">
        <v>82</v>
      </c>
      <c r="B88" s="102" t="s">
        <v>3520</v>
      </c>
      <c r="C88" s="102" t="s">
        <v>3521</v>
      </c>
      <c r="D88" s="64" t="s">
        <v>119</v>
      </c>
      <c r="E88" s="106" t="s">
        <v>3524</v>
      </c>
      <c r="F88" s="107" t="s">
        <v>3591</v>
      </c>
      <c r="G88" s="108">
        <v>9</v>
      </c>
      <c r="H88" s="38" t="s">
        <v>3607</v>
      </c>
      <c r="I88" s="38"/>
      <c r="J88" s="38"/>
      <c r="K88" s="109" t="s">
        <v>3620</v>
      </c>
      <c r="L88" s="109"/>
      <c r="M88" s="109"/>
      <c r="N88" s="109"/>
      <c r="O88" s="109"/>
      <c r="P88" s="108">
        <v>1428</v>
      </c>
      <c r="Q88" s="108">
        <v>280</v>
      </c>
      <c r="R88" s="112"/>
      <c r="S88" s="113">
        <v>46</v>
      </c>
      <c r="T88" s="113"/>
      <c r="U88" s="38"/>
      <c r="V88" s="38"/>
      <c r="W88" s="38"/>
      <c r="X88" s="38"/>
      <c r="Y88" s="38"/>
      <c r="Z88" s="115"/>
      <c r="AA88" s="38"/>
      <c r="AB88" s="38"/>
      <c r="AC88" s="38"/>
      <c r="AD88" s="38"/>
      <c r="AE88" s="38"/>
      <c r="AF88" s="38"/>
      <c r="AG88" s="16"/>
      <c r="AH88" s="24"/>
      <c r="AI88" s="25"/>
      <c r="AJ88" s="25"/>
    </row>
    <row r="89" spans="1:36" x14ac:dyDescent="0.3">
      <c r="A89" s="63">
        <v>83</v>
      </c>
      <c r="B89" s="102" t="s">
        <v>3520</v>
      </c>
      <c r="C89" s="102" t="s">
        <v>3521</v>
      </c>
      <c r="D89" s="64" t="s">
        <v>119</v>
      </c>
      <c r="E89" s="106" t="s">
        <v>3524</v>
      </c>
      <c r="F89" s="107" t="s">
        <v>3621</v>
      </c>
      <c r="G89" s="108">
        <v>1</v>
      </c>
      <c r="H89" s="38" t="s">
        <v>3622</v>
      </c>
      <c r="I89" s="38"/>
      <c r="J89" s="38"/>
      <c r="K89" s="109" t="s">
        <v>3623</v>
      </c>
      <c r="L89" s="109"/>
      <c r="M89" s="109"/>
      <c r="N89" s="109"/>
      <c r="O89" s="109"/>
      <c r="P89" s="110">
        <v>1582</v>
      </c>
      <c r="Q89" s="111">
        <v>281</v>
      </c>
      <c r="R89" s="112"/>
      <c r="S89" s="113">
        <v>37</v>
      </c>
      <c r="T89" s="112"/>
      <c r="U89" s="38"/>
      <c r="V89" s="38"/>
      <c r="W89" s="38"/>
      <c r="X89" s="38"/>
      <c r="Y89" s="38"/>
      <c r="Z89" s="115"/>
      <c r="AA89" s="38"/>
      <c r="AB89" s="38"/>
      <c r="AC89" s="38"/>
      <c r="AD89" s="38"/>
      <c r="AE89" s="38"/>
      <c r="AF89" s="38"/>
      <c r="AG89" s="17"/>
      <c r="AH89" s="24"/>
      <c r="AI89" s="25"/>
      <c r="AJ89" s="25"/>
    </row>
    <row r="90" spans="1:36" x14ac:dyDescent="0.3">
      <c r="A90" s="63">
        <v>84</v>
      </c>
      <c r="B90" s="102" t="s">
        <v>3520</v>
      </c>
      <c r="C90" s="102" t="s">
        <v>3521</v>
      </c>
      <c r="D90" s="64" t="s">
        <v>119</v>
      </c>
      <c r="E90" s="106" t="s">
        <v>3524</v>
      </c>
      <c r="F90" s="107" t="s">
        <v>3621</v>
      </c>
      <c r="G90" s="108">
        <v>1</v>
      </c>
      <c r="H90" s="38" t="s">
        <v>3622</v>
      </c>
      <c r="I90" s="38"/>
      <c r="J90" s="38"/>
      <c r="K90" s="109" t="s">
        <v>3624</v>
      </c>
      <c r="L90" s="109"/>
      <c r="M90" s="109"/>
      <c r="N90" s="109"/>
      <c r="O90" s="109"/>
      <c r="P90" s="110">
        <v>1921</v>
      </c>
      <c r="Q90" s="110">
        <v>389</v>
      </c>
      <c r="R90" s="112"/>
      <c r="S90" s="113"/>
      <c r="T90" s="112"/>
      <c r="U90" s="38"/>
      <c r="V90" s="38"/>
      <c r="W90" s="38"/>
      <c r="X90" s="38"/>
      <c r="Y90" s="38"/>
      <c r="Z90" s="115"/>
      <c r="AA90" s="38"/>
      <c r="AB90" s="38"/>
      <c r="AC90" s="38"/>
      <c r="AD90" s="38"/>
      <c r="AE90" s="38"/>
      <c r="AF90" s="38"/>
      <c r="AG90" s="17"/>
      <c r="AH90" s="24"/>
      <c r="AI90" s="25"/>
      <c r="AJ90" s="25"/>
    </row>
    <row r="91" spans="1:36" x14ac:dyDescent="0.3">
      <c r="A91" s="63">
        <v>85</v>
      </c>
      <c r="B91" s="102" t="s">
        <v>3520</v>
      </c>
      <c r="C91" s="102" t="s">
        <v>3521</v>
      </c>
      <c r="D91" s="64" t="s">
        <v>119</v>
      </c>
      <c r="E91" s="106" t="s">
        <v>3524</v>
      </c>
      <c r="F91" s="107" t="s">
        <v>3621</v>
      </c>
      <c r="G91" s="108">
        <v>1</v>
      </c>
      <c r="H91" s="38" t="s">
        <v>3622</v>
      </c>
      <c r="I91" s="38"/>
      <c r="J91" s="38"/>
      <c r="K91" s="109" t="s">
        <v>3625</v>
      </c>
      <c r="L91" s="109"/>
      <c r="M91" s="109"/>
      <c r="N91" s="109"/>
      <c r="O91" s="109"/>
      <c r="P91" s="110">
        <v>1357</v>
      </c>
      <c r="Q91" s="110">
        <v>264</v>
      </c>
      <c r="R91" s="112"/>
      <c r="S91" s="113"/>
      <c r="T91" s="112"/>
      <c r="U91" s="38"/>
      <c r="V91" s="38"/>
      <c r="W91" s="38"/>
      <c r="X91" s="38"/>
      <c r="Y91" s="38"/>
      <c r="Z91" s="115"/>
      <c r="AA91" s="38"/>
      <c r="AB91" s="38"/>
      <c r="AC91" s="38"/>
      <c r="AD91" s="38"/>
      <c r="AE91" s="38"/>
      <c r="AF91" s="38"/>
      <c r="AG91" s="17"/>
      <c r="AH91" s="24"/>
      <c r="AI91" s="25"/>
      <c r="AJ91" s="25"/>
    </row>
    <row r="92" spans="1:36" x14ac:dyDescent="0.3">
      <c r="A92" s="63">
        <v>86</v>
      </c>
      <c r="B92" s="102" t="s">
        <v>3520</v>
      </c>
      <c r="C92" s="102" t="s">
        <v>3521</v>
      </c>
      <c r="D92" s="64" t="s">
        <v>119</v>
      </c>
      <c r="E92" s="106" t="s">
        <v>3524</v>
      </c>
      <c r="F92" s="107" t="s">
        <v>3621</v>
      </c>
      <c r="G92" s="108">
        <v>1</v>
      </c>
      <c r="H92" s="38" t="s">
        <v>3622</v>
      </c>
      <c r="I92" s="38"/>
      <c r="J92" s="38"/>
      <c r="K92" s="109" t="s">
        <v>3626</v>
      </c>
      <c r="L92" s="109"/>
      <c r="M92" s="109"/>
      <c r="N92" s="109"/>
      <c r="O92" s="109"/>
      <c r="P92" s="110">
        <v>1041</v>
      </c>
      <c r="Q92" s="110">
        <v>293</v>
      </c>
      <c r="R92" s="112"/>
      <c r="S92" s="113"/>
      <c r="T92" s="112"/>
      <c r="U92" s="38"/>
      <c r="V92" s="38"/>
      <c r="W92" s="38"/>
      <c r="X92" s="38"/>
      <c r="Y92" s="38"/>
      <c r="Z92" s="115"/>
      <c r="AA92" s="38"/>
      <c r="AB92" s="38"/>
      <c r="AC92" s="38"/>
      <c r="AD92" s="38"/>
      <c r="AE92" s="38"/>
      <c r="AF92" s="38"/>
      <c r="AG92" s="17"/>
      <c r="AH92" s="24"/>
      <c r="AI92" s="25"/>
      <c r="AJ92" s="25"/>
    </row>
    <row r="93" spans="1:36" x14ac:dyDescent="0.3">
      <c r="A93" s="63">
        <v>87</v>
      </c>
      <c r="B93" s="102" t="s">
        <v>3520</v>
      </c>
      <c r="C93" s="102" t="s">
        <v>3521</v>
      </c>
      <c r="D93" s="64" t="s">
        <v>119</v>
      </c>
      <c r="E93" s="106" t="s">
        <v>3524</v>
      </c>
      <c r="F93" s="107" t="s">
        <v>3621</v>
      </c>
      <c r="G93" s="108">
        <v>1</v>
      </c>
      <c r="H93" s="38" t="s">
        <v>3622</v>
      </c>
      <c r="I93" s="38"/>
      <c r="J93" s="38"/>
      <c r="K93" s="109" t="s">
        <v>3627</v>
      </c>
      <c r="L93" s="109"/>
      <c r="M93" s="109"/>
      <c r="N93" s="109"/>
      <c r="O93" s="109"/>
      <c r="P93" s="110">
        <v>1320</v>
      </c>
      <c r="Q93" s="111">
        <v>257</v>
      </c>
      <c r="R93" s="112"/>
      <c r="S93" s="113"/>
      <c r="T93" s="112"/>
      <c r="U93" s="38"/>
      <c r="V93" s="38"/>
      <c r="W93" s="38"/>
      <c r="X93" s="38"/>
      <c r="Y93" s="38"/>
      <c r="Z93" s="115"/>
      <c r="AA93" s="38"/>
      <c r="AB93" s="38"/>
      <c r="AC93" s="38"/>
      <c r="AD93" s="38"/>
      <c r="AE93" s="38"/>
      <c r="AF93" s="38"/>
      <c r="AG93" s="17"/>
      <c r="AH93" s="24"/>
      <c r="AI93" s="25"/>
      <c r="AJ93" s="25"/>
    </row>
    <row r="94" spans="1:36" x14ac:dyDescent="0.3">
      <c r="A94" s="63">
        <v>88</v>
      </c>
      <c r="B94" s="102" t="s">
        <v>3520</v>
      </c>
      <c r="C94" s="102" t="s">
        <v>3521</v>
      </c>
      <c r="D94" s="64" t="s">
        <v>119</v>
      </c>
      <c r="E94" s="106" t="s">
        <v>3524</v>
      </c>
      <c r="F94" s="107" t="s">
        <v>3621</v>
      </c>
      <c r="G94" s="108">
        <v>1</v>
      </c>
      <c r="H94" s="38" t="s">
        <v>3622</v>
      </c>
      <c r="I94" s="38"/>
      <c r="J94" s="38"/>
      <c r="K94" s="109" t="s">
        <v>3628</v>
      </c>
      <c r="L94" s="109"/>
      <c r="M94" s="109"/>
      <c r="N94" s="109"/>
      <c r="O94" s="109"/>
      <c r="P94" s="110">
        <v>1785</v>
      </c>
      <c r="Q94" s="111">
        <v>347</v>
      </c>
      <c r="R94" s="112"/>
      <c r="S94" s="113"/>
      <c r="T94" s="113"/>
      <c r="U94" s="38"/>
      <c r="V94" s="38"/>
      <c r="W94" s="38"/>
      <c r="X94" s="38"/>
      <c r="Y94" s="38"/>
      <c r="Z94" s="115"/>
      <c r="AA94" s="38"/>
      <c r="AB94" s="38"/>
      <c r="AC94" s="38"/>
      <c r="AD94" s="38"/>
      <c r="AE94" s="38"/>
      <c r="AF94" s="38"/>
      <c r="AG94" s="17"/>
      <c r="AH94" s="24"/>
      <c r="AI94" s="25"/>
      <c r="AJ94" s="25"/>
    </row>
    <row r="95" spans="1:36" x14ac:dyDescent="0.3">
      <c r="A95" s="63">
        <v>89</v>
      </c>
      <c r="B95" s="102" t="s">
        <v>3520</v>
      </c>
      <c r="C95" s="102" t="s">
        <v>3521</v>
      </c>
      <c r="D95" s="64" t="s">
        <v>119</v>
      </c>
      <c r="E95" s="106" t="s">
        <v>3524</v>
      </c>
      <c r="F95" s="107" t="s">
        <v>3621</v>
      </c>
      <c r="G95" s="108">
        <v>2</v>
      </c>
      <c r="H95" s="38" t="s">
        <v>3629</v>
      </c>
      <c r="I95" s="38"/>
      <c r="J95" s="38"/>
      <c r="K95" s="109" t="s">
        <v>3630</v>
      </c>
      <c r="L95" s="109"/>
      <c r="M95" s="109"/>
      <c r="N95" s="109"/>
      <c r="O95" s="109"/>
      <c r="P95" s="110">
        <v>494</v>
      </c>
      <c r="Q95" s="111">
        <v>116</v>
      </c>
      <c r="R95" s="112"/>
      <c r="S95" s="113"/>
      <c r="T95" s="113"/>
      <c r="U95" s="38"/>
      <c r="V95" s="38"/>
      <c r="W95" s="38"/>
      <c r="X95" s="38"/>
      <c r="Y95" s="38"/>
      <c r="Z95" s="115"/>
      <c r="AA95" s="38"/>
      <c r="AB95" s="38"/>
      <c r="AC95" s="38"/>
      <c r="AD95" s="38"/>
      <c r="AE95" s="38"/>
      <c r="AF95" s="38"/>
      <c r="AG95" s="17"/>
      <c r="AH95" s="24"/>
      <c r="AI95" s="25"/>
      <c r="AJ95" s="25"/>
    </row>
    <row r="96" spans="1:36" x14ac:dyDescent="0.3">
      <c r="A96" s="63">
        <v>90</v>
      </c>
      <c r="B96" s="102" t="s">
        <v>3520</v>
      </c>
      <c r="C96" s="102" t="s">
        <v>3521</v>
      </c>
      <c r="D96" s="64" t="s">
        <v>119</v>
      </c>
      <c r="E96" s="106" t="s">
        <v>3524</v>
      </c>
      <c r="F96" s="107" t="s">
        <v>3621</v>
      </c>
      <c r="G96" s="108">
        <v>2</v>
      </c>
      <c r="H96" s="38" t="s">
        <v>3629</v>
      </c>
      <c r="I96" s="38"/>
      <c r="J96" s="38"/>
      <c r="K96" s="109" t="s">
        <v>3631</v>
      </c>
      <c r="L96" s="109"/>
      <c r="M96" s="109"/>
      <c r="N96" s="109"/>
      <c r="O96" s="109"/>
      <c r="P96" s="110">
        <v>919</v>
      </c>
      <c r="Q96" s="111">
        <v>227</v>
      </c>
      <c r="R96" s="112"/>
      <c r="S96" s="113"/>
      <c r="T96" s="112"/>
      <c r="U96" s="38"/>
      <c r="V96" s="38"/>
      <c r="W96" s="38"/>
      <c r="X96" s="38"/>
      <c r="Y96" s="38"/>
      <c r="Z96" s="115"/>
      <c r="AA96" s="38"/>
      <c r="AB96" s="38"/>
      <c r="AC96" s="38"/>
      <c r="AD96" s="38"/>
      <c r="AE96" s="38"/>
      <c r="AF96" s="38"/>
      <c r="AG96" s="17"/>
      <c r="AH96" s="24"/>
      <c r="AI96" s="25"/>
      <c r="AJ96" s="25"/>
    </row>
    <row r="97" spans="1:36" x14ac:dyDescent="0.3">
      <c r="A97" s="63">
        <v>91</v>
      </c>
      <c r="B97" s="102" t="s">
        <v>3520</v>
      </c>
      <c r="C97" s="102" t="s">
        <v>3521</v>
      </c>
      <c r="D97" s="64" t="s">
        <v>119</v>
      </c>
      <c r="E97" s="106" t="s">
        <v>3524</v>
      </c>
      <c r="F97" s="107" t="s">
        <v>3621</v>
      </c>
      <c r="G97" s="108">
        <v>2</v>
      </c>
      <c r="H97" s="38" t="s">
        <v>3629</v>
      </c>
      <c r="I97" s="38"/>
      <c r="J97" s="38"/>
      <c r="K97" s="109" t="s">
        <v>3632</v>
      </c>
      <c r="L97" s="109"/>
      <c r="M97" s="109"/>
      <c r="N97" s="109"/>
      <c r="O97" s="109"/>
      <c r="P97" s="110">
        <v>450</v>
      </c>
      <c r="Q97" s="111">
        <v>186</v>
      </c>
      <c r="R97" s="112"/>
      <c r="S97" s="113"/>
      <c r="T97" s="112"/>
      <c r="U97" s="38"/>
      <c r="V97" s="38"/>
      <c r="W97" s="38"/>
      <c r="X97" s="38"/>
      <c r="Y97" s="38"/>
      <c r="Z97" s="115"/>
      <c r="AA97" s="38"/>
      <c r="AB97" s="38"/>
      <c r="AC97" s="38"/>
      <c r="AD97" s="38"/>
      <c r="AE97" s="38"/>
      <c r="AF97" s="38"/>
      <c r="AG97" s="17"/>
      <c r="AH97" s="24"/>
      <c r="AI97" s="25"/>
      <c r="AJ97" s="25"/>
    </row>
    <row r="98" spans="1:36" x14ac:dyDescent="0.3">
      <c r="A98" s="63">
        <v>92</v>
      </c>
      <c r="B98" s="102" t="s">
        <v>3520</v>
      </c>
      <c r="C98" s="102" t="s">
        <v>3521</v>
      </c>
      <c r="D98" s="64" t="s">
        <v>119</v>
      </c>
      <c r="E98" s="106" t="s">
        <v>3524</v>
      </c>
      <c r="F98" s="107" t="s">
        <v>3621</v>
      </c>
      <c r="G98" s="108">
        <v>2</v>
      </c>
      <c r="H98" s="38" t="s">
        <v>3629</v>
      </c>
      <c r="I98" s="38"/>
      <c r="J98" s="38"/>
      <c r="K98" s="109" t="s">
        <v>3633</v>
      </c>
      <c r="L98" s="109"/>
      <c r="M98" s="109"/>
      <c r="N98" s="109"/>
      <c r="O98" s="109"/>
      <c r="P98" s="110">
        <v>2084</v>
      </c>
      <c r="Q98" s="111">
        <v>517</v>
      </c>
      <c r="R98" s="112"/>
      <c r="S98" s="113"/>
      <c r="T98" s="113"/>
      <c r="U98" s="38"/>
      <c r="V98" s="38"/>
      <c r="W98" s="38"/>
      <c r="X98" s="38"/>
      <c r="Y98" s="38"/>
      <c r="Z98" s="115"/>
      <c r="AA98" s="38"/>
      <c r="AB98" s="38"/>
      <c r="AC98" s="38"/>
      <c r="AD98" s="38"/>
      <c r="AE98" s="38"/>
      <c r="AF98" s="38"/>
      <c r="AG98" s="17"/>
      <c r="AH98" s="24"/>
      <c r="AI98" s="25"/>
      <c r="AJ98" s="25"/>
    </row>
    <row r="99" spans="1:36" x14ac:dyDescent="0.3">
      <c r="A99" s="63">
        <v>93</v>
      </c>
      <c r="B99" s="102" t="s">
        <v>3520</v>
      </c>
      <c r="C99" s="102" t="s">
        <v>3521</v>
      </c>
      <c r="D99" s="64" t="s">
        <v>119</v>
      </c>
      <c r="E99" s="106" t="s">
        <v>3524</v>
      </c>
      <c r="F99" s="107" t="s">
        <v>3621</v>
      </c>
      <c r="G99" s="108">
        <v>2</v>
      </c>
      <c r="H99" s="38" t="s">
        <v>3629</v>
      </c>
      <c r="I99" s="38"/>
      <c r="J99" s="38"/>
      <c r="K99" s="109" t="s">
        <v>3634</v>
      </c>
      <c r="L99" s="109"/>
      <c r="M99" s="109"/>
      <c r="N99" s="109"/>
      <c r="O99" s="109"/>
      <c r="P99" s="110">
        <v>1128</v>
      </c>
      <c r="Q99" s="111">
        <v>156</v>
      </c>
      <c r="R99" s="112"/>
      <c r="S99" s="113">
        <v>33</v>
      </c>
      <c r="T99" s="113"/>
      <c r="U99" s="38"/>
      <c r="V99" s="38"/>
      <c r="W99" s="38"/>
      <c r="X99" s="38"/>
      <c r="Y99" s="38"/>
      <c r="Z99" s="115"/>
      <c r="AA99" s="38"/>
      <c r="AB99" s="38"/>
      <c r="AC99" s="38"/>
      <c r="AD99" s="38"/>
      <c r="AE99" s="38"/>
      <c r="AF99" s="38"/>
      <c r="AG99" s="17"/>
      <c r="AH99" s="24"/>
      <c r="AI99" s="25"/>
      <c r="AJ99" s="25"/>
    </row>
    <row r="100" spans="1:36" x14ac:dyDescent="0.3">
      <c r="A100" s="63">
        <v>94</v>
      </c>
      <c r="B100" s="102" t="s">
        <v>3520</v>
      </c>
      <c r="C100" s="102" t="s">
        <v>3521</v>
      </c>
      <c r="D100" s="64" t="s">
        <v>119</v>
      </c>
      <c r="E100" s="106" t="s">
        <v>3524</v>
      </c>
      <c r="F100" s="107" t="s">
        <v>3621</v>
      </c>
      <c r="G100" s="108">
        <v>2</v>
      </c>
      <c r="H100" s="38" t="s">
        <v>3629</v>
      </c>
      <c r="I100" s="38"/>
      <c r="J100" s="38"/>
      <c r="K100" s="109" t="s">
        <v>3635</v>
      </c>
      <c r="L100" s="109"/>
      <c r="M100" s="109"/>
      <c r="N100" s="109"/>
      <c r="O100" s="109"/>
      <c r="P100" s="110">
        <v>1591</v>
      </c>
      <c r="Q100" s="111">
        <v>357</v>
      </c>
      <c r="R100" s="112"/>
      <c r="S100" s="113"/>
      <c r="T100" s="113"/>
      <c r="U100" s="38"/>
      <c r="V100" s="38"/>
      <c r="W100" s="38"/>
      <c r="X100" s="38"/>
      <c r="Y100" s="38"/>
      <c r="Z100" s="115"/>
      <c r="AA100" s="38"/>
      <c r="AB100" s="38"/>
      <c r="AC100" s="38"/>
      <c r="AD100" s="38"/>
      <c r="AE100" s="38"/>
      <c r="AF100" s="38"/>
      <c r="AG100" s="17"/>
      <c r="AH100" s="24"/>
      <c r="AI100" s="25"/>
      <c r="AJ100" s="25"/>
    </row>
    <row r="101" spans="1:36" x14ac:dyDescent="0.3">
      <c r="A101" s="63">
        <v>95</v>
      </c>
      <c r="B101" s="102" t="s">
        <v>3520</v>
      </c>
      <c r="C101" s="102" t="s">
        <v>3521</v>
      </c>
      <c r="D101" s="64" t="s">
        <v>119</v>
      </c>
      <c r="E101" s="106" t="s">
        <v>3524</v>
      </c>
      <c r="F101" s="107" t="s">
        <v>3621</v>
      </c>
      <c r="G101" s="108">
        <v>2</v>
      </c>
      <c r="H101" s="38" t="s">
        <v>3629</v>
      </c>
      <c r="I101" s="38"/>
      <c r="J101" s="38"/>
      <c r="K101" s="109" t="s">
        <v>3636</v>
      </c>
      <c r="L101" s="109"/>
      <c r="M101" s="109"/>
      <c r="N101" s="109"/>
      <c r="O101" s="109"/>
      <c r="P101" s="110">
        <v>3409</v>
      </c>
      <c r="Q101" s="111">
        <v>736</v>
      </c>
      <c r="R101" s="112"/>
      <c r="S101" s="113"/>
      <c r="T101" s="112"/>
      <c r="U101" s="38"/>
      <c r="V101" s="38"/>
      <c r="W101" s="38"/>
      <c r="X101" s="38"/>
      <c r="Y101" s="38"/>
      <c r="Z101" s="115"/>
      <c r="AA101" s="38"/>
      <c r="AB101" s="38"/>
      <c r="AC101" s="38"/>
      <c r="AD101" s="38"/>
      <c r="AE101" s="38"/>
      <c r="AF101" s="38"/>
      <c r="AG101" s="17"/>
      <c r="AH101" s="24"/>
      <c r="AI101" s="25"/>
      <c r="AJ101" s="25"/>
    </row>
    <row r="102" spans="1:36" x14ac:dyDescent="0.3">
      <c r="A102" s="63">
        <v>96</v>
      </c>
      <c r="B102" s="102" t="s">
        <v>3520</v>
      </c>
      <c r="C102" s="102" t="s">
        <v>3521</v>
      </c>
      <c r="D102" s="64" t="s">
        <v>119</v>
      </c>
      <c r="E102" s="106" t="s">
        <v>3524</v>
      </c>
      <c r="F102" s="107" t="s">
        <v>3621</v>
      </c>
      <c r="G102" s="108">
        <v>3</v>
      </c>
      <c r="H102" s="38" t="s">
        <v>3622</v>
      </c>
      <c r="I102" s="38"/>
      <c r="J102" s="38"/>
      <c r="K102" s="109" t="s">
        <v>3637</v>
      </c>
      <c r="L102" s="109"/>
      <c r="M102" s="109"/>
      <c r="N102" s="109"/>
      <c r="O102" s="109"/>
      <c r="P102" s="110">
        <v>1279</v>
      </c>
      <c r="Q102" s="110">
        <v>260</v>
      </c>
      <c r="R102" s="112"/>
      <c r="S102" s="113"/>
      <c r="T102" s="113"/>
      <c r="U102" s="38"/>
      <c r="V102" s="38"/>
      <c r="W102" s="38"/>
      <c r="X102" s="38"/>
      <c r="Y102" s="38"/>
      <c r="Z102" s="115"/>
      <c r="AA102" s="38"/>
      <c r="AB102" s="38"/>
      <c r="AC102" s="38"/>
      <c r="AD102" s="38"/>
      <c r="AE102" s="38"/>
      <c r="AF102" s="38"/>
      <c r="AG102" s="17"/>
      <c r="AH102" s="24"/>
      <c r="AI102" s="25"/>
      <c r="AJ102" s="25"/>
    </row>
    <row r="103" spans="1:36" x14ac:dyDescent="0.3">
      <c r="A103" s="63">
        <v>97</v>
      </c>
      <c r="B103" s="102" t="s">
        <v>3520</v>
      </c>
      <c r="C103" s="102" t="s">
        <v>3521</v>
      </c>
      <c r="D103" s="64" t="s">
        <v>119</v>
      </c>
      <c r="E103" s="106" t="s">
        <v>3524</v>
      </c>
      <c r="F103" s="107" t="s">
        <v>3621</v>
      </c>
      <c r="G103" s="108">
        <v>3</v>
      </c>
      <c r="H103" s="38" t="s">
        <v>3622</v>
      </c>
      <c r="I103" s="38"/>
      <c r="J103" s="38"/>
      <c r="K103" s="109" t="s">
        <v>3638</v>
      </c>
      <c r="L103" s="109"/>
      <c r="M103" s="109"/>
      <c r="N103" s="109"/>
      <c r="O103" s="109"/>
      <c r="P103" s="110">
        <v>525</v>
      </c>
      <c r="Q103" s="111">
        <v>119</v>
      </c>
      <c r="R103" s="112"/>
      <c r="S103" s="113"/>
      <c r="T103" s="112"/>
      <c r="U103" s="38"/>
      <c r="V103" s="38"/>
      <c r="W103" s="38"/>
      <c r="X103" s="38"/>
      <c r="Y103" s="38"/>
      <c r="Z103" s="115"/>
      <c r="AA103" s="38"/>
      <c r="AB103" s="38"/>
      <c r="AC103" s="38"/>
      <c r="AD103" s="38"/>
      <c r="AE103" s="38"/>
      <c r="AF103" s="38"/>
      <c r="AG103" s="17"/>
      <c r="AH103" s="24"/>
      <c r="AI103" s="25"/>
      <c r="AJ103" s="25"/>
    </row>
    <row r="104" spans="1:36" x14ac:dyDescent="0.3">
      <c r="A104" s="63">
        <v>98</v>
      </c>
      <c r="B104" s="102" t="s">
        <v>3520</v>
      </c>
      <c r="C104" s="102" t="s">
        <v>3521</v>
      </c>
      <c r="D104" s="64" t="s">
        <v>119</v>
      </c>
      <c r="E104" s="106" t="s">
        <v>3524</v>
      </c>
      <c r="F104" s="107" t="s">
        <v>3621</v>
      </c>
      <c r="G104" s="108">
        <v>3</v>
      </c>
      <c r="H104" s="38" t="s">
        <v>3622</v>
      </c>
      <c r="I104" s="38"/>
      <c r="J104" s="38"/>
      <c r="K104" s="109" t="s">
        <v>3639</v>
      </c>
      <c r="L104" s="109"/>
      <c r="M104" s="109"/>
      <c r="N104" s="109"/>
      <c r="O104" s="109"/>
      <c r="P104" s="110">
        <v>1134</v>
      </c>
      <c r="Q104" s="111">
        <v>224</v>
      </c>
      <c r="R104" s="112"/>
      <c r="S104" s="113"/>
      <c r="T104" s="112"/>
      <c r="U104" s="38"/>
      <c r="V104" s="38"/>
      <c r="W104" s="38"/>
      <c r="X104" s="38"/>
      <c r="Y104" s="38"/>
      <c r="Z104" s="115"/>
      <c r="AA104" s="38"/>
      <c r="AB104" s="38"/>
      <c r="AC104" s="38"/>
      <c r="AD104" s="38"/>
      <c r="AE104" s="38"/>
      <c r="AF104" s="38"/>
      <c r="AG104" s="17"/>
      <c r="AH104" s="24"/>
      <c r="AI104" s="25"/>
      <c r="AJ104" s="25"/>
    </row>
    <row r="105" spans="1:36" x14ac:dyDescent="0.3">
      <c r="A105" s="63">
        <v>99</v>
      </c>
      <c r="B105" s="102" t="s">
        <v>3520</v>
      </c>
      <c r="C105" s="102" t="s">
        <v>3521</v>
      </c>
      <c r="D105" s="64" t="s">
        <v>119</v>
      </c>
      <c r="E105" s="106" t="s">
        <v>3524</v>
      </c>
      <c r="F105" s="107" t="s">
        <v>3621</v>
      </c>
      <c r="G105" s="108">
        <v>3</v>
      </c>
      <c r="H105" s="38" t="s">
        <v>3622</v>
      </c>
      <c r="I105" s="38"/>
      <c r="J105" s="38"/>
      <c r="K105" s="109" t="s">
        <v>3640</v>
      </c>
      <c r="L105" s="109"/>
      <c r="M105" s="109"/>
      <c r="N105" s="109"/>
      <c r="O105" s="109"/>
      <c r="P105" s="110">
        <v>2104</v>
      </c>
      <c r="Q105" s="111">
        <v>400</v>
      </c>
      <c r="R105" s="112"/>
      <c r="S105" s="113"/>
      <c r="T105" s="113"/>
      <c r="U105" s="38"/>
      <c r="V105" s="38"/>
      <c r="W105" s="38"/>
      <c r="X105" s="38"/>
      <c r="Y105" s="38"/>
      <c r="Z105" s="115"/>
      <c r="AA105" s="38"/>
      <c r="AB105" s="38"/>
      <c r="AC105" s="38"/>
      <c r="AD105" s="38"/>
      <c r="AE105" s="38"/>
      <c r="AF105" s="38"/>
      <c r="AG105" s="17"/>
      <c r="AH105" s="24"/>
      <c r="AI105" s="25"/>
      <c r="AJ105" s="25"/>
    </row>
    <row r="106" spans="1:36" x14ac:dyDescent="0.3">
      <c r="A106" s="63">
        <v>100</v>
      </c>
      <c r="B106" s="102" t="s">
        <v>3520</v>
      </c>
      <c r="C106" s="102" t="s">
        <v>3521</v>
      </c>
      <c r="D106" s="64" t="s">
        <v>119</v>
      </c>
      <c r="E106" s="106" t="s">
        <v>3524</v>
      </c>
      <c r="F106" s="107" t="s">
        <v>3621</v>
      </c>
      <c r="G106" s="108">
        <v>3</v>
      </c>
      <c r="H106" s="38" t="s">
        <v>3622</v>
      </c>
      <c r="I106" s="38"/>
      <c r="J106" s="38"/>
      <c r="K106" s="109" t="s">
        <v>3641</v>
      </c>
      <c r="L106" s="109"/>
      <c r="M106" s="109"/>
      <c r="N106" s="109"/>
      <c r="O106" s="109"/>
      <c r="P106" s="110">
        <v>908</v>
      </c>
      <c r="Q106" s="111">
        <v>202</v>
      </c>
      <c r="R106" s="112"/>
      <c r="S106" s="113"/>
      <c r="T106" s="112"/>
      <c r="U106" s="38"/>
      <c r="V106" s="38"/>
      <c r="W106" s="38"/>
      <c r="X106" s="38"/>
      <c r="Y106" s="38"/>
      <c r="Z106" s="115"/>
      <c r="AA106" s="38"/>
      <c r="AB106" s="38"/>
      <c r="AC106" s="38"/>
      <c r="AD106" s="38"/>
      <c r="AE106" s="38"/>
      <c r="AF106" s="38"/>
      <c r="AG106" s="17"/>
      <c r="AH106" s="24"/>
      <c r="AI106" s="25"/>
      <c r="AJ106" s="25"/>
    </row>
    <row r="107" spans="1:36" x14ac:dyDescent="0.3">
      <c r="A107" s="63">
        <v>101</v>
      </c>
      <c r="B107" s="102" t="s">
        <v>3520</v>
      </c>
      <c r="C107" s="102" t="s">
        <v>3521</v>
      </c>
      <c r="D107" s="64" t="s">
        <v>119</v>
      </c>
      <c r="E107" s="106" t="s">
        <v>3524</v>
      </c>
      <c r="F107" s="107" t="s">
        <v>3621</v>
      </c>
      <c r="G107" s="108">
        <v>3</v>
      </c>
      <c r="H107" s="38" t="s">
        <v>3622</v>
      </c>
      <c r="I107" s="38"/>
      <c r="J107" s="38"/>
      <c r="K107" s="109" t="s">
        <v>3642</v>
      </c>
      <c r="L107" s="109"/>
      <c r="M107" s="109"/>
      <c r="N107" s="109"/>
      <c r="O107" s="109"/>
      <c r="P107" s="110">
        <v>530</v>
      </c>
      <c r="Q107" s="111">
        <v>110</v>
      </c>
      <c r="R107" s="112"/>
      <c r="S107" s="113"/>
      <c r="T107" s="113"/>
      <c r="U107" s="38"/>
      <c r="V107" s="38"/>
      <c r="W107" s="38"/>
      <c r="X107" s="38"/>
      <c r="Y107" s="38"/>
      <c r="Z107" s="115"/>
      <c r="AA107" s="38"/>
      <c r="AB107" s="38"/>
      <c r="AC107" s="38"/>
      <c r="AD107" s="38"/>
      <c r="AE107" s="38"/>
      <c r="AF107" s="38"/>
      <c r="AG107" s="17"/>
      <c r="AH107" s="24"/>
      <c r="AI107" s="25"/>
      <c r="AJ107" s="25"/>
    </row>
    <row r="108" spans="1:36" x14ac:dyDescent="0.3">
      <c r="A108" s="63">
        <v>102</v>
      </c>
      <c r="B108" s="102" t="s">
        <v>3520</v>
      </c>
      <c r="C108" s="102" t="s">
        <v>3521</v>
      </c>
      <c r="D108" s="64" t="s">
        <v>119</v>
      </c>
      <c r="E108" s="106" t="s">
        <v>3524</v>
      </c>
      <c r="F108" s="107" t="s">
        <v>3621</v>
      </c>
      <c r="G108" s="108">
        <v>3</v>
      </c>
      <c r="H108" s="38" t="s">
        <v>3622</v>
      </c>
      <c r="I108" s="38"/>
      <c r="J108" s="38"/>
      <c r="K108" s="109" t="s">
        <v>3613</v>
      </c>
      <c r="L108" s="109"/>
      <c r="M108" s="109"/>
      <c r="N108" s="109"/>
      <c r="O108" s="109"/>
      <c r="P108" s="110">
        <v>982</v>
      </c>
      <c r="Q108" s="111">
        <v>168</v>
      </c>
      <c r="R108" s="112"/>
      <c r="S108" s="113"/>
      <c r="T108" s="113"/>
      <c r="U108" s="38"/>
      <c r="V108" s="38"/>
      <c r="W108" s="38"/>
      <c r="X108" s="38"/>
      <c r="Y108" s="38"/>
      <c r="Z108" s="115"/>
      <c r="AA108" s="38"/>
      <c r="AB108" s="38"/>
      <c r="AC108" s="38"/>
      <c r="AD108" s="38"/>
      <c r="AE108" s="38"/>
      <c r="AF108" s="38"/>
      <c r="AG108" s="17"/>
      <c r="AH108" s="24"/>
      <c r="AI108" s="25"/>
      <c r="AJ108" s="25"/>
    </row>
    <row r="109" spans="1:36" x14ac:dyDescent="0.3">
      <c r="A109" s="63">
        <v>103</v>
      </c>
      <c r="B109" s="102" t="s">
        <v>3520</v>
      </c>
      <c r="C109" s="102" t="s">
        <v>3521</v>
      </c>
      <c r="D109" s="64" t="s">
        <v>119</v>
      </c>
      <c r="E109" s="106" t="s">
        <v>3524</v>
      </c>
      <c r="F109" s="107" t="s">
        <v>3621</v>
      </c>
      <c r="G109" s="108">
        <v>3</v>
      </c>
      <c r="H109" s="38" t="s">
        <v>3622</v>
      </c>
      <c r="I109" s="38"/>
      <c r="J109" s="38"/>
      <c r="K109" s="109" t="s">
        <v>3643</v>
      </c>
      <c r="L109" s="109"/>
      <c r="M109" s="109"/>
      <c r="N109" s="109"/>
      <c r="O109" s="109"/>
      <c r="P109" s="110">
        <v>576</v>
      </c>
      <c r="Q109" s="111">
        <v>114</v>
      </c>
      <c r="R109" s="112"/>
      <c r="S109" s="113"/>
      <c r="T109" s="113"/>
      <c r="U109" s="38"/>
      <c r="V109" s="38"/>
      <c r="W109" s="38"/>
      <c r="X109" s="38"/>
      <c r="Y109" s="38"/>
      <c r="Z109" s="115"/>
      <c r="AA109" s="38"/>
      <c r="AB109" s="38"/>
      <c r="AC109" s="38"/>
      <c r="AD109" s="38"/>
      <c r="AE109" s="38"/>
      <c r="AF109" s="38"/>
      <c r="AG109" s="17"/>
      <c r="AH109" s="24"/>
      <c r="AI109" s="25"/>
      <c r="AJ109" s="25"/>
    </row>
    <row r="110" spans="1:36" x14ac:dyDescent="0.3">
      <c r="A110" s="63">
        <v>104</v>
      </c>
      <c r="B110" s="102" t="s">
        <v>3520</v>
      </c>
      <c r="C110" s="102" t="s">
        <v>3521</v>
      </c>
      <c r="D110" s="64" t="s">
        <v>119</v>
      </c>
      <c r="E110" s="106" t="s">
        <v>3524</v>
      </c>
      <c r="F110" s="107" t="s">
        <v>3621</v>
      </c>
      <c r="G110" s="108">
        <v>3</v>
      </c>
      <c r="H110" s="38" t="s">
        <v>3622</v>
      </c>
      <c r="I110" s="38"/>
      <c r="J110" s="38"/>
      <c r="K110" s="109" t="s">
        <v>3600</v>
      </c>
      <c r="L110" s="109"/>
      <c r="M110" s="109"/>
      <c r="N110" s="109"/>
      <c r="O110" s="109"/>
      <c r="P110" s="110">
        <v>339</v>
      </c>
      <c r="Q110" s="111">
        <v>70</v>
      </c>
      <c r="R110" s="112"/>
      <c r="S110" s="113"/>
      <c r="T110" s="112"/>
      <c r="U110" s="38"/>
      <c r="V110" s="38"/>
      <c r="W110" s="38"/>
      <c r="X110" s="38"/>
      <c r="Y110" s="38"/>
      <c r="Z110" s="115"/>
      <c r="AA110" s="38"/>
      <c r="AB110" s="38"/>
      <c r="AC110" s="38"/>
      <c r="AD110" s="38"/>
      <c r="AE110" s="38"/>
      <c r="AF110" s="38"/>
      <c r="AG110" s="17"/>
      <c r="AH110" s="24"/>
      <c r="AI110" s="25"/>
      <c r="AJ110" s="25"/>
    </row>
    <row r="111" spans="1:36" x14ac:dyDescent="0.3">
      <c r="A111" s="63">
        <v>105</v>
      </c>
      <c r="B111" s="102" t="s">
        <v>3520</v>
      </c>
      <c r="C111" s="102" t="s">
        <v>3521</v>
      </c>
      <c r="D111" s="64" t="s">
        <v>119</v>
      </c>
      <c r="E111" s="106" t="s">
        <v>3524</v>
      </c>
      <c r="F111" s="107" t="s">
        <v>3621</v>
      </c>
      <c r="G111" s="108">
        <v>3</v>
      </c>
      <c r="H111" s="38" t="s">
        <v>3622</v>
      </c>
      <c r="I111" s="38"/>
      <c r="J111" s="38"/>
      <c r="K111" s="109" t="s">
        <v>3644</v>
      </c>
      <c r="L111" s="109"/>
      <c r="M111" s="109"/>
      <c r="N111" s="109"/>
      <c r="O111" s="109"/>
      <c r="P111" s="110">
        <v>602</v>
      </c>
      <c r="Q111" s="111">
        <v>120</v>
      </c>
      <c r="R111" s="112"/>
      <c r="S111" s="113"/>
      <c r="T111" s="112"/>
      <c r="U111" s="38"/>
      <c r="V111" s="38"/>
      <c r="W111" s="38"/>
      <c r="X111" s="38"/>
      <c r="Y111" s="38"/>
      <c r="Z111" s="115"/>
      <c r="AA111" s="38"/>
      <c r="AB111" s="38"/>
      <c r="AC111" s="38"/>
      <c r="AD111" s="38"/>
      <c r="AE111" s="38"/>
      <c r="AF111" s="38"/>
      <c r="AG111" s="17"/>
      <c r="AH111" s="24"/>
      <c r="AI111" s="25"/>
      <c r="AJ111" s="25"/>
    </row>
    <row r="112" spans="1:36" x14ac:dyDescent="0.3">
      <c r="A112" s="63">
        <v>106</v>
      </c>
      <c r="B112" s="102" t="s">
        <v>3520</v>
      </c>
      <c r="C112" s="102" t="s">
        <v>3521</v>
      </c>
      <c r="D112" s="64" t="s">
        <v>119</v>
      </c>
      <c r="E112" s="106" t="s">
        <v>3524</v>
      </c>
      <c r="F112" s="107" t="s">
        <v>3621</v>
      </c>
      <c r="G112" s="108">
        <v>3</v>
      </c>
      <c r="H112" s="38" t="s">
        <v>3622</v>
      </c>
      <c r="I112" s="38"/>
      <c r="J112" s="38"/>
      <c r="K112" s="109" t="s">
        <v>3645</v>
      </c>
      <c r="L112" s="109"/>
      <c r="M112" s="109"/>
      <c r="N112" s="109"/>
      <c r="O112" s="109"/>
      <c r="P112" s="110">
        <v>641</v>
      </c>
      <c r="Q112" s="111">
        <v>136</v>
      </c>
      <c r="R112" s="112"/>
      <c r="S112" s="113"/>
      <c r="T112" s="112"/>
      <c r="U112" s="38"/>
      <c r="V112" s="38"/>
      <c r="W112" s="38"/>
      <c r="X112" s="38"/>
      <c r="Y112" s="38"/>
      <c r="Z112" s="115"/>
      <c r="AA112" s="38"/>
      <c r="AB112" s="38"/>
      <c r="AC112" s="38"/>
      <c r="AD112" s="38"/>
      <c r="AE112" s="38"/>
      <c r="AF112" s="38"/>
      <c r="AG112" s="17"/>
      <c r="AH112" s="24"/>
      <c r="AI112" s="25"/>
      <c r="AJ112" s="25"/>
    </row>
    <row r="113" spans="1:36" x14ac:dyDescent="0.3">
      <c r="A113" s="63">
        <v>107</v>
      </c>
      <c r="B113" s="102" t="s">
        <v>3520</v>
      </c>
      <c r="C113" s="102" t="s">
        <v>3521</v>
      </c>
      <c r="D113" s="64" t="s">
        <v>119</v>
      </c>
      <c r="E113" s="106" t="s">
        <v>3524</v>
      </c>
      <c r="F113" s="107" t="s">
        <v>3621</v>
      </c>
      <c r="G113" s="108">
        <v>4</v>
      </c>
      <c r="H113" s="38" t="s">
        <v>3629</v>
      </c>
      <c r="I113" s="38"/>
      <c r="J113" s="38"/>
      <c r="K113" s="109" t="s">
        <v>3646</v>
      </c>
      <c r="L113" s="109"/>
      <c r="M113" s="109"/>
      <c r="N113" s="109"/>
      <c r="O113" s="109"/>
      <c r="P113" s="110">
        <v>6532</v>
      </c>
      <c r="Q113" s="111">
        <v>1176</v>
      </c>
      <c r="R113" s="112"/>
      <c r="S113" s="113"/>
      <c r="T113" s="113"/>
      <c r="U113" s="38"/>
      <c r="V113" s="38"/>
      <c r="W113" s="38"/>
      <c r="X113" s="38"/>
      <c r="Y113" s="38"/>
      <c r="Z113" s="115"/>
      <c r="AA113" s="38"/>
      <c r="AB113" s="38"/>
      <c r="AC113" s="38"/>
      <c r="AD113" s="38"/>
      <c r="AE113" s="38"/>
      <c r="AF113" s="38"/>
      <c r="AG113" s="17"/>
      <c r="AH113" s="24"/>
      <c r="AI113" s="25"/>
      <c r="AJ113" s="25"/>
    </row>
    <row r="114" spans="1:36" x14ac:dyDescent="0.3">
      <c r="A114" s="63">
        <v>108</v>
      </c>
      <c r="B114" s="102" t="s">
        <v>3520</v>
      </c>
      <c r="C114" s="102" t="s">
        <v>3521</v>
      </c>
      <c r="D114" s="64" t="s">
        <v>119</v>
      </c>
      <c r="E114" s="106" t="s">
        <v>3524</v>
      </c>
      <c r="F114" s="107" t="s">
        <v>3621</v>
      </c>
      <c r="G114" s="108">
        <v>4</v>
      </c>
      <c r="H114" s="38" t="s">
        <v>3629</v>
      </c>
      <c r="I114" s="38"/>
      <c r="J114" s="38"/>
      <c r="K114" s="109" t="s">
        <v>3647</v>
      </c>
      <c r="L114" s="109"/>
      <c r="M114" s="109"/>
      <c r="N114" s="109"/>
      <c r="O114" s="109"/>
      <c r="P114" s="110">
        <v>525</v>
      </c>
      <c r="Q114" s="111">
        <v>357</v>
      </c>
      <c r="R114" s="112"/>
      <c r="S114" s="113"/>
      <c r="T114" s="113"/>
      <c r="U114" s="38"/>
      <c r="V114" s="38"/>
      <c r="W114" s="38"/>
      <c r="X114" s="38"/>
      <c r="Y114" s="38"/>
      <c r="Z114" s="115"/>
      <c r="AA114" s="38"/>
      <c r="AB114" s="38"/>
      <c r="AC114" s="38"/>
      <c r="AD114" s="38"/>
      <c r="AE114" s="38"/>
      <c r="AF114" s="38"/>
      <c r="AG114" s="17"/>
      <c r="AH114" s="24"/>
      <c r="AI114" s="25"/>
      <c r="AJ114" s="25"/>
    </row>
    <row r="115" spans="1:36" x14ac:dyDescent="0.3">
      <c r="A115" s="63">
        <v>109</v>
      </c>
      <c r="B115" s="102" t="s">
        <v>3520</v>
      </c>
      <c r="C115" s="102" t="s">
        <v>3521</v>
      </c>
      <c r="D115" s="64" t="s">
        <v>119</v>
      </c>
      <c r="E115" s="106" t="s">
        <v>3524</v>
      </c>
      <c r="F115" s="107" t="s">
        <v>3621</v>
      </c>
      <c r="G115" s="108">
        <v>4</v>
      </c>
      <c r="H115" s="38" t="s">
        <v>3629</v>
      </c>
      <c r="I115" s="38"/>
      <c r="J115" s="38"/>
      <c r="K115" s="109" t="s">
        <v>3648</v>
      </c>
      <c r="L115" s="109"/>
      <c r="M115" s="109"/>
      <c r="N115" s="109"/>
      <c r="O115" s="109"/>
      <c r="P115" s="110">
        <v>671</v>
      </c>
      <c r="Q115" s="111">
        <v>87</v>
      </c>
      <c r="R115" s="112"/>
      <c r="S115" s="113"/>
      <c r="T115" s="117"/>
      <c r="U115" s="38"/>
      <c r="V115" s="38"/>
      <c r="W115" s="38"/>
      <c r="X115" s="38"/>
      <c r="Y115" s="38"/>
      <c r="Z115" s="115"/>
      <c r="AA115" s="38"/>
      <c r="AB115" s="38"/>
      <c r="AC115" s="38"/>
      <c r="AD115" s="38"/>
      <c r="AE115" s="38"/>
      <c r="AF115" s="38"/>
      <c r="AG115" s="17"/>
      <c r="AH115" s="24"/>
      <c r="AI115" s="25"/>
      <c r="AJ115" s="25"/>
    </row>
    <row r="116" spans="1:36" x14ac:dyDescent="0.3">
      <c r="A116" s="63">
        <v>110</v>
      </c>
      <c r="B116" s="102" t="s">
        <v>3520</v>
      </c>
      <c r="C116" s="102" t="s">
        <v>3521</v>
      </c>
      <c r="D116" s="64" t="s">
        <v>119</v>
      </c>
      <c r="E116" s="106" t="s">
        <v>3524</v>
      </c>
      <c r="F116" s="107" t="s">
        <v>3621</v>
      </c>
      <c r="G116" s="108">
        <v>4</v>
      </c>
      <c r="H116" s="38" t="s">
        <v>3629</v>
      </c>
      <c r="I116" s="38"/>
      <c r="J116" s="38"/>
      <c r="K116" s="109" t="s">
        <v>3649</v>
      </c>
      <c r="L116" s="109"/>
      <c r="M116" s="109"/>
      <c r="N116" s="109"/>
      <c r="O116" s="109"/>
      <c r="P116" s="110">
        <v>1251</v>
      </c>
      <c r="Q116" s="111">
        <v>176</v>
      </c>
      <c r="R116" s="112"/>
      <c r="S116" s="113"/>
      <c r="T116" s="112"/>
      <c r="U116" s="38"/>
      <c r="V116" s="38"/>
      <c r="W116" s="38"/>
      <c r="X116" s="38"/>
      <c r="Y116" s="38"/>
      <c r="Z116" s="115"/>
      <c r="AA116" s="38"/>
      <c r="AB116" s="38"/>
      <c r="AC116" s="38"/>
      <c r="AD116" s="38"/>
      <c r="AE116" s="38"/>
      <c r="AF116" s="38"/>
      <c r="AG116" s="17"/>
      <c r="AH116" s="24"/>
      <c r="AI116" s="25"/>
      <c r="AJ116" s="25"/>
    </row>
    <row r="117" spans="1:36" x14ac:dyDescent="0.3">
      <c r="A117" s="63">
        <v>111</v>
      </c>
      <c r="B117" s="102" t="s">
        <v>3520</v>
      </c>
      <c r="C117" s="102" t="s">
        <v>3521</v>
      </c>
      <c r="D117" s="64" t="s">
        <v>119</v>
      </c>
      <c r="E117" s="106" t="s">
        <v>3524</v>
      </c>
      <c r="F117" s="107" t="s">
        <v>3621</v>
      </c>
      <c r="G117" s="108">
        <v>5</v>
      </c>
      <c r="H117" s="38" t="s">
        <v>3650</v>
      </c>
      <c r="I117" s="38"/>
      <c r="J117" s="38"/>
      <c r="K117" s="109" t="s">
        <v>3651</v>
      </c>
      <c r="L117" s="109"/>
      <c r="M117" s="109"/>
      <c r="N117" s="109"/>
      <c r="O117" s="109"/>
      <c r="P117" s="110">
        <v>4531</v>
      </c>
      <c r="Q117" s="110">
        <v>908</v>
      </c>
      <c r="R117" s="112"/>
      <c r="S117" s="113">
        <v>114</v>
      </c>
      <c r="T117" s="113"/>
      <c r="U117" s="38"/>
      <c r="V117" s="38"/>
      <c r="W117" s="38"/>
      <c r="X117" s="38"/>
      <c r="Y117" s="38"/>
      <c r="Z117" s="115"/>
      <c r="AA117" s="38"/>
      <c r="AB117" s="38"/>
      <c r="AC117" s="38"/>
      <c r="AD117" s="38"/>
      <c r="AE117" s="38"/>
      <c r="AF117" s="38"/>
      <c r="AG117" s="17"/>
      <c r="AH117" s="24"/>
      <c r="AI117" s="25"/>
      <c r="AJ117" s="25"/>
    </row>
    <row r="118" spans="1:36" x14ac:dyDescent="0.3">
      <c r="A118" s="63">
        <v>112</v>
      </c>
      <c r="B118" s="102" t="s">
        <v>3520</v>
      </c>
      <c r="C118" s="102" t="s">
        <v>3521</v>
      </c>
      <c r="D118" s="64" t="s">
        <v>119</v>
      </c>
      <c r="E118" s="106" t="s">
        <v>3524</v>
      </c>
      <c r="F118" s="107" t="s">
        <v>3621</v>
      </c>
      <c r="G118" s="108">
        <v>5</v>
      </c>
      <c r="H118" s="38" t="s">
        <v>3650</v>
      </c>
      <c r="I118" s="38"/>
      <c r="J118" s="38"/>
      <c r="K118" s="109" t="s">
        <v>3652</v>
      </c>
      <c r="L118" s="109"/>
      <c r="M118" s="109"/>
      <c r="N118" s="109"/>
      <c r="O118" s="109"/>
      <c r="P118" s="110">
        <v>5387</v>
      </c>
      <c r="Q118" s="111">
        <v>1065</v>
      </c>
      <c r="R118" s="112"/>
      <c r="S118" s="113"/>
      <c r="T118" s="113"/>
      <c r="U118" s="38"/>
      <c r="V118" s="38"/>
      <c r="W118" s="38"/>
      <c r="X118" s="38"/>
      <c r="Y118" s="38"/>
      <c r="Z118" s="115"/>
      <c r="AA118" s="38"/>
      <c r="AB118" s="38"/>
      <c r="AC118" s="38"/>
      <c r="AD118" s="38"/>
      <c r="AE118" s="38"/>
      <c r="AF118" s="38"/>
      <c r="AG118" s="17"/>
      <c r="AH118" s="24"/>
      <c r="AI118" s="25"/>
      <c r="AJ118" s="25"/>
    </row>
    <row r="119" spans="1:36" x14ac:dyDescent="0.3">
      <c r="A119" s="63">
        <v>113</v>
      </c>
      <c r="B119" s="102" t="s">
        <v>3520</v>
      </c>
      <c r="C119" s="102" t="s">
        <v>3521</v>
      </c>
      <c r="D119" s="64" t="s">
        <v>119</v>
      </c>
      <c r="E119" s="106" t="s">
        <v>3524</v>
      </c>
      <c r="F119" s="107" t="s">
        <v>3621</v>
      </c>
      <c r="G119" s="108">
        <v>5</v>
      </c>
      <c r="H119" s="38" t="s">
        <v>3650</v>
      </c>
      <c r="I119" s="38"/>
      <c r="J119" s="38"/>
      <c r="K119" s="109" t="s">
        <v>3613</v>
      </c>
      <c r="L119" s="109"/>
      <c r="M119" s="109"/>
      <c r="N119" s="109"/>
      <c r="O119" s="109"/>
      <c r="P119" s="110">
        <v>883</v>
      </c>
      <c r="Q119" s="111">
        <v>183</v>
      </c>
      <c r="R119" s="112"/>
      <c r="S119" s="113"/>
      <c r="T119" s="113"/>
      <c r="U119" s="38"/>
      <c r="V119" s="38"/>
      <c r="W119" s="38"/>
      <c r="X119" s="38"/>
      <c r="Y119" s="38"/>
      <c r="Z119" s="115"/>
      <c r="AA119" s="38"/>
      <c r="AB119" s="38"/>
      <c r="AC119" s="38"/>
      <c r="AD119" s="38"/>
      <c r="AE119" s="38"/>
      <c r="AF119" s="38"/>
      <c r="AG119" s="17"/>
      <c r="AH119" s="24"/>
      <c r="AI119" s="25"/>
      <c r="AJ119" s="25"/>
    </row>
    <row r="120" spans="1:36" x14ac:dyDescent="0.3">
      <c r="A120" s="63">
        <v>114</v>
      </c>
      <c r="B120" s="102" t="s">
        <v>3520</v>
      </c>
      <c r="C120" s="102" t="s">
        <v>3521</v>
      </c>
      <c r="D120" s="64" t="s">
        <v>119</v>
      </c>
      <c r="E120" s="106" t="s">
        <v>3524</v>
      </c>
      <c r="F120" s="107" t="s">
        <v>3621</v>
      </c>
      <c r="G120" s="108">
        <v>6</v>
      </c>
      <c r="H120" s="38" t="s">
        <v>3650</v>
      </c>
      <c r="I120" s="38"/>
      <c r="J120" s="38"/>
      <c r="K120" s="109" t="s">
        <v>3653</v>
      </c>
      <c r="L120" s="109"/>
      <c r="M120" s="109"/>
      <c r="N120" s="109"/>
      <c r="O120" s="109"/>
      <c r="P120" s="110">
        <v>381</v>
      </c>
      <c r="Q120" s="108">
        <v>76</v>
      </c>
      <c r="R120" s="112"/>
      <c r="S120" s="113"/>
      <c r="T120" s="113"/>
      <c r="U120" s="38"/>
      <c r="V120" s="38"/>
      <c r="W120" s="38"/>
      <c r="X120" s="38"/>
      <c r="Y120" s="38"/>
      <c r="Z120" s="115"/>
      <c r="AA120" s="38"/>
      <c r="AB120" s="38"/>
      <c r="AC120" s="38"/>
      <c r="AD120" s="38"/>
      <c r="AE120" s="38"/>
      <c r="AF120" s="38"/>
      <c r="AG120" s="17"/>
      <c r="AH120" s="24"/>
      <c r="AI120" s="25"/>
      <c r="AJ120" s="25"/>
    </row>
    <row r="121" spans="1:36" x14ac:dyDescent="0.3">
      <c r="A121" s="63">
        <v>115</v>
      </c>
      <c r="B121" s="102" t="s">
        <v>3520</v>
      </c>
      <c r="C121" s="102" t="s">
        <v>3521</v>
      </c>
      <c r="D121" s="64" t="s">
        <v>119</v>
      </c>
      <c r="E121" s="106" t="s">
        <v>3524</v>
      </c>
      <c r="F121" s="107" t="s">
        <v>3621</v>
      </c>
      <c r="G121" s="108">
        <v>6</v>
      </c>
      <c r="H121" s="38" t="s">
        <v>3650</v>
      </c>
      <c r="I121" s="38"/>
      <c r="J121" s="38"/>
      <c r="K121" s="109" t="s">
        <v>3651</v>
      </c>
      <c r="L121" s="109"/>
      <c r="M121" s="109"/>
      <c r="N121" s="109"/>
      <c r="O121" s="109"/>
      <c r="P121" s="110">
        <v>7419</v>
      </c>
      <c r="Q121" s="110">
        <v>1933</v>
      </c>
      <c r="R121" s="112"/>
      <c r="S121" s="113">
        <v>64</v>
      </c>
      <c r="T121" s="113"/>
      <c r="U121" s="38"/>
      <c r="V121" s="38"/>
      <c r="W121" s="38"/>
      <c r="X121" s="38"/>
      <c r="Y121" s="38"/>
      <c r="Z121" s="115"/>
      <c r="AA121" s="38"/>
      <c r="AB121" s="38"/>
      <c r="AC121" s="38"/>
      <c r="AD121" s="38"/>
      <c r="AE121" s="38"/>
      <c r="AF121" s="38"/>
      <c r="AG121" s="17"/>
      <c r="AH121" s="24"/>
      <c r="AI121" s="25"/>
      <c r="AJ121" s="25"/>
    </row>
    <row r="122" spans="1:36" x14ac:dyDescent="0.3">
      <c r="A122" s="63">
        <v>116</v>
      </c>
      <c r="B122" s="102" t="s">
        <v>3520</v>
      </c>
      <c r="C122" s="102" t="s">
        <v>3521</v>
      </c>
      <c r="D122" s="64" t="s">
        <v>119</v>
      </c>
      <c r="E122" s="106" t="s">
        <v>3524</v>
      </c>
      <c r="F122" s="107" t="s">
        <v>3621</v>
      </c>
      <c r="G122" s="108">
        <v>6</v>
      </c>
      <c r="H122" s="38" t="s">
        <v>3650</v>
      </c>
      <c r="I122" s="38"/>
      <c r="J122" s="38"/>
      <c r="K122" s="109" t="s">
        <v>3646</v>
      </c>
      <c r="L122" s="109"/>
      <c r="M122" s="109"/>
      <c r="N122" s="109"/>
      <c r="O122" s="109"/>
      <c r="P122" s="110">
        <v>1430</v>
      </c>
      <c r="Q122" s="111">
        <v>347</v>
      </c>
      <c r="R122" s="112"/>
      <c r="S122" s="113">
        <v>93</v>
      </c>
      <c r="T122" s="113"/>
      <c r="U122" s="38"/>
      <c r="V122" s="38"/>
      <c r="W122" s="38"/>
      <c r="X122" s="38"/>
      <c r="Y122" s="38"/>
      <c r="Z122" s="115"/>
      <c r="AA122" s="38"/>
      <c r="AB122" s="38"/>
      <c r="AC122" s="38"/>
      <c r="AD122" s="38"/>
      <c r="AE122" s="38"/>
      <c r="AF122" s="38"/>
      <c r="AG122" s="17"/>
      <c r="AH122" s="24"/>
      <c r="AI122" s="25"/>
      <c r="AJ122" s="25"/>
    </row>
    <row r="123" spans="1:36" x14ac:dyDescent="0.3">
      <c r="A123" s="63">
        <v>117</v>
      </c>
      <c r="B123" s="102" t="s">
        <v>3520</v>
      </c>
      <c r="C123" s="102" t="s">
        <v>3521</v>
      </c>
      <c r="D123" s="64" t="s">
        <v>119</v>
      </c>
      <c r="E123" s="106" t="s">
        <v>3524</v>
      </c>
      <c r="F123" s="107" t="s">
        <v>3621</v>
      </c>
      <c r="G123" s="108">
        <v>6</v>
      </c>
      <c r="H123" s="38" t="s">
        <v>3650</v>
      </c>
      <c r="I123" s="38"/>
      <c r="J123" s="38"/>
      <c r="K123" s="109" t="s">
        <v>3654</v>
      </c>
      <c r="L123" s="109"/>
      <c r="M123" s="109"/>
      <c r="N123" s="109"/>
      <c r="O123" s="109"/>
      <c r="P123" s="110">
        <v>1180</v>
      </c>
      <c r="Q123" s="111">
        <v>232</v>
      </c>
      <c r="R123" s="112"/>
      <c r="S123" s="113"/>
      <c r="T123" s="112"/>
      <c r="U123" s="38"/>
      <c r="V123" s="38"/>
      <c r="W123" s="38"/>
      <c r="X123" s="38"/>
      <c r="Y123" s="38"/>
      <c r="Z123" s="115"/>
      <c r="AA123" s="38"/>
      <c r="AB123" s="38"/>
      <c r="AC123" s="38"/>
      <c r="AD123" s="38"/>
      <c r="AE123" s="38"/>
      <c r="AF123" s="38"/>
      <c r="AG123" s="17"/>
      <c r="AH123" s="24"/>
      <c r="AI123" s="25"/>
      <c r="AJ123" s="25"/>
    </row>
    <row r="124" spans="1:36" x14ac:dyDescent="0.3">
      <c r="A124" s="63">
        <v>118</v>
      </c>
      <c r="B124" s="102" t="s">
        <v>3520</v>
      </c>
      <c r="C124" s="102" t="s">
        <v>3521</v>
      </c>
      <c r="D124" s="64" t="s">
        <v>119</v>
      </c>
      <c r="E124" s="106" t="s">
        <v>3524</v>
      </c>
      <c r="F124" s="107" t="s">
        <v>3621</v>
      </c>
      <c r="G124" s="108">
        <v>7</v>
      </c>
      <c r="H124" s="38" t="s">
        <v>3655</v>
      </c>
      <c r="I124" s="38"/>
      <c r="J124" s="38"/>
      <c r="K124" s="109" t="s">
        <v>3656</v>
      </c>
      <c r="L124" s="109"/>
      <c r="M124" s="109"/>
      <c r="N124" s="109"/>
      <c r="O124" s="109"/>
      <c r="P124" s="110">
        <v>2126</v>
      </c>
      <c r="Q124" s="111">
        <v>464</v>
      </c>
      <c r="R124" s="112"/>
      <c r="S124" s="113"/>
      <c r="T124" s="112"/>
      <c r="U124" s="38"/>
      <c r="V124" s="38"/>
      <c r="W124" s="38"/>
      <c r="X124" s="38"/>
      <c r="Y124" s="38"/>
      <c r="Z124" s="115"/>
      <c r="AA124" s="38"/>
      <c r="AB124" s="38"/>
      <c r="AC124" s="38"/>
      <c r="AD124" s="38"/>
      <c r="AE124" s="38"/>
      <c r="AF124" s="38"/>
      <c r="AG124" s="17"/>
      <c r="AH124" s="24"/>
      <c r="AI124" s="25"/>
      <c r="AJ124" s="25"/>
    </row>
    <row r="125" spans="1:36" x14ac:dyDescent="0.3">
      <c r="A125" s="63">
        <v>119</v>
      </c>
      <c r="B125" s="102" t="s">
        <v>3520</v>
      </c>
      <c r="C125" s="102" t="s">
        <v>3521</v>
      </c>
      <c r="D125" s="64" t="s">
        <v>119</v>
      </c>
      <c r="E125" s="106" t="s">
        <v>3524</v>
      </c>
      <c r="F125" s="107" t="s">
        <v>3621</v>
      </c>
      <c r="G125" s="108">
        <v>7</v>
      </c>
      <c r="H125" s="38" t="s">
        <v>3655</v>
      </c>
      <c r="I125" s="38"/>
      <c r="J125" s="38"/>
      <c r="K125" s="109" t="s">
        <v>3654</v>
      </c>
      <c r="L125" s="109"/>
      <c r="M125" s="109"/>
      <c r="N125" s="109"/>
      <c r="O125" s="109"/>
      <c r="P125" s="110">
        <v>538</v>
      </c>
      <c r="Q125" s="111">
        <v>122</v>
      </c>
      <c r="R125" s="112"/>
      <c r="S125" s="113"/>
      <c r="T125" s="113"/>
      <c r="U125" s="38"/>
      <c r="V125" s="38"/>
      <c r="W125" s="38"/>
      <c r="X125" s="38"/>
      <c r="Y125" s="38"/>
      <c r="Z125" s="115"/>
      <c r="AA125" s="38"/>
      <c r="AB125" s="38"/>
      <c r="AC125" s="38"/>
      <c r="AD125" s="38"/>
      <c r="AE125" s="38"/>
      <c r="AF125" s="38"/>
      <c r="AG125" s="17"/>
      <c r="AH125" s="24"/>
      <c r="AI125" s="25"/>
      <c r="AJ125" s="25"/>
    </row>
    <row r="126" spans="1:36" x14ac:dyDescent="0.3">
      <c r="A126" s="63">
        <v>120</v>
      </c>
      <c r="B126" s="102" t="s">
        <v>3520</v>
      </c>
      <c r="C126" s="102" t="s">
        <v>3521</v>
      </c>
      <c r="D126" s="64" t="s">
        <v>119</v>
      </c>
      <c r="E126" s="106" t="s">
        <v>3524</v>
      </c>
      <c r="F126" s="107" t="s">
        <v>3621</v>
      </c>
      <c r="G126" s="108">
        <v>7</v>
      </c>
      <c r="H126" s="38" t="s">
        <v>3655</v>
      </c>
      <c r="I126" s="38"/>
      <c r="J126" s="38"/>
      <c r="K126" s="109" t="s">
        <v>3657</v>
      </c>
      <c r="L126" s="109"/>
      <c r="M126" s="109"/>
      <c r="N126" s="109"/>
      <c r="O126" s="109"/>
      <c r="P126" s="110">
        <v>4511</v>
      </c>
      <c r="Q126" s="111">
        <v>977</v>
      </c>
      <c r="R126" s="112"/>
      <c r="S126" s="113"/>
      <c r="T126" s="113"/>
      <c r="U126" s="38"/>
      <c r="V126" s="38"/>
      <c r="W126" s="38"/>
      <c r="X126" s="38"/>
      <c r="Y126" s="38"/>
      <c r="Z126" s="115"/>
      <c r="AA126" s="38"/>
      <c r="AB126" s="38"/>
      <c r="AC126" s="38"/>
      <c r="AD126" s="38"/>
      <c r="AE126" s="38"/>
      <c r="AF126" s="38"/>
      <c r="AG126" s="17"/>
      <c r="AH126" s="24"/>
      <c r="AI126" s="25"/>
      <c r="AJ126" s="25"/>
    </row>
    <row r="127" spans="1:36" x14ac:dyDescent="0.3">
      <c r="A127" s="63">
        <v>121</v>
      </c>
      <c r="B127" s="102" t="s">
        <v>3520</v>
      </c>
      <c r="C127" s="102" t="s">
        <v>3521</v>
      </c>
      <c r="D127" s="64" t="s">
        <v>119</v>
      </c>
      <c r="E127" s="106" t="s">
        <v>3524</v>
      </c>
      <c r="F127" s="107" t="s">
        <v>3621</v>
      </c>
      <c r="G127" s="108">
        <v>8</v>
      </c>
      <c r="H127" s="38" t="s">
        <v>3658</v>
      </c>
      <c r="I127" s="38"/>
      <c r="J127" s="38"/>
      <c r="K127" s="109" t="s">
        <v>3600</v>
      </c>
      <c r="L127" s="109"/>
      <c r="M127" s="109"/>
      <c r="N127" s="109"/>
      <c r="O127" s="109"/>
      <c r="P127" s="110">
        <v>3674</v>
      </c>
      <c r="Q127" s="111">
        <v>687</v>
      </c>
      <c r="R127" s="112"/>
      <c r="S127" s="113"/>
      <c r="T127" s="113"/>
      <c r="U127" s="38"/>
      <c r="V127" s="38"/>
      <c r="W127" s="38"/>
      <c r="X127" s="38"/>
      <c r="Y127" s="38"/>
      <c r="Z127" s="115"/>
      <c r="AA127" s="38"/>
      <c r="AB127" s="38"/>
      <c r="AC127" s="38"/>
      <c r="AD127" s="38"/>
      <c r="AE127" s="38"/>
      <c r="AF127" s="38"/>
      <c r="AG127" s="17"/>
      <c r="AH127" s="24"/>
      <c r="AI127" s="25"/>
      <c r="AJ127" s="25"/>
    </row>
    <row r="128" spans="1:36" x14ac:dyDescent="0.3">
      <c r="A128" s="63">
        <v>122</v>
      </c>
      <c r="B128" s="102" t="s">
        <v>3520</v>
      </c>
      <c r="C128" s="102" t="s">
        <v>3521</v>
      </c>
      <c r="D128" s="64" t="s">
        <v>119</v>
      </c>
      <c r="E128" s="106" t="s">
        <v>3524</v>
      </c>
      <c r="F128" s="107" t="s">
        <v>3621</v>
      </c>
      <c r="G128" s="108">
        <v>8</v>
      </c>
      <c r="H128" s="38" t="s">
        <v>3658</v>
      </c>
      <c r="I128" s="38"/>
      <c r="J128" s="38"/>
      <c r="K128" s="109" t="s">
        <v>3659</v>
      </c>
      <c r="L128" s="109"/>
      <c r="M128" s="109"/>
      <c r="N128" s="109"/>
      <c r="O128" s="109"/>
      <c r="P128" s="110">
        <v>4115</v>
      </c>
      <c r="Q128" s="111">
        <v>883</v>
      </c>
      <c r="R128" s="112"/>
      <c r="S128" s="113">
        <v>5</v>
      </c>
      <c r="T128" s="112"/>
      <c r="U128" s="38"/>
      <c r="V128" s="38"/>
      <c r="W128" s="38"/>
      <c r="X128" s="38"/>
      <c r="Y128" s="38"/>
      <c r="Z128" s="115"/>
      <c r="AA128" s="38"/>
      <c r="AB128" s="38"/>
      <c r="AC128" s="38"/>
      <c r="AD128" s="38"/>
      <c r="AE128" s="38"/>
      <c r="AF128" s="38"/>
      <c r="AG128" s="16"/>
      <c r="AH128" s="24"/>
      <c r="AI128" s="25"/>
      <c r="AJ128" s="25"/>
    </row>
    <row r="129" spans="1:36" x14ac:dyDescent="0.3">
      <c r="A129" s="63">
        <v>123</v>
      </c>
      <c r="B129" s="102" t="s">
        <v>3520</v>
      </c>
      <c r="C129" s="102" t="s">
        <v>3521</v>
      </c>
      <c r="D129" s="64" t="s">
        <v>119</v>
      </c>
      <c r="E129" s="106" t="s">
        <v>3524</v>
      </c>
      <c r="F129" s="107" t="s">
        <v>3621</v>
      </c>
      <c r="G129" s="108">
        <v>8</v>
      </c>
      <c r="H129" s="38" t="s">
        <v>3658</v>
      </c>
      <c r="I129" s="38"/>
      <c r="J129" s="38"/>
      <c r="K129" s="109" t="s">
        <v>3660</v>
      </c>
      <c r="L129" s="109"/>
      <c r="M129" s="109"/>
      <c r="N129" s="109"/>
      <c r="O129" s="109"/>
      <c r="P129" s="110">
        <v>560</v>
      </c>
      <c r="Q129" s="111">
        <v>112</v>
      </c>
      <c r="R129" s="112"/>
      <c r="S129" s="113"/>
      <c r="T129" s="113"/>
      <c r="U129" s="38"/>
      <c r="V129" s="38"/>
      <c r="W129" s="38"/>
      <c r="X129" s="38"/>
      <c r="Y129" s="38"/>
      <c r="Z129" s="115"/>
      <c r="AA129" s="38"/>
      <c r="AB129" s="38"/>
      <c r="AC129" s="38"/>
      <c r="AD129" s="38"/>
      <c r="AE129" s="38"/>
      <c r="AF129" s="38"/>
      <c r="AG129" s="17"/>
      <c r="AH129" s="24"/>
      <c r="AI129" s="25"/>
      <c r="AJ129" s="25"/>
    </row>
    <row r="130" spans="1:36" x14ac:dyDescent="0.3">
      <c r="A130" s="63">
        <v>124</v>
      </c>
      <c r="B130" s="102" t="s">
        <v>3520</v>
      </c>
      <c r="C130" s="102" t="s">
        <v>3521</v>
      </c>
      <c r="D130" s="64" t="s">
        <v>119</v>
      </c>
      <c r="E130" s="106" t="s">
        <v>3524</v>
      </c>
      <c r="F130" s="107" t="s">
        <v>3621</v>
      </c>
      <c r="G130" s="108">
        <v>8</v>
      </c>
      <c r="H130" s="38" t="s">
        <v>3658</v>
      </c>
      <c r="I130" s="38"/>
      <c r="J130" s="38"/>
      <c r="K130" s="109" t="s">
        <v>3661</v>
      </c>
      <c r="L130" s="109"/>
      <c r="M130" s="109"/>
      <c r="N130" s="109"/>
      <c r="O130" s="109"/>
      <c r="P130" s="110">
        <v>4737</v>
      </c>
      <c r="Q130" s="111">
        <v>748</v>
      </c>
      <c r="R130" s="112"/>
      <c r="S130" s="113"/>
      <c r="T130" s="113"/>
      <c r="U130" s="38"/>
      <c r="V130" s="38"/>
      <c r="W130" s="38"/>
      <c r="X130" s="38"/>
      <c r="Y130" s="38"/>
      <c r="Z130" s="115"/>
      <c r="AA130" s="38"/>
      <c r="AB130" s="38"/>
      <c r="AC130" s="38"/>
      <c r="AD130" s="38"/>
      <c r="AE130" s="38"/>
      <c r="AF130" s="38"/>
      <c r="AG130" s="17"/>
      <c r="AH130" s="24"/>
      <c r="AI130" s="25"/>
      <c r="AJ130" s="25"/>
    </row>
    <row r="131" spans="1:36" x14ac:dyDescent="0.3">
      <c r="A131" s="63">
        <v>125</v>
      </c>
      <c r="B131" s="102" t="s">
        <v>3520</v>
      </c>
      <c r="C131" s="102" t="s">
        <v>3521</v>
      </c>
      <c r="D131" s="64" t="s">
        <v>119</v>
      </c>
      <c r="E131" s="106" t="s">
        <v>3524</v>
      </c>
      <c r="F131" s="107" t="s">
        <v>3621</v>
      </c>
      <c r="G131" s="108">
        <v>8</v>
      </c>
      <c r="H131" s="38" t="s">
        <v>3592</v>
      </c>
      <c r="I131" s="38"/>
      <c r="J131" s="38"/>
      <c r="K131" s="109" t="s">
        <v>3660</v>
      </c>
      <c r="L131" s="109"/>
      <c r="M131" s="109"/>
      <c r="N131" s="109"/>
      <c r="O131" s="109"/>
      <c r="P131" s="110">
        <v>459</v>
      </c>
      <c r="Q131" s="111">
        <v>78</v>
      </c>
      <c r="R131" s="112"/>
      <c r="S131" s="113"/>
      <c r="T131" s="113"/>
      <c r="U131" s="38"/>
      <c r="V131" s="38"/>
      <c r="W131" s="38"/>
      <c r="X131" s="38"/>
      <c r="Y131" s="38"/>
      <c r="Z131" s="115"/>
      <c r="AA131" s="38"/>
      <c r="AB131" s="38"/>
      <c r="AC131" s="38"/>
      <c r="AD131" s="38"/>
      <c r="AE131" s="38"/>
      <c r="AF131" s="38"/>
      <c r="AG131" s="17"/>
      <c r="AH131" s="24"/>
      <c r="AI131" s="25"/>
      <c r="AJ131" s="25"/>
    </row>
    <row r="132" spans="1:36" x14ac:dyDescent="0.3">
      <c r="A132" s="63">
        <v>126</v>
      </c>
      <c r="B132" s="102" t="s">
        <v>3520</v>
      </c>
      <c r="C132" s="102" t="s">
        <v>3521</v>
      </c>
      <c r="D132" s="64" t="s">
        <v>119</v>
      </c>
      <c r="E132" s="106" t="s">
        <v>3524</v>
      </c>
      <c r="F132" s="107" t="s">
        <v>3621</v>
      </c>
      <c r="G132" s="108">
        <v>8</v>
      </c>
      <c r="H132" s="38" t="s">
        <v>3592</v>
      </c>
      <c r="I132" s="38"/>
      <c r="J132" s="38"/>
      <c r="K132" s="109" t="s">
        <v>3662</v>
      </c>
      <c r="L132" s="109"/>
      <c r="M132" s="109"/>
      <c r="N132" s="109"/>
      <c r="O132" s="109"/>
      <c r="P132" s="110">
        <v>1141</v>
      </c>
      <c r="Q132" s="111">
        <v>213</v>
      </c>
      <c r="R132" s="112"/>
      <c r="S132" s="113"/>
      <c r="T132" s="113"/>
      <c r="U132" s="38"/>
      <c r="V132" s="38"/>
      <c r="W132" s="38"/>
      <c r="X132" s="38"/>
      <c r="Y132" s="38"/>
      <c r="Z132" s="115"/>
      <c r="AA132" s="38"/>
      <c r="AB132" s="38"/>
      <c r="AC132" s="38"/>
      <c r="AD132" s="38"/>
      <c r="AE132" s="38"/>
      <c r="AF132" s="38"/>
      <c r="AG132" s="17"/>
      <c r="AH132" s="24"/>
      <c r="AI132" s="25"/>
      <c r="AJ132" s="25"/>
    </row>
    <row r="133" spans="1:36" x14ac:dyDescent="0.3">
      <c r="A133" s="63">
        <v>127</v>
      </c>
      <c r="B133" s="102" t="s">
        <v>3520</v>
      </c>
      <c r="C133" s="102" t="s">
        <v>3521</v>
      </c>
      <c r="D133" s="64" t="s">
        <v>119</v>
      </c>
      <c r="E133" s="106" t="s">
        <v>3524</v>
      </c>
      <c r="F133" s="107" t="s">
        <v>3621</v>
      </c>
      <c r="G133" s="108">
        <v>9</v>
      </c>
      <c r="H133" s="38" t="s">
        <v>3655</v>
      </c>
      <c r="I133" s="38"/>
      <c r="J133" s="38"/>
      <c r="K133" s="109" t="s">
        <v>3663</v>
      </c>
      <c r="L133" s="109"/>
      <c r="M133" s="109"/>
      <c r="N133" s="109"/>
      <c r="O133" s="109"/>
      <c r="P133" s="110">
        <v>2608</v>
      </c>
      <c r="Q133" s="111">
        <v>478</v>
      </c>
      <c r="R133" s="112"/>
      <c r="S133" s="113"/>
      <c r="T133" s="113"/>
      <c r="U133" s="38"/>
      <c r="V133" s="38"/>
      <c r="W133" s="38"/>
      <c r="X133" s="38"/>
      <c r="Y133" s="38"/>
      <c r="Z133" s="115"/>
      <c r="AA133" s="38"/>
      <c r="AB133" s="38"/>
      <c r="AC133" s="38"/>
      <c r="AD133" s="38"/>
      <c r="AE133" s="38"/>
      <c r="AF133" s="38"/>
      <c r="AG133" s="17"/>
      <c r="AH133" s="24"/>
      <c r="AI133" s="25"/>
      <c r="AJ133" s="25"/>
    </row>
    <row r="134" spans="1:36" x14ac:dyDescent="0.3">
      <c r="A134" s="63">
        <v>128</v>
      </c>
      <c r="B134" s="102" t="s">
        <v>3520</v>
      </c>
      <c r="C134" s="102" t="s">
        <v>3521</v>
      </c>
      <c r="D134" s="64" t="s">
        <v>119</v>
      </c>
      <c r="E134" s="106" t="s">
        <v>3524</v>
      </c>
      <c r="F134" s="107" t="s">
        <v>3621</v>
      </c>
      <c r="G134" s="108">
        <v>9</v>
      </c>
      <c r="H134" s="38" t="s">
        <v>3655</v>
      </c>
      <c r="I134" s="38"/>
      <c r="J134" s="38"/>
      <c r="K134" s="109" t="s">
        <v>3595</v>
      </c>
      <c r="L134" s="109"/>
      <c r="M134" s="109"/>
      <c r="N134" s="109"/>
      <c r="O134" s="109"/>
      <c r="P134" s="110">
        <v>4290</v>
      </c>
      <c r="Q134" s="111">
        <v>787</v>
      </c>
      <c r="R134" s="112"/>
      <c r="S134" s="113">
        <v>286</v>
      </c>
      <c r="T134" s="113"/>
      <c r="U134" s="38"/>
      <c r="V134" s="38"/>
      <c r="W134" s="38"/>
      <c r="X134" s="38"/>
      <c r="Y134" s="38"/>
      <c r="Z134" s="115"/>
      <c r="AA134" s="38"/>
      <c r="AB134" s="38"/>
      <c r="AC134" s="38"/>
      <c r="AD134" s="38"/>
      <c r="AE134" s="38"/>
      <c r="AF134" s="38"/>
      <c r="AG134" s="17"/>
      <c r="AH134" s="24"/>
      <c r="AI134" s="25"/>
      <c r="AJ134" s="25"/>
    </row>
    <row r="135" spans="1:36" x14ac:dyDescent="0.3">
      <c r="A135" s="63">
        <v>129</v>
      </c>
      <c r="B135" s="102" t="s">
        <v>3520</v>
      </c>
      <c r="C135" s="102" t="s">
        <v>3521</v>
      </c>
      <c r="D135" s="64" t="s">
        <v>119</v>
      </c>
      <c r="E135" s="106" t="s">
        <v>3524</v>
      </c>
      <c r="F135" s="107" t="s">
        <v>3621</v>
      </c>
      <c r="G135" s="108">
        <v>9</v>
      </c>
      <c r="H135" s="38" t="s">
        <v>3655</v>
      </c>
      <c r="I135" s="38"/>
      <c r="J135" s="38"/>
      <c r="K135" s="109" t="s">
        <v>3664</v>
      </c>
      <c r="L135" s="109"/>
      <c r="M135" s="109"/>
      <c r="N135" s="109"/>
      <c r="O135" s="109"/>
      <c r="P135" s="110">
        <v>2867</v>
      </c>
      <c r="Q135" s="111">
        <v>578</v>
      </c>
      <c r="R135" s="112"/>
      <c r="S135" s="113">
        <v>200</v>
      </c>
      <c r="T135" s="113"/>
      <c r="U135" s="38"/>
      <c r="V135" s="38"/>
      <c r="W135" s="38"/>
      <c r="X135" s="38"/>
      <c r="Y135" s="38"/>
      <c r="Z135" s="115"/>
      <c r="AA135" s="38"/>
      <c r="AB135" s="38"/>
      <c r="AC135" s="38"/>
      <c r="AD135" s="38"/>
      <c r="AE135" s="38"/>
      <c r="AF135" s="38"/>
      <c r="AG135" s="17"/>
      <c r="AH135" s="24"/>
      <c r="AI135" s="25"/>
      <c r="AJ135" s="25"/>
    </row>
    <row r="136" spans="1:36" x14ac:dyDescent="0.3">
      <c r="A136" s="63">
        <v>130</v>
      </c>
      <c r="B136" s="102" t="s">
        <v>3520</v>
      </c>
      <c r="C136" s="102" t="s">
        <v>3521</v>
      </c>
      <c r="D136" s="64" t="s">
        <v>119</v>
      </c>
      <c r="E136" s="106" t="s">
        <v>3524</v>
      </c>
      <c r="F136" s="107" t="s">
        <v>3621</v>
      </c>
      <c r="G136" s="108">
        <v>4</v>
      </c>
      <c r="H136" s="38" t="s">
        <v>3629</v>
      </c>
      <c r="I136" s="38"/>
      <c r="J136" s="38"/>
      <c r="K136" s="109" t="s">
        <v>3649</v>
      </c>
      <c r="L136" s="109"/>
      <c r="M136" s="109"/>
      <c r="N136" s="109"/>
      <c r="O136" s="109"/>
      <c r="P136" s="110">
        <v>324</v>
      </c>
      <c r="Q136" s="111">
        <v>102</v>
      </c>
      <c r="R136" s="112"/>
      <c r="S136" s="113"/>
      <c r="T136" s="113"/>
      <c r="U136" s="38"/>
      <c r="V136" s="38"/>
      <c r="W136" s="38"/>
      <c r="X136" s="38"/>
      <c r="Y136" s="38"/>
      <c r="Z136" s="115"/>
      <c r="AA136" s="38"/>
      <c r="AB136" s="38"/>
      <c r="AC136" s="38"/>
      <c r="AD136" s="38"/>
      <c r="AE136" s="38"/>
      <c r="AF136" s="38"/>
      <c r="AG136" s="17"/>
      <c r="AH136" s="24"/>
      <c r="AI136" s="25"/>
      <c r="AJ136" s="25"/>
    </row>
    <row r="137" spans="1:36" x14ac:dyDescent="0.3">
      <c r="A137" s="63">
        <v>131</v>
      </c>
      <c r="B137" s="102" t="s">
        <v>3520</v>
      </c>
      <c r="C137" s="102" t="s">
        <v>3521</v>
      </c>
      <c r="D137" s="64" t="s">
        <v>119</v>
      </c>
      <c r="E137" s="106" t="s">
        <v>3524</v>
      </c>
      <c r="F137" s="120" t="s">
        <v>3665</v>
      </c>
      <c r="G137" s="108">
        <v>1</v>
      </c>
      <c r="H137" s="38" t="s">
        <v>3666</v>
      </c>
      <c r="I137" s="38"/>
      <c r="J137" s="38"/>
      <c r="K137" s="109" t="s">
        <v>3667</v>
      </c>
      <c r="L137" s="109"/>
      <c r="M137" s="109"/>
      <c r="N137" s="109"/>
      <c r="O137" s="109"/>
      <c r="P137" s="108">
        <v>1675</v>
      </c>
      <c r="Q137" s="111">
        <v>325</v>
      </c>
      <c r="R137" s="112"/>
      <c r="S137" s="113">
        <v>600</v>
      </c>
      <c r="T137" s="113"/>
      <c r="U137" s="38"/>
      <c r="V137" s="38"/>
      <c r="W137" s="38"/>
      <c r="X137" s="38"/>
      <c r="Y137" s="38"/>
      <c r="Z137" s="115"/>
      <c r="AA137" s="38"/>
      <c r="AB137" s="38"/>
      <c r="AC137" s="38"/>
      <c r="AD137" s="38"/>
      <c r="AE137" s="38"/>
      <c r="AF137" s="38"/>
      <c r="AG137" s="17"/>
      <c r="AH137" s="24"/>
      <c r="AI137" s="25"/>
      <c r="AJ137" s="25"/>
    </row>
    <row r="138" spans="1:36" x14ac:dyDescent="0.3">
      <c r="A138" s="63">
        <v>132</v>
      </c>
      <c r="B138" s="102" t="s">
        <v>3520</v>
      </c>
      <c r="C138" s="102" t="s">
        <v>3521</v>
      </c>
      <c r="D138" s="64" t="s">
        <v>119</v>
      </c>
      <c r="E138" s="106" t="s">
        <v>3524</v>
      </c>
      <c r="F138" s="120" t="s">
        <v>3665</v>
      </c>
      <c r="G138" s="108">
        <v>1</v>
      </c>
      <c r="H138" s="38" t="s">
        <v>3666</v>
      </c>
      <c r="I138" s="38"/>
      <c r="J138" s="38"/>
      <c r="K138" s="109" t="s">
        <v>3668</v>
      </c>
      <c r="L138" s="109"/>
      <c r="M138" s="109"/>
      <c r="N138" s="109"/>
      <c r="O138" s="109"/>
      <c r="P138" s="108">
        <v>2612</v>
      </c>
      <c r="Q138" s="111">
        <v>553</v>
      </c>
      <c r="R138" s="112"/>
      <c r="S138" s="113"/>
      <c r="T138" s="113"/>
      <c r="U138" s="38"/>
      <c r="V138" s="38"/>
      <c r="W138" s="38"/>
      <c r="X138" s="38"/>
      <c r="Y138" s="38"/>
      <c r="Z138" s="115"/>
      <c r="AA138" s="38"/>
      <c r="AB138" s="38"/>
      <c r="AC138" s="38"/>
      <c r="AD138" s="38"/>
      <c r="AE138" s="38"/>
      <c r="AF138" s="38"/>
      <c r="AG138" s="17"/>
      <c r="AH138" s="24"/>
      <c r="AI138" s="25"/>
      <c r="AJ138" s="25"/>
    </row>
    <row r="139" spans="1:36" x14ac:dyDescent="0.3">
      <c r="A139" s="63">
        <v>133</v>
      </c>
      <c r="B139" s="102" t="s">
        <v>3520</v>
      </c>
      <c r="C139" s="102" t="s">
        <v>3521</v>
      </c>
      <c r="D139" s="64" t="s">
        <v>119</v>
      </c>
      <c r="E139" s="106" t="s">
        <v>3524</v>
      </c>
      <c r="F139" s="120" t="s">
        <v>3665</v>
      </c>
      <c r="G139" s="108">
        <v>1</v>
      </c>
      <c r="H139" s="38" t="s">
        <v>3666</v>
      </c>
      <c r="I139" s="38"/>
      <c r="J139" s="38"/>
      <c r="K139" s="109" t="s">
        <v>3541</v>
      </c>
      <c r="L139" s="109"/>
      <c r="M139" s="109"/>
      <c r="N139" s="109"/>
      <c r="O139" s="109"/>
      <c r="P139" s="108">
        <v>2384</v>
      </c>
      <c r="Q139" s="108">
        <v>455</v>
      </c>
      <c r="R139" s="112"/>
      <c r="S139" s="113">
        <f>9+57</f>
        <v>66</v>
      </c>
      <c r="T139" s="113"/>
      <c r="U139" s="38"/>
      <c r="V139" s="38"/>
      <c r="W139" s="38"/>
      <c r="X139" s="38"/>
      <c r="Y139" s="38"/>
      <c r="Z139" s="115"/>
      <c r="AA139" s="38"/>
      <c r="AB139" s="38"/>
      <c r="AC139" s="38"/>
      <c r="AD139" s="38"/>
      <c r="AE139" s="38"/>
      <c r="AF139" s="38"/>
      <c r="AG139" s="17"/>
      <c r="AH139" s="24"/>
      <c r="AI139" s="25"/>
      <c r="AJ139" s="25"/>
    </row>
    <row r="140" spans="1:36" x14ac:dyDescent="0.3">
      <c r="A140" s="63">
        <v>134</v>
      </c>
      <c r="B140" s="102" t="s">
        <v>3520</v>
      </c>
      <c r="C140" s="102" t="s">
        <v>3521</v>
      </c>
      <c r="D140" s="64" t="s">
        <v>119</v>
      </c>
      <c r="E140" s="106" t="s">
        <v>3524</v>
      </c>
      <c r="F140" s="120" t="s">
        <v>3665</v>
      </c>
      <c r="G140" s="108">
        <v>1</v>
      </c>
      <c r="H140" s="38" t="s">
        <v>3666</v>
      </c>
      <c r="I140" s="38"/>
      <c r="J140" s="38"/>
      <c r="K140" s="109" t="s">
        <v>3669</v>
      </c>
      <c r="L140" s="109"/>
      <c r="M140" s="109"/>
      <c r="N140" s="109"/>
      <c r="O140" s="109"/>
      <c r="P140" s="108">
        <v>1638</v>
      </c>
      <c r="Q140" s="108">
        <v>323</v>
      </c>
      <c r="R140" s="112"/>
      <c r="S140" s="113">
        <f>57+1034</f>
        <v>1091</v>
      </c>
      <c r="T140" s="113"/>
      <c r="U140" s="38"/>
      <c r="V140" s="38"/>
      <c r="W140" s="38"/>
      <c r="X140" s="38"/>
      <c r="Y140" s="38"/>
      <c r="Z140" s="115"/>
      <c r="AA140" s="38"/>
      <c r="AB140" s="38"/>
      <c r="AC140" s="38"/>
      <c r="AD140" s="38"/>
      <c r="AE140" s="38"/>
      <c r="AF140" s="38"/>
      <c r="AG140" s="17"/>
      <c r="AH140" s="24"/>
      <c r="AI140" s="25"/>
      <c r="AJ140" s="25"/>
    </row>
    <row r="141" spans="1:36" x14ac:dyDescent="0.3">
      <c r="A141" s="63">
        <v>135</v>
      </c>
      <c r="B141" s="102" t="s">
        <v>3520</v>
      </c>
      <c r="C141" s="102" t="s">
        <v>3521</v>
      </c>
      <c r="D141" s="64" t="s">
        <v>119</v>
      </c>
      <c r="E141" s="106" t="s">
        <v>3524</v>
      </c>
      <c r="F141" s="120" t="s">
        <v>3665</v>
      </c>
      <c r="G141" s="108">
        <v>1</v>
      </c>
      <c r="H141" s="38" t="s">
        <v>3666</v>
      </c>
      <c r="I141" s="38"/>
      <c r="J141" s="38"/>
      <c r="K141" s="109" t="s">
        <v>3670</v>
      </c>
      <c r="L141" s="109"/>
      <c r="M141" s="109"/>
      <c r="N141" s="109"/>
      <c r="O141" s="109"/>
      <c r="P141" s="108">
        <v>2390</v>
      </c>
      <c r="Q141" s="108">
        <v>493</v>
      </c>
      <c r="R141" s="112"/>
      <c r="S141" s="113">
        <v>51</v>
      </c>
      <c r="T141" s="117"/>
      <c r="U141" s="38"/>
      <c r="V141" s="38"/>
      <c r="W141" s="38"/>
      <c r="X141" s="38"/>
      <c r="Y141" s="38"/>
      <c r="Z141" s="115"/>
      <c r="AA141" s="38"/>
      <c r="AB141" s="38"/>
      <c r="AC141" s="38"/>
      <c r="AD141" s="38"/>
      <c r="AE141" s="38"/>
      <c r="AF141" s="38"/>
      <c r="AG141" s="17"/>
      <c r="AH141" s="24"/>
      <c r="AI141" s="25"/>
      <c r="AJ141" s="25"/>
    </row>
    <row r="142" spans="1:36" x14ac:dyDescent="0.3">
      <c r="A142" s="63">
        <v>136</v>
      </c>
      <c r="B142" s="102" t="s">
        <v>3520</v>
      </c>
      <c r="C142" s="102" t="s">
        <v>3521</v>
      </c>
      <c r="D142" s="64" t="s">
        <v>119</v>
      </c>
      <c r="E142" s="106" t="s">
        <v>3524</v>
      </c>
      <c r="F142" s="120" t="s">
        <v>3665</v>
      </c>
      <c r="G142" s="108">
        <v>2</v>
      </c>
      <c r="H142" s="38" t="s">
        <v>3671</v>
      </c>
      <c r="I142" s="38"/>
      <c r="J142" s="38"/>
      <c r="K142" s="109" t="s">
        <v>3672</v>
      </c>
      <c r="L142" s="109"/>
      <c r="M142" s="109"/>
      <c r="N142" s="109"/>
      <c r="O142" s="109"/>
      <c r="P142" s="108">
        <v>2765</v>
      </c>
      <c r="Q142" s="108">
        <v>503</v>
      </c>
      <c r="R142" s="112"/>
      <c r="S142" s="113">
        <f>76+1467</f>
        <v>1543</v>
      </c>
      <c r="T142" s="113"/>
      <c r="U142" s="38"/>
      <c r="V142" s="38"/>
      <c r="W142" s="38"/>
      <c r="X142" s="38"/>
      <c r="Y142" s="38"/>
      <c r="Z142" s="115"/>
      <c r="AA142" s="38"/>
      <c r="AB142" s="38"/>
      <c r="AC142" s="38"/>
      <c r="AD142" s="38"/>
      <c r="AE142" s="38"/>
      <c r="AF142" s="38"/>
      <c r="AG142" s="17"/>
      <c r="AH142" s="24"/>
      <c r="AI142" s="25"/>
      <c r="AJ142" s="25"/>
    </row>
    <row r="143" spans="1:36" x14ac:dyDescent="0.3">
      <c r="A143" s="63">
        <v>137</v>
      </c>
      <c r="B143" s="102" t="s">
        <v>3520</v>
      </c>
      <c r="C143" s="102" t="s">
        <v>3521</v>
      </c>
      <c r="D143" s="64" t="s">
        <v>119</v>
      </c>
      <c r="E143" s="106" t="s">
        <v>3524</v>
      </c>
      <c r="F143" s="120" t="s">
        <v>3665</v>
      </c>
      <c r="G143" s="108">
        <v>3</v>
      </c>
      <c r="H143" s="38" t="s">
        <v>3673</v>
      </c>
      <c r="I143" s="38"/>
      <c r="J143" s="38"/>
      <c r="K143" s="109" t="s">
        <v>3674</v>
      </c>
      <c r="L143" s="109"/>
      <c r="M143" s="109"/>
      <c r="N143" s="109"/>
      <c r="O143" s="109"/>
      <c r="P143" s="108">
        <v>4474</v>
      </c>
      <c r="Q143" s="108">
        <v>821</v>
      </c>
      <c r="R143" s="112"/>
      <c r="S143" s="113">
        <f>232+1346</f>
        <v>1578</v>
      </c>
      <c r="T143" s="113"/>
      <c r="U143" s="38"/>
      <c r="V143" s="38"/>
      <c r="W143" s="38"/>
      <c r="X143" s="38"/>
      <c r="Y143" s="38"/>
      <c r="Z143" s="115"/>
      <c r="AA143" s="38"/>
      <c r="AB143" s="38"/>
      <c r="AC143" s="38"/>
      <c r="AD143" s="38"/>
      <c r="AE143" s="38"/>
      <c r="AF143" s="38"/>
      <c r="AG143" s="17"/>
      <c r="AH143" s="24"/>
      <c r="AI143" s="25"/>
      <c r="AJ143" s="25"/>
    </row>
    <row r="144" spans="1:36" x14ac:dyDescent="0.3">
      <c r="A144" s="63">
        <v>138</v>
      </c>
      <c r="B144" s="102" t="s">
        <v>3520</v>
      </c>
      <c r="C144" s="102" t="s">
        <v>3521</v>
      </c>
      <c r="D144" s="64" t="s">
        <v>119</v>
      </c>
      <c r="E144" s="106" t="s">
        <v>3524</v>
      </c>
      <c r="F144" s="120" t="s">
        <v>3665</v>
      </c>
      <c r="G144" s="108">
        <v>4</v>
      </c>
      <c r="H144" s="38" t="s">
        <v>3673</v>
      </c>
      <c r="I144" s="38"/>
      <c r="J144" s="38"/>
      <c r="K144" s="109" t="s">
        <v>1191</v>
      </c>
      <c r="L144" s="109"/>
      <c r="M144" s="109"/>
      <c r="N144" s="109"/>
      <c r="O144" s="109"/>
      <c r="P144" s="108">
        <v>3868</v>
      </c>
      <c r="Q144" s="108">
        <v>750</v>
      </c>
      <c r="R144" s="112"/>
      <c r="S144" s="113">
        <v>215</v>
      </c>
      <c r="T144" s="113"/>
      <c r="U144" s="38"/>
      <c r="V144" s="38"/>
      <c r="W144" s="38"/>
      <c r="X144" s="38"/>
      <c r="Y144" s="38"/>
      <c r="Z144" s="115"/>
      <c r="AA144" s="38"/>
      <c r="AB144" s="38"/>
      <c r="AC144" s="38"/>
      <c r="AD144" s="38"/>
      <c r="AE144" s="38"/>
      <c r="AF144" s="38"/>
      <c r="AG144" s="17"/>
      <c r="AH144" s="24"/>
      <c r="AI144" s="25"/>
      <c r="AJ144" s="25"/>
    </row>
    <row r="145" spans="1:36" x14ac:dyDescent="0.3">
      <c r="A145" s="63">
        <v>139</v>
      </c>
      <c r="B145" s="102" t="s">
        <v>3520</v>
      </c>
      <c r="C145" s="102" t="s">
        <v>3521</v>
      </c>
      <c r="D145" s="64" t="s">
        <v>119</v>
      </c>
      <c r="E145" s="106" t="s">
        <v>3524</v>
      </c>
      <c r="F145" s="120" t="s">
        <v>3665</v>
      </c>
      <c r="G145" s="108">
        <v>5</v>
      </c>
      <c r="H145" s="38" t="s">
        <v>3675</v>
      </c>
      <c r="I145" s="38"/>
      <c r="J145" s="38"/>
      <c r="K145" s="109" t="s">
        <v>3610</v>
      </c>
      <c r="L145" s="109"/>
      <c r="M145" s="109"/>
      <c r="N145" s="109"/>
      <c r="O145" s="109"/>
      <c r="P145" s="108">
        <v>1568</v>
      </c>
      <c r="Q145" s="108">
        <v>350</v>
      </c>
      <c r="R145" s="112"/>
      <c r="S145" s="113">
        <v>94</v>
      </c>
      <c r="T145" s="113"/>
      <c r="U145" s="38"/>
      <c r="V145" s="38"/>
      <c r="W145" s="38"/>
      <c r="X145" s="38"/>
      <c r="Y145" s="38"/>
      <c r="Z145" s="115"/>
      <c r="AA145" s="38"/>
      <c r="AB145" s="38"/>
      <c r="AC145" s="38"/>
      <c r="AD145" s="38"/>
      <c r="AE145" s="38"/>
      <c r="AF145" s="38"/>
      <c r="AG145" s="17"/>
      <c r="AH145" s="24"/>
      <c r="AI145" s="25"/>
      <c r="AJ145" s="25"/>
    </row>
    <row r="146" spans="1:36" x14ac:dyDescent="0.3">
      <c r="A146" s="63">
        <v>140</v>
      </c>
      <c r="B146" s="102" t="s">
        <v>3520</v>
      </c>
      <c r="C146" s="102" t="s">
        <v>3521</v>
      </c>
      <c r="D146" s="64" t="s">
        <v>119</v>
      </c>
      <c r="E146" s="106" t="s">
        <v>3524</v>
      </c>
      <c r="F146" s="120" t="s">
        <v>3665</v>
      </c>
      <c r="G146" s="108">
        <v>5</v>
      </c>
      <c r="H146" s="38" t="s">
        <v>3675</v>
      </c>
      <c r="I146" s="38"/>
      <c r="J146" s="38"/>
      <c r="K146" s="109" t="s">
        <v>3676</v>
      </c>
      <c r="L146" s="109"/>
      <c r="M146" s="109"/>
      <c r="N146" s="109"/>
      <c r="O146" s="109"/>
      <c r="P146" s="108">
        <v>1096</v>
      </c>
      <c r="Q146" s="108">
        <v>219</v>
      </c>
      <c r="R146" s="112"/>
      <c r="S146" s="113"/>
      <c r="T146" s="113"/>
      <c r="U146" s="38"/>
      <c r="V146" s="38"/>
      <c r="W146" s="38"/>
      <c r="X146" s="38"/>
      <c r="Y146" s="38"/>
      <c r="Z146" s="115"/>
      <c r="AA146" s="38"/>
      <c r="AB146" s="38"/>
      <c r="AC146" s="38"/>
      <c r="AD146" s="38"/>
      <c r="AE146" s="38"/>
      <c r="AF146" s="38"/>
      <c r="AG146" s="17"/>
      <c r="AH146" s="24"/>
      <c r="AI146" s="25"/>
      <c r="AJ146" s="25"/>
    </row>
    <row r="147" spans="1:36" x14ac:dyDescent="0.3">
      <c r="A147" s="63">
        <v>141</v>
      </c>
      <c r="B147" s="102" t="s">
        <v>3520</v>
      </c>
      <c r="C147" s="102" t="s">
        <v>3521</v>
      </c>
      <c r="D147" s="64" t="s">
        <v>119</v>
      </c>
      <c r="E147" s="106" t="s">
        <v>3524</v>
      </c>
      <c r="F147" s="120" t="s">
        <v>3665</v>
      </c>
      <c r="G147" s="108">
        <v>6</v>
      </c>
      <c r="H147" s="38" t="s">
        <v>3675</v>
      </c>
      <c r="I147" s="38"/>
      <c r="J147" s="38"/>
      <c r="K147" s="109" t="s">
        <v>3677</v>
      </c>
      <c r="L147" s="109"/>
      <c r="M147" s="109"/>
      <c r="N147" s="109"/>
      <c r="O147" s="109"/>
      <c r="P147" s="108">
        <v>2074</v>
      </c>
      <c r="Q147" s="108">
        <v>445</v>
      </c>
      <c r="R147" s="112"/>
      <c r="S147" s="113"/>
      <c r="T147" s="113"/>
      <c r="U147" s="38"/>
      <c r="V147" s="38"/>
      <c r="W147" s="38"/>
      <c r="X147" s="38"/>
      <c r="Y147" s="38"/>
      <c r="Z147" s="115"/>
      <c r="AA147" s="38"/>
      <c r="AB147" s="38"/>
      <c r="AC147" s="38"/>
      <c r="AD147" s="38"/>
      <c r="AE147" s="38"/>
      <c r="AF147" s="38"/>
      <c r="AG147" s="17"/>
      <c r="AH147" s="24"/>
      <c r="AI147" s="25"/>
      <c r="AJ147" s="25"/>
    </row>
    <row r="148" spans="1:36" x14ac:dyDescent="0.3">
      <c r="A148" s="63">
        <v>142</v>
      </c>
      <c r="B148" s="102" t="s">
        <v>3520</v>
      </c>
      <c r="C148" s="102" t="s">
        <v>3521</v>
      </c>
      <c r="D148" s="64" t="s">
        <v>119</v>
      </c>
      <c r="E148" s="106" t="s">
        <v>3524</v>
      </c>
      <c r="F148" s="120" t="s">
        <v>3665</v>
      </c>
      <c r="G148" s="108">
        <v>7</v>
      </c>
      <c r="H148" s="38" t="s">
        <v>3678</v>
      </c>
      <c r="I148" s="38"/>
      <c r="J148" s="38"/>
      <c r="K148" s="109" t="s">
        <v>3679</v>
      </c>
      <c r="L148" s="109"/>
      <c r="M148" s="109"/>
      <c r="N148" s="109"/>
      <c r="O148" s="109"/>
      <c r="P148" s="108">
        <v>2741</v>
      </c>
      <c r="Q148" s="111">
        <v>492</v>
      </c>
      <c r="R148" s="112"/>
      <c r="S148" s="113">
        <v>181</v>
      </c>
      <c r="T148" s="113"/>
      <c r="U148" s="38"/>
      <c r="V148" s="38"/>
      <c r="W148" s="38"/>
      <c r="X148" s="38"/>
      <c r="Y148" s="38"/>
      <c r="Z148" s="115"/>
      <c r="AA148" s="38"/>
      <c r="AB148" s="38"/>
      <c r="AC148" s="38"/>
      <c r="AD148" s="38"/>
      <c r="AE148" s="38"/>
      <c r="AF148" s="38"/>
      <c r="AG148" s="17"/>
      <c r="AH148" s="24"/>
      <c r="AI148" s="25"/>
      <c r="AJ148" s="25"/>
    </row>
    <row r="149" spans="1:36" x14ac:dyDescent="0.3">
      <c r="A149" s="63">
        <v>143</v>
      </c>
      <c r="B149" s="102" t="s">
        <v>3520</v>
      </c>
      <c r="C149" s="102" t="s">
        <v>3521</v>
      </c>
      <c r="D149" s="64" t="s">
        <v>119</v>
      </c>
      <c r="E149" s="106" t="s">
        <v>3524</v>
      </c>
      <c r="F149" s="120" t="s">
        <v>3665</v>
      </c>
      <c r="G149" s="108">
        <v>8</v>
      </c>
      <c r="H149" s="38" t="s">
        <v>3678</v>
      </c>
      <c r="I149" s="38"/>
      <c r="J149" s="38"/>
      <c r="K149" s="109" t="s">
        <v>3679</v>
      </c>
      <c r="L149" s="109"/>
      <c r="M149" s="109"/>
      <c r="N149" s="109"/>
      <c r="O149" s="109"/>
      <c r="P149" s="108">
        <v>2623</v>
      </c>
      <c r="Q149" s="111">
        <v>491</v>
      </c>
      <c r="R149" s="112"/>
      <c r="S149" s="113">
        <v>190</v>
      </c>
      <c r="T149" s="113"/>
      <c r="U149" s="38"/>
      <c r="V149" s="38"/>
      <c r="W149" s="38"/>
      <c r="X149" s="38"/>
      <c r="Y149" s="38"/>
      <c r="Z149" s="115"/>
      <c r="AA149" s="38"/>
      <c r="AB149" s="38"/>
      <c r="AC149" s="38"/>
      <c r="AD149" s="38"/>
      <c r="AE149" s="38"/>
      <c r="AF149" s="38"/>
      <c r="AG149" s="17"/>
      <c r="AH149" s="24"/>
      <c r="AI149" s="25"/>
      <c r="AJ149" s="25"/>
    </row>
    <row r="150" spans="1:36" x14ac:dyDescent="0.3">
      <c r="A150" s="63">
        <v>144</v>
      </c>
      <c r="B150" s="102" t="s">
        <v>3520</v>
      </c>
      <c r="C150" s="102" t="s">
        <v>3521</v>
      </c>
      <c r="D150" s="64" t="s">
        <v>119</v>
      </c>
      <c r="E150" s="106" t="s">
        <v>3524</v>
      </c>
      <c r="F150" s="120" t="s">
        <v>3665</v>
      </c>
      <c r="G150" s="108">
        <v>9</v>
      </c>
      <c r="H150" s="38" t="s">
        <v>3680</v>
      </c>
      <c r="I150" s="38"/>
      <c r="J150" s="38"/>
      <c r="K150" s="109" t="s">
        <v>3681</v>
      </c>
      <c r="L150" s="109"/>
      <c r="M150" s="109"/>
      <c r="N150" s="109"/>
      <c r="O150" s="109"/>
      <c r="P150" s="108">
        <v>1270</v>
      </c>
      <c r="Q150" s="111">
        <v>238</v>
      </c>
      <c r="R150" s="112"/>
      <c r="S150" s="113">
        <v>142</v>
      </c>
      <c r="T150" s="113"/>
      <c r="U150" s="38"/>
      <c r="V150" s="38"/>
      <c r="W150" s="38"/>
      <c r="X150" s="38"/>
      <c r="Y150" s="38"/>
      <c r="Z150" s="115"/>
      <c r="AA150" s="38"/>
      <c r="AB150" s="38"/>
      <c r="AC150" s="38"/>
      <c r="AD150" s="38"/>
      <c r="AE150" s="38"/>
      <c r="AF150" s="38"/>
      <c r="AG150" s="17"/>
      <c r="AH150" s="24"/>
      <c r="AI150" s="25"/>
      <c r="AJ150" s="25"/>
    </row>
    <row r="151" spans="1:36" x14ac:dyDescent="0.3">
      <c r="A151" s="63">
        <v>145</v>
      </c>
      <c r="B151" s="102" t="s">
        <v>3520</v>
      </c>
      <c r="C151" s="102" t="s">
        <v>3521</v>
      </c>
      <c r="D151" s="64" t="s">
        <v>119</v>
      </c>
      <c r="E151" s="106" t="s">
        <v>3524</v>
      </c>
      <c r="F151" s="120" t="s">
        <v>3665</v>
      </c>
      <c r="G151" s="108">
        <v>9</v>
      </c>
      <c r="H151" s="38" t="s">
        <v>3680</v>
      </c>
      <c r="I151" s="38"/>
      <c r="J151" s="38"/>
      <c r="K151" s="109" t="s">
        <v>2511</v>
      </c>
      <c r="L151" s="109"/>
      <c r="M151" s="109"/>
      <c r="N151" s="109"/>
      <c r="O151" s="109"/>
      <c r="P151" s="108">
        <v>3494</v>
      </c>
      <c r="Q151" s="108">
        <v>721</v>
      </c>
      <c r="R151" s="112"/>
      <c r="S151" s="113"/>
      <c r="T151" s="113"/>
      <c r="U151" s="38"/>
      <c r="V151" s="38"/>
      <c r="W151" s="38"/>
      <c r="X151" s="38"/>
      <c r="Y151" s="38"/>
      <c r="Z151" s="115"/>
      <c r="AA151" s="38"/>
      <c r="AB151" s="38"/>
      <c r="AC151" s="38"/>
      <c r="AD151" s="38"/>
      <c r="AE151" s="38"/>
      <c r="AF151" s="38"/>
      <c r="AG151" s="17"/>
      <c r="AH151" s="24"/>
      <c r="AI151" s="25"/>
      <c r="AJ151" s="25"/>
    </row>
    <row r="152" spans="1:36" x14ac:dyDescent="0.3">
      <c r="A152" s="63">
        <v>146</v>
      </c>
      <c r="B152" s="102" t="s">
        <v>3520</v>
      </c>
      <c r="C152" s="102" t="s">
        <v>3521</v>
      </c>
      <c r="D152" s="64" t="s">
        <v>119</v>
      </c>
      <c r="E152" s="106" t="s">
        <v>3524</v>
      </c>
      <c r="F152" s="120" t="s">
        <v>3682</v>
      </c>
      <c r="G152" s="108">
        <v>1</v>
      </c>
      <c r="H152" s="38" t="s">
        <v>3683</v>
      </c>
      <c r="I152" s="38"/>
      <c r="J152" s="38"/>
      <c r="K152" s="109" t="s">
        <v>3684</v>
      </c>
      <c r="L152" s="109"/>
      <c r="M152" s="109"/>
      <c r="N152" s="109"/>
      <c r="O152" s="109"/>
      <c r="P152" s="108">
        <v>2016</v>
      </c>
      <c r="Q152" s="121">
        <v>404</v>
      </c>
      <c r="R152" s="112"/>
      <c r="S152" s="113">
        <v>178</v>
      </c>
      <c r="T152" s="113"/>
      <c r="U152" s="38"/>
      <c r="V152" s="38"/>
      <c r="W152" s="38"/>
      <c r="X152" s="38"/>
      <c r="Y152" s="38"/>
      <c r="Z152" s="115"/>
      <c r="AA152" s="38"/>
      <c r="AB152" s="38"/>
      <c r="AC152" s="38"/>
      <c r="AD152" s="38"/>
      <c r="AE152" s="38"/>
      <c r="AF152" s="38"/>
      <c r="AG152" s="17"/>
      <c r="AH152" s="24"/>
      <c r="AI152" s="25"/>
      <c r="AJ152" s="25"/>
    </row>
    <row r="153" spans="1:36" x14ac:dyDescent="0.3">
      <c r="A153" s="63">
        <v>147</v>
      </c>
      <c r="B153" s="102" t="s">
        <v>3520</v>
      </c>
      <c r="C153" s="102" t="s">
        <v>3521</v>
      </c>
      <c r="D153" s="64" t="s">
        <v>119</v>
      </c>
      <c r="E153" s="106" t="s">
        <v>3524</v>
      </c>
      <c r="F153" s="120" t="s">
        <v>3682</v>
      </c>
      <c r="G153" s="108">
        <v>1</v>
      </c>
      <c r="H153" s="38" t="s">
        <v>3683</v>
      </c>
      <c r="I153" s="38"/>
      <c r="J153" s="38"/>
      <c r="K153" s="109" t="s">
        <v>3685</v>
      </c>
      <c r="L153" s="109"/>
      <c r="M153" s="109"/>
      <c r="N153" s="109"/>
      <c r="O153" s="109"/>
      <c r="P153" s="108">
        <v>1392</v>
      </c>
      <c r="Q153" s="108">
        <v>258</v>
      </c>
      <c r="R153" s="112"/>
      <c r="S153" s="113">
        <v>160</v>
      </c>
      <c r="T153" s="113"/>
      <c r="U153" s="38"/>
      <c r="V153" s="38"/>
      <c r="W153" s="38"/>
      <c r="X153" s="38"/>
      <c r="Y153" s="38"/>
      <c r="Z153" s="115"/>
      <c r="AA153" s="38"/>
      <c r="AB153" s="38"/>
      <c r="AC153" s="38"/>
      <c r="AD153" s="38"/>
      <c r="AE153" s="38"/>
      <c r="AF153" s="38"/>
      <c r="AG153" s="17"/>
      <c r="AH153" s="24"/>
      <c r="AI153" s="25"/>
      <c r="AJ153" s="25"/>
    </row>
    <row r="154" spans="1:36" x14ac:dyDescent="0.3">
      <c r="A154" s="63">
        <v>148</v>
      </c>
      <c r="B154" s="102" t="s">
        <v>3520</v>
      </c>
      <c r="C154" s="102" t="s">
        <v>3521</v>
      </c>
      <c r="D154" s="64" t="s">
        <v>119</v>
      </c>
      <c r="E154" s="106" t="s">
        <v>3524</v>
      </c>
      <c r="F154" s="120" t="s">
        <v>3682</v>
      </c>
      <c r="G154" s="108">
        <v>2</v>
      </c>
      <c r="H154" s="38" t="s">
        <v>3683</v>
      </c>
      <c r="I154" s="38"/>
      <c r="J154" s="38"/>
      <c r="K154" s="109" t="s">
        <v>3686</v>
      </c>
      <c r="L154" s="109"/>
      <c r="M154" s="109"/>
      <c r="N154" s="109"/>
      <c r="O154" s="109"/>
      <c r="P154" s="108">
        <v>1448</v>
      </c>
      <c r="Q154" s="108">
        <v>279</v>
      </c>
      <c r="R154" s="112"/>
      <c r="S154" s="113">
        <v>113</v>
      </c>
      <c r="T154" s="113"/>
      <c r="U154" s="38"/>
      <c r="V154" s="38"/>
      <c r="W154" s="38"/>
      <c r="X154" s="38"/>
      <c r="Y154" s="38"/>
      <c r="Z154" s="115"/>
      <c r="AA154" s="38"/>
      <c r="AB154" s="38"/>
      <c r="AC154" s="38"/>
      <c r="AD154" s="38"/>
      <c r="AE154" s="38"/>
      <c r="AF154" s="38"/>
      <c r="AG154" s="17"/>
      <c r="AH154" s="24"/>
      <c r="AI154" s="25"/>
      <c r="AJ154" s="25"/>
    </row>
    <row r="155" spans="1:36" x14ac:dyDescent="0.3">
      <c r="A155" s="63">
        <v>149</v>
      </c>
      <c r="B155" s="102" t="s">
        <v>3520</v>
      </c>
      <c r="C155" s="102" t="s">
        <v>3521</v>
      </c>
      <c r="D155" s="64" t="s">
        <v>119</v>
      </c>
      <c r="E155" s="106" t="s">
        <v>3524</v>
      </c>
      <c r="F155" s="120" t="s">
        <v>3682</v>
      </c>
      <c r="G155" s="108">
        <v>3</v>
      </c>
      <c r="H155" s="38" t="s">
        <v>3687</v>
      </c>
      <c r="I155" s="38"/>
      <c r="J155" s="38"/>
      <c r="K155" s="109" t="s">
        <v>3688</v>
      </c>
      <c r="L155" s="109"/>
      <c r="M155" s="109"/>
      <c r="N155" s="109"/>
      <c r="O155" s="109"/>
      <c r="P155" s="108">
        <v>1381</v>
      </c>
      <c r="Q155" s="121">
        <v>276</v>
      </c>
      <c r="R155" s="112"/>
      <c r="S155" s="113">
        <v>137</v>
      </c>
      <c r="T155" s="113"/>
      <c r="U155" s="38"/>
      <c r="V155" s="38"/>
      <c r="W155" s="38"/>
      <c r="X155" s="38"/>
      <c r="Y155" s="38"/>
      <c r="Z155" s="115"/>
      <c r="AA155" s="38"/>
      <c r="AB155" s="38"/>
      <c r="AC155" s="38"/>
      <c r="AD155" s="38"/>
      <c r="AE155" s="38"/>
      <c r="AF155" s="38"/>
      <c r="AG155" s="17"/>
      <c r="AH155" s="24"/>
      <c r="AI155" s="25"/>
      <c r="AJ155" s="25"/>
    </row>
    <row r="156" spans="1:36" x14ac:dyDescent="0.3">
      <c r="A156" s="63">
        <v>150</v>
      </c>
      <c r="B156" s="102" t="s">
        <v>3520</v>
      </c>
      <c r="C156" s="102" t="s">
        <v>3521</v>
      </c>
      <c r="D156" s="64" t="s">
        <v>119</v>
      </c>
      <c r="E156" s="106" t="s">
        <v>3524</v>
      </c>
      <c r="F156" s="120" t="s">
        <v>3682</v>
      </c>
      <c r="G156" s="119">
        <v>4</v>
      </c>
      <c r="H156" s="38" t="s">
        <v>3687</v>
      </c>
      <c r="I156" s="38"/>
      <c r="J156" s="38"/>
      <c r="K156" s="109" t="s">
        <v>3689</v>
      </c>
      <c r="L156" s="109"/>
      <c r="M156" s="109"/>
      <c r="N156" s="109"/>
      <c r="O156" s="109"/>
      <c r="P156" s="108">
        <v>1497</v>
      </c>
      <c r="Q156" s="121">
        <v>319</v>
      </c>
      <c r="R156" s="112"/>
      <c r="S156" s="113">
        <v>115</v>
      </c>
      <c r="T156" s="113"/>
      <c r="U156" s="38"/>
      <c r="V156" s="38"/>
      <c r="W156" s="38"/>
      <c r="X156" s="38"/>
      <c r="Y156" s="38"/>
      <c r="Z156" s="115"/>
      <c r="AA156" s="38"/>
      <c r="AB156" s="38"/>
      <c r="AC156" s="38"/>
      <c r="AD156" s="38"/>
      <c r="AE156" s="38"/>
      <c r="AF156" s="38"/>
      <c r="AG156" s="17"/>
      <c r="AH156" s="24"/>
      <c r="AI156" s="25"/>
      <c r="AJ156" s="25"/>
    </row>
    <row r="157" spans="1:36" x14ac:dyDescent="0.3">
      <c r="A157" s="63">
        <v>151</v>
      </c>
      <c r="B157" s="102" t="s">
        <v>3520</v>
      </c>
      <c r="C157" s="102" t="s">
        <v>3521</v>
      </c>
      <c r="D157" s="64" t="s">
        <v>119</v>
      </c>
      <c r="E157" s="106" t="s">
        <v>3524</v>
      </c>
      <c r="F157" s="120" t="s">
        <v>3682</v>
      </c>
      <c r="G157" s="119">
        <v>5</v>
      </c>
      <c r="H157" s="38" t="s">
        <v>3687</v>
      </c>
      <c r="I157" s="38"/>
      <c r="J157" s="38"/>
      <c r="K157" s="109" t="s">
        <v>3690</v>
      </c>
      <c r="L157" s="109"/>
      <c r="M157" s="109"/>
      <c r="N157" s="109"/>
      <c r="O157" s="109"/>
      <c r="P157" s="108">
        <v>1577</v>
      </c>
      <c r="Q157" s="121">
        <v>341</v>
      </c>
      <c r="R157" s="112"/>
      <c r="S157" s="113">
        <v>31</v>
      </c>
      <c r="T157" s="113"/>
      <c r="U157" s="38"/>
      <c r="V157" s="38"/>
      <c r="W157" s="38"/>
      <c r="X157" s="38"/>
      <c r="Y157" s="38"/>
      <c r="Z157" s="115"/>
      <c r="AA157" s="38"/>
      <c r="AB157" s="38"/>
      <c r="AC157" s="38"/>
      <c r="AD157" s="38"/>
      <c r="AE157" s="38"/>
      <c r="AF157" s="38"/>
      <c r="AG157" s="17"/>
      <c r="AH157" s="24"/>
      <c r="AI157" s="25"/>
      <c r="AJ157" s="25"/>
    </row>
    <row r="158" spans="1:36" x14ac:dyDescent="0.3">
      <c r="A158" s="63">
        <v>152</v>
      </c>
      <c r="B158" s="102" t="s">
        <v>3520</v>
      </c>
      <c r="C158" s="102" t="s">
        <v>3521</v>
      </c>
      <c r="D158" s="64" t="s">
        <v>119</v>
      </c>
      <c r="E158" s="106" t="s">
        <v>3524</v>
      </c>
      <c r="F158" s="120" t="s">
        <v>3682</v>
      </c>
      <c r="G158" s="119">
        <v>6</v>
      </c>
      <c r="H158" s="38" t="s">
        <v>3691</v>
      </c>
      <c r="I158" s="38"/>
      <c r="J158" s="38"/>
      <c r="K158" s="109" t="s">
        <v>3584</v>
      </c>
      <c r="L158" s="109"/>
      <c r="M158" s="109"/>
      <c r="N158" s="109"/>
      <c r="O158" s="109"/>
      <c r="P158" s="108">
        <v>1606</v>
      </c>
      <c r="Q158" s="121">
        <v>321</v>
      </c>
      <c r="R158" s="112"/>
      <c r="S158" s="113">
        <f>19+687</f>
        <v>706</v>
      </c>
      <c r="T158" s="113"/>
      <c r="U158" s="38"/>
      <c r="V158" s="38"/>
      <c r="W158" s="38"/>
      <c r="X158" s="38"/>
      <c r="Y158" s="38"/>
      <c r="Z158" s="115"/>
      <c r="AA158" s="38"/>
      <c r="AB158" s="38"/>
      <c r="AC158" s="38"/>
      <c r="AD158" s="38"/>
      <c r="AE158" s="38"/>
      <c r="AF158" s="38"/>
      <c r="AG158" s="17"/>
      <c r="AH158" s="24"/>
      <c r="AI158" s="25"/>
      <c r="AJ158" s="25"/>
    </row>
    <row r="159" spans="1:36" x14ac:dyDescent="0.3">
      <c r="A159" s="63">
        <v>153</v>
      </c>
      <c r="B159" s="102" t="s">
        <v>3520</v>
      </c>
      <c r="C159" s="102" t="s">
        <v>3521</v>
      </c>
      <c r="D159" s="64" t="s">
        <v>119</v>
      </c>
      <c r="E159" s="106" t="s">
        <v>3524</v>
      </c>
      <c r="F159" s="120" t="s">
        <v>3682</v>
      </c>
      <c r="G159" s="108">
        <v>7</v>
      </c>
      <c r="H159" s="38" t="s">
        <v>3691</v>
      </c>
      <c r="I159" s="38"/>
      <c r="J159" s="38"/>
      <c r="K159" s="109" t="s">
        <v>3692</v>
      </c>
      <c r="L159" s="109"/>
      <c r="M159" s="109"/>
      <c r="N159" s="109"/>
      <c r="O159" s="109"/>
      <c r="P159" s="108">
        <v>1112</v>
      </c>
      <c r="Q159" s="121">
        <v>237</v>
      </c>
      <c r="R159" s="112"/>
      <c r="S159" s="113">
        <v>19</v>
      </c>
      <c r="T159" s="113"/>
      <c r="U159" s="38"/>
      <c r="V159" s="38"/>
      <c r="W159" s="38"/>
      <c r="X159" s="38"/>
      <c r="Y159" s="38"/>
      <c r="Z159" s="115"/>
      <c r="AA159" s="38"/>
      <c r="AB159" s="38"/>
      <c r="AC159" s="38"/>
      <c r="AD159" s="38"/>
      <c r="AE159" s="38"/>
      <c r="AF159" s="38"/>
      <c r="AG159" s="17"/>
      <c r="AH159" s="24"/>
      <c r="AI159" s="25"/>
      <c r="AJ159" s="25"/>
    </row>
    <row r="160" spans="1:36" x14ac:dyDescent="0.3">
      <c r="A160" s="63">
        <v>154</v>
      </c>
      <c r="B160" s="102" t="s">
        <v>3520</v>
      </c>
      <c r="C160" s="102" t="s">
        <v>3521</v>
      </c>
      <c r="D160" s="64" t="s">
        <v>119</v>
      </c>
      <c r="E160" s="106" t="s">
        <v>3524</v>
      </c>
      <c r="F160" s="120" t="s">
        <v>3682</v>
      </c>
      <c r="G160" s="108">
        <v>7</v>
      </c>
      <c r="H160" s="38" t="s">
        <v>3691</v>
      </c>
      <c r="I160" s="38"/>
      <c r="J160" s="38"/>
      <c r="K160" s="109" t="s">
        <v>3693</v>
      </c>
      <c r="L160" s="109"/>
      <c r="M160" s="109"/>
      <c r="N160" s="109"/>
      <c r="O160" s="109"/>
      <c r="P160" s="108">
        <v>562</v>
      </c>
      <c r="Q160" s="121">
        <v>126</v>
      </c>
      <c r="R160" s="112"/>
      <c r="S160" s="113">
        <v>9</v>
      </c>
      <c r="T160" s="113"/>
      <c r="U160" s="38"/>
      <c r="V160" s="38"/>
      <c r="W160" s="38"/>
      <c r="X160" s="38"/>
      <c r="Y160" s="38"/>
      <c r="Z160" s="115"/>
      <c r="AA160" s="38"/>
      <c r="AB160" s="38"/>
      <c r="AC160" s="38"/>
      <c r="AD160" s="38"/>
      <c r="AE160" s="38"/>
      <c r="AF160" s="38"/>
      <c r="AG160" s="17"/>
      <c r="AH160" s="24"/>
      <c r="AI160" s="25"/>
      <c r="AJ160" s="25"/>
    </row>
    <row r="161" spans="1:36" x14ac:dyDescent="0.3">
      <c r="A161" s="63">
        <v>155</v>
      </c>
      <c r="B161" s="102" t="s">
        <v>3520</v>
      </c>
      <c r="C161" s="102" t="s">
        <v>3521</v>
      </c>
      <c r="D161" s="64" t="s">
        <v>119</v>
      </c>
      <c r="E161" s="106" t="s">
        <v>3524</v>
      </c>
      <c r="F161" s="120" t="s">
        <v>3682</v>
      </c>
      <c r="G161" s="108">
        <v>8</v>
      </c>
      <c r="H161" s="38" t="s">
        <v>3694</v>
      </c>
      <c r="I161" s="38"/>
      <c r="J161" s="38"/>
      <c r="K161" s="109" t="s">
        <v>3597</v>
      </c>
      <c r="L161" s="109"/>
      <c r="M161" s="109"/>
      <c r="N161" s="109"/>
      <c r="O161" s="109"/>
      <c r="P161" s="108">
        <v>1503</v>
      </c>
      <c r="Q161" s="121">
        <v>280</v>
      </c>
      <c r="R161" s="112"/>
      <c r="S161" s="113">
        <v>114</v>
      </c>
      <c r="T161" s="113"/>
      <c r="U161" s="38"/>
      <c r="V161" s="38"/>
      <c r="W161" s="38"/>
      <c r="X161" s="38"/>
      <c r="Y161" s="38"/>
      <c r="Z161" s="115"/>
      <c r="AA161" s="38"/>
      <c r="AB161" s="38"/>
      <c r="AC161" s="38"/>
      <c r="AD161" s="38"/>
      <c r="AE161" s="38"/>
      <c r="AF161" s="38"/>
      <c r="AG161" s="17"/>
      <c r="AH161" s="24"/>
      <c r="AI161" s="25"/>
      <c r="AJ161" s="25"/>
    </row>
    <row r="162" spans="1:36" x14ac:dyDescent="0.3">
      <c r="A162" s="63">
        <v>156</v>
      </c>
      <c r="B162" s="102" t="s">
        <v>3520</v>
      </c>
      <c r="C162" s="102" t="s">
        <v>3521</v>
      </c>
      <c r="D162" s="64" t="s">
        <v>119</v>
      </c>
      <c r="E162" s="106" t="s">
        <v>3524</v>
      </c>
      <c r="F162" s="120" t="s">
        <v>3682</v>
      </c>
      <c r="G162" s="108">
        <v>8</v>
      </c>
      <c r="H162" s="38" t="s">
        <v>3694</v>
      </c>
      <c r="I162" s="38"/>
      <c r="J162" s="38"/>
      <c r="K162" s="109" t="s">
        <v>3643</v>
      </c>
      <c r="L162" s="109"/>
      <c r="M162" s="109"/>
      <c r="N162" s="109"/>
      <c r="O162" s="109"/>
      <c r="P162" s="108">
        <v>1596</v>
      </c>
      <c r="Q162" s="108">
        <v>308</v>
      </c>
      <c r="R162" s="112"/>
      <c r="S162" s="113">
        <v>42</v>
      </c>
      <c r="T162" s="113"/>
      <c r="U162" s="38"/>
      <c r="V162" s="38"/>
      <c r="W162" s="38"/>
      <c r="X162" s="38"/>
      <c r="Y162" s="38"/>
      <c r="Z162" s="115"/>
      <c r="AA162" s="38"/>
      <c r="AB162" s="38"/>
      <c r="AC162" s="38"/>
      <c r="AD162" s="38"/>
      <c r="AE162" s="38"/>
      <c r="AF162" s="38"/>
      <c r="AG162" s="17"/>
      <c r="AH162" s="24"/>
      <c r="AI162" s="25"/>
      <c r="AJ162" s="25"/>
    </row>
    <row r="163" spans="1:36" x14ac:dyDescent="0.3">
      <c r="A163" s="63">
        <v>157</v>
      </c>
      <c r="B163" s="102" t="s">
        <v>3520</v>
      </c>
      <c r="C163" s="102" t="s">
        <v>3521</v>
      </c>
      <c r="D163" s="64" t="s">
        <v>119</v>
      </c>
      <c r="E163" s="106" t="s">
        <v>3524</v>
      </c>
      <c r="F163" s="120" t="s">
        <v>3682</v>
      </c>
      <c r="G163" s="108">
        <v>9</v>
      </c>
      <c r="H163" s="38" t="s">
        <v>3694</v>
      </c>
      <c r="I163" s="38"/>
      <c r="J163" s="38"/>
      <c r="K163" s="109" t="s">
        <v>3695</v>
      </c>
      <c r="L163" s="109"/>
      <c r="M163" s="109"/>
      <c r="N163" s="109"/>
      <c r="O163" s="109"/>
      <c r="P163" s="108">
        <v>2664</v>
      </c>
      <c r="Q163" s="108">
        <v>510</v>
      </c>
      <c r="R163" s="118"/>
      <c r="S163" s="113">
        <f>135+1230</f>
        <v>1365</v>
      </c>
      <c r="T163" s="117"/>
      <c r="U163" s="38"/>
      <c r="V163" s="38"/>
      <c r="W163" s="38"/>
      <c r="X163" s="38"/>
      <c r="Y163" s="38"/>
      <c r="Z163" s="115"/>
      <c r="AA163" s="38"/>
      <c r="AB163" s="38"/>
      <c r="AC163" s="38"/>
      <c r="AD163" s="38"/>
      <c r="AE163" s="38"/>
      <c r="AF163" s="38"/>
      <c r="AG163" s="17"/>
      <c r="AH163" s="24"/>
      <c r="AI163" s="25"/>
      <c r="AJ163" s="25"/>
    </row>
    <row r="164" spans="1:36" x14ac:dyDescent="0.3">
      <c r="A164" s="63">
        <v>158</v>
      </c>
      <c r="B164" s="102" t="s">
        <v>3520</v>
      </c>
      <c r="C164" s="102" t="s">
        <v>3521</v>
      </c>
      <c r="D164" s="64" t="s">
        <v>119</v>
      </c>
      <c r="E164" s="106" t="s">
        <v>3524</v>
      </c>
      <c r="F164" s="120" t="s">
        <v>3696</v>
      </c>
      <c r="G164" s="108">
        <v>1</v>
      </c>
      <c r="H164" s="38" t="s">
        <v>3697</v>
      </c>
      <c r="I164" s="38"/>
      <c r="J164" s="38"/>
      <c r="K164" s="109" t="s">
        <v>3698</v>
      </c>
      <c r="L164" s="109"/>
      <c r="M164" s="109"/>
      <c r="N164" s="109"/>
      <c r="O164" s="109"/>
      <c r="P164" s="110">
        <v>2354</v>
      </c>
      <c r="Q164" s="121">
        <v>450</v>
      </c>
      <c r="R164" s="112"/>
      <c r="S164" s="113"/>
      <c r="T164" s="113"/>
      <c r="U164" s="38"/>
      <c r="V164" s="38"/>
      <c r="W164" s="38"/>
      <c r="X164" s="38"/>
      <c r="Y164" s="38"/>
      <c r="Z164" s="115"/>
      <c r="AA164" s="38"/>
      <c r="AB164" s="38"/>
      <c r="AC164" s="38"/>
      <c r="AD164" s="38"/>
      <c r="AE164" s="38"/>
      <c r="AF164" s="38"/>
      <c r="AG164" s="17"/>
      <c r="AH164" s="24"/>
      <c r="AI164" s="25"/>
      <c r="AJ164" s="25"/>
    </row>
    <row r="165" spans="1:36" x14ac:dyDescent="0.3">
      <c r="A165" s="63">
        <v>159</v>
      </c>
      <c r="B165" s="102" t="s">
        <v>3520</v>
      </c>
      <c r="C165" s="102" t="s">
        <v>3521</v>
      </c>
      <c r="D165" s="64" t="s">
        <v>119</v>
      </c>
      <c r="E165" s="106" t="s">
        <v>3524</v>
      </c>
      <c r="F165" s="120" t="s">
        <v>3696</v>
      </c>
      <c r="G165" s="108">
        <v>2</v>
      </c>
      <c r="H165" s="38" t="s">
        <v>3697</v>
      </c>
      <c r="I165" s="38"/>
      <c r="J165" s="38"/>
      <c r="K165" s="109" t="s">
        <v>3699</v>
      </c>
      <c r="L165" s="109"/>
      <c r="M165" s="109"/>
      <c r="N165" s="109"/>
      <c r="O165" s="109"/>
      <c r="P165" s="110">
        <v>2416</v>
      </c>
      <c r="Q165" s="121">
        <v>404</v>
      </c>
      <c r="R165" s="112"/>
      <c r="S165" s="113"/>
      <c r="T165" s="113"/>
      <c r="U165" s="38"/>
      <c r="V165" s="38"/>
      <c r="W165" s="38"/>
      <c r="X165" s="38"/>
      <c r="Y165" s="38"/>
      <c r="Z165" s="115"/>
      <c r="AA165" s="38"/>
      <c r="AB165" s="38"/>
      <c r="AC165" s="38"/>
      <c r="AD165" s="38"/>
      <c r="AE165" s="38"/>
      <c r="AF165" s="38"/>
      <c r="AG165" s="17"/>
      <c r="AH165" s="24"/>
      <c r="AI165" s="25"/>
      <c r="AJ165" s="25"/>
    </row>
    <row r="166" spans="1:36" x14ac:dyDescent="0.3">
      <c r="A166" s="63">
        <v>160</v>
      </c>
      <c r="B166" s="102" t="s">
        <v>3520</v>
      </c>
      <c r="C166" s="102" t="s">
        <v>3521</v>
      </c>
      <c r="D166" s="64" t="s">
        <v>119</v>
      </c>
      <c r="E166" s="106" t="s">
        <v>3524</v>
      </c>
      <c r="F166" s="120" t="s">
        <v>3696</v>
      </c>
      <c r="G166" s="108">
        <v>3</v>
      </c>
      <c r="H166" s="38" t="s">
        <v>3697</v>
      </c>
      <c r="I166" s="38"/>
      <c r="J166" s="38"/>
      <c r="K166" s="109" t="s">
        <v>3700</v>
      </c>
      <c r="L166" s="109"/>
      <c r="M166" s="109"/>
      <c r="N166" s="109"/>
      <c r="O166" s="109"/>
      <c r="P166" s="110">
        <v>1060</v>
      </c>
      <c r="Q166" s="110">
        <v>187</v>
      </c>
      <c r="R166" s="112"/>
      <c r="S166" s="113"/>
      <c r="T166" s="113"/>
      <c r="U166" s="38"/>
      <c r="V166" s="38"/>
      <c r="W166" s="38"/>
      <c r="X166" s="38"/>
      <c r="Y166" s="38"/>
      <c r="Z166" s="115"/>
      <c r="AA166" s="38"/>
      <c r="AB166" s="38"/>
      <c r="AC166" s="38"/>
      <c r="AD166" s="38"/>
      <c r="AE166" s="38"/>
      <c r="AF166" s="38"/>
      <c r="AG166" s="17"/>
      <c r="AH166" s="24"/>
      <c r="AI166" s="25"/>
      <c r="AJ166" s="25"/>
    </row>
    <row r="167" spans="1:36" x14ac:dyDescent="0.3">
      <c r="A167" s="63">
        <v>161</v>
      </c>
      <c r="B167" s="102" t="s">
        <v>3520</v>
      </c>
      <c r="C167" s="102" t="s">
        <v>3521</v>
      </c>
      <c r="D167" s="64" t="s">
        <v>119</v>
      </c>
      <c r="E167" s="106" t="s">
        <v>3524</v>
      </c>
      <c r="F167" s="120" t="s">
        <v>3696</v>
      </c>
      <c r="G167" s="108">
        <v>4</v>
      </c>
      <c r="H167" s="38" t="s">
        <v>3697</v>
      </c>
      <c r="I167" s="38"/>
      <c r="J167" s="38"/>
      <c r="K167" s="109" t="s">
        <v>3701</v>
      </c>
      <c r="L167" s="109"/>
      <c r="M167" s="109"/>
      <c r="N167" s="109"/>
      <c r="O167" s="109"/>
      <c r="P167" s="110">
        <v>1583</v>
      </c>
      <c r="Q167" s="121">
        <v>284</v>
      </c>
      <c r="R167" s="112"/>
      <c r="S167" s="113">
        <v>71</v>
      </c>
      <c r="T167" s="113"/>
      <c r="U167" s="38"/>
      <c r="V167" s="38"/>
      <c r="W167" s="38"/>
      <c r="X167" s="38"/>
      <c r="Y167" s="38"/>
      <c r="Z167" s="115"/>
      <c r="AA167" s="38"/>
      <c r="AB167" s="38"/>
      <c r="AC167" s="38"/>
      <c r="AD167" s="38"/>
      <c r="AE167" s="38"/>
      <c r="AF167" s="38"/>
      <c r="AG167" s="17"/>
      <c r="AH167" s="24"/>
      <c r="AI167" s="25"/>
      <c r="AJ167" s="25"/>
    </row>
    <row r="168" spans="1:36" x14ac:dyDescent="0.3">
      <c r="A168" s="63">
        <v>162</v>
      </c>
      <c r="B168" s="102" t="s">
        <v>3520</v>
      </c>
      <c r="C168" s="102" t="s">
        <v>3521</v>
      </c>
      <c r="D168" s="64" t="s">
        <v>119</v>
      </c>
      <c r="E168" s="106" t="s">
        <v>3524</v>
      </c>
      <c r="F168" s="120" t="s">
        <v>3696</v>
      </c>
      <c r="G168" s="108">
        <v>4</v>
      </c>
      <c r="H168" s="38" t="s">
        <v>3697</v>
      </c>
      <c r="I168" s="38"/>
      <c r="J168" s="38"/>
      <c r="K168" s="109" t="s">
        <v>3702</v>
      </c>
      <c r="L168" s="109"/>
      <c r="M168" s="109"/>
      <c r="N168" s="109"/>
      <c r="O168" s="109"/>
      <c r="P168" s="110">
        <v>1471</v>
      </c>
      <c r="Q168" s="121">
        <v>169</v>
      </c>
      <c r="R168" s="112"/>
      <c r="S168" s="113">
        <v>60</v>
      </c>
      <c r="T168" s="113"/>
      <c r="U168" s="38"/>
      <c r="V168" s="38"/>
      <c r="W168" s="38"/>
      <c r="X168" s="38"/>
      <c r="Y168" s="38"/>
      <c r="Z168" s="115"/>
      <c r="AA168" s="38"/>
      <c r="AB168" s="38"/>
      <c r="AC168" s="38"/>
      <c r="AD168" s="38"/>
      <c r="AE168" s="38"/>
      <c r="AF168" s="38"/>
      <c r="AG168" s="17"/>
      <c r="AH168" s="24"/>
      <c r="AI168" s="25"/>
      <c r="AJ168" s="25"/>
    </row>
    <row r="169" spans="1:36" x14ac:dyDescent="0.3">
      <c r="A169" s="63">
        <v>163</v>
      </c>
      <c r="B169" s="102" t="s">
        <v>3520</v>
      </c>
      <c r="C169" s="102" t="s">
        <v>3521</v>
      </c>
      <c r="D169" s="64" t="s">
        <v>119</v>
      </c>
      <c r="E169" s="106" t="s">
        <v>3524</v>
      </c>
      <c r="F169" s="120" t="s">
        <v>3696</v>
      </c>
      <c r="G169" s="108">
        <v>5</v>
      </c>
      <c r="H169" s="38" t="s">
        <v>3703</v>
      </c>
      <c r="I169" s="38"/>
      <c r="J169" s="38"/>
      <c r="K169" s="109" t="s">
        <v>3704</v>
      </c>
      <c r="L169" s="109"/>
      <c r="M169" s="109"/>
      <c r="N169" s="109"/>
      <c r="O169" s="109"/>
      <c r="P169" s="110">
        <v>2184</v>
      </c>
      <c r="Q169" s="110">
        <v>488</v>
      </c>
      <c r="R169" s="112"/>
      <c r="S169" s="113">
        <v>40</v>
      </c>
      <c r="T169" s="113"/>
      <c r="U169" s="38"/>
      <c r="V169" s="38"/>
      <c r="W169" s="38"/>
      <c r="X169" s="38"/>
      <c r="Y169" s="38"/>
      <c r="Z169" s="115"/>
      <c r="AA169" s="38"/>
      <c r="AB169" s="38"/>
      <c r="AC169" s="38"/>
      <c r="AD169" s="38"/>
      <c r="AE169" s="38"/>
      <c r="AF169" s="38"/>
      <c r="AG169" s="17"/>
      <c r="AH169" s="24"/>
      <c r="AI169" s="25"/>
      <c r="AJ169" s="25"/>
    </row>
    <row r="170" spans="1:36" x14ac:dyDescent="0.3">
      <c r="A170" s="63">
        <v>164</v>
      </c>
      <c r="B170" s="102" t="s">
        <v>3520</v>
      </c>
      <c r="C170" s="102" t="s">
        <v>3521</v>
      </c>
      <c r="D170" s="64" t="s">
        <v>119</v>
      </c>
      <c r="E170" s="106" t="s">
        <v>3524</v>
      </c>
      <c r="F170" s="120" t="s">
        <v>3696</v>
      </c>
      <c r="G170" s="108">
        <v>6</v>
      </c>
      <c r="H170" s="38" t="s">
        <v>3703</v>
      </c>
      <c r="I170" s="38"/>
      <c r="J170" s="38"/>
      <c r="K170" s="109" t="s">
        <v>3705</v>
      </c>
      <c r="L170" s="109"/>
      <c r="M170" s="109"/>
      <c r="N170" s="109"/>
      <c r="O170" s="109"/>
      <c r="P170" s="110">
        <v>2427</v>
      </c>
      <c r="Q170" s="110">
        <v>478</v>
      </c>
      <c r="R170" s="112"/>
      <c r="S170" s="113"/>
      <c r="T170" s="113"/>
      <c r="U170" s="38"/>
      <c r="V170" s="38"/>
      <c r="W170" s="38"/>
      <c r="X170" s="38"/>
      <c r="Y170" s="38"/>
      <c r="Z170" s="115"/>
      <c r="AA170" s="38"/>
      <c r="AB170" s="38"/>
      <c r="AC170" s="38"/>
      <c r="AD170" s="38"/>
      <c r="AE170" s="38"/>
      <c r="AF170" s="38"/>
      <c r="AG170" s="17"/>
      <c r="AH170" s="24"/>
      <c r="AI170" s="25"/>
      <c r="AJ170" s="25"/>
    </row>
    <row r="171" spans="1:36" x14ac:dyDescent="0.3">
      <c r="A171" s="63">
        <v>165</v>
      </c>
      <c r="B171" s="102" t="s">
        <v>3520</v>
      </c>
      <c r="C171" s="102" t="s">
        <v>3521</v>
      </c>
      <c r="D171" s="64" t="s">
        <v>119</v>
      </c>
      <c r="E171" s="106" t="s">
        <v>3524</v>
      </c>
      <c r="F171" s="120" t="s">
        <v>3696</v>
      </c>
      <c r="G171" s="108">
        <v>7</v>
      </c>
      <c r="H171" s="38" t="s">
        <v>3706</v>
      </c>
      <c r="I171" s="38"/>
      <c r="J171" s="38"/>
      <c r="K171" s="109" t="s">
        <v>3707</v>
      </c>
      <c r="L171" s="109"/>
      <c r="M171" s="109"/>
      <c r="N171" s="109"/>
      <c r="O171" s="109"/>
      <c r="P171" s="110">
        <v>1709</v>
      </c>
      <c r="Q171" s="110">
        <v>321</v>
      </c>
      <c r="R171" s="112"/>
      <c r="S171" s="113">
        <v>41</v>
      </c>
      <c r="T171" s="113"/>
      <c r="U171" s="38">
        <v>1</v>
      </c>
      <c r="V171" s="38"/>
      <c r="W171" s="38"/>
      <c r="X171" s="38"/>
      <c r="Y171" s="38"/>
      <c r="Z171" s="115"/>
      <c r="AA171" s="38"/>
      <c r="AB171" s="38"/>
      <c r="AC171" s="38"/>
      <c r="AD171" s="38"/>
      <c r="AE171" s="38"/>
      <c r="AF171" s="38"/>
      <c r="AG171" s="17"/>
      <c r="AH171" s="24"/>
      <c r="AI171" s="25"/>
      <c r="AJ171" s="25"/>
    </row>
    <row r="172" spans="1:36" x14ac:dyDescent="0.3">
      <c r="A172" s="63">
        <v>166</v>
      </c>
      <c r="B172" s="102" t="s">
        <v>3520</v>
      </c>
      <c r="C172" s="102" t="s">
        <v>3521</v>
      </c>
      <c r="D172" s="64" t="s">
        <v>119</v>
      </c>
      <c r="E172" s="106" t="s">
        <v>3524</v>
      </c>
      <c r="F172" s="120" t="s">
        <v>3696</v>
      </c>
      <c r="G172" s="108">
        <v>8</v>
      </c>
      <c r="H172" s="38" t="s">
        <v>3706</v>
      </c>
      <c r="I172" s="38"/>
      <c r="J172" s="38"/>
      <c r="K172" s="109" t="s">
        <v>3708</v>
      </c>
      <c r="L172" s="109"/>
      <c r="M172" s="109"/>
      <c r="N172" s="109"/>
      <c r="O172" s="109"/>
      <c r="P172" s="108">
        <v>5666</v>
      </c>
      <c r="Q172" s="108">
        <v>1068</v>
      </c>
      <c r="R172" s="112"/>
      <c r="S172" s="113">
        <v>88</v>
      </c>
      <c r="T172" s="113"/>
      <c r="U172" s="38"/>
      <c r="V172" s="38"/>
      <c r="W172" s="38"/>
      <c r="X172" s="38"/>
      <c r="Y172" s="38"/>
      <c r="Z172" s="115"/>
      <c r="AA172" s="38"/>
      <c r="AB172" s="38"/>
      <c r="AC172" s="38"/>
      <c r="AD172" s="38"/>
      <c r="AE172" s="38"/>
      <c r="AF172" s="38"/>
      <c r="AG172" s="17"/>
      <c r="AH172" s="24"/>
      <c r="AI172" s="25"/>
      <c r="AJ172" s="25"/>
    </row>
    <row r="173" spans="1:36" x14ac:dyDescent="0.3">
      <c r="A173" s="63">
        <v>167</v>
      </c>
      <c r="B173" s="102" t="s">
        <v>3520</v>
      </c>
      <c r="C173" s="102" t="s">
        <v>3521</v>
      </c>
      <c r="D173" s="64" t="s">
        <v>119</v>
      </c>
      <c r="E173" s="106" t="s">
        <v>3524</v>
      </c>
      <c r="F173" s="120" t="s">
        <v>3696</v>
      </c>
      <c r="G173" s="108">
        <v>8</v>
      </c>
      <c r="H173" s="38" t="s">
        <v>3706</v>
      </c>
      <c r="I173" s="38"/>
      <c r="J173" s="38"/>
      <c r="K173" s="109" t="s">
        <v>3709</v>
      </c>
      <c r="L173" s="109"/>
      <c r="M173" s="109"/>
      <c r="N173" s="109"/>
      <c r="O173" s="109"/>
      <c r="P173" s="110">
        <v>3194</v>
      </c>
      <c r="Q173" s="110">
        <v>554</v>
      </c>
      <c r="R173" s="112"/>
      <c r="S173" s="113"/>
      <c r="T173" s="113"/>
      <c r="U173" s="38"/>
      <c r="V173" s="38"/>
      <c r="W173" s="38"/>
      <c r="X173" s="38"/>
      <c r="Y173" s="38"/>
      <c r="Z173" s="115"/>
      <c r="AA173" s="38"/>
      <c r="AB173" s="38"/>
      <c r="AC173" s="38"/>
      <c r="AD173" s="38"/>
      <c r="AE173" s="38"/>
      <c r="AF173" s="38"/>
      <c r="AG173" s="17"/>
      <c r="AH173" s="24"/>
      <c r="AI173" s="25"/>
      <c r="AJ173" s="25"/>
    </row>
    <row r="174" spans="1:36" x14ac:dyDescent="0.3">
      <c r="A174" s="63">
        <v>168</v>
      </c>
      <c r="B174" s="102" t="s">
        <v>3520</v>
      </c>
      <c r="C174" s="102" t="s">
        <v>3521</v>
      </c>
      <c r="D174" s="64" t="s">
        <v>119</v>
      </c>
      <c r="E174" s="106" t="s">
        <v>3524</v>
      </c>
      <c r="F174" s="120" t="s">
        <v>3696</v>
      </c>
      <c r="G174" s="108">
        <v>8</v>
      </c>
      <c r="H174" s="38" t="s">
        <v>3706</v>
      </c>
      <c r="I174" s="38"/>
      <c r="J174" s="38"/>
      <c r="K174" s="109" t="s">
        <v>3535</v>
      </c>
      <c r="L174" s="109"/>
      <c r="M174" s="109"/>
      <c r="N174" s="109"/>
      <c r="O174" s="109"/>
      <c r="P174" s="110">
        <v>746</v>
      </c>
      <c r="Q174" s="121">
        <v>128</v>
      </c>
      <c r="R174" s="112"/>
      <c r="S174" s="113">
        <v>39</v>
      </c>
      <c r="T174" s="113"/>
      <c r="U174" s="38"/>
      <c r="V174" s="38"/>
      <c r="W174" s="38"/>
      <c r="X174" s="38"/>
      <c r="Y174" s="38"/>
      <c r="Z174" s="115"/>
      <c r="AA174" s="38"/>
      <c r="AB174" s="38"/>
      <c r="AC174" s="38"/>
      <c r="AD174" s="38"/>
      <c r="AE174" s="38"/>
      <c r="AF174" s="38"/>
      <c r="AG174" s="17"/>
      <c r="AH174" s="24"/>
      <c r="AI174" s="25"/>
      <c r="AJ174" s="25"/>
    </row>
    <row r="175" spans="1:36" x14ac:dyDescent="0.3">
      <c r="A175" s="63">
        <v>169</v>
      </c>
      <c r="B175" s="102" t="s">
        <v>3520</v>
      </c>
      <c r="C175" s="102" t="s">
        <v>3521</v>
      </c>
      <c r="D175" s="64" t="s">
        <v>119</v>
      </c>
      <c r="E175" s="106" t="s">
        <v>3524</v>
      </c>
      <c r="F175" s="120" t="s">
        <v>3696</v>
      </c>
      <c r="G175" s="108">
        <v>9</v>
      </c>
      <c r="H175" s="38" t="s">
        <v>3703</v>
      </c>
      <c r="I175" s="38"/>
      <c r="J175" s="38"/>
      <c r="K175" s="109" t="s">
        <v>3710</v>
      </c>
      <c r="L175" s="109"/>
      <c r="M175" s="109"/>
      <c r="N175" s="109"/>
      <c r="O175" s="109"/>
      <c r="P175" s="110">
        <v>1231</v>
      </c>
      <c r="Q175" s="121">
        <v>236</v>
      </c>
      <c r="R175" s="112"/>
      <c r="S175" s="113">
        <v>66</v>
      </c>
      <c r="T175" s="113"/>
      <c r="U175" s="38"/>
      <c r="V175" s="38"/>
      <c r="W175" s="38"/>
      <c r="X175" s="38"/>
      <c r="Y175" s="38"/>
      <c r="Z175" s="115"/>
      <c r="AA175" s="38"/>
      <c r="AB175" s="38"/>
      <c r="AC175" s="38"/>
      <c r="AD175" s="38"/>
      <c r="AE175" s="38"/>
      <c r="AF175" s="38"/>
      <c r="AG175" s="17"/>
      <c r="AH175" s="24"/>
      <c r="AI175" s="25"/>
      <c r="AJ175" s="25"/>
    </row>
    <row r="176" spans="1:36" x14ac:dyDescent="0.3">
      <c r="A176" s="63">
        <v>170</v>
      </c>
      <c r="B176" s="102" t="s">
        <v>3520</v>
      </c>
      <c r="C176" s="102" t="s">
        <v>3521</v>
      </c>
      <c r="D176" s="64" t="s">
        <v>119</v>
      </c>
      <c r="E176" s="106" t="s">
        <v>3524</v>
      </c>
      <c r="F176" s="120" t="s">
        <v>3696</v>
      </c>
      <c r="G176" s="108">
        <v>9</v>
      </c>
      <c r="H176" s="38" t="s">
        <v>3703</v>
      </c>
      <c r="I176" s="38"/>
      <c r="J176" s="38"/>
      <c r="K176" s="109" t="s">
        <v>3711</v>
      </c>
      <c r="L176" s="109"/>
      <c r="M176" s="109"/>
      <c r="N176" s="109"/>
      <c r="O176" s="109"/>
      <c r="P176" s="108">
        <v>2121</v>
      </c>
      <c r="Q176" s="108">
        <v>397</v>
      </c>
      <c r="R176" s="112"/>
      <c r="S176" s="113">
        <v>94</v>
      </c>
      <c r="T176" s="113"/>
      <c r="U176" s="38"/>
      <c r="V176" s="38"/>
      <c r="W176" s="38"/>
      <c r="X176" s="38"/>
      <c r="Y176" s="38"/>
      <c r="Z176" s="115"/>
      <c r="AA176" s="38"/>
      <c r="AB176" s="38"/>
      <c r="AC176" s="38"/>
      <c r="AD176" s="38"/>
      <c r="AE176" s="38"/>
      <c r="AF176" s="38"/>
      <c r="AG176" s="17"/>
      <c r="AH176" s="24"/>
      <c r="AI176" s="25"/>
      <c r="AJ176" s="25"/>
    </row>
    <row r="177" spans="1:36" x14ac:dyDescent="0.3">
      <c r="A177" s="63">
        <v>171</v>
      </c>
      <c r="B177" s="102" t="s">
        <v>3520</v>
      </c>
      <c r="C177" s="102" t="s">
        <v>3521</v>
      </c>
      <c r="D177" s="64" t="s">
        <v>119</v>
      </c>
      <c r="E177" s="106" t="s">
        <v>3524</v>
      </c>
      <c r="F177" s="120" t="s">
        <v>3712</v>
      </c>
      <c r="G177" s="108">
        <v>1</v>
      </c>
      <c r="H177" s="38" t="s">
        <v>3713</v>
      </c>
      <c r="I177" s="38"/>
      <c r="J177" s="38"/>
      <c r="K177" s="109" t="s">
        <v>3714</v>
      </c>
      <c r="L177" s="109"/>
      <c r="M177" s="109"/>
      <c r="N177" s="109"/>
      <c r="O177" s="109"/>
      <c r="P177" s="108">
        <v>1372</v>
      </c>
      <c r="Q177" s="121">
        <v>267</v>
      </c>
      <c r="R177" s="112"/>
      <c r="S177" s="113"/>
      <c r="T177" s="113"/>
      <c r="U177" s="38"/>
      <c r="V177" s="38"/>
      <c r="W177" s="38"/>
      <c r="X177" s="38"/>
      <c r="Y177" s="38"/>
      <c r="Z177" s="115"/>
      <c r="AA177" s="38"/>
      <c r="AB177" s="38"/>
      <c r="AC177" s="38"/>
      <c r="AD177" s="38"/>
      <c r="AE177" s="38"/>
      <c r="AF177" s="38"/>
      <c r="AG177" s="17"/>
      <c r="AH177" s="24"/>
      <c r="AI177" s="25"/>
      <c r="AJ177" s="25"/>
    </row>
    <row r="178" spans="1:36" x14ac:dyDescent="0.3">
      <c r="A178" s="63">
        <v>172</v>
      </c>
      <c r="B178" s="102" t="s">
        <v>3520</v>
      </c>
      <c r="C178" s="102" t="s">
        <v>3521</v>
      </c>
      <c r="D178" s="64" t="s">
        <v>119</v>
      </c>
      <c r="E178" s="106" t="s">
        <v>3524</v>
      </c>
      <c r="F178" s="120" t="s">
        <v>3712</v>
      </c>
      <c r="G178" s="108">
        <v>2</v>
      </c>
      <c r="H178" s="38" t="s">
        <v>3713</v>
      </c>
      <c r="I178" s="38"/>
      <c r="J178" s="38"/>
      <c r="K178" s="109" t="s">
        <v>3534</v>
      </c>
      <c r="L178" s="109"/>
      <c r="M178" s="109"/>
      <c r="N178" s="109"/>
      <c r="O178" s="109"/>
      <c r="P178" s="108">
        <v>1243</v>
      </c>
      <c r="Q178" s="108">
        <v>232</v>
      </c>
      <c r="R178" s="112"/>
      <c r="S178" s="113"/>
      <c r="T178" s="113"/>
      <c r="U178" s="38"/>
      <c r="V178" s="38"/>
      <c r="W178" s="38"/>
      <c r="X178" s="38"/>
      <c r="Y178" s="38"/>
      <c r="Z178" s="115"/>
      <c r="AA178" s="38"/>
      <c r="AB178" s="38"/>
      <c r="AC178" s="38"/>
      <c r="AD178" s="38"/>
      <c r="AE178" s="38"/>
      <c r="AF178" s="38"/>
      <c r="AG178" s="17"/>
      <c r="AH178" s="24"/>
      <c r="AI178" s="25"/>
      <c r="AJ178" s="25"/>
    </row>
    <row r="179" spans="1:36" x14ac:dyDescent="0.3">
      <c r="A179" s="63">
        <v>173</v>
      </c>
      <c r="B179" s="102" t="s">
        <v>3520</v>
      </c>
      <c r="C179" s="102" t="s">
        <v>3521</v>
      </c>
      <c r="D179" s="64" t="s">
        <v>119</v>
      </c>
      <c r="E179" s="106" t="s">
        <v>3524</v>
      </c>
      <c r="F179" s="120" t="s">
        <v>3712</v>
      </c>
      <c r="G179" s="108">
        <v>3</v>
      </c>
      <c r="H179" s="38" t="s">
        <v>3713</v>
      </c>
      <c r="I179" s="38"/>
      <c r="J179" s="38"/>
      <c r="K179" s="109" t="s">
        <v>3715</v>
      </c>
      <c r="L179" s="109"/>
      <c r="M179" s="109"/>
      <c r="N179" s="109"/>
      <c r="O179" s="109"/>
      <c r="P179" s="108">
        <v>1239</v>
      </c>
      <c r="Q179" s="121">
        <v>228</v>
      </c>
      <c r="R179" s="112"/>
      <c r="S179" s="113"/>
      <c r="T179" s="113"/>
      <c r="U179" s="38"/>
      <c r="V179" s="38"/>
      <c r="W179" s="38"/>
      <c r="X179" s="38"/>
      <c r="Y179" s="38"/>
      <c r="Z179" s="115"/>
      <c r="AA179" s="38"/>
      <c r="AB179" s="38"/>
      <c r="AC179" s="38"/>
      <c r="AD179" s="38"/>
      <c r="AE179" s="38"/>
      <c r="AF179" s="38"/>
      <c r="AG179" s="17"/>
      <c r="AH179" s="24"/>
      <c r="AI179" s="25"/>
      <c r="AJ179" s="25"/>
    </row>
    <row r="180" spans="1:36" x14ac:dyDescent="0.3">
      <c r="A180" s="63">
        <v>174</v>
      </c>
      <c r="B180" s="102" t="s">
        <v>3520</v>
      </c>
      <c r="C180" s="102" t="s">
        <v>3521</v>
      </c>
      <c r="D180" s="64" t="s">
        <v>119</v>
      </c>
      <c r="E180" s="106" t="s">
        <v>3524</v>
      </c>
      <c r="F180" s="120" t="s">
        <v>3712</v>
      </c>
      <c r="G180" s="108">
        <v>4</v>
      </c>
      <c r="H180" s="38" t="s">
        <v>3713</v>
      </c>
      <c r="I180" s="38"/>
      <c r="J180" s="38"/>
      <c r="K180" s="122" t="s">
        <v>3716</v>
      </c>
      <c r="L180" s="122"/>
      <c r="M180" s="122"/>
      <c r="N180" s="122"/>
      <c r="O180" s="122"/>
      <c r="P180" s="108">
        <v>1164</v>
      </c>
      <c r="Q180" s="121">
        <v>215</v>
      </c>
      <c r="R180" s="112"/>
      <c r="S180" s="113"/>
      <c r="T180" s="113"/>
      <c r="U180" s="38"/>
      <c r="V180" s="38"/>
      <c r="W180" s="38"/>
      <c r="X180" s="38"/>
      <c r="Y180" s="38"/>
      <c r="Z180" s="115"/>
      <c r="AA180" s="38"/>
      <c r="AB180" s="38"/>
      <c r="AC180" s="38"/>
      <c r="AD180" s="38"/>
      <c r="AE180" s="38"/>
      <c r="AF180" s="38"/>
      <c r="AG180" s="17"/>
      <c r="AH180" s="24"/>
      <c r="AI180" s="25"/>
      <c r="AJ180" s="25"/>
    </row>
    <row r="181" spans="1:36" x14ac:dyDescent="0.3">
      <c r="A181" s="63">
        <v>175</v>
      </c>
      <c r="B181" s="102" t="s">
        <v>3520</v>
      </c>
      <c r="C181" s="102" t="s">
        <v>3521</v>
      </c>
      <c r="D181" s="64" t="s">
        <v>119</v>
      </c>
      <c r="E181" s="106" t="s">
        <v>3524</v>
      </c>
      <c r="F181" s="120" t="s">
        <v>3712</v>
      </c>
      <c r="G181" s="108">
        <v>5</v>
      </c>
      <c r="H181" s="38" t="s">
        <v>3717</v>
      </c>
      <c r="I181" s="38"/>
      <c r="J181" s="38"/>
      <c r="K181" s="109" t="s">
        <v>67</v>
      </c>
      <c r="L181" s="109"/>
      <c r="M181" s="109"/>
      <c r="N181" s="109"/>
      <c r="O181" s="109"/>
      <c r="P181" s="108">
        <v>911</v>
      </c>
      <c r="Q181" s="108">
        <v>174</v>
      </c>
      <c r="R181" s="112"/>
      <c r="S181" s="113"/>
      <c r="T181" s="113"/>
      <c r="U181" s="38"/>
      <c r="V181" s="38"/>
      <c r="W181" s="38"/>
      <c r="X181" s="38"/>
      <c r="Y181" s="38"/>
      <c r="Z181" s="115"/>
      <c r="AA181" s="38"/>
      <c r="AB181" s="38"/>
      <c r="AC181" s="38"/>
      <c r="AD181" s="38"/>
      <c r="AE181" s="38"/>
      <c r="AF181" s="38"/>
      <c r="AG181" s="17"/>
      <c r="AH181" s="24"/>
      <c r="AI181" s="25"/>
      <c r="AJ181" s="25"/>
    </row>
    <row r="182" spans="1:36" x14ac:dyDescent="0.3">
      <c r="A182" s="63">
        <v>176</v>
      </c>
      <c r="B182" s="102" t="s">
        <v>3520</v>
      </c>
      <c r="C182" s="102" t="s">
        <v>3521</v>
      </c>
      <c r="D182" s="64" t="s">
        <v>119</v>
      </c>
      <c r="E182" s="106" t="s">
        <v>3524</v>
      </c>
      <c r="F182" s="120" t="s">
        <v>3712</v>
      </c>
      <c r="G182" s="108">
        <v>6</v>
      </c>
      <c r="H182" s="38" t="s">
        <v>3717</v>
      </c>
      <c r="I182" s="38"/>
      <c r="J182" s="38"/>
      <c r="K182" s="109" t="s">
        <v>3718</v>
      </c>
      <c r="L182" s="109"/>
      <c r="M182" s="109"/>
      <c r="N182" s="109"/>
      <c r="O182" s="109"/>
      <c r="P182" s="108">
        <v>300</v>
      </c>
      <c r="Q182" s="121">
        <v>67</v>
      </c>
      <c r="R182" s="112"/>
      <c r="S182" s="113"/>
      <c r="T182" s="113"/>
      <c r="U182" s="38"/>
      <c r="V182" s="38"/>
      <c r="W182" s="38"/>
      <c r="X182" s="38"/>
      <c r="Y182" s="38"/>
      <c r="Z182" s="115"/>
      <c r="AA182" s="38"/>
      <c r="AB182" s="38"/>
      <c r="AC182" s="38"/>
      <c r="AD182" s="38"/>
      <c r="AE182" s="38"/>
      <c r="AF182" s="38"/>
      <c r="AG182" s="17"/>
      <c r="AH182" s="24"/>
      <c r="AI182" s="25"/>
      <c r="AJ182" s="25"/>
    </row>
    <row r="183" spans="1:36" x14ac:dyDescent="0.3">
      <c r="A183" s="63">
        <v>177</v>
      </c>
      <c r="B183" s="102" t="s">
        <v>3520</v>
      </c>
      <c r="C183" s="102" t="s">
        <v>3521</v>
      </c>
      <c r="D183" s="64" t="s">
        <v>119</v>
      </c>
      <c r="E183" s="106" t="s">
        <v>3524</v>
      </c>
      <c r="F183" s="120" t="s">
        <v>3712</v>
      </c>
      <c r="G183" s="108">
        <v>6</v>
      </c>
      <c r="H183" s="38" t="s">
        <v>3717</v>
      </c>
      <c r="I183" s="38"/>
      <c r="J183" s="38"/>
      <c r="K183" s="109" t="s">
        <v>3719</v>
      </c>
      <c r="L183" s="109"/>
      <c r="M183" s="109"/>
      <c r="N183" s="109"/>
      <c r="O183" s="109"/>
      <c r="P183" s="108">
        <v>484</v>
      </c>
      <c r="Q183" s="121">
        <v>98</v>
      </c>
      <c r="R183" s="112"/>
      <c r="S183" s="113"/>
      <c r="T183" s="113"/>
      <c r="U183" s="38"/>
      <c r="V183" s="38"/>
      <c r="W183" s="38"/>
      <c r="X183" s="38"/>
      <c r="Y183" s="38"/>
      <c r="Z183" s="115"/>
      <c r="AA183" s="38"/>
      <c r="AB183" s="38"/>
      <c r="AC183" s="38"/>
      <c r="AD183" s="38"/>
      <c r="AE183" s="38"/>
      <c r="AF183" s="38"/>
      <c r="AG183" s="17"/>
      <c r="AH183" s="24"/>
      <c r="AI183" s="25"/>
      <c r="AJ183" s="25"/>
    </row>
    <row r="184" spans="1:36" x14ac:dyDescent="0.3">
      <c r="A184" s="63">
        <v>178</v>
      </c>
      <c r="B184" s="102" t="s">
        <v>3520</v>
      </c>
      <c r="C184" s="102" t="s">
        <v>3521</v>
      </c>
      <c r="D184" s="64" t="s">
        <v>119</v>
      </c>
      <c r="E184" s="106" t="s">
        <v>3524</v>
      </c>
      <c r="F184" s="120" t="s">
        <v>3712</v>
      </c>
      <c r="G184" s="108">
        <v>7</v>
      </c>
      <c r="H184" s="38" t="s">
        <v>3717</v>
      </c>
      <c r="I184" s="38"/>
      <c r="J184" s="38"/>
      <c r="K184" s="109" t="s">
        <v>3637</v>
      </c>
      <c r="L184" s="109"/>
      <c r="M184" s="109"/>
      <c r="N184" s="109"/>
      <c r="O184" s="109"/>
      <c r="P184" s="108">
        <v>1136</v>
      </c>
      <c r="Q184" s="108">
        <v>230</v>
      </c>
      <c r="R184" s="112"/>
      <c r="S184" s="113"/>
      <c r="T184" s="113"/>
      <c r="U184" s="38"/>
      <c r="V184" s="38"/>
      <c r="W184" s="38"/>
      <c r="X184" s="38"/>
      <c r="Y184" s="38"/>
      <c r="Z184" s="115"/>
      <c r="AA184" s="38"/>
      <c r="AB184" s="38"/>
      <c r="AC184" s="38"/>
      <c r="AD184" s="38"/>
      <c r="AE184" s="38"/>
      <c r="AF184" s="38"/>
      <c r="AG184" s="17"/>
      <c r="AH184" s="24"/>
      <c r="AI184" s="25"/>
      <c r="AJ184" s="25"/>
    </row>
    <row r="185" spans="1:36" x14ac:dyDescent="0.3">
      <c r="A185" s="63">
        <v>179</v>
      </c>
      <c r="B185" s="102" t="s">
        <v>3520</v>
      </c>
      <c r="C185" s="102" t="s">
        <v>3521</v>
      </c>
      <c r="D185" s="64" t="s">
        <v>119</v>
      </c>
      <c r="E185" s="106" t="s">
        <v>3524</v>
      </c>
      <c r="F185" s="120" t="s">
        <v>3712</v>
      </c>
      <c r="G185" s="108">
        <v>8</v>
      </c>
      <c r="H185" s="38" t="s">
        <v>3717</v>
      </c>
      <c r="I185" s="38"/>
      <c r="J185" s="38"/>
      <c r="K185" s="109" t="s">
        <v>3718</v>
      </c>
      <c r="L185" s="109"/>
      <c r="M185" s="109"/>
      <c r="N185" s="109"/>
      <c r="O185" s="109"/>
      <c r="P185" s="108">
        <v>1002</v>
      </c>
      <c r="Q185" s="108">
        <v>209</v>
      </c>
      <c r="R185" s="112"/>
      <c r="S185" s="113"/>
      <c r="T185" s="113"/>
      <c r="U185" s="38"/>
      <c r="V185" s="38"/>
      <c r="W185" s="38"/>
      <c r="X185" s="38"/>
      <c r="Y185" s="38"/>
      <c r="Z185" s="115"/>
      <c r="AA185" s="38"/>
      <c r="AB185" s="38"/>
      <c r="AC185" s="38"/>
      <c r="AD185" s="38"/>
      <c r="AE185" s="38"/>
      <c r="AF185" s="38"/>
      <c r="AG185" s="17"/>
      <c r="AH185" s="24"/>
      <c r="AI185" s="25"/>
      <c r="AJ185" s="25"/>
    </row>
    <row r="186" spans="1:36" x14ac:dyDescent="0.3">
      <c r="A186" s="63">
        <v>180</v>
      </c>
      <c r="B186" s="102" t="s">
        <v>3520</v>
      </c>
      <c r="C186" s="102" t="s">
        <v>3521</v>
      </c>
      <c r="D186" s="64" t="s">
        <v>119</v>
      </c>
      <c r="E186" s="106" t="s">
        <v>3524</v>
      </c>
      <c r="F186" s="120" t="s">
        <v>3712</v>
      </c>
      <c r="G186" s="108">
        <v>9</v>
      </c>
      <c r="H186" s="38" t="s">
        <v>3717</v>
      </c>
      <c r="I186" s="38"/>
      <c r="J186" s="38"/>
      <c r="K186" s="109" t="s">
        <v>3547</v>
      </c>
      <c r="L186" s="109"/>
      <c r="M186" s="109"/>
      <c r="N186" s="109"/>
      <c r="O186" s="109"/>
      <c r="P186" s="108">
        <v>1869</v>
      </c>
      <c r="Q186" s="121">
        <v>369</v>
      </c>
      <c r="R186" s="112"/>
      <c r="S186" s="113"/>
      <c r="T186" s="113"/>
      <c r="U186" s="38"/>
      <c r="V186" s="38"/>
      <c r="W186" s="38"/>
      <c r="X186" s="38"/>
      <c r="Y186" s="38"/>
      <c r="Z186" s="115"/>
      <c r="AA186" s="38"/>
      <c r="AB186" s="38"/>
      <c r="AC186" s="38"/>
      <c r="AD186" s="38"/>
      <c r="AE186" s="38"/>
      <c r="AF186" s="38"/>
      <c r="AG186" s="17"/>
      <c r="AH186" s="24"/>
      <c r="AI186" s="25"/>
      <c r="AJ186" s="25"/>
    </row>
    <row r="187" spans="1:36" x14ac:dyDescent="0.3">
      <c r="A187" s="63">
        <v>181</v>
      </c>
      <c r="B187" s="102" t="s">
        <v>3520</v>
      </c>
      <c r="C187" s="102" t="s">
        <v>3521</v>
      </c>
      <c r="D187" s="64" t="s">
        <v>119</v>
      </c>
      <c r="E187" s="106" t="s">
        <v>3524</v>
      </c>
      <c r="F187" s="120" t="s">
        <v>3720</v>
      </c>
      <c r="G187" s="108">
        <v>1</v>
      </c>
      <c r="H187" s="38" t="s">
        <v>3721</v>
      </c>
      <c r="I187" s="38"/>
      <c r="J187" s="38"/>
      <c r="K187" s="109" t="s">
        <v>3722</v>
      </c>
      <c r="L187" s="109"/>
      <c r="M187" s="109"/>
      <c r="N187" s="109"/>
      <c r="O187" s="109"/>
      <c r="P187" s="108">
        <v>3081</v>
      </c>
      <c r="Q187" s="108">
        <v>633</v>
      </c>
      <c r="R187" s="112"/>
      <c r="S187" s="113">
        <v>14</v>
      </c>
      <c r="T187" s="113"/>
      <c r="U187" s="38"/>
      <c r="V187" s="38"/>
      <c r="W187" s="38"/>
      <c r="X187" s="38"/>
      <c r="Y187" s="38"/>
      <c r="Z187" s="115"/>
      <c r="AA187" s="38"/>
      <c r="AB187" s="38"/>
      <c r="AC187" s="38"/>
      <c r="AD187" s="38"/>
      <c r="AE187" s="38"/>
      <c r="AF187" s="38"/>
      <c r="AG187" s="17"/>
      <c r="AH187" s="24"/>
      <c r="AI187" s="25"/>
      <c r="AJ187" s="25"/>
    </row>
    <row r="188" spans="1:36" x14ac:dyDescent="0.3">
      <c r="A188" s="63">
        <v>182</v>
      </c>
      <c r="B188" s="102" t="s">
        <v>3520</v>
      </c>
      <c r="C188" s="102" t="s">
        <v>3521</v>
      </c>
      <c r="D188" s="64" t="s">
        <v>119</v>
      </c>
      <c r="E188" s="106" t="s">
        <v>3524</v>
      </c>
      <c r="F188" s="120" t="s">
        <v>3720</v>
      </c>
      <c r="G188" s="108">
        <v>2</v>
      </c>
      <c r="H188" s="38" t="s">
        <v>3721</v>
      </c>
      <c r="I188" s="38"/>
      <c r="J188" s="38"/>
      <c r="K188" s="109" t="s">
        <v>3723</v>
      </c>
      <c r="L188" s="109"/>
      <c r="M188" s="109"/>
      <c r="N188" s="109"/>
      <c r="O188" s="109"/>
      <c r="P188" s="108">
        <v>1814</v>
      </c>
      <c r="Q188" s="121">
        <v>360</v>
      </c>
      <c r="R188" s="112"/>
      <c r="S188" s="113"/>
      <c r="T188" s="113"/>
      <c r="U188" s="38"/>
      <c r="V188" s="38"/>
      <c r="W188" s="38"/>
      <c r="X188" s="38"/>
      <c r="Y188" s="38"/>
      <c r="Z188" s="115"/>
      <c r="AA188" s="38"/>
      <c r="AB188" s="38"/>
      <c r="AC188" s="38"/>
      <c r="AD188" s="38"/>
      <c r="AE188" s="38"/>
      <c r="AF188" s="38"/>
      <c r="AG188" s="17"/>
      <c r="AH188" s="24"/>
      <c r="AI188" s="25"/>
      <c r="AJ188" s="25"/>
    </row>
    <row r="189" spans="1:36" x14ac:dyDescent="0.3">
      <c r="A189" s="63">
        <v>183</v>
      </c>
      <c r="B189" s="102" t="s">
        <v>3520</v>
      </c>
      <c r="C189" s="102" t="s">
        <v>3521</v>
      </c>
      <c r="D189" s="64" t="s">
        <v>119</v>
      </c>
      <c r="E189" s="106" t="s">
        <v>3524</v>
      </c>
      <c r="F189" s="120" t="s">
        <v>3720</v>
      </c>
      <c r="G189" s="108">
        <v>3</v>
      </c>
      <c r="H189" s="38" t="s">
        <v>3721</v>
      </c>
      <c r="I189" s="38"/>
      <c r="J189" s="38"/>
      <c r="K189" s="109" t="s">
        <v>3724</v>
      </c>
      <c r="L189" s="109"/>
      <c r="M189" s="109"/>
      <c r="N189" s="109"/>
      <c r="O189" s="109"/>
      <c r="P189" s="108">
        <v>2392</v>
      </c>
      <c r="Q189" s="108">
        <v>451</v>
      </c>
      <c r="R189" s="112"/>
      <c r="S189" s="113"/>
      <c r="T189" s="113"/>
      <c r="U189" s="38"/>
      <c r="V189" s="38"/>
      <c r="W189" s="38"/>
      <c r="X189" s="38"/>
      <c r="Y189" s="38"/>
      <c r="Z189" s="115"/>
      <c r="AA189" s="38"/>
      <c r="AB189" s="38"/>
      <c r="AC189" s="38"/>
      <c r="AD189" s="38"/>
      <c r="AE189" s="38"/>
      <c r="AF189" s="38"/>
      <c r="AG189" s="17"/>
      <c r="AH189" s="24"/>
      <c r="AI189" s="25"/>
      <c r="AJ189" s="25"/>
    </row>
    <row r="190" spans="1:36" x14ac:dyDescent="0.3">
      <c r="A190" s="63">
        <v>184</v>
      </c>
      <c r="B190" s="102" t="s">
        <v>3520</v>
      </c>
      <c r="C190" s="102" t="s">
        <v>3521</v>
      </c>
      <c r="D190" s="64" t="s">
        <v>119</v>
      </c>
      <c r="E190" s="106" t="s">
        <v>3524</v>
      </c>
      <c r="F190" s="120" t="s">
        <v>3720</v>
      </c>
      <c r="G190" s="108">
        <v>4</v>
      </c>
      <c r="H190" s="38" t="s">
        <v>3721</v>
      </c>
      <c r="I190" s="38"/>
      <c r="J190" s="38"/>
      <c r="K190" s="109" t="s">
        <v>3724</v>
      </c>
      <c r="L190" s="109"/>
      <c r="M190" s="109"/>
      <c r="N190" s="109"/>
      <c r="O190" s="109"/>
      <c r="P190" s="108">
        <v>2681</v>
      </c>
      <c r="Q190" s="108">
        <v>496</v>
      </c>
      <c r="R190" s="112"/>
      <c r="S190" s="113"/>
      <c r="T190" s="113"/>
      <c r="U190" s="38"/>
      <c r="V190" s="38"/>
      <c r="W190" s="38"/>
      <c r="X190" s="38"/>
      <c r="Y190" s="38"/>
      <c r="Z190" s="115"/>
      <c r="AA190" s="38"/>
      <c r="AB190" s="38"/>
      <c r="AC190" s="38"/>
      <c r="AD190" s="38"/>
      <c r="AE190" s="38"/>
      <c r="AF190" s="38"/>
      <c r="AG190" s="17"/>
      <c r="AH190" s="24"/>
      <c r="AI190" s="25"/>
      <c r="AJ190" s="25"/>
    </row>
    <row r="191" spans="1:36" x14ac:dyDescent="0.3">
      <c r="A191" s="63">
        <v>185</v>
      </c>
      <c r="B191" s="102" t="s">
        <v>3520</v>
      </c>
      <c r="C191" s="102" t="s">
        <v>3521</v>
      </c>
      <c r="D191" s="64" t="s">
        <v>119</v>
      </c>
      <c r="E191" s="106" t="s">
        <v>3524</v>
      </c>
      <c r="F191" s="120" t="s">
        <v>3720</v>
      </c>
      <c r="G191" s="108">
        <v>5</v>
      </c>
      <c r="H191" s="38" t="s">
        <v>3725</v>
      </c>
      <c r="I191" s="38"/>
      <c r="J191" s="38"/>
      <c r="K191" s="109" t="s">
        <v>3726</v>
      </c>
      <c r="L191" s="109"/>
      <c r="M191" s="109"/>
      <c r="N191" s="109"/>
      <c r="O191" s="109"/>
      <c r="P191" s="108">
        <v>2114</v>
      </c>
      <c r="Q191" s="108">
        <v>404</v>
      </c>
      <c r="R191" s="112"/>
      <c r="S191" s="113"/>
      <c r="T191" s="113"/>
      <c r="U191" s="38"/>
      <c r="V191" s="38"/>
      <c r="W191" s="38"/>
      <c r="X191" s="38"/>
      <c r="Y191" s="38"/>
      <c r="Z191" s="115"/>
      <c r="AA191" s="38"/>
      <c r="AB191" s="38"/>
      <c r="AC191" s="38"/>
      <c r="AD191" s="38"/>
      <c r="AE191" s="38"/>
      <c r="AF191" s="38"/>
      <c r="AG191" s="17"/>
      <c r="AH191" s="24"/>
      <c r="AI191" s="25"/>
      <c r="AJ191" s="25"/>
    </row>
    <row r="192" spans="1:36" x14ac:dyDescent="0.3">
      <c r="A192" s="63">
        <v>186</v>
      </c>
      <c r="B192" s="102" t="s">
        <v>3520</v>
      </c>
      <c r="C192" s="102" t="s">
        <v>3521</v>
      </c>
      <c r="D192" s="64" t="s">
        <v>119</v>
      </c>
      <c r="E192" s="106" t="s">
        <v>3524</v>
      </c>
      <c r="F192" s="120" t="s">
        <v>3720</v>
      </c>
      <c r="G192" s="108">
        <v>6</v>
      </c>
      <c r="H192" s="38" t="s">
        <v>3725</v>
      </c>
      <c r="I192" s="38"/>
      <c r="J192" s="38"/>
      <c r="K192" s="109" t="s">
        <v>3727</v>
      </c>
      <c r="L192" s="109"/>
      <c r="M192" s="109"/>
      <c r="N192" s="109"/>
      <c r="O192" s="109"/>
      <c r="P192" s="108">
        <v>2096</v>
      </c>
      <c r="Q192" s="108">
        <v>437</v>
      </c>
      <c r="R192" s="112"/>
      <c r="S192" s="113"/>
      <c r="T192" s="113"/>
      <c r="U192" s="38"/>
      <c r="V192" s="38"/>
      <c r="W192" s="38"/>
      <c r="X192" s="38"/>
      <c r="Y192" s="38"/>
      <c r="Z192" s="115"/>
      <c r="AA192" s="38"/>
      <c r="AB192" s="38"/>
      <c r="AC192" s="38"/>
      <c r="AD192" s="38"/>
      <c r="AE192" s="38"/>
      <c r="AF192" s="38"/>
      <c r="AG192" s="17"/>
      <c r="AH192" s="24"/>
      <c r="AI192" s="25"/>
      <c r="AJ192" s="25"/>
    </row>
    <row r="193" spans="1:36" x14ac:dyDescent="0.3">
      <c r="A193" s="63">
        <v>187</v>
      </c>
      <c r="B193" s="102" t="s">
        <v>3520</v>
      </c>
      <c r="C193" s="102" t="s">
        <v>3521</v>
      </c>
      <c r="D193" s="64" t="s">
        <v>119</v>
      </c>
      <c r="E193" s="106" t="s">
        <v>3524</v>
      </c>
      <c r="F193" s="120" t="s">
        <v>3720</v>
      </c>
      <c r="G193" s="108">
        <v>7</v>
      </c>
      <c r="H193" s="38" t="s">
        <v>3725</v>
      </c>
      <c r="I193" s="38"/>
      <c r="J193" s="38"/>
      <c r="K193" s="109" t="s">
        <v>3728</v>
      </c>
      <c r="L193" s="109"/>
      <c r="M193" s="109"/>
      <c r="N193" s="109"/>
      <c r="O193" s="109"/>
      <c r="P193" s="108">
        <v>1927</v>
      </c>
      <c r="Q193" s="108">
        <v>369</v>
      </c>
      <c r="R193" s="112"/>
      <c r="S193" s="113"/>
      <c r="T193" s="113"/>
      <c r="U193" s="38"/>
      <c r="V193" s="38"/>
      <c r="W193" s="38"/>
      <c r="X193" s="38"/>
      <c r="Y193" s="38"/>
      <c r="Z193" s="115"/>
      <c r="AA193" s="38"/>
      <c r="AB193" s="38"/>
      <c r="AC193" s="38"/>
      <c r="AD193" s="38"/>
      <c r="AE193" s="38"/>
      <c r="AF193" s="38"/>
      <c r="AG193" s="17"/>
      <c r="AH193" s="24"/>
      <c r="AI193" s="25"/>
      <c r="AJ193" s="25"/>
    </row>
    <row r="194" spans="1:36" x14ac:dyDescent="0.3">
      <c r="A194" s="63">
        <v>188</v>
      </c>
      <c r="B194" s="102" t="s">
        <v>3520</v>
      </c>
      <c r="C194" s="102" t="s">
        <v>3521</v>
      </c>
      <c r="D194" s="64" t="s">
        <v>119</v>
      </c>
      <c r="E194" s="106" t="s">
        <v>3524</v>
      </c>
      <c r="F194" s="120" t="s">
        <v>3720</v>
      </c>
      <c r="G194" s="108">
        <v>8</v>
      </c>
      <c r="H194" s="38" t="s">
        <v>3721</v>
      </c>
      <c r="I194" s="38"/>
      <c r="J194" s="38"/>
      <c r="K194" s="109" t="s">
        <v>3729</v>
      </c>
      <c r="L194" s="109"/>
      <c r="M194" s="109"/>
      <c r="N194" s="109"/>
      <c r="O194" s="109"/>
      <c r="P194" s="108">
        <v>3394</v>
      </c>
      <c r="Q194" s="108">
        <v>652</v>
      </c>
      <c r="R194" s="112"/>
      <c r="S194" s="113"/>
      <c r="T194" s="113"/>
      <c r="U194" s="38"/>
      <c r="V194" s="38"/>
      <c r="W194" s="38"/>
      <c r="X194" s="38"/>
      <c r="Y194" s="38"/>
      <c r="Z194" s="115"/>
      <c r="AA194" s="38"/>
      <c r="AB194" s="38"/>
      <c r="AC194" s="38"/>
      <c r="AD194" s="38"/>
      <c r="AE194" s="38"/>
      <c r="AF194" s="38"/>
      <c r="AG194" s="17"/>
      <c r="AH194" s="24"/>
      <c r="AI194" s="25"/>
      <c r="AJ194" s="25"/>
    </row>
    <row r="195" spans="1:36" x14ac:dyDescent="0.3">
      <c r="A195" s="63">
        <v>189</v>
      </c>
      <c r="B195" s="102" t="s">
        <v>3520</v>
      </c>
      <c r="C195" s="102" t="s">
        <v>3521</v>
      </c>
      <c r="D195" s="64" t="s">
        <v>119</v>
      </c>
      <c r="E195" s="106" t="s">
        <v>3524</v>
      </c>
      <c r="F195" s="120" t="s">
        <v>3720</v>
      </c>
      <c r="G195" s="108">
        <v>9</v>
      </c>
      <c r="H195" s="38" t="s">
        <v>3725</v>
      </c>
      <c r="I195" s="38"/>
      <c r="J195" s="38"/>
      <c r="K195" s="109" t="s">
        <v>3730</v>
      </c>
      <c r="L195" s="109"/>
      <c r="M195" s="109"/>
      <c r="N195" s="109"/>
      <c r="O195" s="109"/>
      <c r="P195" s="108">
        <v>3178</v>
      </c>
      <c r="Q195" s="108">
        <v>614</v>
      </c>
      <c r="R195" s="112"/>
      <c r="S195" s="113"/>
      <c r="T195" s="113"/>
      <c r="U195" s="38"/>
      <c r="V195" s="38"/>
      <c r="W195" s="38"/>
      <c r="X195" s="38"/>
      <c r="Y195" s="38"/>
      <c r="Z195" s="115"/>
      <c r="AA195" s="38"/>
      <c r="AB195" s="38"/>
      <c r="AC195" s="38"/>
      <c r="AD195" s="38"/>
      <c r="AE195" s="38"/>
      <c r="AF195" s="38"/>
      <c r="AG195" s="17"/>
      <c r="AH195" s="24"/>
      <c r="AI195" s="25"/>
      <c r="AJ195" s="25"/>
    </row>
    <row r="196" spans="1:36" x14ac:dyDescent="0.3">
      <c r="A196" s="63">
        <v>190</v>
      </c>
      <c r="B196" s="102" t="s">
        <v>3520</v>
      </c>
      <c r="C196" s="102" t="s">
        <v>3521</v>
      </c>
      <c r="D196" s="64" t="s">
        <v>119</v>
      </c>
      <c r="E196" s="106" t="s">
        <v>3524</v>
      </c>
      <c r="F196" s="120" t="s">
        <v>3731</v>
      </c>
      <c r="G196" s="108">
        <v>1</v>
      </c>
      <c r="H196" s="38" t="s">
        <v>3732</v>
      </c>
      <c r="I196" s="38"/>
      <c r="J196" s="38"/>
      <c r="K196" s="109" t="s">
        <v>3733</v>
      </c>
      <c r="L196" s="109"/>
      <c r="M196" s="109"/>
      <c r="N196" s="109"/>
      <c r="O196" s="109"/>
      <c r="P196" s="110">
        <v>2033</v>
      </c>
      <c r="Q196" s="110">
        <v>356</v>
      </c>
      <c r="R196" s="112"/>
      <c r="S196" s="113">
        <v>99</v>
      </c>
      <c r="T196" s="113"/>
      <c r="U196" s="38"/>
      <c r="V196" s="38"/>
      <c r="W196" s="38"/>
      <c r="X196" s="38"/>
      <c r="Y196" s="38"/>
      <c r="Z196" s="115"/>
      <c r="AA196" s="38"/>
      <c r="AB196" s="38"/>
      <c r="AC196" s="38"/>
      <c r="AD196" s="38"/>
      <c r="AE196" s="38"/>
      <c r="AF196" s="38"/>
      <c r="AG196" s="17"/>
      <c r="AH196" s="24"/>
      <c r="AI196" s="25"/>
      <c r="AJ196" s="25"/>
    </row>
    <row r="197" spans="1:36" x14ac:dyDescent="0.3">
      <c r="A197" s="63">
        <v>191</v>
      </c>
      <c r="B197" s="102" t="s">
        <v>3520</v>
      </c>
      <c r="C197" s="102" t="s">
        <v>3521</v>
      </c>
      <c r="D197" s="64" t="s">
        <v>119</v>
      </c>
      <c r="E197" s="106" t="s">
        <v>3524</v>
      </c>
      <c r="F197" s="120" t="s">
        <v>3731</v>
      </c>
      <c r="G197" s="108">
        <v>2</v>
      </c>
      <c r="H197" s="38" t="s">
        <v>3734</v>
      </c>
      <c r="I197" s="38"/>
      <c r="J197" s="38"/>
      <c r="K197" s="109" t="s">
        <v>3541</v>
      </c>
      <c r="L197" s="109"/>
      <c r="M197" s="109"/>
      <c r="N197" s="109"/>
      <c r="O197" s="109"/>
      <c r="P197" s="110">
        <v>772</v>
      </c>
      <c r="Q197" s="110">
        <v>166</v>
      </c>
      <c r="R197" s="112"/>
      <c r="S197" s="113"/>
      <c r="T197" s="113"/>
      <c r="U197" s="38"/>
      <c r="V197" s="38"/>
      <c r="W197" s="38"/>
      <c r="X197" s="38"/>
      <c r="Y197" s="38"/>
      <c r="Z197" s="115"/>
      <c r="AA197" s="38"/>
      <c r="AB197" s="38"/>
      <c r="AC197" s="38"/>
      <c r="AD197" s="38"/>
      <c r="AE197" s="38"/>
      <c r="AF197" s="38"/>
      <c r="AG197" s="17"/>
      <c r="AH197" s="24"/>
      <c r="AI197" s="25"/>
      <c r="AJ197" s="25"/>
    </row>
    <row r="198" spans="1:36" x14ac:dyDescent="0.3">
      <c r="A198" s="63">
        <v>192</v>
      </c>
      <c r="B198" s="102" t="s">
        <v>3520</v>
      </c>
      <c r="C198" s="102" t="s">
        <v>3521</v>
      </c>
      <c r="D198" s="64" t="s">
        <v>119</v>
      </c>
      <c r="E198" s="106" t="s">
        <v>3524</v>
      </c>
      <c r="F198" s="120" t="s">
        <v>3731</v>
      </c>
      <c r="G198" s="108">
        <v>2</v>
      </c>
      <c r="H198" s="38" t="s">
        <v>3734</v>
      </c>
      <c r="I198" s="38"/>
      <c r="J198" s="38"/>
      <c r="K198" s="109" t="s">
        <v>3735</v>
      </c>
      <c r="L198" s="109"/>
      <c r="M198" s="109"/>
      <c r="N198" s="109"/>
      <c r="O198" s="109"/>
      <c r="P198" s="110">
        <v>764</v>
      </c>
      <c r="Q198" s="110">
        <v>166</v>
      </c>
      <c r="R198" s="112"/>
      <c r="S198" s="113"/>
      <c r="T198" s="113"/>
      <c r="U198" s="38"/>
      <c r="V198" s="38"/>
      <c r="W198" s="38"/>
      <c r="X198" s="38"/>
      <c r="Y198" s="38"/>
      <c r="Z198" s="115"/>
      <c r="AA198" s="38"/>
      <c r="AB198" s="38"/>
      <c r="AC198" s="38"/>
      <c r="AD198" s="38"/>
      <c r="AE198" s="38"/>
      <c r="AF198" s="38"/>
      <c r="AG198" s="17"/>
      <c r="AH198" s="24"/>
      <c r="AI198" s="25"/>
      <c r="AJ198" s="25"/>
    </row>
    <row r="199" spans="1:36" x14ac:dyDescent="0.3">
      <c r="A199" s="63">
        <v>193</v>
      </c>
      <c r="B199" s="102" t="s">
        <v>3520</v>
      </c>
      <c r="C199" s="102" t="s">
        <v>3521</v>
      </c>
      <c r="D199" s="64" t="s">
        <v>119</v>
      </c>
      <c r="E199" s="106" t="s">
        <v>3524</v>
      </c>
      <c r="F199" s="120" t="s">
        <v>3731</v>
      </c>
      <c r="G199" s="108">
        <v>2</v>
      </c>
      <c r="H199" s="38" t="s">
        <v>3734</v>
      </c>
      <c r="I199" s="38"/>
      <c r="J199" s="38"/>
      <c r="K199" s="109" t="s">
        <v>3736</v>
      </c>
      <c r="L199" s="109"/>
      <c r="M199" s="109"/>
      <c r="N199" s="109"/>
      <c r="O199" s="109"/>
      <c r="P199" s="108">
        <v>663</v>
      </c>
      <c r="Q199" s="108">
        <v>135</v>
      </c>
      <c r="R199" s="112"/>
      <c r="S199" s="113"/>
      <c r="T199" s="113"/>
      <c r="U199" s="38"/>
      <c r="V199" s="38"/>
      <c r="W199" s="38"/>
      <c r="X199" s="38"/>
      <c r="Y199" s="38"/>
      <c r="Z199" s="115"/>
      <c r="AA199" s="38"/>
      <c r="AB199" s="38"/>
      <c r="AC199" s="38"/>
      <c r="AD199" s="38"/>
      <c r="AE199" s="38"/>
      <c r="AF199" s="38"/>
      <c r="AG199" s="17"/>
      <c r="AH199" s="24"/>
      <c r="AI199" s="25"/>
      <c r="AJ199" s="25"/>
    </row>
    <row r="200" spans="1:36" x14ac:dyDescent="0.3">
      <c r="A200" s="63">
        <v>194</v>
      </c>
      <c r="B200" s="102" t="s">
        <v>3520</v>
      </c>
      <c r="C200" s="102" t="s">
        <v>3521</v>
      </c>
      <c r="D200" s="64" t="s">
        <v>119</v>
      </c>
      <c r="E200" s="106" t="s">
        <v>3524</v>
      </c>
      <c r="F200" s="120" t="s">
        <v>3731</v>
      </c>
      <c r="G200" s="108">
        <v>2</v>
      </c>
      <c r="H200" s="38" t="s">
        <v>3734</v>
      </c>
      <c r="I200" s="38"/>
      <c r="J200" s="38"/>
      <c r="K200" s="109" t="s">
        <v>3643</v>
      </c>
      <c r="L200" s="109"/>
      <c r="M200" s="109"/>
      <c r="N200" s="109"/>
      <c r="O200" s="109"/>
      <c r="P200" s="110">
        <v>346</v>
      </c>
      <c r="Q200" s="121">
        <v>70</v>
      </c>
      <c r="R200" s="112"/>
      <c r="S200" s="113"/>
      <c r="T200" s="113"/>
      <c r="U200" s="38"/>
      <c r="V200" s="38"/>
      <c r="W200" s="38"/>
      <c r="X200" s="38"/>
      <c r="Y200" s="38"/>
      <c r="Z200" s="115"/>
      <c r="AA200" s="38"/>
      <c r="AB200" s="38"/>
      <c r="AC200" s="38"/>
      <c r="AD200" s="38"/>
      <c r="AE200" s="38"/>
      <c r="AF200" s="38"/>
      <c r="AG200" s="17"/>
      <c r="AH200" s="24"/>
      <c r="AI200" s="25"/>
      <c r="AJ200" s="25"/>
    </row>
    <row r="201" spans="1:36" x14ac:dyDescent="0.3">
      <c r="A201" s="63">
        <v>195</v>
      </c>
      <c r="B201" s="102" t="s">
        <v>3520</v>
      </c>
      <c r="C201" s="102" t="s">
        <v>3521</v>
      </c>
      <c r="D201" s="64" t="s">
        <v>119</v>
      </c>
      <c r="E201" s="106" t="s">
        <v>3524</v>
      </c>
      <c r="F201" s="120" t="s">
        <v>3731</v>
      </c>
      <c r="G201" s="108">
        <v>2</v>
      </c>
      <c r="H201" s="38" t="s">
        <v>3734</v>
      </c>
      <c r="I201" s="38"/>
      <c r="J201" s="38"/>
      <c r="K201" s="109" t="s">
        <v>3737</v>
      </c>
      <c r="L201" s="109"/>
      <c r="M201" s="109"/>
      <c r="N201" s="109"/>
      <c r="O201" s="109"/>
      <c r="P201" s="110">
        <v>1351</v>
      </c>
      <c r="Q201" s="121">
        <v>258</v>
      </c>
      <c r="R201" s="118"/>
      <c r="S201" s="113"/>
      <c r="T201" s="117"/>
      <c r="U201" s="38"/>
      <c r="V201" s="38"/>
      <c r="W201" s="38"/>
      <c r="X201" s="38"/>
      <c r="Y201" s="38"/>
      <c r="Z201" s="115"/>
      <c r="AA201" s="38"/>
      <c r="AB201" s="38"/>
      <c r="AC201" s="38"/>
      <c r="AD201" s="38"/>
      <c r="AE201" s="38"/>
      <c r="AF201" s="38"/>
      <c r="AG201" s="17"/>
      <c r="AH201" s="24"/>
      <c r="AI201" s="25"/>
      <c r="AJ201" s="25"/>
    </row>
    <row r="202" spans="1:36" x14ac:dyDescent="0.3">
      <c r="A202" s="63">
        <v>196</v>
      </c>
      <c r="B202" s="102" t="s">
        <v>3520</v>
      </c>
      <c r="C202" s="102" t="s">
        <v>3521</v>
      </c>
      <c r="D202" s="64" t="s">
        <v>119</v>
      </c>
      <c r="E202" s="106" t="s">
        <v>3524</v>
      </c>
      <c r="F202" s="120" t="s">
        <v>3731</v>
      </c>
      <c r="G202" s="108">
        <v>3</v>
      </c>
      <c r="H202" s="38" t="s">
        <v>3738</v>
      </c>
      <c r="I202" s="38"/>
      <c r="J202" s="38"/>
      <c r="K202" s="109" t="s">
        <v>3542</v>
      </c>
      <c r="L202" s="109"/>
      <c r="M202" s="109"/>
      <c r="N202" s="109"/>
      <c r="O202" s="109"/>
      <c r="P202" s="110">
        <v>1269</v>
      </c>
      <c r="Q202" s="110">
        <v>244</v>
      </c>
      <c r="R202" s="112"/>
      <c r="S202" s="113"/>
      <c r="T202" s="113"/>
      <c r="U202" s="38"/>
      <c r="V202" s="38"/>
      <c r="W202" s="38"/>
      <c r="X202" s="38"/>
      <c r="Y202" s="38"/>
      <c r="Z202" s="115"/>
      <c r="AA202" s="38"/>
      <c r="AB202" s="38"/>
      <c r="AC202" s="38"/>
      <c r="AD202" s="38"/>
      <c r="AE202" s="38"/>
      <c r="AF202" s="38"/>
      <c r="AG202" s="17"/>
      <c r="AH202" s="24"/>
      <c r="AI202" s="25"/>
      <c r="AJ202" s="25"/>
    </row>
    <row r="203" spans="1:36" x14ac:dyDescent="0.3">
      <c r="A203" s="63">
        <v>197</v>
      </c>
      <c r="B203" s="102" t="s">
        <v>3520</v>
      </c>
      <c r="C203" s="102" t="s">
        <v>3521</v>
      </c>
      <c r="D203" s="64" t="s">
        <v>119</v>
      </c>
      <c r="E203" s="106" t="s">
        <v>3524</v>
      </c>
      <c r="F203" s="120" t="s">
        <v>3731</v>
      </c>
      <c r="G203" s="108">
        <v>3</v>
      </c>
      <c r="H203" s="38" t="s">
        <v>3739</v>
      </c>
      <c r="I203" s="38"/>
      <c r="J203" s="38"/>
      <c r="K203" s="109" t="s">
        <v>3740</v>
      </c>
      <c r="L203" s="109"/>
      <c r="M203" s="109"/>
      <c r="N203" s="109"/>
      <c r="O203" s="109"/>
      <c r="P203" s="110">
        <v>2586</v>
      </c>
      <c r="Q203" s="110">
        <v>489</v>
      </c>
      <c r="R203" s="112"/>
      <c r="S203" s="113">
        <v>40</v>
      </c>
      <c r="T203" s="113"/>
      <c r="U203" s="38"/>
      <c r="V203" s="38"/>
      <c r="W203" s="38"/>
      <c r="X203" s="38"/>
      <c r="Y203" s="38"/>
      <c r="Z203" s="115"/>
      <c r="AA203" s="38"/>
      <c r="AB203" s="38"/>
      <c r="AC203" s="38"/>
      <c r="AD203" s="38"/>
      <c r="AE203" s="38"/>
      <c r="AF203" s="38"/>
      <c r="AG203" s="17"/>
      <c r="AH203" s="24"/>
      <c r="AI203" s="25"/>
      <c r="AJ203" s="25"/>
    </row>
    <row r="204" spans="1:36" x14ac:dyDescent="0.3">
      <c r="A204" s="63">
        <v>198</v>
      </c>
      <c r="B204" s="102" t="s">
        <v>3520</v>
      </c>
      <c r="C204" s="102" t="s">
        <v>3521</v>
      </c>
      <c r="D204" s="64" t="s">
        <v>119</v>
      </c>
      <c r="E204" s="106" t="s">
        <v>3524</v>
      </c>
      <c r="F204" s="120" t="s">
        <v>3731</v>
      </c>
      <c r="G204" s="108">
        <v>3</v>
      </c>
      <c r="H204" s="38" t="s">
        <v>3739</v>
      </c>
      <c r="I204" s="38"/>
      <c r="J204" s="38"/>
      <c r="K204" s="109" t="s">
        <v>3566</v>
      </c>
      <c r="L204" s="109"/>
      <c r="M204" s="109"/>
      <c r="N204" s="109"/>
      <c r="O204" s="109"/>
      <c r="P204" s="110">
        <v>235</v>
      </c>
      <c r="Q204" s="108">
        <v>45</v>
      </c>
      <c r="R204" s="112"/>
      <c r="S204" s="113"/>
      <c r="T204" s="113"/>
      <c r="U204" s="38"/>
      <c r="V204" s="38"/>
      <c r="W204" s="38"/>
      <c r="X204" s="38"/>
      <c r="Y204" s="38"/>
      <c r="Z204" s="115"/>
      <c r="AA204" s="38"/>
      <c r="AB204" s="38"/>
      <c r="AC204" s="38"/>
      <c r="AD204" s="38"/>
      <c r="AE204" s="38"/>
      <c r="AF204" s="38"/>
      <c r="AG204" s="17"/>
      <c r="AH204" s="24"/>
      <c r="AI204" s="25"/>
      <c r="AJ204" s="25"/>
    </row>
    <row r="205" spans="1:36" x14ac:dyDescent="0.3">
      <c r="A205" s="63">
        <v>199</v>
      </c>
      <c r="B205" s="102" t="s">
        <v>3520</v>
      </c>
      <c r="C205" s="102" t="s">
        <v>3521</v>
      </c>
      <c r="D205" s="64" t="s">
        <v>119</v>
      </c>
      <c r="E205" s="106" t="s">
        <v>3524</v>
      </c>
      <c r="F205" s="120" t="s">
        <v>3731</v>
      </c>
      <c r="G205" s="108">
        <v>3</v>
      </c>
      <c r="H205" s="38" t="s">
        <v>3738</v>
      </c>
      <c r="I205" s="38"/>
      <c r="J205" s="38"/>
      <c r="K205" s="109" t="s">
        <v>3741</v>
      </c>
      <c r="L205" s="109"/>
      <c r="M205" s="109"/>
      <c r="N205" s="109"/>
      <c r="O205" s="109"/>
      <c r="P205" s="110">
        <v>2192</v>
      </c>
      <c r="Q205" s="110">
        <v>404</v>
      </c>
      <c r="R205" s="112"/>
      <c r="S205" s="113">
        <f>117+820</f>
        <v>937</v>
      </c>
      <c r="T205" s="113"/>
      <c r="U205" s="38"/>
      <c r="V205" s="38"/>
      <c r="W205" s="38"/>
      <c r="X205" s="38"/>
      <c r="Y205" s="38"/>
      <c r="Z205" s="115"/>
      <c r="AA205" s="38"/>
      <c r="AB205" s="38"/>
      <c r="AC205" s="38"/>
      <c r="AD205" s="38"/>
      <c r="AE205" s="38"/>
      <c r="AF205" s="38"/>
      <c r="AG205" s="17"/>
      <c r="AH205" s="24"/>
      <c r="AI205" s="25"/>
      <c r="AJ205" s="25"/>
    </row>
    <row r="206" spans="1:36" x14ac:dyDescent="0.3">
      <c r="A206" s="63">
        <v>200</v>
      </c>
      <c r="B206" s="102" t="s">
        <v>3520</v>
      </c>
      <c r="C206" s="102" t="s">
        <v>3521</v>
      </c>
      <c r="D206" s="64" t="s">
        <v>119</v>
      </c>
      <c r="E206" s="106" t="s">
        <v>3524</v>
      </c>
      <c r="F206" s="120" t="s">
        <v>3731</v>
      </c>
      <c r="G206" s="108">
        <v>3</v>
      </c>
      <c r="H206" s="38" t="s">
        <v>3738</v>
      </c>
      <c r="I206" s="38"/>
      <c r="J206" s="38"/>
      <c r="K206" s="109" t="s">
        <v>3584</v>
      </c>
      <c r="L206" s="109"/>
      <c r="M206" s="109"/>
      <c r="N206" s="109"/>
      <c r="O206" s="109"/>
      <c r="P206" s="108">
        <v>3410</v>
      </c>
      <c r="Q206" s="108">
        <v>637</v>
      </c>
      <c r="R206" s="112"/>
      <c r="S206" s="113">
        <v>198</v>
      </c>
      <c r="T206" s="113"/>
      <c r="U206" s="38"/>
      <c r="V206" s="38"/>
      <c r="W206" s="38"/>
      <c r="X206" s="38"/>
      <c r="Y206" s="38"/>
      <c r="Z206" s="115"/>
      <c r="AA206" s="38"/>
      <c r="AB206" s="38"/>
      <c r="AC206" s="38"/>
      <c r="AD206" s="38"/>
      <c r="AE206" s="38"/>
      <c r="AF206" s="38"/>
      <c r="AG206" s="17"/>
      <c r="AH206" s="24"/>
      <c r="AI206" s="25"/>
      <c r="AJ206" s="25"/>
    </row>
    <row r="207" spans="1:36" x14ac:dyDescent="0.3">
      <c r="A207" s="63">
        <v>201</v>
      </c>
      <c r="B207" s="102" t="s">
        <v>3520</v>
      </c>
      <c r="C207" s="102" t="s">
        <v>3521</v>
      </c>
      <c r="D207" s="64" t="s">
        <v>119</v>
      </c>
      <c r="E207" s="106" t="s">
        <v>3524</v>
      </c>
      <c r="F207" s="120" t="s">
        <v>3731</v>
      </c>
      <c r="G207" s="108">
        <v>3</v>
      </c>
      <c r="H207" s="38" t="s">
        <v>3738</v>
      </c>
      <c r="I207" s="38"/>
      <c r="J207" s="38"/>
      <c r="K207" s="109" t="s">
        <v>3736</v>
      </c>
      <c r="L207" s="109"/>
      <c r="M207" s="109"/>
      <c r="N207" s="109"/>
      <c r="O207" s="109"/>
      <c r="P207" s="110">
        <v>1112</v>
      </c>
      <c r="Q207" s="121">
        <v>209</v>
      </c>
      <c r="R207" s="112"/>
      <c r="S207" s="113">
        <v>78</v>
      </c>
      <c r="T207" s="113"/>
      <c r="U207" s="38"/>
      <c r="V207" s="38"/>
      <c r="W207" s="38"/>
      <c r="X207" s="38"/>
      <c r="Y207" s="38"/>
      <c r="Z207" s="115"/>
      <c r="AA207" s="38"/>
      <c r="AB207" s="38"/>
      <c r="AC207" s="38"/>
      <c r="AD207" s="38"/>
      <c r="AE207" s="38"/>
      <c r="AF207" s="38"/>
      <c r="AG207" s="17"/>
      <c r="AH207" s="24"/>
      <c r="AI207" s="25"/>
      <c r="AJ207" s="25"/>
    </row>
    <row r="208" spans="1:36" x14ac:dyDescent="0.3">
      <c r="A208" s="63">
        <v>202</v>
      </c>
      <c r="B208" s="102" t="s">
        <v>3520</v>
      </c>
      <c r="C208" s="102" t="s">
        <v>3521</v>
      </c>
      <c r="D208" s="64" t="s">
        <v>119</v>
      </c>
      <c r="E208" s="106" t="s">
        <v>3524</v>
      </c>
      <c r="F208" s="120" t="s">
        <v>3731</v>
      </c>
      <c r="G208" s="108">
        <v>4</v>
      </c>
      <c r="H208" s="38" t="s">
        <v>3739</v>
      </c>
      <c r="I208" s="38"/>
      <c r="J208" s="38"/>
      <c r="K208" s="109" t="s">
        <v>3742</v>
      </c>
      <c r="L208" s="109"/>
      <c r="M208" s="109"/>
      <c r="N208" s="109"/>
      <c r="O208" s="109"/>
      <c r="P208" s="108">
        <v>653</v>
      </c>
      <c r="Q208" s="108">
        <v>126</v>
      </c>
      <c r="R208" s="112"/>
      <c r="S208" s="113"/>
      <c r="T208" s="113"/>
      <c r="U208" s="38"/>
      <c r="V208" s="38"/>
      <c r="W208" s="38"/>
      <c r="X208" s="38"/>
      <c r="Y208" s="38"/>
      <c r="Z208" s="115"/>
      <c r="AA208" s="38"/>
      <c r="AB208" s="38"/>
      <c r="AC208" s="38"/>
      <c r="AD208" s="38"/>
      <c r="AE208" s="38"/>
      <c r="AF208" s="38"/>
      <c r="AG208" s="17"/>
      <c r="AH208" s="24"/>
      <c r="AI208" s="25"/>
      <c r="AJ208" s="25"/>
    </row>
    <row r="209" spans="1:36" x14ac:dyDescent="0.3">
      <c r="A209" s="63">
        <v>203</v>
      </c>
      <c r="B209" s="102" t="s">
        <v>3520</v>
      </c>
      <c r="C209" s="102" t="s">
        <v>3521</v>
      </c>
      <c r="D209" s="64" t="s">
        <v>119</v>
      </c>
      <c r="E209" s="106" t="s">
        <v>3524</v>
      </c>
      <c r="F209" s="120" t="s">
        <v>3731</v>
      </c>
      <c r="G209" s="108">
        <v>4</v>
      </c>
      <c r="H209" s="38" t="s">
        <v>3739</v>
      </c>
      <c r="I209" s="38"/>
      <c r="J209" s="38"/>
      <c r="K209" s="109" t="s">
        <v>3743</v>
      </c>
      <c r="L209" s="109"/>
      <c r="M209" s="109"/>
      <c r="N209" s="109"/>
      <c r="O209" s="109"/>
      <c r="P209" s="108">
        <v>2478</v>
      </c>
      <c r="Q209" s="108">
        <v>438</v>
      </c>
      <c r="R209" s="112"/>
      <c r="S209" s="113"/>
      <c r="T209" s="113"/>
      <c r="U209" s="38"/>
      <c r="V209" s="38"/>
      <c r="W209" s="38"/>
      <c r="X209" s="38"/>
      <c r="Y209" s="38"/>
      <c r="Z209" s="115"/>
      <c r="AA209" s="38"/>
      <c r="AB209" s="38"/>
      <c r="AC209" s="38"/>
      <c r="AD209" s="38"/>
      <c r="AE209" s="38"/>
      <c r="AF209" s="38"/>
      <c r="AG209" s="17"/>
      <c r="AH209" s="24"/>
      <c r="AI209" s="25"/>
      <c r="AJ209" s="25"/>
    </row>
    <row r="210" spans="1:36" x14ac:dyDescent="0.3">
      <c r="A210" s="63">
        <v>204</v>
      </c>
      <c r="B210" s="102" t="s">
        <v>3520</v>
      </c>
      <c r="C210" s="102" t="s">
        <v>3521</v>
      </c>
      <c r="D210" s="64" t="s">
        <v>119</v>
      </c>
      <c r="E210" s="106" t="s">
        <v>3524</v>
      </c>
      <c r="F210" s="120" t="s">
        <v>3731</v>
      </c>
      <c r="G210" s="108">
        <v>4</v>
      </c>
      <c r="H210" s="38" t="s">
        <v>3739</v>
      </c>
      <c r="I210" s="38"/>
      <c r="J210" s="38"/>
      <c r="K210" s="109" t="s">
        <v>3744</v>
      </c>
      <c r="L210" s="109"/>
      <c r="M210" s="109"/>
      <c r="N210" s="109"/>
      <c r="O210" s="109"/>
      <c r="P210" s="110">
        <v>2209</v>
      </c>
      <c r="Q210" s="110">
        <v>441</v>
      </c>
      <c r="R210" s="112"/>
      <c r="S210" s="113">
        <v>20</v>
      </c>
      <c r="T210" s="113"/>
      <c r="U210" s="38"/>
      <c r="V210" s="38"/>
      <c r="W210" s="38"/>
      <c r="X210" s="38"/>
      <c r="Y210" s="38"/>
      <c r="Z210" s="115"/>
      <c r="AA210" s="38"/>
      <c r="AB210" s="38"/>
      <c r="AC210" s="38"/>
      <c r="AD210" s="38"/>
      <c r="AE210" s="38"/>
      <c r="AF210" s="38"/>
      <c r="AG210" s="17"/>
      <c r="AH210" s="24"/>
      <c r="AI210" s="25"/>
      <c r="AJ210" s="25"/>
    </row>
    <row r="211" spans="1:36" x14ac:dyDescent="0.3">
      <c r="A211" s="63">
        <v>205</v>
      </c>
      <c r="B211" s="102" t="s">
        <v>3520</v>
      </c>
      <c r="C211" s="102" t="s">
        <v>3521</v>
      </c>
      <c r="D211" s="64" t="s">
        <v>119</v>
      </c>
      <c r="E211" s="106" t="s">
        <v>3524</v>
      </c>
      <c r="F211" s="120" t="s">
        <v>3731</v>
      </c>
      <c r="G211" s="108">
        <v>5</v>
      </c>
      <c r="H211" s="38" t="s">
        <v>3732</v>
      </c>
      <c r="I211" s="38"/>
      <c r="J211" s="38"/>
      <c r="K211" s="109" t="s">
        <v>3745</v>
      </c>
      <c r="L211" s="109"/>
      <c r="M211" s="109"/>
      <c r="N211" s="109"/>
      <c r="O211" s="109"/>
      <c r="P211" s="110">
        <v>747</v>
      </c>
      <c r="Q211" s="121">
        <v>136</v>
      </c>
      <c r="R211" s="112"/>
      <c r="S211" s="113"/>
      <c r="T211" s="113"/>
      <c r="U211" s="38"/>
      <c r="V211" s="38"/>
      <c r="W211" s="38"/>
      <c r="X211" s="38"/>
      <c r="Y211" s="38"/>
      <c r="Z211" s="115"/>
      <c r="AA211" s="38"/>
      <c r="AB211" s="38"/>
      <c r="AC211" s="38"/>
      <c r="AD211" s="38"/>
      <c r="AE211" s="38"/>
      <c r="AF211" s="38"/>
      <c r="AG211" s="17"/>
      <c r="AH211" s="24"/>
      <c r="AI211" s="25"/>
      <c r="AJ211" s="25"/>
    </row>
    <row r="212" spans="1:36" x14ac:dyDescent="0.3">
      <c r="A212" s="63">
        <v>206</v>
      </c>
      <c r="B212" s="102" t="s">
        <v>3520</v>
      </c>
      <c r="C212" s="102" t="s">
        <v>3521</v>
      </c>
      <c r="D212" s="64" t="s">
        <v>119</v>
      </c>
      <c r="E212" s="106" t="s">
        <v>3524</v>
      </c>
      <c r="F212" s="120" t="s">
        <v>3731</v>
      </c>
      <c r="G212" s="108">
        <v>5</v>
      </c>
      <c r="H212" s="38" t="s">
        <v>3732</v>
      </c>
      <c r="I212" s="38"/>
      <c r="J212" s="38"/>
      <c r="K212" s="109" t="s">
        <v>3746</v>
      </c>
      <c r="L212" s="109"/>
      <c r="M212" s="109"/>
      <c r="N212" s="109"/>
      <c r="O212" s="109"/>
      <c r="P212" s="110">
        <v>1145</v>
      </c>
      <c r="Q212" s="110">
        <v>224</v>
      </c>
      <c r="R212" s="112"/>
      <c r="S212" s="113">
        <v>43</v>
      </c>
      <c r="T212" s="113"/>
      <c r="U212" s="38"/>
      <c r="V212" s="38"/>
      <c r="W212" s="38"/>
      <c r="X212" s="38"/>
      <c r="Y212" s="38"/>
      <c r="Z212" s="115"/>
      <c r="AA212" s="38"/>
      <c r="AB212" s="38"/>
      <c r="AC212" s="38"/>
      <c r="AD212" s="38"/>
      <c r="AE212" s="38"/>
      <c r="AF212" s="38"/>
      <c r="AG212" s="17"/>
      <c r="AH212" s="24"/>
      <c r="AI212" s="25"/>
      <c r="AJ212" s="25"/>
    </row>
    <row r="213" spans="1:36" x14ac:dyDescent="0.3">
      <c r="A213" s="63">
        <v>207</v>
      </c>
      <c r="B213" s="102" t="s">
        <v>3520</v>
      </c>
      <c r="C213" s="102" t="s">
        <v>3521</v>
      </c>
      <c r="D213" s="64" t="s">
        <v>119</v>
      </c>
      <c r="E213" s="106" t="s">
        <v>3524</v>
      </c>
      <c r="F213" s="120" t="s">
        <v>3731</v>
      </c>
      <c r="G213" s="108">
        <v>5</v>
      </c>
      <c r="H213" s="38" t="s">
        <v>3732</v>
      </c>
      <c r="I213" s="38"/>
      <c r="J213" s="38"/>
      <c r="K213" s="109" t="s">
        <v>3747</v>
      </c>
      <c r="L213" s="109"/>
      <c r="M213" s="109"/>
      <c r="N213" s="109"/>
      <c r="O213" s="109"/>
      <c r="P213" s="110">
        <v>2890</v>
      </c>
      <c r="Q213" s="110">
        <v>549</v>
      </c>
      <c r="R213" s="112"/>
      <c r="S213" s="113"/>
      <c r="T213" s="113"/>
      <c r="U213" s="38"/>
      <c r="V213" s="38"/>
      <c r="W213" s="38"/>
      <c r="X213" s="38"/>
      <c r="Y213" s="38"/>
      <c r="Z213" s="115"/>
      <c r="AA213" s="38"/>
      <c r="AB213" s="38"/>
      <c r="AC213" s="38"/>
      <c r="AD213" s="38"/>
      <c r="AE213" s="38"/>
      <c r="AF213" s="38"/>
      <c r="AG213" s="17"/>
      <c r="AH213" s="24"/>
      <c r="AI213" s="25"/>
      <c r="AJ213" s="25"/>
    </row>
    <row r="214" spans="1:36" x14ac:dyDescent="0.3">
      <c r="A214" s="63">
        <v>208</v>
      </c>
      <c r="B214" s="102" t="s">
        <v>3520</v>
      </c>
      <c r="C214" s="102" t="s">
        <v>3521</v>
      </c>
      <c r="D214" s="64" t="s">
        <v>119</v>
      </c>
      <c r="E214" s="106" t="s">
        <v>3524</v>
      </c>
      <c r="F214" s="120" t="s">
        <v>3731</v>
      </c>
      <c r="G214" s="108">
        <v>5</v>
      </c>
      <c r="H214" s="38" t="s">
        <v>3732</v>
      </c>
      <c r="I214" s="38"/>
      <c r="J214" s="38"/>
      <c r="K214" s="109" t="s">
        <v>3637</v>
      </c>
      <c r="L214" s="109"/>
      <c r="M214" s="109"/>
      <c r="N214" s="109"/>
      <c r="O214" s="109"/>
      <c r="P214" s="110">
        <v>646</v>
      </c>
      <c r="Q214" s="121">
        <v>121</v>
      </c>
      <c r="R214" s="112"/>
      <c r="S214" s="113"/>
      <c r="T214" s="113"/>
      <c r="U214" s="38"/>
      <c r="V214" s="38"/>
      <c r="W214" s="38"/>
      <c r="X214" s="38"/>
      <c r="Y214" s="38"/>
      <c r="Z214" s="115"/>
      <c r="AA214" s="38"/>
      <c r="AB214" s="38"/>
      <c r="AC214" s="38"/>
      <c r="AD214" s="38"/>
      <c r="AE214" s="38"/>
      <c r="AF214" s="38"/>
      <c r="AG214" s="17"/>
      <c r="AH214" s="24"/>
      <c r="AI214" s="25"/>
      <c r="AJ214" s="25"/>
    </row>
    <row r="215" spans="1:36" x14ac:dyDescent="0.3">
      <c r="A215" s="63">
        <v>209</v>
      </c>
      <c r="B215" s="102" t="s">
        <v>3520</v>
      </c>
      <c r="C215" s="102" t="s">
        <v>3521</v>
      </c>
      <c r="D215" s="64" t="s">
        <v>119</v>
      </c>
      <c r="E215" s="106" t="s">
        <v>3524</v>
      </c>
      <c r="F215" s="120" t="s">
        <v>3731</v>
      </c>
      <c r="G215" s="108">
        <v>5</v>
      </c>
      <c r="H215" s="38" t="s">
        <v>3732</v>
      </c>
      <c r="I215" s="38"/>
      <c r="J215" s="38"/>
      <c r="K215" s="109" t="s">
        <v>3748</v>
      </c>
      <c r="L215" s="109"/>
      <c r="M215" s="109"/>
      <c r="N215" s="109"/>
      <c r="O215" s="109"/>
      <c r="P215" s="110">
        <v>414</v>
      </c>
      <c r="Q215" s="121">
        <v>76</v>
      </c>
      <c r="R215" s="112"/>
      <c r="S215" s="113"/>
      <c r="T215" s="113"/>
      <c r="U215" s="38"/>
      <c r="V215" s="38"/>
      <c r="W215" s="38"/>
      <c r="X215" s="38"/>
      <c r="Y215" s="38"/>
      <c r="Z215" s="115"/>
      <c r="AA215" s="38"/>
      <c r="AB215" s="38"/>
      <c r="AC215" s="38"/>
      <c r="AD215" s="38"/>
      <c r="AE215" s="38"/>
      <c r="AF215" s="38"/>
      <c r="AG215" s="17"/>
      <c r="AH215" s="24"/>
      <c r="AI215" s="25"/>
      <c r="AJ215" s="25"/>
    </row>
    <row r="216" spans="1:36" x14ac:dyDescent="0.3">
      <c r="A216" s="63">
        <v>210</v>
      </c>
      <c r="B216" s="102" t="s">
        <v>3520</v>
      </c>
      <c r="C216" s="102" t="s">
        <v>3521</v>
      </c>
      <c r="D216" s="64" t="s">
        <v>119</v>
      </c>
      <c r="E216" s="106" t="s">
        <v>3524</v>
      </c>
      <c r="F216" s="120" t="s">
        <v>3731</v>
      </c>
      <c r="G216" s="108">
        <v>5</v>
      </c>
      <c r="H216" s="38" t="s">
        <v>3732</v>
      </c>
      <c r="I216" s="38"/>
      <c r="J216" s="38"/>
      <c r="K216" s="109" t="s">
        <v>2511</v>
      </c>
      <c r="L216" s="109"/>
      <c r="M216" s="109"/>
      <c r="N216" s="109"/>
      <c r="O216" s="109"/>
      <c r="P216" s="110">
        <v>1156</v>
      </c>
      <c r="Q216" s="121">
        <v>223</v>
      </c>
      <c r="R216" s="112"/>
      <c r="S216" s="113"/>
      <c r="T216" s="113"/>
      <c r="U216" s="38"/>
      <c r="V216" s="38"/>
      <c r="W216" s="38"/>
      <c r="X216" s="38"/>
      <c r="Y216" s="38"/>
      <c r="Z216" s="115"/>
      <c r="AA216" s="38"/>
      <c r="AB216" s="38"/>
      <c r="AC216" s="38"/>
      <c r="AD216" s="38"/>
      <c r="AE216" s="38"/>
      <c r="AF216" s="38"/>
      <c r="AG216" s="17"/>
      <c r="AH216" s="24"/>
      <c r="AI216" s="25"/>
      <c r="AJ216" s="25"/>
    </row>
    <row r="217" spans="1:36" x14ac:dyDescent="0.3">
      <c r="A217" s="63">
        <v>211</v>
      </c>
      <c r="B217" s="102" t="s">
        <v>3520</v>
      </c>
      <c r="C217" s="102" t="s">
        <v>3521</v>
      </c>
      <c r="D217" s="64" t="s">
        <v>119</v>
      </c>
      <c r="E217" s="106" t="s">
        <v>3524</v>
      </c>
      <c r="F217" s="120" t="s">
        <v>3731</v>
      </c>
      <c r="G217" s="108">
        <v>6</v>
      </c>
      <c r="H217" s="38" t="s">
        <v>3734</v>
      </c>
      <c r="I217" s="38"/>
      <c r="J217" s="38"/>
      <c r="K217" s="109" t="s">
        <v>3749</v>
      </c>
      <c r="L217" s="109"/>
      <c r="M217" s="109"/>
      <c r="N217" s="109"/>
      <c r="O217" s="109"/>
      <c r="P217" s="110">
        <v>330</v>
      </c>
      <c r="Q217" s="121">
        <v>58</v>
      </c>
      <c r="R217" s="112"/>
      <c r="S217" s="113"/>
      <c r="T217" s="113"/>
      <c r="U217" s="38"/>
      <c r="V217" s="38"/>
      <c r="W217" s="38"/>
      <c r="X217" s="38"/>
      <c r="Y217" s="38"/>
      <c r="Z217" s="115"/>
      <c r="AA217" s="38"/>
      <c r="AB217" s="38"/>
      <c r="AC217" s="38"/>
      <c r="AD217" s="38"/>
      <c r="AE217" s="38"/>
      <c r="AF217" s="38"/>
      <c r="AG217" s="17"/>
      <c r="AH217" s="24"/>
      <c r="AI217" s="25"/>
      <c r="AJ217" s="25"/>
    </row>
    <row r="218" spans="1:36" x14ac:dyDescent="0.3">
      <c r="A218" s="63">
        <v>212</v>
      </c>
      <c r="B218" s="102" t="s">
        <v>3520</v>
      </c>
      <c r="C218" s="102" t="s">
        <v>3521</v>
      </c>
      <c r="D218" s="64" t="s">
        <v>119</v>
      </c>
      <c r="E218" s="106" t="s">
        <v>3524</v>
      </c>
      <c r="F218" s="120" t="s">
        <v>3731</v>
      </c>
      <c r="G218" s="108">
        <v>6</v>
      </c>
      <c r="H218" s="38" t="s">
        <v>3734</v>
      </c>
      <c r="I218" s="38"/>
      <c r="J218" s="38"/>
      <c r="K218" s="109" t="s">
        <v>3750</v>
      </c>
      <c r="L218" s="109"/>
      <c r="M218" s="109"/>
      <c r="N218" s="109"/>
      <c r="O218" s="109"/>
      <c r="P218" s="110">
        <v>1319</v>
      </c>
      <c r="Q218" s="110">
        <v>239</v>
      </c>
      <c r="R218" s="112"/>
      <c r="S218" s="113"/>
      <c r="T218" s="113"/>
      <c r="U218" s="38"/>
      <c r="V218" s="38"/>
      <c r="W218" s="38"/>
      <c r="X218" s="38"/>
      <c r="Y218" s="38"/>
      <c r="Z218" s="115"/>
      <c r="AA218" s="38"/>
      <c r="AB218" s="38"/>
      <c r="AC218" s="38"/>
      <c r="AD218" s="38"/>
      <c r="AE218" s="38"/>
      <c r="AF218" s="38"/>
      <c r="AG218" s="17"/>
      <c r="AH218" s="24"/>
      <c r="AI218" s="25"/>
      <c r="AJ218" s="25"/>
    </row>
    <row r="219" spans="1:36" x14ac:dyDescent="0.3">
      <c r="A219" s="63">
        <v>213</v>
      </c>
      <c r="B219" s="102" t="s">
        <v>3520</v>
      </c>
      <c r="C219" s="102" t="s">
        <v>3521</v>
      </c>
      <c r="D219" s="64" t="s">
        <v>119</v>
      </c>
      <c r="E219" s="106" t="s">
        <v>3524</v>
      </c>
      <c r="F219" s="120" t="s">
        <v>3731</v>
      </c>
      <c r="G219" s="108">
        <v>6</v>
      </c>
      <c r="H219" s="38" t="s">
        <v>3734</v>
      </c>
      <c r="I219" s="38"/>
      <c r="J219" s="38"/>
      <c r="K219" s="109" t="s">
        <v>3751</v>
      </c>
      <c r="L219" s="109"/>
      <c r="M219" s="109"/>
      <c r="N219" s="109"/>
      <c r="O219" s="109"/>
      <c r="P219" s="110">
        <v>342</v>
      </c>
      <c r="Q219" s="110">
        <v>60</v>
      </c>
      <c r="R219" s="112"/>
      <c r="S219" s="113"/>
      <c r="T219" s="113"/>
      <c r="U219" s="38"/>
      <c r="V219" s="38"/>
      <c r="W219" s="38"/>
      <c r="X219" s="38"/>
      <c r="Y219" s="38"/>
      <c r="Z219" s="115"/>
      <c r="AA219" s="38"/>
      <c r="AB219" s="38"/>
      <c r="AC219" s="38"/>
      <c r="AD219" s="38"/>
      <c r="AE219" s="38"/>
      <c r="AF219" s="38"/>
      <c r="AG219" s="17"/>
      <c r="AH219" s="24"/>
      <c r="AI219" s="25"/>
      <c r="AJ219" s="25"/>
    </row>
    <row r="220" spans="1:36" x14ac:dyDescent="0.3">
      <c r="A220" s="63">
        <v>214</v>
      </c>
      <c r="B220" s="102" t="s">
        <v>3520</v>
      </c>
      <c r="C220" s="102" t="s">
        <v>3521</v>
      </c>
      <c r="D220" s="64" t="s">
        <v>119</v>
      </c>
      <c r="E220" s="106" t="s">
        <v>3524</v>
      </c>
      <c r="F220" s="120" t="s">
        <v>3731</v>
      </c>
      <c r="G220" s="108">
        <v>6</v>
      </c>
      <c r="H220" s="38" t="s">
        <v>3734</v>
      </c>
      <c r="I220" s="38"/>
      <c r="J220" s="38"/>
      <c r="K220" s="109" t="s">
        <v>3752</v>
      </c>
      <c r="L220" s="109"/>
      <c r="M220" s="109"/>
      <c r="N220" s="109"/>
      <c r="O220" s="109"/>
      <c r="P220" s="110">
        <v>981</v>
      </c>
      <c r="Q220" s="121">
        <v>178</v>
      </c>
      <c r="R220" s="112"/>
      <c r="S220" s="113"/>
      <c r="T220" s="113"/>
      <c r="U220" s="38"/>
      <c r="V220" s="38"/>
      <c r="W220" s="38"/>
      <c r="X220" s="38"/>
      <c r="Y220" s="38"/>
      <c r="Z220" s="115"/>
      <c r="AA220" s="38"/>
      <c r="AB220" s="38"/>
      <c r="AC220" s="38"/>
      <c r="AD220" s="38"/>
      <c r="AE220" s="38"/>
      <c r="AF220" s="38"/>
      <c r="AG220" s="17"/>
      <c r="AH220" s="24"/>
      <c r="AI220" s="25"/>
      <c r="AJ220" s="25"/>
    </row>
    <row r="221" spans="1:36" x14ac:dyDescent="0.3">
      <c r="A221" s="63">
        <v>215</v>
      </c>
      <c r="B221" s="102" t="s">
        <v>3520</v>
      </c>
      <c r="C221" s="102" t="s">
        <v>3521</v>
      </c>
      <c r="D221" s="64" t="s">
        <v>119</v>
      </c>
      <c r="E221" s="106" t="s">
        <v>3524</v>
      </c>
      <c r="F221" s="120" t="s">
        <v>3731</v>
      </c>
      <c r="G221" s="108">
        <v>7</v>
      </c>
      <c r="H221" s="38" t="s">
        <v>3673</v>
      </c>
      <c r="I221" s="38"/>
      <c r="J221" s="38"/>
      <c r="K221" s="109" t="s">
        <v>3753</v>
      </c>
      <c r="L221" s="109"/>
      <c r="M221" s="109"/>
      <c r="N221" s="109"/>
      <c r="O221" s="109"/>
      <c r="P221" s="110">
        <v>671</v>
      </c>
      <c r="Q221" s="121">
        <v>134</v>
      </c>
      <c r="R221" s="112"/>
      <c r="S221" s="113"/>
      <c r="T221" s="113"/>
      <c r="U221" s="38"/>
      <c r="V221" s="38"/>
      <c r="W221" s="38"/>
      <c r="X221" s="38"/>
      <c r="Y221" s="38"/>
      <c r="Z221" s="115"/>
      <c r="AA221" s="38"/>
      <c r="AB221" s="38"/>
      <c r="AC221" s="38"/>
      <c r="AD221" s="38"/>
      <c r="AE221" s="38"/>
      <c r="AF221" s="38"/>
      <c r="AG221" s="17"/>
      <c r="AH221" s="24"/>
      <c r="AI221" s="25"/>
      <c r="AJ221" s="25"/>
    </row>
    <row r="222" spans="1:36" x14ac:dyDescent="0.3">
      <c r="A222" s="63">
        <v>216</v>
      </c>
      <c r="B222" s="102" t="s">
        <v>3520</v>
      </c>
      <c r="C222" s="102" t="s">
        <v>3521</v>
      </c>
      <c r="D222" s="64" t="s">
        <v>119</v>
      </c>
      <c r="E222" s="106" t="s">
        <v>3524</v>
      </c>
      <c r="F222" s="120" t="s">
        <v>3731</v>
      </c>
      <c r="G222" s="108">
        <v>7</v>
      </c>
      <c r="H222" s="38" t="s">
        <v>3673</v>
      </c>
      <c r="I222" s="38"/>
      <c r="J222" s="38"/>
      <c r="K222" s="109" t="s">
        <v>3754</v>
      </c>
      <c r="L222" s="109"/>
      <c r="M222" s="109"/>
      <c r="N222" s="109"/>
      <c r="O222" s="109"/>
      <c r="P222" s="110">
        <v>2601</v>
      </c>
      <c r="Q222" s="121">
        <v>526</v>
      </c>
      <c r="R222" s="112"/>
      <c r="S222" s="113">
        <v>162</v>
      </c>
      <c r="T222" s="113"/>
      <c r="U222" s="38"/>
      <c r="V222" s="38"/>
      <c r="W222" s="38"/>
      <c r="X222" s="38"/>
      <c r="Y222" s="38"/>
      <c r="Z222" s="115"/>
      <c r="AA222" s="38"/>
      <c r="AB222" s="38"/>
      <c r="AC222" s="38"/>
      <c r="AD222" s="38"/>
      <c r="AE222" s="38"/>
      <c r="AF222" s="38"/>
      <c r="AG222" s="17"/>
      <c r="AH222" s="24"/>
      <c r="AI222" s="25"/>
      <c r="AJ222" s="25"/>
    </row>
    <row r="223" spans="1:36" x14ac:dyDescent="0.3">
      <c r="A223" s="63">
        <v>217</v>
      </c>
      <c r="B223" s="102" t="s">
        <v>3520</v>
      </c>
      <c r="C223" s="102" t="s">
        <v>3521</v>
      </c>
      <c r="D223" s="64" t="s">
        <v>119</v>
      </c>
      <c r="E223" s="106" t="s">
        <v>3524</v>
      </c>
      <c r="F223" s="120" t="s">
        <v>3731</v>
      </c>
      <c r="G223" s="108">
        <v>7</v>
      </c>
      <c r="H223" s="38" t="s">
        <v>3673</v>
      </c>
      <c r="I223" s="38"/>
      <c r="J223" s="38"/>
      <c r="K223" s="109" t="s">
        <v>3755</v>
      </c>
      <c r="L223" s="109"/>
      <c r="M223" s="109"/>
      <c r="N223" s="109"/>
      <c r="O223" s="109"/>
      <c r="P223" s="110">
        <v>456</v>
      </c>
      <c r="Q223" s="110">
        <v>90</v>
      </c>
      <c r="R223" s="118"/>
      <c r="S223" s="113">
        <v>37</v>
      </c>
      <c r="T223" s="117"/>
      <c r="U223" s="38"/>
      <c r="V223" s="38"/>
      <c r="W223" s="38"/>
      <c r="X223" s="38"/>
      <c r="Y223" s="38"/>
      <c r="Z223" s="115"/>
      <c r="AA223" s="38"/>
      <c r="AB223" s="38"/>
      <c r="AC223" s="38"/>
      <c r="AD223" s="38"/>
      <c r="AE223" s="38"/>
      <c r="AF223" s="38"/>
      <c r="AG223" s="17"/>
      <c r="AH223" s="24"/>
      <c r="AI223" s="25"/>
      <c r="AJ223" s="25"/>
    </row>
    <row r="224" spans="1:36" x14ac:dyDescent="0.3">
      <c r="A224" s="63">
        <v>218</v>
      </c>
      <c r="B224" s="102" t="s">
        <v>3520</v>
      </c>
      <c r="C224" s="102" t="s">
        <v>3521</v>
      </c>
      <c r="D224" s="64" t="s">
        <v>119</v>
      </c>
      <c r="E224" s="106" t="s">
        <v>3524</v>
      </c>
      <c r="F224" s="120" t="s">
        <v>3731</v>
      </c>
      <c r="G224" s="108">
        <v>7</v>
      </c>
      <c r="H224" s="38" t="s">
        <v>3673</v>
      </c>
      <c r="I224" s="38"/>
      <c r="J224" s="38"/>
      <c r="K224" s="109" t="s">
        <v>3756</v>
      </c>
      <c r="L224" s="109"/>
      <c r="M224" s="109"/>
      <c r="N224" s="109"/>
      <c r="O224" s="109"/>
      <c r="P224" s="110">
        <v>3044</v>
      </c>
      <c r="Q224" s="110">
        <v>607</v>
      </c>
      <c r="R224" s="118"/>
      <c r="S224" s="113">
        <v>11</v>
      </c>
      <c r="T224" s="117"/>
      <c r="U224" s="38"/>
      <c r="V224" s="38"/>
      <c r="W224" s="38"/>
      <c r="X224" s="38"/>
      <c r="Y224" s="38"/>
      <c r="Z224" s="115"/>
      <c r="AA224" s="38"/>
      <c r="AB224" s="38"/>
      <c r="AC224" s="38"/>
      <c r="AD224" s="38"/>
      <c r="AE224" s="38"/>
      <c r="AF224" s="38"/>
      <c r="AG224" s="17"/>
      <c r="AH224" s="24"/>
      <c r="AI224" s="25"/>
      <c r="AJ224" s="25"/>
    </row>
    <row r="225" spans="1:36" x14ac:dyDescent="0.3">
      <c r="A225" s="63">
        <v>219</v>
      </c>
      <c r="B225" s="102" t="s">
        <v>3520</v>
      </c>
      <c r="C225" s="102" t="s">
        <v>3521</v>
      </c>
      <c r="D225" s="64" t="s">
        <v>119</v>
      </c>
      <c r="E225" s="106" t="s">
        <v>3524</v>
      </c>
      <c r="F225" s="120" t="s">
        <v>3731</v>
      </c>
      <c r="G225" s="108">
        <v>8</v>
      </c>
      <c r="H225" s="38" t="s">
        <v>3673</v>
      </c>
      <c r="I225" s="38"/>
      <c r="J225" s="38"/>
      <c r="K225" s="109" t="s">
        <v>3757</v>
      </c>
      <c r="L225" s="109"/>
      <c r="M225" s="109"/>
      <c r="N225" s="109"/>
      <c r="O225" s="109"/>
      <c r="P225" s="110">
        <v>2087</v>
      </c>
      <c r="Q225" s="110">
        <v>380</v>
      </c>
      <c r="R225" s="118"/>
      <c r="S225" s="113"/>
      <c r="T225" s="118"/>
      <c r="U225" s="38"/>
      <c r="V225" s="38"/>
      <c r="W225" s="38"/>
      <c r="X225" s="38"/>
      <c r="Y225" s="38"/>
      <c r="Z225" s="115"/>
      <c r="AA225" s="38"/>
      <c r="AB225" s="38"/>
      <c r="AC225" s="38"/>
      <c r="AD225" s="38"/>
      <c r="AE225" s="38"/>
      <c r="AF225" s="38"/>
      <c r="AG225" s="17"/>
      <c r="AH225" s="24"/>
      <c r="AI225" s="25"/>
      <c r="AJ225" s="25"/>
    </row>
    <row r="226" spans="1:36" x14ac:dyDescent="0.3">
      <c r="A226" s="63">
        <v>220</v>
      </c>
      <c r="B226" s="102" t="s">
        <v>3520</v>
      </c>
      <c r="C226" s="102" t="s">
        <v>3521</v>
      </c>
      <c r="D226" s="64" t="s">
        <v>119</v>
      </c>
      <c r="E226" s="106" t="s">
        <v>3524</v>
      </c>
      <c r="F226" s="120" t="s">
        <v>3731</v>
      </c>
      <c r="G226" s="108">
        <v>8</v>
      </c>
      <c r="H226" s="38" t="s">
        <v>3673</v>
      </c>
      <c r="I226" s="38"/>
      <c r="J226" s="38"/>
      <c r="K226" s="109" t="s">
        <v>3758</v>
      </c>
      <c r="L226" s="109"/>
      <c r="M226" s="109"/>
      <c r="N226" s="109"/>
      <c r="O226" s="109"/>
      <c r="P226" s="110">
        <v>1046</v>
      </c>
      <c r="Q226" s="121">
        <v>197</v>
      </c>
      <c r="R226" s="118"/>
      <c r="S226" s="113"/>
      <c r="T226" s="118"/>
      <c r="U226" s="38"/>
      <c r="V226" s="38"/>
      <c r="W226" s="38"/>
      <c r="X226" s="38"/>
      <c r="Y226" s="38"/>
      <c r="Z226" s="115"/>
      <c r="AA226" s="38"/>
      <c r="AB226" s="38"/>
      <c r="AC226" s="38"/>
      <c r="AD226" s="38"/>
      <c r="AE226" s="38"/>
      <c r="AF226" s="38"/>
      <c r="AG226" s="17"/>
      <c r="AH226" s="24"/>
      <c r="AI226" s="25"/>
      <c r="AJ226" s="25"/>
    </row>
    <row r="227" spans="1:36" x14ac:dyDescent="0.3">
      <c r="A227" s="63">
        <v>221</v>
      </c>
      <c r="B227" s="102" t="s">
        <v>3520</v>
      </c>
      <c r="C227" s="102" t="s">
        <v>3521</v>
      </c>
      <c r="D227" s="64" t="s">
        <v>119</v>
      </c>
      <c r="E227" s="106" t="s">
        <v>3524</v>
      </c>
      <c r="F227" s="120" t="s">
        <v>3731</v>
      </c>
      <c r="G227" s="108">
        <v>8</v>
      </c>
      <c r="H227" s="38" t="s">
        <v>3607</v>
      </c>
      <c r="I227" s="38"/>
      <c r="J227" s="38"/>
      <c r="K227" s="109" t="s">
        <v>3759</v>
      </c>
      <c r="L227" s="109"/>
      <c r="M227" s="109"/>
      <c r="N227" s="109"/>
      <c r="O227" s="109"/>
      <c r="P227" s="110">
        <v>2349</v>
      </c>
      <c r="Q227" s="121">
        <v>454</v>
      </c>
      <c r="R227" s="118"/>
      <c r="S227" s="113">
        <v>138</v>
      </c>
      <c r="T227" s="118"/>
      <c r="U227" s="38"/>
      <c r="V227" s="38"/>
      <c r="W227" s="38"/>
      <c r="X227" s="38"/>
      <c r="Y227" s="38"/>
      <c r="Z227" s="115"/>
      <c r="AA227" s="38"/>
      <c r="AB227" s="38"/>
      <c r="AC227" s="38"/>
      <c r="AD227" s="38"/>
      <c r="AE227" s="38"/>
      <c r="AF227" s="38"/>
      <c r="AG227" s="17"/>
      <c r="AH227" s="24"/>
      <c r="AI227" s="25"/>
      <c r="AJ227" s="25"/>
    </row>
    <row r="228" spans="1:36" x14ac:dyDescent="0.3">
      <c r="A228" s="63">
        <v>222</v>
      </c>
      <c r="B228" s="102" t="s">
        <v>3520</v>
      </c>
      <c r="C228" s="102" t="s">
        <v>3521</v>
      </c>
      <c r="D228" s="64" t="s">
        <v>119</v>
      </c>
      <c r="E228" s="106" t="s">
        <v>3524</v>
      </c>
      <c r="F228" s="120" t="s">
        <v>3731</v>
      </c>
      <c r="G228" s="108">
        <v>8</v>
      </c>
      <c r="H228" s="38" t="s">
        <v>3607</v>
      </c>
      <c r="I228" s="38"/>
      <c r="J228" s="38"/>
      <c r="K228" s="109" t="s">
        <v>3751</v>
      </c>
      <c r="L228" s="109"/>
      <c r="M228" s="109"/>
      <c r="N228" s="109"/>
      <c r="O228" s="109"/>
      <c r="P228" s="110">
        <v>660</v>
      </c>
      <c r="Q228" s="121">
        <v>125</v>
      </c>
      <c r="R228" s="118"/>
      <c r="S228" s="113"/>
      <c r="T228" s="118"/>
      <c r="U228" s="38"/>
      <c r="V228" s="38"/>
      <c r="W228" s="38"/>
      <c r="X228" s="38"/>
      <c r="Y228" s="38"/>
      <c r="Z228" s="115"/>
      <c r="AA228" s="38"/>
      <c r="AB228" s="38"/>
      <c r="AC228" s="38"/>
      <c r="AD228" s="38"/>
      <c r="AE228" s="38"/>
      <c r="AF228" s="38"/>
      <c r="AG228" s="17"/>
      <c r="AH228" s="24"/>
      <c r="AI228" s="25"/>
      <c r="AJ228" s="25"/>
    </row>
    <row r="229" spans="1:36" x14ac:dyDescent="0.3">
      <c r="A229" s="63">
        <v>223</v>
      </c>
      <c r="B229" s="102" t="s">
        <v>3520</v>
      </c>
      <c r="C229" s="102" t="s">
        <v>3521</v>
      </c>
      <c r="D229" s="64" t="s">
        <v>119</v>
      </c>
      <c r="E229" s="106" t="s">
        <v>3524</v>
      </c>
      <c r="F229" s="120" t="s">
        <v>3731</v>
      </c>
      <c r="G229" s="108">
        <v>9</v>
      </c>
      <c r="H229" s="38" t="s">
        <v>3607</v>
      </c>
      <c r="I229" s="38"/>
      <c r="J229" s="38"/>
      <c r="K229" s="109" t="s">
        <v>3760</v>
      </c>
      <c r="L229" s="109"/>
      <c r="M229" s="109"/>
      <c r="N229" s="109"/>
      <c r="O229" s="109"/>
      <c r="P229" s="110">
        <v>2388</v>
      </c>
      <c r="Q229" s="110">
        <v>456</v>
      </c>
      <c r="R229" s="118"/>
      <c r="S229" s="113">
        <v>140</v>
      </c>
      <c r="T229" s="118"/>
      <c r="U229" s="38"/>
      <c r="V229" s="38"/>
      <c r="W229" s="38"/>
      <c r="X229" s="38"/>
      <c r="Y229" s="38"/>
      <c r="Z229" s="115"/>
      <c r="AA229" s="38"/>
      <c r="AB229" s="38"/>
      <c r="AC229" s="38"/>
      <c r="AD229" s="38"/>
      <c r="AE229" s="38"/>
      <c r="AF229" s="38"/>
      <c r="AG229" s="17"/>
      <c r="AH229" s="24"/>
      <c r="AI229" s="25"/>
      <c r="AJ229" s="25"/>
    </row>
    <row r="230" spans="1:36" x14ac:dyDescent="0.3">
      <c r="A230" s="63">
        <v>224</v>
      </c>
      <c r="B230" s="102" t="s">
        <v>3520</v>
      </c>
      <c r="C230" s="102" t="s">
        <v>3521</v>
      </c>
      <c r="D230" s="64" t="s">
        <v>119</v>
      </c>
      <c r="E230" s="106" t="s">
        <v>3524</v>
      </c>
      <c r="F230" s="120" t="s">
        <v>3731</v>
      </c>
      <c r="G230" s="108">
        <v>9</v>
      </c>
      <c r="H230" s="38" t="s">
        <v>3607</v>
      </c>
      <c r="I230" s="38"/>
      <c r="J230" s="38"/>
      <c r="K230" s="109" t="s">
        <v>3761</v>
      </c>
      <c r="L230" s="109"/>
      <c r="M230" s="109"/>
      <c r="N230" s="109"/>
      <c r="O230" s="109"/>
      <c r="P230" s="110">
        <v>656</v>
      </c>
      <c r="Q230" s="121">
        <v>145</v>
      </c>
      <c r="R230" s="118"/>
      <c r="S230" s="113"/>
      <c r="T230" s="118"/>
      <c r="U230" s="38"/>
      <c r="V230" s="38"/>
      <c r="W230" s="38"/>
      <c r="X230" s="38"/>
      <c r="Y230" s="38"/>
      <c r="Z230" s="115"/>
      <c r="AA230" s="38"/>
      <c r="AB230" s="38"/>
      <c r="AC230" s="38"/>
      <c r="AD230" s="38"/>
      <c r="AE230" s="38"/>
      <c r="AF230" s="38"/>
      <c r="AG230" s="17"/>
      <c r="AH230" s="24"/>
      <c r="AI230" s="25"/>
      <c r="AJ230" s="25"/>
    </row>
    <row r="231" spans="1:36" x14ac:dyDescent="0.3">
      <c r="A231" s="63">
        <v>225</v>
      </c>
      <c r="B231" s="102" t="s">
        <v>3520</v>
      </c>
      <c r="C231" s="102" t="s">
        <v>3521</v>
      </c>
      <c r="D231" s="64" t="s">
        <v>119</v>
      </c>
      <c r="E231" s="106" t="s">
        <v>3524</v>
      </c>
      <c r="F231" s="120" t="s">
        <v>3731</v>
      </c>
      <c r="G231" s="108">
        <v>9</v>
      </c>
      <c r="H231" s="38" t="s">
        <v>3607</v>
      </c>
      <c r="I231" s="38"/>
      <c r="J231" s="38"/>
      <c r="K231" s="109" t="s">
        <v>3637</v>
      </c>
      <c r="L231" s="109"/>
      <c r="M231" s="109"/>
      <c r="N231" s="109"/>
      <c r="O231" s="109"/>
      <c r="P231" s="110">
        <v>1033</v>
      </c>
      <c r="Q231" s="110">
        <v>205</v>
      </c>
      <c r="R231" s="118"/>
      <c r="S231" s="113"/>
      <c r="T231" s="118"/>
      <c r="U231" s="38"/>
      <c r="V231" s="38"/>
      <c r="W231" s="38"/>
      <c r="X231" s="38"/>
      <c r="Y231" s="38"/>
      <c r="Z231" s="115"/>
      <c r="AA231" s="38"/>
      <c r="AB231" s="38"/>
      <c r="AC231" s="38"/>
      <c r="AD231" s="38"/>
      <c r="AE231" s="38"/>
      <c r="AF231" s="38"/>
      <c r="AG231" s="17"/>
      <c r="AH231" s="24"/>
      <c r="AI231" s="25"/>
      <c r="AJ231" s="25"/>
    </row>
    <row r="232" spans="1:36" x14ac:dyDescent="0.3">
      <c r="A232" s="63">
        <v>226</v>
      </c>
      <c r="B232" s="102" t="s">
        <v>3520</v>
      </c>
      <c r="C232" s="102" t="s">
        <v>3521</v>
      </c>
      <c r="D232" s="64" t="s">
        <v>119</v>
      </c>
      <c r="E232" s="106" t="s">
        <v>3524</v>
      </c>
      <c r="F232" s="120" t="s">
        <v>3731</v>
      </c>
      <c r="G232" s="108">
        <v>9</v>
      </c>
      <c r="H232" s="38" t="s">
        <v>3607</v>
      </c>
      <c r="I232" s="38"/>
      <c r="J232" s="38"/>
      <c r="K232" s="109" t="s">
        <v>3762</v>
      </c>
      <c r="L232" s="109"/>
      <c r="M232" s="109"/>
      <c r="N232" s="109"/>
      <c r="O232" s="109"/>
      <c r="P232" s="110">
        <v>1086</v>
      </c>
      <c r="Q232" s="121">
        <v>379</v>
      </c>
      <c r="R232" s="118"/>
      <c r="S232" s="113"/>
      <c r="T232" s="118"/>
      <c r="U232" s="38"/>
      <c r="V232" s="38"/>
      <c r="W232" s="38"/>
      <c r="X232" s="38"/>
      <c r="Y232" s="38"/>
      <c r="Z232" s="115"/>
      <c r="AA232" s="38"/>
      <c r="AB232" s="38"/>
      <c r="AC232" s="38"/>
      <c r="AD232" s="38"/>
      <c r="AE232" s="38"/>
      <c r="AF232" s="38"/>
      <c r="AG232" s="17"/>
      <c r="AH232" s="24"/>
      <c r="AI232" s="25"/>
      <c r="AJ232" s="25"/>
    </row>
    <row r="233" spans="1:36" x14ac:dyDescent="0.3">
      <c r="A233" s="63">
        <v>227</v>
      </c>
      <c r="B233" s="102" t="s">
        <v>3520</v>
      </c>
      <c r="C233" s="102" t="s">
        <v>3521</v>
      </c>
      <c r="D233" s="64" t="s">
        <v>119</v>
      </c>
      <c r="E233" s="106" t="s">
        <v>3524</v>
      </c>
      <c r="F233" s="120" t="s">
        <v>3763</v>
      </c>
      <c r="G233" s="108">
        <v>1</v>
      </c>
      <c r="H233" s="38" t="s">
        <v>3764</v>
      </c>
      <c r="I233" s="38"/>
      <c r="J233" s="38"/>
      <c r="K233" s="109" t="s">
        <v>3566</v>
      </c>
      <c r="L233" s="109"/>
      <c r="M233" s="109"/>
      <c r="N233" s="109"/>
      <c r="O233" s="109"/>
      <c r="P233" s="110">
        <v>695</v>
      </c>
      <c r="Q233" s="121">
        <v>118</v>
      </c>
      <c r="R233" s="118"/>
      <c r="S233" s="113"/>
      <c r="T233" s="118"/>
      <c r="U233" s="38"/>
      <c r="V233" s="38"/>
      <c r="W233" s="38"/>
      <c r="X233" s="38"/>
      <c r="Y233" s="38"/>
      <c r="Z233" s="115"/>
      <c r="AA233" s="38"/>
      <c r="AB233" s="38"/>
      <c r="AC233" s="38"/>
      <c r="AD233" s="38"/>
      <c r="AE233" s="38"/>
      <c r="AF233" s="38"/>
      <c r="AG233" s="17"/>
      <c r="AH233" s="24"/>
      <c r="AI233" s="25"/>
      <c r="AJ233" s="25"/>
    </row>
    <row r="234" spans="1:36" x14ac:dyDescent="0.3">
      <c r="A234" s="63">
        <v>228</v>
      </c>
      <c r="B234" s="102" t="s">
        <v>3520</v>
      </c>
      <c r="C234" s="102" t="s">
        <v>3521</v>
      </c>
      <c r="D234" s="64" t="s">
        <v>119</v>
      </c>
      <c r="E234" s="106" t="s">
        <v>3524</v>
      </c>
      <c r="F234" s="120" t="s">
        <v>3763</v>
      </c>
      <c r="G234" s="108">
        <v>1</v>
      </c>
      <c r="H234" s="38" t="s">
        <v>3764</v>
      </c>
      <c r="I234" s="38"/>
      <c r="J234" s="38"/>
      <c r="K234" s="109" t="s">
        <v>3765</v>
      </c>
      <c r="L234" s="109"/>
      <c r="M234" s="109"/>
      <c r="N234" s="109"/>
      <c r="O234" s="109"/>
      <c r="P234" s="110">
        <v>1219</v>
      </c>
      <c r="Q234" s="110">
        <v>262</v>
      </c>
      <c r="R234" s="112"/>
      <c r="S234" s="113"/>
      <c r="T234" s="112"/>
      <c r="U234" s="38"/>
      <c r="V234" s="38"/>
      <c r="W234" s="38"/>
      <c r="X234" s="38"/>
      <c r="Y234" s="38"/>
      <c r="Z234" s="115"/>
      <c r="AA234" s="38"/>
      <c r="AB234" s="38"/>
      <c r="AC234" s="38"/>
      <c r="AD234" s="38"/>
      <c r="AE234" s="38"/>
      <c r="AF234" s="38"/>
      <c r="AG234" s="17"/>
      <c r="AH234" s="24"/>
      <c r="AI234" s="25"/>
      <c r="AJ234" s="25"/>
    </row>
    <row r="235" spans="1:36" x14ac:dyDescent="0.3">
      <c r="A235" s="63">
        <v>229</v>
      </c>
      <c r="B235" s="102" t="s">
        <v>3520</v>
      </c>
      <c r="C235" s="102" t="s">
        <v>3521</v>
      </c>
      <c r="D235" s="64" t="s">
        <v>119</v>
      </c>
      <c r="E235" s="106" t="s">
        <v>3524</v>
      </c>
      <c r="F235" s="120" t="s">
        <v>3763</v>
      </c>
      <c r="G235" s="108">
        <v>1</v>
      </c>
      <c r="H235" s="38" t="s">
        <v>3764</v>
      </c>
      <c r="I235" s="38"/>
      <c r="J235" s="38"/>
      <c r="K235" s="109" t="s">
        <v>2511</v>
      </c>
      <c r="L235" s="109"/>
      <c r="M235" s="109"/>
      <c r="N235" s="109"/>
      <c r="O235" s="109"/>
      <c r="P235" s="108">
        <v>948</v>
      </c>
      <c r="Q235" s="108">
        <v>220</v>
      </c>
      <c r="R235" s="112"/>
      <c r="S235" s="113"/>
      <c r="T235" s="112"/>
      <c r="U235" s="38"/>
      <c r="V235" s="38"/>
      <c r="W235" s="38"/>
      <c r="X235" s="38"/>
      <c r="Y235" s="38"/>
      <c r="Z235" s="115"/>
      <c r="AA235" s="38"/>
      <c r="AB235" s="38"/>
      <c r="AC235" s="38"/>
      <c r="AD235" s="38"/>
      <c r="AE235" s="38"/>
      <c r="AF235" s="38"/>
      <c r="AG235" s="17"/>
      <c r="AH235" s="24"/>
      <c r="AI235" s="25"/>
      <c r="AJ235" s="25"/>
    </row>
    <row r="236" spans="1:36" x14ac:dyDescent="0.3">
      <c r="A236" s="63">
        <v>230</v>
      </c>
      <c r="B236" s="102" t="s">
        <v>3520</v>
      </c>
      <c r="C236" s="102" t="s">
        <v>3521</v>
      </c>
      <c r="D236" s="64" t="s">
        <v>119</v>
      </c>
      <c r="E236" s="106" t="s">
        <v>3524</v>
      </c>
      <c r="F236" s="120" t="s">
        <v>3763</v>
      </c>
      <c r="G236" s="108">
        <v>1</v>
      </c>
      <c r="H236" s="38" t="s">
        <v>3764</v>
      </c>
      <c r="I236" s="38"/>
      <c r="J236" s="38"/>
      <c r="K236" s="109" t="s">
        <v>3766</v>
      </c>
      <c r="L236" s="109"/>
      <c r="M236" s="109"/>
      <c r="N236" s="109"/>
      <c r="O236" s="109"/>
      <c r="P236" s="110">
        <v>205</v>
      </c>
      <c r="Q236" s="121">
        <v>44</v>
      </c>
      <c r="R236" s="112"/>
      <c r="S236" s="113">
        <v>20</v>
      </c>
      <c r="T236" s="112"/>
      <c r="U236" s="38"/>
      <c r="V236" s="38"/>
      <c r="W236" s="38"/>
      <c r="X236" s="38"/>
      <c r="Y236" s="38"/>
      <c r="Z236" s="115"/>
      <c r="AA236" s="38"/>
      <c r="AB236" s="38"/>
      <c r="AC236" s="38"/>
      <c r="AD236" s="38"/>
      <c r="AE236" s="38"/>
      <c r="AF236" s="38"/>
      <c r="AG236" s="17"/>
      <c r="AH236" s="24"/>
      <c r="AI236" s="25"/>
      <c r="AJ236" s="25"/>
    </row>
    <row r="237" spans="1:36" x14ac:dyDescent="0.3">
      <c r="A237" s="63">
        <v>231</v>
      </c>
      <c r="B237" s="102" t="s">
        <v>3520</v>
      </c>
      <c r="C237" s="102" t="s">
        <v>3521</v>
      </c>
      <c r="D237" s="64" t="s">
        <v>119</v>
      </c>
      <c r="E237" s="106" t="s">
        <v>3524</v>
      </c>
      <c r="F237" s="120" t="s">
        <v>3763</v>
      </c>
      <c r="G237" s="108">
        <v>2</v>
      </c>
      <c r="H237" s="38" t="s">
        <v>3767</v>
      </c>
      <c r="I237" s="38"/>
      <c r="J237" s="38"/>
      <c r="K237" s="109" t="s">
        <v>3768</v>
      </c>
      <c r="L237" s="109"/>
      <c r="M237" s="109"/>
      <c r="N237" s="109"/>
      <c r="O237" s="109"/>
      <c r="P237" s="110">
        <v>4421</v>
      </c>
      <c r="Q237" s="110">
        <v>838</v>
      </c>
      <c r="R237" s="112"/>
      <c r="S237" s="113">
        <f>300+2110</f>
        <v>2410</v>
      </c>
      <c r="T237" s="112"/>
      <c r="U237" s="38"/>
      <c r="V237" s="38"/>
      <c r="W237" s="38"/>
      <c r="X237" s="38"/>
      <c r="Y237" s="38"/>
      <c r="Z237" s="115"/>
      <c r="AA237" s="38"/>
      <c r="AB237" s="38"/>
      <c r="AC237" s="38"/>
      <c r="AD237" s="38"/>
      <c r="AE237" s="38"/>
      <c r="AF237" s="38"/>
      <c r="AG237" s="17"/>
      <c r="AH237" s="24"/>
      <c r="AI237" s="25"/>
      <c r="AJ237" s="25"/>
    </row>
    <row r="238" spans="1:36" x14ac:dyDescent="0.3">
      <c r="A238" s="63">
        <v>232</v>
      </c>
      <c r="B238" s="102" t="s">
        <v>3520</v>
      </c>
      <c r="C238" s="102" t="s">
        <v>3521</v>
      </c>
      <c r="D238" s="64" t="s">
        <v>119</v>
      </c>
      <c r="E238" s="106" t="s">
        <v>3524</v>
      </c>
      <c r="F238" s="120" t="s">
        <v>3763</v>
      </c>
      <c r="G238" s="108">
        <v>2</v>
      </c>
      <c r="H238" s="38" t="s">
        <v>3767</v>
      </c>
      <c r="I238" s="38"/>
      <c r="J238" s="38"/>
      <c r="K238" s="109" t="s">
        <v>3769</v>
      </c>
      <c r="L238" s="109"/>
      <c r="M238" s="109"/>
      <c r="N238" s="109"/>
      <c r="O238" s="109"/>
      <c r="P238" s="110">
        <v>3872</v>
      </c>
      <c r="Q238" s="121">
        <v>774</v>
      </c>
      <c r="R238" s="112"/>
      <c r="S238" s="113">
        <v>2026</v>
      </c>
      <c r="T238" s="112"/>
      <c r="U238" s="38"/>
      <c r="V238" s="38"/>
      <c r="W238" s="38"/>
      <c r="X238" s="38"/>
      <c r="Y238" s="38"/>
      <c r="Z238" s="115"/>
      <c r="AA238" s="38"/>
      <c r="AB238" s="38"/>
      <c r="AC238" s="38"/>
      <c r="AD238" s="38"/>
      <c r="AE238" s="38"/>
      <c r="AF238" s="38"/>
      <c r="AG238" s="17"/>
      <c r="AH238" s="24"/>
      <c r="AI238" s="25"/>
      <c r="AJ238" s="25"/>
    </row>
    <row r="239" spans="1:36" x14ac:dyDescent="0.3">
      <c r="A239" s="63">
        <v>233</v>
      </c>
      <c r="B239" s="102" t="s">
        <v>3520</v>
      </c>
      <c r="C239" s="102" t="s">
        <v>3521</v>
      </c>
      <c r="D239" s="64" t="s">
        <v>119</v>
      </c>
      <c r="E239" s="106" t="s">
        <v>3524</v>
      </c>
      <c r="F239" s="120" t="s">
        <v>3763</v>
      </c>
      <c r="G239" s="108">
        <v>2</v>
      </c>
      <c r="H239" s="38" t="s">
        <v>3767</v>
      </c>
      <c r="I239" s="38"/>
      <c r="J239" s="38"/>
      <c r="K239" s="109" t="s">
        <v>3770</v>
      </c>
      <c r="L239" s="109"/>
      <c r="M239" s="109"/>
      <c r="N239" s="109"/>
      <c r="O239" s="109"/>
      <c r="P239" s="110">
        <v>695</v>
      </c>
      <c r="Q239" s="121">
        <v>178</v>
      </c>
      <c r="R239" s="112"/>
      <c r="S239" s="113"/>
      <c r="T239" s="112"/>
      <c r="U239" s="38"/>
      <c r="V239" s="38"/>
      <c r="W239" s="38"/>
      <c r="X239" s="38"/>
      <c r="Y239" s="38"/>
      <c r="Z239" s="115"/>
      <c r="AA239" s="38"/>
      <c r="AB239" s="38"/>
      <c r="AC239" s="38"/>
      <c r="AD239" s="38"/>
      <c r="AE239" s="38"/>
      <c r="AF239" s="38"/>
      <c r="AG239" s="17"/>
      <c r="AH239" s="24"/>
      <c r="AI239" s="25"/>
      <c r="AJ239" s="25"/>
    </row>
    <row r="240" spans="1:36" x14ac:dyDescent="0.3">
      <c r="A240" s="63">
        <v>234</v>
      </c>
      <c r="B240" s="102" t="s">
        <v>3520</v>
      </c>
      <c r="C240" s="102" t="s">
        <v>3521</v>
      </c>
      <c r="D240" s="64" t="s">
        <v>119</v>
      </c>
      <c r="E240" s="106" t="s">
        <v>3524</v>
      </c>
      <c r="F240" s="120" t="s">
        <v>3763</v>
      </c>
      <c r="G240" s="108">
        <v>3</v>
      </c>
      <c r="H240" s="38" t="s">
        <v>3767</v>
      </c>
      <c r="I240" s="38"/>
      <c r="J240" s="38"/>
      <c r="K240" s="109" t="s">
        <v>3643</v>
      </c>
      <c r="L240" s="109"/>
      <c r="M240" s="109"/>
      <c r="N240" s="109"/>
      <c r="O240" s="109"/>
      <c r="P240" s="110">
        <v>1540</v>
      </c>
      <c r="Q240" s="110">
        <v>270</v>
      </c>
      <c r="R240" s="112"/>
      <c r="S240" s="113">
        <v>135</v>
      </c>
      <c r="T240" s="112"/>
      <c r="U240" s="38"/>
      <c r="V240" s="38"/>
      <c r="W240" s="38"/>
      <c r="X240" s="38"/>
      <c r="Y240" s="38"/>
      <c r="Z240" s="115"/>
      <c r="AA240" s="38"/>
      <c r="AB240" s="38"/>
      <c r="AC240" s="38"/>
      <c r="AD240" s="38"/>
      <c r="AE240" s="38"/>
      <c r="AF240" s="38"/>
      <c r="AG240" s="17"/>
      <c r="AH240" s="24"/>
      <c r="AI240" s="25"/>
      <c r="AJ240" s="25"/>
    </row>
    <row r="241" spans="1:36" x14ac:dyDescent="0.3">
      <c r="A241" s="63">
        <v>235</v>
      </c>
      <c r="B241" s="102" t="s">
        <v>3520</v>
      </c>
      <c r="C241" s="102" t="s">
        <v>3521</v>
      </c>
      <c r="D241" s="64" t="s">
        <v>119</v>
      </c>
      <c r="E241" s="106" t="s">
        <v>3524</v>
      </c>
      <c r="F241" s="120" t="s">
        <v>3763</v>
      </c>
      <c r="G241" s="108">
        <v>3</v>
      </c>
      <c r="H241" s="38" t="s">
        <v>3767</v>
      </c>
      <c r="I241" s="38"/>
      <c r="J241" s="38"/>
      <c r="K241" s="109" t="s">
        <v>3771</v>
      </c>
      <c r="L241" s="109"/>
      <c r="M241" s="109"/>
      <c r="N241" s="109"/>
      <c r="O241" s="109"/>
      <c r="P241" s="110">
        <v>609</v>
      </c>
      <c r="Q241" s="121">
        <v>105</v>
      </c>
      <c r="R241" s="112"/>
      <c r="S241" s="113"/>
      <c r="T241" s="112"/>
      <c r="U241" s="38"/>
      <c r="V241" s="38"/>
      <c r="W241" s="38"/>
      <c r="X241" s="38"/>
      <c r="Y241" s="38"/>
      <c r="Z241" s="115"/>
      <c r="AA241" s="38"/>
      <c r="AB241" s="38"/>
      <c r="AC241" s="38"/>
      <c r="AD241" s="38"/>
      <c r="AE241" s="38"/>
      <c r="AF241" s="38"/>
      <c r="AG241" s="17"/>
      <c r="AH241" s="24"/>
      <c r="AI241" s="25"/>
      <c r="AJ241" s="25"/>
    </row>
    <row r="242" spans="1:36" x14ac:dyDescent="0.3">
      <c r="A242" s="63">
        <v>236</v>
      </c>
      <c r="B242" s="102" t="s">
        <v>3520</v>
      </c>
      <c r="C242" s="102" t="s">
        <v>3521</v>
      </c>
      <c r="D242" s="64" t="s">
        <v>119</v>
      </c>
      <c r="E242" s="106" t="s">
        <v>3524</v>
      </c>
      <c r="F242" s="120" t="s">
        <v>3763</v>
      </c>
      <c r="G242" s="108">
        <v>3</v>
      </c>
      <c r="H242" s="38" t="s">
        <v>3767</v>
      </c>
      <c r="I242" s="38"/>
      <c r="J242" s="38"/>
      <c r="K242" s="109" t="s">
        <v>3772</v>
      </c>
      <c r="L242" s="109"/>
      <c r="M242" s="109"/>
      <c r="N242" s="109"/>
      <c r="O242" s="109"/>
      <c r="P242" s="110">
        <v>1165</v>
      </c>
      <c r="Q242" s="121">
        <v>187</v>
      </c>
      <c r="R242" s="112"/>
      <c r="S242" s="113">
        <v>113</v>
      </c>
      <c r="T242" s="112"/>
      <c r="U242" s="38"/>
      <c r="V242" s="38"/>
      <c r="W242" s="38"/>
      <c r="X242" s="38"/>
      <c r="Y242" s="38"/>
      <c r="Z242" s="115"/>
      <c r="AA242" s="38"/>
      <c r="AB242" s="38"/>
      <c r="AC242" s="38"/>
      <c r="AD242" s="38"/>
      <c r="AE242" s="38"/>
      <c r="AF242" s="38"/>
      <c r="AG242" s="17"/>
      <c r="AH242" s="24"/>
      <c r="AI242" s="25"/>
      <c r="AJ242" s="25"/>
    </row>
    <row r="243" spans="1:36" x14ac:dyDescent="0.3">
      <c r="A243" s="63">
        <v>237</v>
      </c>
      <c r="B243" s="102" t="s">
        <v>3520</v>
      </c>
      <c r="C243" s="102" t="s">
        <v>3521</v>
      </c>
      <c r="D243" s="64" t="s">
        <v>119</v>
      </c>
      <c r="E243" s="106" t="s">
        <v>3524</v>
      </c>
      <c r="F243" s="120" t="s">
        <v>3763</v>
      </c>
      <c r="G243" s="108">
        <v>4</v>
      </c>
      <c r="H243" s="38" t="s">
        <v>3764</v>
      </c>
      <c r="I243" s="38"/>
      <c r="J243" s="38"/>
      <c r="K243" s="109" t="s">
        <v>3773</v>
      </c>
      <c r="L243" s="109"/>
      <c r="M243" s="109"/>
      <c r="N243" s="109"/>
      <c r="O243" s="109"/>
      <c r="P243" s="108">
        <v>1621</v>
      </c>
      <c r="Q243" s="108">
        <v>320</v>
      </c>
      <c r="R243" s="112"/>
      <c r="S243" s="113">
        <v>13</v>
      </c>
      <c r="T243" s="112"/>
      <c r="U243" s="38"/>
      <c r="V243" s="38"/>
      <c r="W243" s="38"/>
      <c r="X243" s="38"/>
      <c r="Y243" s="38"/>
      <c r="Z243" s="115"/>
      <c r="AA243" s="38"/>
      <c r="AB243" s="38"/>
      <c r="AC243" s="38"/>
      <c r="AD243" s="38"/>
      <c r="AE243" s="38"/>
      <c r="AF243" s="38"/>
      <c r="AG243" s="17"/>
      <c r="AH243" s="24"/>
      <c r="AI243" s="25"/>
      <c r="AJ243" s="25"/>
    </row>
    <row r="244" spans="1:36" x14ac:dyDescent="0.3">
      <c r="A244" s="63">
        <v>238</v>
      </c>
      <c r="B244" s="102" t="s">
        <v>3520</v>
      </c>
      <c r="C244" s="102" t="s">
        <v>3521</v>
      </c>
      <c r="D244" s="64" t="s">
        <v>119</v>
      </c>
      <c r="E244" s="106" t="s">
        <v>3524</v>
      </c>
      <c r="F244" s="120" t="s">
        <v>3763</v>
      </c>
      <c r="G244" s="108">
        <v>4</v>
      </c>
      <c r="H244" s="38" t="s">
        <v>3764</v>
      </c>
      <c r="I244" s="38"/>
      <c r="J244" s="38"/>
      <c r="K244" s="109" t="s">
        <v>3774</v>
      </c>
      <c r="L244" s="109"/>
      <c r="M244" s="109"/>
      <c r="N244" s="109"/>
      <c r="O244" s="109"/>
      <c r="P244" s="110">
        <v>1123</v>
      </c>
      <c r="Q244" s="121">
        <v>242</v>
      </c>
      <c r="R244" s="112"/>
      <c r="S244" s="113">
        <v>77</v>
      </c>
      <c r="T244" s="112"/>
      <c r="U244" s="38"/>
      <c r="V244" s="38"/>
      <c r="W244" s="38"/>
      <c r="X244" s="38"/>
      <c r="Y244" s="38"/>
      <c r="Z244" s="115"/>
      <c r="AA244" s="38"/>
      <c r="AB244" s="38"/>
      <c r="AC244" s="38"/>
      <c r="AD244" s="38"/>
      <c r="AE244" s="38"/>
      <c r="AF244" s="38"/>
      <c r="AG244" s="17"/>
      <c r="AH244" s="24"/>
      <c r="AI244" s="25"/>
      <c r="AJ244" s="25"/>
    </row>
    <row r="245" spans="1:36" x14ac:dyDescent="0.3">
      <c r="A245" s="63">
        <v>239</v>
      </c>
      <c r="B245" s="102" t="s">
        <v>3520</v>
      </c>
      <c r="C245" s="102" t="s">
        <v>3521</v>
      </c>
      <c r="D245" s="64" t="s">
        <v>119</v>
      </c>
      <c r="E245" s="106" t="s">
        <v>3524</v>
      </c>
      <c r="F245" s="120" t="s">
        <v>3763</v>
      </c>
      <c r="G245" s="108">
        <v>4</v>
      </c>
      <c r="H245" s="38" t="s">
        <v>3764</v>
      </c>
      <c r="I245" s="38"/>
      <c r="J245" s="38"/>
      <c r="K245" s="109" t="s">
        <v>3775</v>
      </c>
      <c r="L245" s="109"/>
      <c r="M245" s="109"/>
      <c r="N245" s="109"/>
      <c r="O245" s="109"/>
      <c r="P245" s="110">
        <v>740</v>
      </c>
      <c r="Q245" s="121">
        <v>164</v>
      </c>
      <c r="R245" s="112"/>
      <c r="S245" s="113"/>
      <c r="T245" s="112"/>
      <c r="U245" s="38"/>
      <c r="V245" s="38"/>
      <c r="W245" s="38"/>
      <c r="X245" s="38"/>
      <c r="Y245" s="38"/>
      <c r="Z245" s="115"/>
      <c r="AA245" s="38"/>
      <c r="AB245" s="38"/>
      <c r="AC245" s="38"/>
      <c r="AD245" s="38"/>
      <c r="AE245" s="38"/>
      <c r="AF245" s="38"/>
      <c r="AG245" s="17"/>
      <c r="AH245" s="24"/>
      <c r="AI245" s="25"/>
      <c r="AJ245" s="25"/>
    </row>
    <row r="246" spans="1:36" x14ac:dyDescent="0.3">
      <c r="A246" s="63">
        <v>240</v>
      </c>
      <c r="B246" s="102" t="s">
        <v>3520</v>
      </c>
      <c r="C246" s="102" t="s">
        <v>3521</v>
      </c>
      <c r="D246" s="64" t="s">
        <v>119</v>
      </c>
      <c r="E246" s="106" t="s">
        <v>3524</v>
      </c>
      <c r="F246" s="120" t="s">
        <v>3763</v>
      </c>
      <c r="G246" s="108">
        <v>5</v>
      </c>
      <c r="H246" s="38" t="s">
        <v>3776</v>
      </c>
      <c r="I246" s="38"/>
      <c r="J246" s="38"/>
      <c r="K246" s="109" t="s">
        <v>3777</v>
      </c>
      <c r="L246" s="109"/>
      <c r="M246" s="109"/>
      <c r="N246" s="109"/>
      <c r="O246" s="109"/>
      <c r="P246" s="110">
        <v>2264</v>
      </c>
      <c r="Q246" s="110">
        <v>454</v>
      </c>
      <c r="R246" s="112"/>
      <c r="S246" s="113"/>
      <c r="T246" s="112"/>
      <c r="U246" s="38"/>
      <c r="V246" s="38"/>
      <c r="W246" s="38"/>
      <c r="X246" s="38"/>
      <c r="Y246" s="38"/>
      <c r="Z246" s="115"/>
      <c r="AA246" s="38"/>
      <c r="AB246" s="38"/>
      <c r="AC246" s="38"/>
      <c r="AD246" s="38"/>
      <c r="AE246" s="38"/>
      <c r="AF246" s="38"/>
      <c r="AG246" s="17"/>
      <c r="AH246" s="24"/>
      <c r="AI246" s="25"/>
      <c r="AJ246" s="25"/>
    </row>
    <row r="247" spans="1:36" x14ac:dyDescent="0.3">
      <c r="A247" s="63">
        <v>241</v>
      </c>
      <c r="B247" s="102" t="s">
        <v>3520</v>
      </c>
      <c r="C247" s="102" t="s">
        <v>3521</v>
      </c>
      <c r="D247" s="64" t="s">
        <v>119</v>
      </c>
      <c r="E247" s="106" t="s">
        <v>3524</v>
      </c>
      <c r="F247" s="120" t="s">
        <v>3763</v>
      </c>
      <c r="G247" s="108">
        <v>5</v>
      </c>
      <c r="H247" s="38" t="s">
        <v>3776</v>
      </c>
      <c r="I247" s="38"/>
      <c r="J247" s="38"/>
      <c r="K247" s="109" t="s">
        <v>3778</v>
      </c>
      <c r="L247" s="109"/>
      <c r="M247" s="109"/>
      <c r="N247" s="109"/>
      <c r="O247" s="109"/>
      <c r="P247" s="108">
        <v>1090</v>
      </c>
      <c r="Q247" s="108">
        <v>234</v>
      </c>
      <c r="R247" s="112"/>
      <c r="S247" s="113"/>
      <c r="T247" s="112"/>
      <c r="U247" s="38"/>
      <c r="V247" s="38"/>
      <c r="W247" s="38"/>
      <c r="X247" s="38"/>
      <c r="Y247" s="38"/>
      <c r="Z247" s="115"/>
      <c r="AA247" s="38"/>
      <c r="AB247" s="38"/>
      <c r="AC247" s="38"/>
      <c r="AD247" s="38"/>
      <c r="AE247" s="38"/>
      <c r="AF247" s="38"/>
      <c r="AG247" s="17"/>
      <c r="AH247" s="24"/>
      <c r="AI247" s="25"/>
      <c r="AJ247" s="25"/>
    </row>
    <row r="248" spans="1:36" x14ac:dyDescent="0.3">
      <c r="A248" s="63">
        <v>242</v>
      </c>
      <c r="B248" s="102" t="s">
        <v>3520</v>
      </c>
      <c r="C248" s="102" t="s">
        <v>3521</v>
      </c>
      <c r="D248" s="64" t="s">
        <v>119</v>
      </c>
      <c r="E248" s="106" t="s">
        <v>3524</v>
      </c>
      <c r="F248" s="120" t="s">
        <v>3763</v>
      </c>
      <c r="G248" s="108">
        <v>5</v>
      </c>
      <c r="H248" s="38" t="s">
        <v>3776</v>
      </c>
      <c r="I248" s="38"/>
      <c r="J248" s="38"/>
      <c r="K248" s="109" t="s">
        <v>3779</v>
      </c>
      <c r="L248" s="109"/>
      <c r="M248" s="109"/>
      <c r="N248" s="109"/>
      <c r="O248" s="109"/>
      <c r="P248" s="108">
        <v>1225</v>
      </c>
      <c r="Q248" s="108">
        <v>262</v>
      </c>
      <c r="R248" s="112"/>
      <c r="S248" s="113">
        <v>25</v>
      </c>
      <c r="T248" s="112"/>
      <c r="U248" s="38"/>
      <c r="V248" s="38"/>
      <c r="W248" s="38"/>
      <c r="X248" s="38"/>
      <c r="Y248" s="38"/>
      <c r="Z248" s="115"/>
      <c r="AA248" s="38"/>
      <c r="AB248" s="38"/>
      <c r="AC248" s="38"/>
      <c r="AD248" s="38"/>
      <c r="AE248" s="38"/>
      <c r="AF248" s="38"/>
      <c r="AG248" s="17"/>
      <c r="AH248" s="24"/>
      <c r="AI248" s="25"/>
      <c r="AJ248" s="25"/>
    </row>
    <row r="249" spans="1:36" x14ac:dyDescent="0.3">
      <c r="A249" s="63">
        <v>243</v>
      </c>
      <c r="B249" s="102" t="s">
        <v>3520</v>
      </c>
      <c r="C249" s="102" t="s">
        <v>3521</v>
      </c>
      <c r="D249" s="64" t="s">
        <v>119</v>
      </c>
      <c r="E249" s="106" t="s">
        <v>3524</v>
      </c>
      <c r="F249" s="120" t="s">
        <v>3763</v>
      </c>
      <c r="G249" s="108">
        <v>6</v>
      </c>
      <c r="H249" s="38" t="s">
        <v>3776</v>
      </c>
      <c r="I249" s="38"/>
      <c r="J249" s="38"/>
      <c r="K249" s="109" t="s">
        <v>3780</v>
      </c>
      <c r="L249" s="109"/>
      <c r="M249" s="109"/>
      <c r="N249" s="109"/>
      <c r="O249" s="109"/>
      <c r="P249" s="110">
        <v>339</v>
      </c>
      <c r="Q249" s="110">
        <v>78</v>
      </c>
      <c r="R249" s="112"/>
      <c r="S249" s="113"/>
      <c r="T249" s="112"/>
      <c r="U249" s="38"/>
      <c r="V249" s="38"/>
      <c r="W249" s="38"/>
      <c r="X249" s="38"/>
      <c r="Y249" s="38"/>
      <c r="Z249" s="115"/>
      <c r="AA249" s="38"/>
      <c r="AB249" s="38"/>
      <c r="AC249" s="38"/>
      <c r="AD249" s="38"/>
      <c r="AE249" s="38"/>
      <c r="AF249" s="38"/>
      <c r="AG249" s="17"/>
      <c r="AH249" s="24"/>
      <c r="AI249" s="25"/>
      <c r="AJ249" s="25"/>
    </row>
    <row r="250" spans="1:36" x14ac:dyDescent="0.3">
      <c r="A250" s="63">
        <v>244</v>
      </c>
      <c r="B250" s="102" t="s">
        <v>3520</v>
      </c>
      <c r="C250" s="102" t="s">
        <v>3521</v>
      </c>
      <c r="D250" s="64" t="s">
        <v>119</v>
      </c>
      <c r="E250" s="106" t="s">
        <v>3524</v>
      </c>
      <c r="F250" s="120" t="s">
        <v>3763</v>
      </c>
      <c r="G250" s="108">
        <v>6</v>
      </c>
      <c r="H250" s="38" t="s">
        <v>3776</v>
      </c>
      <c r="I250" s="38"/>
      <c r="J250" s="38"/>
      <c r="K250" s="109" t="s">
        <v>3781</v>
      </c>
      <c r="L250" s="109"/>
      <c r="M250" s="109"/>
      <c r="N250" s="109"/>
      <c r="O250" s="109"/>
      <c r="P250" s="108">
        <v>2705</v>
      </c>
      <c r="Q250" s="108">
        <v>552</v>
      </c>
      <c r="R250" s="112"/>
      <c r="S250" s="113"/>
      <c r="T250" s="112"/>
      <c r="U250" s="38"/>
      <c r="V250" s="38"/>
      <c r="W250" s="38"/>
      <c r="X250" s="38"/>
      <c r="Y250" s="38"/>
      <c r="Z250" s="115"/>
      <c r="AA250" s="38"/>
      <c r="AB250" s="38"/>
      <c r="AC250" s="38"/>
      <c r="AD250" s="38"/>
      <c r="AE250" s="38"/>
      <c r="AF250" s="38"/>
      <c r="AG250" s="17"/>
      <c r="AH250" s="24"/>
      <c r="AI250" s="25"/>
      <c r="AJ250" s="25"/>
    </row>
    <row r="251" spans="1:36" x14ac:dyDescent="0.3">
      <c r="A251" s="63">
        <v>245</v>
      </c>
      <c r="B251" s="102" t="s">
        <v>3520</v>
      </c>
      <c r="C251" s="102" t="s">
        <v>3521</v>
      </c>
      <c r="D251" s="64" t="s">
        <v>119</v>
      </c>
      <c r="E251" s="106" t="s">
        <v>3524</v>
      </c>
      <c r="F251" s="120" t="s">
        <v>3763</v>
      </c>
      <c r="G251" s="108">
        <v>6</v>
      </c>
      <c r="H251" s="38" t="s">
        <v>3776</v>
      </c>
      <c r="I251" s="38"/>
      <c r="J251" s="38"/>
      <c r="K251" s="109" t="s">
        <v>3782</v>
      </c>
      <c r="L251" s="109"/>
      <c r="M251" s="109"/>
      <c r="N251" s="109"/>
      <c r="O251" s="109"/>
      <c r="P251" s="110">
        <v>519</v>
      </c>
      <c r="Q251" s="121">
        <v>122</v>
      </c>
      <c r="R251" s="112"/>
      <c r="S251" s="113"/>
      <c r="T251" s="112"/>
      <c r="U251" s="38"/>
      <c r="V251" s="38"/>
      <c r="W251" s="38"/>
      <c r="X251" s="38"/>
      <c r="Y251" s="38"/>
      <c r="Z251" s="115"/>
      <c r="AA251" s="38"/>
      <c r="AB251" s="38"/>
      <c r="AC251" s="38"/>
      <c r="AD251" s="38"/>
      <c r="AE251" s="38"/>
      <c r="AF251" s="38"/>
      <c r="AG251" s="17"/>
      <c r="AH251" s="24"/>
      <c r="AI251" s="25"/>
      <c r="AJ251" s="25"/>
    </row>
    <row r="252" spans="1:36" x14ac:dyDescent="0.3">
      <c r="A252" s="63">
        <v>246</v>
      </c>
      <c r="B252" s="102" t="s">
        <v>3520</v>
      </c>
      <c r="C252" s="102" t="s">
        <v>3521</v>
      </c>
      <c r="D252" s="64" t="s">
        <v>119</v>
      </c>
      <c r="E252" s="106" t="s">
        <v>3524</v>
      </c>
      <c r="F252" s="120" t="s">
        <v>3763</v>
      </c>
      <c r="G252" s="108">
        <v>6</v>
      </c>
      <c r="H252" s="38" t="s">
        <v>3776</v>
      </c>
      <c r="I252" s="38"/>
      <c r="J252" s="38"/>
      <c r="K252" s="109" t="s">
        <v>3783</v>
      </c>
      <c r="L252" s="109"/>
      <c r="M252" s="109"/>
      <c r="N252" s="109"/>
      <c r="O252" s="109"/>
      <c r="P252" s="110">
        <v>1407</v>
      </c>
      <c r="Q252" s="110">
        <v>307</v>
      </c>
      <c r="R252" s="112"/>
      <c r="S252" s="113"/>
      <c r="T252" s="112"/>
      <c r="U252" s="38"/>
      <c r="V252" s="38"/>
      <c r="W252" s="38"/>
      <c r="X252" s="38"/>
      <c r="Y252" s="38"/>
      <c r="Z252" s="115"/>
      <c r="AA252" s="38"/>
      <c r="AB252" s="38"/>
      <c r="AC252" s="38"/>
      <c r="AD252" s="38"/>
      <c r="AE252" s="38"/>
      <c r="AF252" s="38"/>
      <c r="AG252" s="17"/>
      <c r="AH252" s="24"/>
      <c r="AI252" s="25"/>
      <c r="AJ252" s="25"/>
    </row>
    <row r="253" spans="1:36" x14ac:dyDescent="0.3">
      <c r="A253" s="63">
        <v>247</v>
      </c>
      <c r="B253" s="102" t="s">
        <v>3520</v>
      </c>
      <c r="C253" s="102" t="s">
        <v>3521</v>
      </c>
      <c r="D253" s="64" t="s">
        <v>119</v>
      </c>
      <c r="E253" s="106" t="s">
        <v>3524</v>
      </c>
      <c r="F253" s="120" t="s">
        <v>3763</v>
      </c>
      <c r="G253" s="108">
        <v>7</v>
      </c>
      <c r="H253" s="38" t="s">
        <v>3784</v>
      </c>
      <c r="I253" s="38"/>
      <c r="J253" s="38"/>
      <c r="K253" s="109" t="s">
        <v>3785</v>
      </c>
      <c r="L253" s="109"/>
      <c r="M253" s="109"/>
      <c r="N253" s="109"/>
      <c r="O253" s="109"/>
      <c r="P253" s="110">
        <v>1514</v>
      </c>
      <c r="Q253" s="110">
        <v>301</v>
      </c>
      <c r="R253" s="112"/>
      <c r="S253" s="113"/>
      <c r="T253" s="112"/>
      <c r="U253" s="38"/>
      <c r="V253" s="38"/>
      <c r="W253" s="38"/>
      <c r="X253" s="38"/>
      <c r="Y253" s="38"/>
      <c r="Z253" s="115"/>
      <c r="AA253" s="38"/>
      <c r="AB253" s="38"/>
      <c r="AC253" s="38"/>
      <c r="AD253" s="38"/>
      <c r="AE253" s="38"/>
      <c r="AF253" s="38"/>
      <c r="AG253" s="17"/>
      <c r="AH253" s="24"/>
      <c r="AI253" s="25"/>
      <c r="AJ253" s="25"/>
    </row>
    <row r="254" spans="1:36" x14ac:dyDescent="0.3">
      <c r="A254" s="63">
        <v>248</v>
      </c>
      <c r="B254" s="102" t="s">
        <v>3520</v>
      </c>
      <c r="C254" s="102" t="s">
        <v>3521</v>
      </c>
      <c r="D254" s="64" t="s">
        <v>119</v>
      </c>
      <c r="E254" s="106" t="s">
        <v>3524</v>
      </c>
      <c r="F254" s="120" t="s">
        <v>3763</v>
      </c>
      <c r="G254" s="108">
        <v>7</v>
      </c>
      <c r="H254" s="38" t="s">
        <v>3784</v>
      </c>
      <c r="I254" s="38"/>
      <c r="J254" s="38"/>
      <c r="K254" s="109" t="s">
        <v>3786</v>
      </c>
      <c r="L254" s="109"/>
      <c r="M254" s="109"/>
      <c r="N254" s="109"/>
      <c r="O254" s="109"/>
      <c r="P254" s="108">
        <v>1819</v>
      </c>
      <c r="Q254" s="108">
        <v>296</v>
      </c>
      <c r="R254" s="112"/>
      <c r="S254" s="113">
        <v>986</v>
      </c>
      <c r="T254" s="112"/>
      <c r="U254" s="38"/>
      <c r="V254" s="38"/>
      <c r="W254" s="38"/>
      <c r="X254" s="38"/>
      <c r="Y254" s="38"/>
      <c r="Z254" s="115"/>
      <c r="AA254" s="38"/>
      <c r="AB254" s="38"/>
      <c r="AC254" s="38"/>
      <c r="AD254" s="38"/>
      <c r="AE254" s="38"/>
      <c r="AF254" s="38"/>
      <c r="AG254" s="17"/>
      <c r="AH254" s="24"/>
      <c r="AI254" s="25"/>
      <c r="AJ254" s="25"/>
    </row>
    <row r="255" spans="1:36" x14ac:dyDescent="0.3">
      <c r="A255" s="63">
        <v>249</v>
      </c>
      <c r="B255" s="102" t="s">
        <v>3520</v>
      </c>
      <c r="C255" s="102" t="s">
        <v>3521</v>
      </c>
      <c r="D255" s="64" t="s">
        <v>119</v>
      </c>
      <c r="E255" s="106" t="s">
        <v>3524</v>
      </c>
      <c r="F255" s="120" t="s">
        <v>3763</v>
      </c>
      <c r="G255" s="108">
        <v>7</v>
      </c>
      <c r="H255" s="38" t="s">
        <v>3784</v>
      </c>
      <c r="I255" s="38"/>
      <c r="J255" s="38"/>
      <c r="K255" s="109" t="s">
        <v>3787</v>
      </c>
      <c r="L255" s="109"/>
      <c r="M255" s="109"/>
      <c r="N255" s="109"/>
      <c r="O255" s="109"/>
      <c r="P255" s="110">
        <v>1004</v>
      </c>
      <c r="Q255" s="121">
        <v>208</v>
      </c>
      <c r="R255" s="112"/>
      <c r="S255" s="113"/>
      <c r="T255" s="112"/>
      <c r="U255" s="38"/>
      <c r="V255" s="38"/>
      <c r="W255" s="38"/>
      <c r="X255" s="38"/>
      <c r="Y255" s="38"/>
      <c r="Z255" s="115"/>
      <c r="AA255" s="38"/>
      <c r="AB255" s="38"/>
      <c r="AC255" s="38"/>
      <c r="AD255" s="38"/>
      <c r="AE255" s="38"/>
      <c r="AF255" s="38"/>
      <c r="AG255" s="17"/>
      <c r="AH255" s="24"/>
      <c r="AI255" s="25"/>
      <c r="AJ255" s="25"/>
    </row>
    <row r="256" spans="1:36" x14ac:dyDescent="0.3">
      <c r="A256" s="63">
        <v>250</v>
      </c>
      <c r="B256" s="102" t="s">
        <v>3520</v>
      </c>
      <c r="C256" s="102" t="s">
        <v>3521</v>
      </c>
      <c r="D256" s="64" t="s">
        <v>119</v>
      </c>
      <c r="E256" s="106" t="s">
        <v>3524</v>
      </c>
      <c r="F256" s="120" t="s">
        <v>3763</v>
      </c>
      <c r="G256" s="108">
        <v>7</v>
      </c>
      <c r="H256" s="38" t="s">
        <v>3784</v>
      </c>
      <c r="I256" s="38"/>
      <c r="J256" s="38"/>
      <c r="K256" s="109" t="s">
        <v>3788</v>
      </c>
      <c r="L256" s="109"/>
      <c r="M256" s="109"/>
      <c r="N256" s="109"/>
      <c r="O256" s="109"/>
      <c r="P256" s="108">
        <v>817</v>
      </c>
      <c r="Q256" s="108">
        <v>184</v>
      </c>
      <c r="R256" s="112"/>
      <c r="S256" s="113"/>
      <c r="T256" s="112"/>
      <c r="U256" s="38"/>
      <c r="V256" s="38"/>
      <c r="W256" s="38"/>
      <c r="X256" s="38"/>
      <c r="Y256" s="38"/>
      <c r="Z256" s="115"/>
      <c r="AA256" s="38"/>
      <c r="AB256" s="38"/>
      <c r="AC256" s="38"/>
      <c r="AD256" s="38"/>
      <c r="AE256" s="38"/>
      <c r="AF256" s="38"/>
      <c r="AG256" s="17"/>
      <c r="AH256" s="24"/>
      <c r="AI256" s="25"/>
      <c r="AJ256" s="25"/>
    </row>
    <row r="257" spans="1:36" x14ac:dyDescent="0.3">
      <c r="A257" s="63">
        <v>251</v>
      </c>
      <c r="B257" s="102" t="s">
        <v>3520</v>
      </c>
      <c r="C257" s="102" t="s">
        <v>3521</v>
      </c>
      <c r="D257" s="64" t="s">
        <v>119</v>
      </c>
      <c r="E257" s="106" t="s">
        <v>3524</v>
      </c>
      <c r="F257" s="120" t="s">
        <v>3763</v>
      </c>
      <c r="G257" s="108">
        <v>8</v>
      </c>
      <c r="H257" s="38" t="s">
        <v>3784</v>
      </c>
      <c r="I257" s="38"/>
      <c r="J257" s="38"/>
      <c r="K257" s="109" t="s">
        <v>3789</v>
      </c>
      <c r="L257" s="109"/>
      <c r="M257" s="109"/>
      <c r="N257" s="109"/>
      <c r="O257" s="109"/>
      <c r="P257" s="110">
        <v>3534</v>
      </c>
      <c r="Q257" s="110">
        <v>698</v>
      </c>
      <c r="R257" s="112"/>
      <c r="S257" s="113">
        <v>237</v>
      </c>
      <c r="T257" s="112"/>
      <c r="U257" s="38"/>
      <c r="V257" s="38"/>
      <c r="W257" s="38"/>
      <c r="X257" s="38"/>
      <c r="Y257" s="38"/>
      <c r="Z257" s="115"/>
      <c r="AA257" s="38"/>
      <c r="AB257" s="38"/>
      <c r="AC257" s="38"/>
      <c r="AD257" s="38"/>
      <c r="AE257" s="38"/>
      <c r="AF257" s="38"/>
      <c r="AG257" s="17"/>
      <c r="AH257" s="24"/>
      <c r="AI257" s="25"/>
      <c r="AJ257" s="25"/>
    </row>
    <row r="258" spans="1:36" x14ac:dyDescent="0.3">
      <c r="A258" s="63">
        <v>252</v>
      </c>
      <c r="B258" s="102" t="s">
        <v>3520</v>
      </c>
      <c r="C258" s="102" t="s">
        <v>3521</v>
      </c>
      <c r="D258" s="64" t="s">
        <v>119</v>
      </c>
      <c r="E258" s="106" t="s">
        <v>3524</v>
      </c>
      <c r="F258" s="120" t="s">
        <v>3763</v>
      </c>
      <c r="G258" s="108">
        <v>8</v>
      </c>
      <c r="H258" s="38" t="s">
        <v>3784</v>
      </c>
      <c r="I258" s="38"/>
      <c r="J258" s="38"/>
      <c r="K258" s="109" t="s">
        <v>3790</v>
      </c>
      <c r="L258" s="109"/>
      <c r="M258" s="109"/>
      <c r="N258" s="109"/>
      <c r="O258" s="109"/>
      <c r="P258" s="110">
        <v>1730</v>
      </c>
      <c r="Q258" s="110">
        <v>354</v>
      </c>
      <c r="R258" s="112"/>
      <c r="S258" s="113"/>
      <c r="T258" s="112"/>
      <c r="U258" s="38"/>
      <c r="V258" s="38"/>
      <c r="W258" s="38"/>
      <c r="X258" s="38"/>
      <c r="Y258" s="38"/>
      <c r="Z258" s="115"/>
      <c r="AA258" s="38"/>
      <c r="AB258" s="38"/>
      <c r="AC258" s="38"/>
      <c r="AD258" s="38"/>
      <c r="AE258" s="38"/>
      <c r="AF258" s="38"/>
      <c r="AG258" s="17"/>
      <c r="AH258" s="24"/>
      <c r="AI258" s="25"/>
      <c r="AJ258" s="25"/>
    </row>
    <row r="259" spans="1:36" x14ac:dyDescent="0.3">
      <c r="A259" s="63">
        <v>253</v>
      </c>
      <c r="B259" s="102" t="s">
        <v>3520</v>
      </c>
      <c r="C259" s="102" t="s">
        <v>3521</v>
      </c>
      <c r="D259" s="64" t="s">
        <v>119</v>
      </c>
      <c r="E259" s="106" t="s">
        <v>3524</v>
      </c>
      <c r="F259" s="120" t="s">
        <v>3763</v>
      </c>
      <c r="G259" s="108">
        <v>8</v>
      </c>
      <c r="H259" s="38" t="s">
        <v>3784</v>
      </c>
      <c r="I259" s="38"/>
      <c r="J259" s="38"/>
      <c r="K259" s="109" t="s">
        <v>3791</v>
      </c>
      <c r="L259" s="109"/>
      <c r="M259" s="109"/>
      <c r="N259" s="109"/>
      <c r="O259" s="109"/>
      <c r="P259" s="110">
        <v>1028</v>
      </c>
      <c r="Q259" s="121">
        <v>195</v>
      </c>
      <c r="R259" s="112"/>
      <c r="S259" s="113">
        <v>84</v>
      </c>
      <c r="T259" s="112"/>
      <c r="U259" s="38"/>
      <c r="V259" s="38"/>
      <c r="W259" s="38"/>
      <c r="X259" s="38"/>
      <c r="Y259" s="38"/>
      <c r="Z259" s="115"/>
      <c r="AA259" s="38"/>
      <c r="AB259" s="38"/>
      <c r="AC259" s="38"/>
      <c r="AD259" s="38"/>
      <c r="AE259" s="38"/>
      <c r="AF259" s="38"/>
      <c r="AG259" s="17"/>
      <c r="AH259" s="24"/>
      <c r="AI259" s="25"/>
      <c r="AJ259" s="25"/>
    </row>
    <row r="260" spans="1:36" x14ac:dyDescent="0.3">
      <c r="A260" s="63">
        <v>254</v>
      </c>
      <c r="B260" s="102" t="s">
        <v>3520</v>
      </c>
      <c r="C260" s="102" t="s">
        <v>3521</v>
      </c>
      <c r="D260" s="64" t="s">
        <v>119</v>
      </c>
      <c r="E260" s="106" t="s">
        <v>3524</v>
      </c>
      <c r="F260" s="120" t="s">
        <v>3763</v>
      </c>
      <c r="G260" s="108">
        <v>8</v>
      </c>
      <c r="H260" s="38" t="s">
        <v>3784</v>
      </c>
      <c r="I260" s="38"/>
      <c r="J260" s="38"/>
      <c r="K260" s="109" t="s">
        <v>3792</v>
      </c>
      <c r="L260" s="109"/>
      <c r="M260" s="109"/>
      <c r="N260" s="109"/>
      <c r="O260" s="109"/>
      <c r="P260" s="110">
        <v>994</v>
      </c>
      <c r="Q260" s="121">
        <v>209</v>
      </c>
      <c r="R260" s="112"/>
      <c r="S260" s="113">
        <v>86</v>
      </c>
      <c r="T260" s="112"/>
      <c r="U260" s="38"/>
      <c r="V260" s="38"/>
      <c r="W260" s="38"/>
      <c r="X260" s="38"/>
      <c r="Y260" s="38"/>
      <c r="Z260" s="115"/>
      <c r="AA260" s="38"/>
      <c r="AB260" s="38"/>
      <c r="AC260" s="38"/>
      <c r="AD260" s="38"/>
      <c r="AE260" s="38"/>
      <c r="AF260" s="38"/>
      <c r="AG260" s="17"/>
      <c r="AH260" s="24"/>
      <c r="AI260" s="25"/>
      <c r="AJ260" s="25"/>
    </row>
    <row r="261" spans="1:36" x14ac:dyDescent="0.3">
      <c r="A261" s="63">
        <v>255</v>
      </c>
      <c r="B261" s="102" t="s">
        <v>3520</v>
      </c>
      <c r="C261" s="102" t="s">
        <v>3521</v>
      </c>
      <c r="D261" s="64" t="s">
        <v>119</v>
      </c>
      <c r="E261" s="106" t="s">
        <v>3524</v>
      </c>
      <c r="F261" s="120" t="s">
        <v>3763</v>
      </c>
      <c r="G261" s="108">
        <v>8</v>
      </c>
      <c r="H261" s="38" t="s">
        <v>3784</v>
      </c>
      <c r="I261" s="38"/>
      <c r="J261" s="38"/>
      <c r="K261" s="109" t="s">
        <v>3415</v>
      </c>
      <c r="L261" s="109"/>
      <c r="M261" s="109"/>
      <c r="N261" s="109"/>
      <c r="O261" s="109"/>
      <c r="P261" s="110">
        <v>971</v>
      </c>
      <c r="Q261" s="121">
        <v>181</v>
      </c>
      <c r="R261" s="112"/>
      <c r="S261" s="113">
        <v>589</v>
      </c>
      <c r="T261" s="112"/>
      <c r="U261" s="38"/>
      <c r="V261" s="38"/>
      <c r="W261" s="38"/>
      <c r="X261" s="38"/>
      <c r="Y261" s="38"/>
      <c r="Z261" s="115"/>
      <c r="AA261" s="38"/>
      <c r="AB261" s="38"/>
      <c r="AC261" s="38"/>
      <c r="AD261" s="38"/>
      <c r="AE261" s="38"/>
      <c r="AF261" s="38"/>
      <c r="AG261" s="17"/>
      <c r="AH261" s="24"/>
      <c r="AI261" s="25"/>
      <c r="AJ261" s="25"/>
    </row>
    <row r="262" spans="1:36" x14ac:dyDescent="0.3">
      <c r="A262" s="63">
        <v>256</v>
      </c>
      <c r="B262" s="102" t="s">
        <v>3520</v>
      </c>
      <c r="C262" s="102" t="s">
        <v>3521</v>
      </c>
      <c r="D262" s="64" t="s">
        <v>119</v>
      </c>
      <c r="E262" s="106" t="s">
        <v>3524</v>
      </c>
      <c r="F262" s="120" t="s">
        <v>3763</v>
      </c>
      <c r="G262" s="108">
        <v>8</v>
      </c>
      <c r="H262" s="38" t="s">
        <v>3784</v>
      </c>
      <c r="I262" s="38"/>
      <c r="J262" s="38"/>
      <c r="K262" s="109" t="s">
        <v>3793</v>
      </c>
      <c r="L262" s="109"/>
      <c r="M262" s="109"/>
      <c r="N262" s="109"/>
      <c r="O262" s="109"/>
      <c r="P262" s="110">
        <v>1271</v>
      </c>
      <c r="Q262" s="110">
        <v>249</v>
      </c>
      <c r="R262" s="112"/>
      <c r="S262" s="113">
        <v>79</v>
      </c>
      <c r="T262" s="112"/>
      <c r="U262" s="38"/>
      <c r="V262" s="38"/>
      <c r="W262" s="38"/>
      <c r="X262" s="38"/>
      <c r="Y262" s="38"/>
      <c r="Z262" s="115"/>
      <c r="AA262" s="38"/>
      <c r="AB262" s="38"/>
      <c r="AC262" s="38"/>
      <c r="AD262" s="38"/>
      <c r="AE262" s="38"/>
      <c r="AF262" s="38"/>
      <c r="AG262" s="17"/>
      <c r="AH262" s="24"/>
      <c r="AI262" s="25"/>
      <c r="AJ262" s="25"/>
    </row>
    <row r="263" spans="1:36" x14ac:dyDescent="0.3">
      <c r="A263" s="63">
        <v>257</v>
      </c>
      <c r="B263" s="102" t="s">
        <v>3520</v>
      </c>
      <c r="C263" s="102" t="s">
        <v>3521</v>
      </c>
      <c r="D263" s="64" t="s">
        <v>119</v>
      </c>
      <c r="E263" s="106" t="s">
        <v>3524</v>
      </c>
      <c r="F263" s="120" t="s">
        <v>3763</v>
      </c>
      <c r="G263" s="108">
        <v>8</v>
      </c>
      <c r="H263" s="38" t="s">
        <v>3784</v>
      </c>
      <c r="I263" s="38"/>
      <c r="J263" s="38"/>
      <c r="K263" s="109" t="s">
        <v>3794</v>
      </c>
      <c r="L263" s="109"/>
      <c r="M263" s="109"/>
      <c r="N263" s="109"/>
      <c r="O263" s="109"/>
      <c r="P263" s="108">
        <v>1414</v>
      </c>
      <c r="Q263" s="108">
        <v>275</v>
      </c>
      <c r="R263" s="112"/>
      <c r="S263" s="113">
        <v>684</v>
      </c>
      <c r="T263" s="112"/>
      <c r="U263" s="38"/>
      <c r="V263" s="38"/>
      <c r="W263" s="38"/>
      <c r="X263" s="38"/>
      <c r="Y263" s="38"/>
      <c r="Z263" s="115"/>
      <c r="AA263" s="38"/>
      <c r="AB263" s="38"/>
      <c r="AC263" s="38"/>
      <c r="AD263" s="38"/>
      <c r="AE263" s="38"/>
      <c r="AF263" s="38"/>
      <c r="AG263" s="17"/>
      <c r="AH263" s="24"/>
      <c r="AI263" s="25"/>
      <c r="AJ263" s="25"/>
    </row>
    <row r="264" spans="1:36" x14ac:dyDescent="0.3">
      <c r="A264" s="63">
        <v>258</v>
      </c>
      <c r="B264" s="102" t="s">
        <v>3520</v>
      </c>
      <c r="C264" s="102" t="s">
        <v>3521</v>
      </c>
      <c r="D264" s="64" t="s">
        <v>119</v>
      </c>
      <c r="E264" s="106" t="s">
        <v>3524</v>
      </c>
      <c r="F264" s="120" t="s">
        <v>3763</v>
      </c>
      <c r="G264" s="108">
        <v>9</v>
      </c>
      <c r="H264" s="38" t="s">
        <v>3795</v>
      </c>
      <c r="I264" s="38"/>
      <c r="J264" s="38"/>
      <c r="K264" s="109" t="s">
        <v>3796</v>
      </c>
      <c r="L264" s="109"/>
      <c r="M264" s="109"/>
      <c r="N264" s="109"/>
      <c r="O264" s="109"/>
      <c r="P264" s="108">
        <v>440</v>
      </c>
      <c r="Q264" s="108">
        <v>80</v>
      </c>
      <c r="R264" s="112"/>
      <c r="S264" s="113"/>
      <c r="T264" s="112"/>
      <c r="U264" s="38"/>
      <c r="V264" s="38"/>
      <c r="W264" s="38"/>
      <c r="X264" s="38"/>
      <c r="Y264" s="38"/>
      <c r="Z264" s="115"/>
      <c r="AA264" s="38"/>
      <c r="AB264" s="38"/>
      <c r="AC264" s="38"/>
      <c r="AD264" s="38"/>
      <c r="AE264" s="38"/>
      <c r="AF264" s="38"/>
      <c r="AG264" s="17"/>
      <c r="AH264" s="24"/>
      <c r="AI264" s="25"/>
      <c r="AJ264" s="25"/>
    </row>
    <row r="265" spans="1:36" x14ac:dyDescent="0.3">
      <c r="A265" s="63">
        <v>259</v>
      </c>
      <c r="B265" s="102" t="s">
        <v>3520</v>
      </c>
      <c r="C265" s="102" t="s">
        <v>3521</v>
      </c>
      <c r="D265" s="64" t="s">
        <v>119</v>
      </c>
      <c r="E265" s="106" t="s">
        <v>3524</v>
      </c>
      <c r="F265" s="120" t="s">
        <v>3763</v>
      </c>
      <c r="G265" s="108">
        <v>9</v>
      </c>
      <c r="H265" s="38" t="s">
        <v>3795</v>
      </c>
      <c r="I265" s="38"/>
      <c r="J265" s="38"/>
      <c r="K265" s="109" t="s">
        <v>3584</v>
      </c>
      <c r="L265" s="109"/>
      <c r="M265" s="109"/>
      <c r="N265" s="109"/>
      <c r="O265" s="109"/>
      <c r="P265" s="110">
        <v>2553</v>
      </c>
      <c r="Q265" s="121">
        <v>485</v>
      </c>
      <c r="R265" s="112"/>
      <c r="S265" s="113">
        <v>9</v>
      </c>
      <c r="T265" s="112"/>
      <c r="U265" s="38"/>
      <c r="V265" s="38"/>
      <c r="W265" s="38"/>
      <c r="X265" s="38"/>
      <c r="Y265" s="38"/>
      <c r="Z265" s="115"/>
      <c r="AA265" s="38"/>
      <c r="AB265" s="38"/>
      <c r="AC265" s="38"/>
      <c r="AD265" s="38"/>
      <c r="AE265" s="38"/>
      <c r="AF265" s="38"/>
      <c r="AG265" s="17"/>
      <c r="AH265" s="24"/>
      <c r="AI265" s="25"/>
      <c r="AJ265" s="25"/>
    </row>
    <row r="266" spans="1:36" x14ac:dyDescent="0.3">
      <c r="A266" s="63">
        <v>260</v>
      </c>
      <c r="B266" s="102" t="s">
        <v>3520</v>
      </c>
      <c r="C266" s="102" t="s">
        <v>3521</v>
      </c>
      <c r="D266" s="64" t="s">
        <v>119</v>
      </c>
      <c r="E266" s="106" t="s">
        <v>3524</v>
      </c>
      <c r="F266" s="120" t="s">
        <v>3763</v>
      </c>
      <c r="G266" s="108">
        <v>9</v>
      </c>
      <c r="H266" s="38" t="s">
        <v>3795</v>
      </c>
      <c r="I266" s="38"/>
      <c r="J266" s="38"/>
      <c r="K266" s="109" t="s">
        <v>3797</v>
      </c>
      <c r="L266" s="109"/>
      <c r="M266" s="109"/>
      <c r="N266" s="109"/>
      <c r="O266" s="109"/>
      <c r="P266" s="110">
        <v>841</v>
      </c>
      <c r="Q266" s="121">
        <v>175</v>
      </c>
      <c r="R266" s="112"/>
      <c r="S266" s="113">
        <v>455</v>
      </c>
      <c r="T266" s="112"/>
      <c r="U266" s="123"/>
      <c r="V266" s="123"/>
      <c r="W266" s="123"/>
      <c r="X266" s="123"/>
      <c r="Y266" s="123"/>
      <c r="Z266" s="124"/>
      <c r="AA266" s="123"/>
      <c r="AB266" s="123"/>
      <c r="AC266" s="123"/>
      <c r="AD266" s="123"/>
      <c r="AE266" s="123"/>
      <c r="AF266" s="123"/>
      <c r="AG266" s="17"/>
      <c r="AH266" s="24"/>
      <c r="AI266" s="25"/>
      <c r="AJ266" s="25"/>
    </row>
    <row r="267" spans="1:36" x14ac:dyDescent="0.3">
      <c r="A267" s="63">
        <v>261</v>
      </c>
      <c r="B267" s="102" t="s">
        <v>3520</v>
      </c>
      <c r="C267" s="102" t="s">
        <v>3521</v>
      </c>
      <c r="D267" s="64" t="s">
        <v>119</v>
      </c>
      <c r="E267" s="106" t="s">
        <v>3524</v>
      </c>
      <c r="F267" s="120" t="s">
        <v>3763</v>
      </c>
      <c r="G267" s="108">
        <v>9</v>
      </c>
      <c r="H267" s="38" t="s">
        <v>3795</v>
      </c>
      <c r="I267" s="38"/>
      <c r="J267" s="38"/>
      <c r="K267" s="109" t="s">
        <v>3798</v>
      </c>
      <c r="L267" s="109"/>
      <c r="M267" s="109"/>
      <c r="N267" s="109"/>
      <c r="O267" s="109"/>
      <c r="P267" s="110">
        <v>963</v>
      </c>
      <c r="Q267" s="121">
        <v>194</v>
      </c>
      <c r="R267" s="112"/>
      <c r="S267" s="113">
        <v>55</v>
      </c>
      <c r="T267" s="112"/>
      <c r="U267" s="123"/>
      <c r="V267" s="123"/>
      <c r="W267" s="123"/>
      <c r="X267" s="123"/>
      <c r="Y267" s="123"/>
      <c r="Z267" s="124"/>
      <c r="AA267" s="123"/>
      <c r="AB267" s="123"/>
      <c r="AC267" s="123"/>
      <c r="AD267" s="123"/>
      <c r="AE267" s="123"/>
      <c r="AF267" s="123"/>
      <c r="AG267" s="17"/>
      <c r="AH267" s="24"/>
      <c r="AI267" s="25"/>
      <c r="AJ267" s="25"/>
    </row>
    <row r="268" spans="1:36" x14ac:dyDescent="0.3">
      <c r="A268" s="63">
        <v>262</v>
      </c>
      <c r="B268" s="102" t="s">
        <v>3520</v>
      </c>
      <c r="C268" s="102" t="s">
        <v>3521</v>
      </c>
      <c r="D268" s="64" t="s">
        <v>119</v>
      </c>
      <c r="E268" s="106" t="s">
        <v>3524</v>
      </c>
      <c r="F268" s="120" t="s">
        <v>3763</v>
      </c>
      <c r="G268" s="108">
        <v>9</v>
      </c>
      <c r="H268" s="38" t="s">
        <v>3795</v>
      </c>
      <c r="I268" s="38"/>
      <c r="J268" s="38"/>
      <c r="K268" s="109" t="s">
        <v>3799</v>
      </c>
      <c r="L268" s="109"/>
      <c r="M268" s="109"/>
      <c r="N268" s="109"/>
      <c r="O268" s="109"/>
      <c r="P268" s="110">
        <v>1700</v>
      </c>
      <c r="Q268" s="121">
        <v>713</v>
      </c>
      <c r="R268" s="112"/>
      <c r="S268" s="113">
        <v>81</v>
      </c>
      <c r="T268" s="112"/>
      <c r="U268" s="123"/>
      <c r="V268" s="123"/>
      <c r="W268" s="123"/>
      <c r="X268" s="123"/>
      <c r="Y268" s="123"/>
      <c r="Z268" s="124"/>
      <c r="AA268" s="123"/>
      <c r="AB268" s="123"/>
      <c r="AC268" s="123"/>
      <c r="AD268" s="123"/>
      <c r="AE268" s="123"/>
      <c r="AF268" s="123"/>
      <c r="AG268" s="17"/>
      <c r="AH268" s="24"/>
      <c r="AI268" s="25"/>
      <c r="AJ268" s="25"/>
    </row>
    <row r="269" spans="1:36" x14ac:dyDescent="0.3">
      <c r="A269" s="63">
        <v>263</v>
      </c>
      <c r="B269" s="102" t="s">
        <v>3520</v>
      </c>
      <c r="C269" s="102" t="s">
        <v>3521</v>
      </c>
      <c r="D269" s="64" t="s">
        <v>119</v>
      </c>
      <c r="E269" s="106" t="s">
        <v>3524</v>
      </c>
      <c r="F269" s="120" t="s">
        <v>3800</v>
      </c>
      <c r="G269" s="108">
        <v>1</v>
      </c>
      <c r="H269" s="38" t="s">
        <v>3801</v>
      </c>
      <c r="I269" s="38"/>
      <c r="J269" s="38"/>
      <c r="K269" s="109" t="s">
        <v>3802</v>
      </c>
      <c r="L269" s="109"/>
      <c r="M269" s="109"/>
      <c r="N269" s="109"/>
      <c r="O269" s="109"/>
      <c r="P269" s="108">
        <v>2744</v>
      </c>
      <c r="Q269" s="108">
        <v>629</v>
      </c>
      <c r="R269" s="112"/>
      <c r="S269" s="113">
        <v>60</v>
      </c>
      <c r="T269" s="112"/>
      <c r="U269" s="123"/>
      <c r="V269" s="123"/>
      <c r="W269" s="123"/>
      <c r="X269" s="123"/>
      <c r="Y269" s="123"/>
      <c r="Z269" s="124"/>
      <c r="AA269" s="123"/>
      <c r="AB269" s="123"/>
      <c r="AC269" s="123"/>
      <c r="AD269" s="123"/>
      <c r="AE269" s="123"/>
      <c r="AF269" s="123"/>
      <c r="AG269" s="17"/>
      <c r="AH269" s="24"/>
      <c r="AI269" s="25"/>
      <c r="AJ269" s="25"/>
    </row>
    <row r="270" spans="1:36" x14ac:dyDescent="0.3">
      <c r="A270" s="63">
        <v>264</v>
      </c>
      <c r="B270" s="102" t="s">
        <v>3520</v>
      </c>
      <c r="C270" s="102" t="s">
        <v>3521</v>
      </c>
      <c r="D270" s="64" t="s">
        <v>119</v>
      </c>
      <c r="E270" s="106" t="s">
        <v>3524</v>
      </c>
      <c r="F270" s="120" t="s">
        <v>3800</v>
      </c>
      <c r="G270" s="108">
        <v>2</v>
      </c>
      <c r="H270" s="38" t="s">
        <v>3801</v>
      </c>
      <c r="I270" s="38"/>
      <c r="J270" s="38"/>
      <c r="K270" s="109" t="s">
        <v>3803</v>
      </c>
      <c r="L270" s="109"/>
      <c r="M270" s="109"/>
      <c r="N270" s="109"/>
      <c r="O270" s="109"/>
      <c r="P270" s="108">
        <v>386</v>
      </c>
      <c r="Q270" s="121">
        <v>73</v>
      </c>
      <c r="R270" s="112"/>
      <c r="S270" s="113"/>
      <c r="T270" s="112"/>
      <c r="U270" s="123"/>
      <c r="V270" s="123"/>
      <c r="W270" s="123"/>
      <c r="X270" s="123"/>
      <c r="Y270" s="123"/>
      <c r="Z270" s="124"/>
      <c r="AA270" s="123"/>
      <c r="AB270" s="123"/>
      <c r="AC270" s="123"/>
      <c r="AD270" s="123"/>
      <c r="AE270" s="123"/>
      <c r="AF270" s="123"/>
      <c r="AG270" s="17"/>
      <c r="AH270" s="24"/>
      <c r="AI270" s="25"/>
      <c r="AJ270" s="25"/>
    </row>
    <row r="271" spans="1:36" x14ac:dyDescent="0.3">
      <c r="A271" s="63">
        <v>265</v>
      </c>
      <c r="B271" s="102" t="s">
        <v>3520</v>
      </c>
      <c r="C271" s="102" t="s">
        <v>3521</v>
      </c>
      <c r="D271" s="64" t="s">
        <v>119</v>
      </c>
      <c r="E271" s="106" t="s">
        <v>3524</v>
      </c>
      <c r="F271" s="120" t="s">
        <v>3800</v>
      </c>
      <c r="G271" s="108">
        <v>2</v>
      </c>
      <c r="H271" s="38" t="s">
        <v>3801</v>
      </c>
      <c r="I271" s="38"/>
      <c r="J271" s="38"/>
      <c r="K271" s="109" t="s">
        <v>3804</v>
      </c>
      <c r="L271" s="109"/>
      <c r="M271" s="109"/>
      <c r="N271" s="109"/>
      <c r="O271" s="109"/>
      <c r="P271" s="108">
        <v>1350</v>
      </c>
      <c r="Q271" s="108">
        <v>262</v>
      </c>
      <c r="R271" s="112"/>
      <c r="S271" s="113">
        <v>20</v>
      </c>
      <c r="T271" s="112"/>
      <c r="U271" s="123"/>
      <c r="V271" s="123"/>
      <c r="W271" s="123"/>
      <c r="X271" s="123"/>
      <c r="Y271" s="123"/>
      <c r="Z271" s="124"/>
      <c r="AA271" s="123"/>
      <c r="AB271" s="123"/>
      <c r="AC271" s="123"/>
      <c r="AD271" s="123"/>
      <c r="AE271" s="123"/>
      <c r="AF271" s="123"/>
      <c r="AG271" s="17"/>
      <c r="AH271" s="24"/>
      <c r="AI271" s="25"/>
      <c r="AJ271" s="25"/>
    </row>
    <row r="272" spans="1:36" x14ac:dyDescent="0.3">
      <c r="A272" s="63">
        <v>266</v>
      </c>
      <c r="B272" s="102" t="s">
        <v>3520</v>
      </c>
      <c r="C272" s="102" t="s">
        <v>3521</v>
      </c>
      <c r="D272" s="64" t="s">
        <v>119</v>
      </c>
      <c r="E272" s="106" t="s">
        <v>3524</v>
      </c>
      <c r="F272" s="120" t="s">
        <v>3800</v>
      </c>
      <c r="G272" s="108">
        <v>2</v>
      </c>
      <c r="H272" s="38" t="s">
        <v>3801</v>
      </c>
      <c r="I272" s="38"/>
      <c r="J272" s="38"/>
      <c r="K272" s="109" t="s">
        <v>3643</v>
      </c>
      <c r="L272" s="109"/>
      <c r="M272" s="109"/>
      <c r="N272" s="109"/>
      <c r="O272" s="109"/>
      <c r="P272" s="121">
        <v>1640</v>
      </c>
      <c r="Q272" s="121">
        <v>306</v>
      </c>
      <c r="R272" s="112"/>
      <c r="S272" s="113"/>
      <c r="T272" s="112"/>
      <c r="U272" s="123"/>
      <c r="V272" s="123"/>
      <c r="W272" s="123"/>
      <c r="X272" s="123"/>
      <c r="Y272" s="123"/>
      <c r="Z272" s="124"/>
      <c r="AA272" s="123"/>
      <c r="AB272" s="123"/>
      <c r="AC272" s="123"/>
      <c r="AD272" s="123"/>
      <c r="AE272" s="123"/>
      <c r="AF272" s="123"/>
      <c r="AG272" s="17"/>
      <c r="AH272" s="24"/>
      <c r="AI272" s="25"/>
      <c r="AJ272" s="25"/>
    </row>
    <row r="273" spans="1:36" x14ac:dyDescent="0.3">
      <c r="A273" s="63">
        <v>267</v>
      </c>
      <c r="B273" s="102" t="s">
        <v>3520</v>
      </c>
      <c r="C273" s="102" t="s">
        <v>3521</v>
      </c>
      <c r="D273" s="64" t="s">
        <v>119</v>
      </c>
      <c r="E273" s="106" t="s">
        <v>3524</v>
      </c>
      <c r="F273" s="120" t="s">
        <v>3800</v>
      </c>
      <c r="G273" s="108">
        <v>3</v>
      </c>
      <c r="H273" s="38" t="s">
        <v>3801</v>
      </c>
      <c r="I273" s="38"/>
      <c r="J273" s="38"/>
      <c r="K273" s="109" t="s">
        <v>3805</v>
      </c>
      <c r="L273" s="109"/>
      <c r="M273" s="109"/>
      <c r="N273" s="109"/>
      <c r="O273" s="109"/>
      <c r="P273" s="108">
        <v>3599</v>
      </c>
      <c r="Q273" s="108">
        <v>668</v>
      </c>
      <c r="R273" s="112"/>
      <c r="S273" s="113"/>
      <c r="T273" s="112"/>
      <c r="U273" s="123"/>
      <c r="V273" s="123"/>
      <c r="W273" s="123"/>
      <c r="X273" s="123"/>
      <c r="Y273" s="123"/>
      <c r="Z273" s="124"/>
      <c r="AA273" s="123"/>
      <c r="AB273" s="123"/>
      <c r="AC273" s="123"/>
      <c r="AD273" s="123"/>
      <c r="AE273" s="123"/>
      <c r="AF273" s="123"/>
      <c r="AG273" s="17"/>
      <c r="AH273" s="24"/>
      <c r="AI273" s="25"/>
      <c r="AJ273" s="25"/>
    </row>
    <row r="274" spans="1:36" x14ac:dyDescent="0.3">
      <c r="A274" s="63">
        <v>268</v>
      </c>
      <c r="B274" s="102" t="s">
        <v>3520</v>
      </c>
      <c r="C274" s="102" t="s">
        <v>3521</v>
      </c>
      <c r="D274" s="64" t="s">
        <v>119</v>
      </c>
      <c r="E274" s="106" t="s">
        <v>3524</v>
      </c>
      <c r="F274" s="120" t="s">
        <v>3800</v>
      </c>
      <c r="G274" s="108">
        <v>4</v>
      </c>
      <c r="H274" s="38" t="s">
        <v>3801</v>
      </c>
      <c r="I274" s="38"/>
      <c r="J274" s="38"/>
      <c r="K274" s="109" t="s">
        <v>3806</v>
      </c>
      <c r="L274" s="109"/>
      <c r="M274" s="109"/>
      <c r="N274" s="109"/>
      <c r="O274" s="109"/>
      <c r="P274" s="108">
        <v>1210</v>
      </c>
      <c r="Q274" s="108">
        <v>239</v>
      </c>
      <c r="R274" s="112"/>
      <c r="S274" s="113"/>
      <c r="T274" s="112"/>
      <c r="U274" s="123"/>
      <c r="V274" s="123"/>
      <c r="W274" s="123"/>
      <c r="X274" s="123"/>
      <c r="Y274" s="123"/>
      <c r="Z274" s="124"/>
      <c r="AA274" s="123"/>
      <c r="AB274" s="123"/>
      <c r="AC274" s="123"/>
      <c r="AD274" s="123"/>
      <c r="AE274" s="123"/>
      <c r="AF274" s="123"/>
      <c r="AG274" s="17"/>
      <c r="AH274" s="24"/>
      <c r="AI274" s="25"/>
      <c r="AJ274" s="25"/>
    </row>
    <row r="275" spans="1:36" x14ac:dyDescent="0.3">
      <c r="A275" s="63">
        <v>269</v>
      </c>
      <c r="B275" s="102" t="s">
        <v>3520</v>
      </c>
      <c r="C275" s="102" t="s">
        <v>3521</v>
      </c>
      <c r="D275" s="64" t="s">
        <v>119</v>
      </c>
      <c r="E275" s="106" t="s">
        <v>3524</v>
      </c>
      <c r="F275" s="120" t="s">
        <v>3800</v>
      </c>
      <c r="G275" s="108">
        <v>4</v>
      </c>
      <c r="H275" s="38" t="s">
        <v>3801</v>
      </c>
      <c r="I275" s="38"/>
      <c r="J275" s="38"/>
      <c r="K275" s="109" t="s">
        <v>3647</v>
      </c>
      <c r="L275" s="109"/>
      <c r="M275" s="109"/>
      <c r="N275" s="109"/>
      <c r="O275" s="109"/>
      <c r="P275" s="108">
        <v>1914</v>
      </c>
      <c r="Q275" s="108">
        <v>370</v>
      </c>
      <c r="R275" s="112"/>
      <c r="S275" s="113"/>
      <c r="T275" s="112"/>
      <c r="U275" s="123"/>
      <c r="V275" s="123"/>
      <c r="W275" s="123"/>
      <c r="X275" s="123"/>
      <c r="Y275" s="123"/>
      <c r="Z275" s="124"/>
      <c r="AA275" s="123"/>
      <c r="AB275" s="123"/>
      <c r="AC275" s="123"/>
      <c r="AD275" s="123"/>
      <c r="AE275" s="123"/>
      <c r="AF275" s="123"/>
      <c r="AG275" s="17"/>
      <c r="AH275" s="24"/>
      <c r="AI275" s="25"/>
      <c r="AJ275" s="25"/>
    </row>
    <row r="276" spans="1:36" x14ac:dyDescent="0.3">
      <c r="A276" s="63">
        <v>270</v>
      </c>
      <c r="B276" s="102" t="s">
        <v>3520</v>
      </c>
      <c r="C276" s="102" t="s">
        <v>3521</v>
      </c>
      <c r="D276" s="64" t="s">
        <v>119</v>
      </c>
      <c r="E276" s="106" t="s">
        <v>3524</v>
      </c>
      <c r="F276" s="120" t="s">
        <v>3800</v>
      </c>
      <c r="G276" s="108">
        <v>5</v>
      </c>
      <c r="H276" s="38" t="s">
        <v>3807</v>
      </c>
      <c r="I276" s="38"/>
      <c r="J276" s="38"/>
      <c r="K276" s="109" t="s">
        <v>3808</v>
      </c>
      <c r="L276" s="109"/>
      <c r="M276" s="109"/>
      <c r="N276" s="109"/>
      <c r="O276" s="109"/>
      <c r="P276" s="108">
        <v>2546</v>
      </c>
      <c r="Q276" s="108">
        <v>469</v>
      </c>
      <c r="R276" s="112"/>
      <c r="S276" s="113"/>
      <c r="T276" s="112"/>
      <c r="U276" s="123"/>
      <c r="V276" s="123"/>
      <c r="W276" s="123"/>
      <c r="X276" s="123"/>
      <c r="Y276" s="123"/>
      <c r="Z276" s="124"/>
      <c r="AA276" s="123"/>
      <c r="AB276" s="123"/>
      <c r="AC276" s="123"/>
      <c r="AD276" s="123"/>
      <c r="AE276" s="123"/>
      <c r="AF276" s="123"/>
      <c r="AG276" s="17"/>
      <c r="AH276" s="24"/>
      <c r="AI276" s="25"/>
      <c r="AJ276" s="25"/>
    </row>
    <row r="277" spans="1:36" x14ac:dyDescent="0.3">
      <c r="A277" s="63">
        <v>271</v>
      </c>
      <c r="B277" s="102" t="s">
        <v>3520</v>
      </c>
      <c r="C277" s="102" t="s">
        <v>3521</v>
      </c>
      <c r="D277" s="64" t="s">
        <v>119</v>
      </c>
      <c r="E277" s="106" t="s">
        <v>3524</v>
      </c>
      <c r="F277" s="120" t="s">
        <v>3800</v>
      </c>
      <c r="G277" s="108">
        <v>6</v>
      </c>
      <c r="H277" s="38" t="s">
        <v>3807</v>
      </c>
      <c r="I277" s="38"/>
      <c r="J277" s="38"/>
      <c r="K277" s="109" t="s">
        <v>3809</v>
      </c>
      <c r="L277" s="109"/>
      <c r="M277" s="109"/>
      <c r="N277" s="109"/>
      <c r="O277" s="109"/>
      <c r="P277" s="108">
        <v>2359</v>
      </c>
      <c r="Q277" s="108">
        <v>426</v>
      </c>
      <c r="R277" s="112"/>
      <c r="S277" s="113"/>
      <c r="T277" s="112"/>
      <c r="U277" s="123"/>
      <c r="V277" s="123"/>
      <c r="W277" s="123"/>
      <c r="X277" s="123"/>
      <c r="Y277" s="123"/>
      <c r="Z277" s="124"/>
      <c r="AA277" s="123"/>
      <c r="AB277" s="123"/>
      <c r="AC277" s="123"/>
      <c r="AD277" s="123"/>
      <c r="AE277" s="123"/>
      <c r="AF277" s="123"/>
      <c r="AG277" s="17"/>
      <c r="AH277" s="24"/>
      <c r="AI277" s="25"/>
      <c r="AJ277" s="25"/>
    </row>
    <row r="278" spans="1:36" x14ac:dyDescent="0.3">
      <c r="A278" s="63">
        <v>272</v>
      </c>
      <c r="B278" s="102" t="s">
        <v>3520</v>
      </c>
      <c r="C278" s="102" t="s">
        <v>3521</v>
      </c>
      <c r="D278" s="64" t="s">
        <v>119</v>
      </c>
      <c r="E278" s="106" t="s">
        <v>3524</v>
      </c>
      <c r="F278" s="120" t="s">
        <v>3800</v>
      </c>
      <c r="G278" s="108">
        <v>7</v>
      </c>
      <c r="H278" s="38" t="s">
        <v>3807</v>
      </c>
      <c r="I278" s="38"/>
      <c r="J278" s="38"/>
      <c r="K278" s="109" t="s">
        <v>3810</v>
      </c>
      <c r="L278" s="109"/>
      <c r="M278" s="109"/>
      <c r="N278" s="109"/>
      <c r="O278" s="109"/>
      <c r="P278" s="108">
        <v>3764</v>
      </c>
      <c r="Q278" s="108">
        <v>707</v>
      </c>
      <c r="R278" s="112"/>
      <c r="S278" s="113"/>
      <c r="T278" s="112"/>
      <c r="U278" s="123"/>
      <c r="V278" s="123"/>
      <c r="W278" s="123"/>
      <c r="X278" s="123"/>
      <c r="Y278" s="123"/>
      <c r="Z278" s="124"/>
      <c r="AA278" s="123"/>
      <c r="AB278" s="123"/>
      <c r="AC278" s="123"/>
      <c r="AD278" s="123"/>
      <c r="AE278" s="123"/>
      <c r="AF278" s="123"/>
      <c r="AG278" s="17"/>
      <c r="AH278" s="24"/>
      <c r="AI278" s="25"/>
      <c r="AJ278" s="25"/>
    </row>
    <row r="279" spans="1:36" x14ac:dyDescent="0.3">
      <c r="A279" s="63">
        <v>273</v>
      </c>
      <c r="B279" s="102" t="s">
        <v>3520</v>
      </c>
      <c r="C279" s="102" t="s">
        <v>3521</v>
      </c>
      <c r="D279" s="64" t="s">
        <v>119</v>
      </c>
      <c r="E279" s="106" t="s">
        <v>3524</v>
      </c>
      <c r="F279" s="120" t="s">
        <v>3800</v>
      </c>
      <c r="G279" s="108">
        <v>8</v>
      </c>
      <c r="H279" s="38" t="s">
        <v>3807</v>
      </c>
      <c r="I279" s="38"/>
      <c r="J279" s="38"/>
      <c r="K279" s="109" t="s">
        <v>3811</v>
      </c>
      <c r="L279" s="109"/>
      <c r="M279" s="109"/>
      <c r="N279" s="109"/>
      <c r="O279" s="109"/>
      <c r="P279" s="108">
        <v>3572</v>
      </c>
      <c r="Q279" s="108">
        <v>650</v>
      </c>
      <c r="R279" s="112"/>
      <c r="S279" s="113"/>
      <c r="T279" s="112"/>
      <c r="U279" s="123"/>
      <c r="V279" s="123"/>
      <c r="W279" s="123"/>
      <c r="X279" s="123"/>
      <c r="Y279" s="123"/>
      <c r="Z279" s="124"/>
      <c r="AA279" s="123"/>
      <c r="AB279" s="123"/>
      <c r="AC279" s="123"/>
      <c r="AD279" s="123"/>
      <c r="AE279" s="123"/>
      <c r="AF279" s="123"/>
      <c r="AG279" s="17"/>
      <c r="AH279" s="24"/>
      <c r="AI279" s="25"/>
      <c r="AJ279" s="25"/>
    </row>
    <row r="280" spans="1:36" x14ac:dyDescent="0.3">
      <c r="A280" s="63">
        <v>274</v>
      </c>
      <c r="B280" s="102" t="s">
        <v>3520</v>
      </c>
      <c r="C280" s="102" t="s">
        <v>3521</v>
      </c>
      <c r="D280" s="64" t="s">
        <v>119</v>
      </c>
      <c r="E280" s="106" t="s">
        <v>3524</v>
      </c>
      <c r="F280" s="120" t="s">
        <v>3800</v>
      </c>
      <c r="G280" s="108">
        <v>9</v>
      </c>
      <c r="H280" s="38" t="s">
        <v>3807</v>
      </c>
      <c r="I280" s="38"/>
      <c r="J280" s="38"/>
      <c r="K280" s="109" t="s">
        <v>3812</v>
      </c>
      <c r="L280" s="109"/>
      <c r="M280" s="109"/>
      <c r="N280" s="109"/>
      <c r="O280" s="109"/>
      <c r="P280" s="108">
        <v>3292</v>
      </c>
      <c r="Q280" s="108">
        <v>645</v>
      </c>
      <c r="R280" s="112"/>
      <c r="S280" s="113"/>
      <c r="T280" s="112"/>
      <c r="U280" s="123"/>
      <c r="V280" s="123"/>
      <c r="W280" s="123"/>
      <c r="X280" s="123"/>
      <c r="Y280" s="123"/>
      <c r="Z280" s="124"/>
      <c r="AA280" s="123"/>
      <c r="AB280" s="123"/>
      <c r="AC280" s="123"/>
      <c r="AD280" s="123"/>
      <c r="AE280" s="123"/>
      <c r="AF280" s="123"/>
      <c r="AG280" s="17"/>
      <c r="AH280" s="24"/>
      <c r="AI280" s="25"/>
      <c r="AJ280" s="25"/>
    </row>
    <row r="281" spans="1:36" x14ac:dyDescent="0.3">
      <c r="A281" s="63">
        <v>275</v>
      </c>
      <c r="B281" s="102" t="s">
        <v>3520</v>
      </c>
      <c r="C281" s="102" t="s">
        <v>3521</v>
      </c>
      <c r="D281" s="64" t="s">
        <v>119</v>
      </c>
      <c r="E281" s="106" t="s">
        <v>3524</v>
      </c>
      <c r="F281" s="120" t="s">
        <v>3813</v>
      </c>
      <c r="G281" s="108">
        <v>1</v>
      </c>
      <c r="H281" s="38" t="s">
        <v>3814</v>
      </c>
      <c r="I281" s="38"/>
      <c r="J281" s="38"/>
      <c r="K281" s="109" t="s">
        <v>3815</v>
      </c>
      <c r="L281" s="109"/>
      <c r="M281" s="109"/>
      <c r="N281" s="109"/>
      <c r="O281" s="109"/>
      <c r="P281" s="110">
        <v>3128</v>
      </c>
      <c r="Q281" s="121">
        <v>639</v>
      </c>
      <c r="R281" s="112"/>
      <c r="S281" s="113"/>
      <c r="T281" s="112"/>
      <c r="U281" s="123"/>
      <c r="V281" s="123"/>
      <c r="W281" s="123"/>
      <c r="X281" s="123"/>
      <c r="Y281" s="123"/>
      <c r="Z281" s="124"/>
      <c r="AA281" s="123"/>
      <c r="AB281" s="123"/>
      <c r="AC281" s="123"/>
      <c r="AD281" s="123"/>
      <c r="AE281" s="123"/>
      <c r="AF281" s="123"/>
      <c r="AG281" s="17"/>
      <c r="AH281" s="24"/>
      <c r="AI281" s="25"/>
      <c r="AJ281" s="25"/>
    </row>
    <row r="282" spans="1:36" x14ac:dyDescent="0.3">
      <c r="A282" s="63">
        <v>276</v>
      </c>
      <c r="B282" s="102" t="s">
        <v>3520</v>
      </c>
      <c r="C282" s="102" t="s">
        <v>3521</v>
      </c>
      <c r="D282" s="64" t="s">
        <v>119</v>
      </c>
      <c r="E282" s="106" t="s">
        <v>3524</v>
      </c>
      <c r="F282" s="120" t="s">
        <v>3813</v>
      </c>
      <c r="G282" s="108">
        <v>1</v>
      </c>
      <c r="H282" s="38" t="s">
        <v>3814</v>
      </c>
      <c r="I282" s="38"/>
      <c r="J282" s="38"/>
      <c r="K282" s="109" t="s">
        <v>3533</v>
      </c>
      <c r="L282" s="109"/>
      <c r="M282" s="109"/>
      <c r="N282" s="109"/>
      <c r="O282" s="109"/>
      <c r="P282" s="108">
        <v>2350</v>
      </c>
      <c r="Q282" s="108">
        <v>392</v>
      </c>
      <c r="R282" s="112"/>
      <c r="S282" s="113"/>
      <c r="T282" s="112"/>
      <c r="U282" s="123"/>
      <c r="V282" s="123"/>
      <c r="W282" s="123"/>
      <c r="X282" s="123"/>
      <c r="Y282" s="123"/>
      <c r="Z282" s="124"/>
      <c r="AA282" s="123"/>
      <c r="AB282" s="123"/>
      <c r="AC282" s="123"/>
      <c r="AD282" s="123"/>
      <c r="AE282" s="123"/>
      <c r="AF282" s="123"/>
      <c r="AG282" s="17"/>
      <c r="AH282" s="24"/>
      <c r="AI282" s="25"/>
      <c r="AJ282" s="25"/>
    </row>
    <row r="283" spans="1:36" x14ac:dyDescent="0.3">
      <c r="A283" s="63">
        <v>277</v>
      </c>
      <c r="B283" s="102" t="s">
        <v>3520</v>
      </c>
      <c r="C283" s="102" t="s">
        <v>3521</v>
      </c>
      <c r="D283" s="64" t="s">
        <v>119</v>
      </c>
      <c r="E283" s="106" t="s">
        <v>3524</v>
      </c>
      <c r="F283" s="120" t="s">
        <v>3813</v>
      </c>
      <c r="G283" s="108">
        <v>2</v>
      </c>
      <c r="H283" s="38" t="s">
        <v>3814</v>
      </c>
      <c r="I283" s="38"/>
      <c r="J283" s="38"/>
      <c r="K283" s="109" t="s">
        <v>3816</v>
      </c>
      <c r="L283" s="109"/>
      <c r="M283" s="109"/>
      <c r="N283" s="109"/>
      <c r="O283" s="109"/>
      <c r="P283" s="110">
        <v>1128</v>
      </c>
      <c r="Q283" s="121">
        <v>194</v>
      </c>
      <c r="R283" s="112"/>
      <c r="S283" s="113"/>
      <c r="T283" s="112"/>
      <c r="U283" s="123"/>
      <c r="V283" s="123"/>
      <c r="W283" s="123"/>
      <c r="X283" s="123"/>
      <c r="Y283" s="123"/>
      <c r="Z283" s="124"/>
      <c r="AA283" s="123"/>
      <c r="AB283" s="123"/>
      <c r="AC283" s="123"/>
      <c r="AD283" s="123"/>
      <c r="AE283" s="123"/>
      <c r="AF283" s="123"/>
      <c r="AG283" s="17"/>
      <c r="AH283" s="24"/>
      <c r="AI283" s="25"/>
      <c r="AJ283" s="25"/>
    </row>
    <row r="284" spans="1:36" x14ac:dyDescent="0.3">
      <c r="A284" s="63">
        <v>278</v>
      </c>
      <c r="B284" s="102" t="s">
        <v>3520</v>
      </c>
      <c r="C284" s="102" t="s">
        <v>3521</v>
      </c>
      <c r="D284" s="64" t="s">
        <v>119</v>
      </c>
      <c r="E284" s="106" t="s">
        <v>3524</v>
      </c>
      <c r="F284" s="120" t="s">
        <v>3813</v>
      </c>
      <c r="G284" s="108">
        <v>2</v>
      </c>
      <c r="H284" s="38" t="s">
        <v>3814</v>
      </c>
      <c r="I284" s="38"/>
      <c r="J284" s="38"/>
      <c r="K284" s="109" t="s">
        <v>3817</v>
      </c>
      <c r="L284" s="109"/>
      <c r="M284" s="109"/>
      <c r="N284" s="109"/>
      <c r="O284" s="109"/>
      <c r="P284" s="108">
        <v>2981</v>
      </c>
      <c r="Q284" s="108">
        <v>617</v>
      </c>
      <c r="R284" s="112"/>
      <c r="S284" s="113">
        <v>213</v>
      </c>
      <c r="T284" s="112"/>
      <c r="U284" s="123"/>
      <c r="V284" s="123"/>
      <c r="W284" s="123"/>
      <c r="X284" s="123"/>
      <c r="Y284" s="123"/>
      <c r="Z284" s="124"/>
      <c r="AA284" s="123"/>
      <c r="AB284" s="123"/>
      <c r="AC284" s="123"/>
      <c r="AD284" s="123"/>
      <c r="AE284" s="123"/>
      <c r="AF284" s="123"/>
      <c r="AG284" s="17"/>
      <c r="AH284" s="24"/>
      <c r="AI284" s="25"/>
      <c r="AJ284" s="25"/>
    </row>
    <row r="285" spans="1:36" x14ac:dyDescent="0.3">
      <c r="A285" s="63">
        <v>279</v>
      </c>
      <c r="B285" s="102" t="s">
        <v>3520</v>
      </c>
      <c r="C285" s="102" t="s">
        <v>3521</v>
      </c>
      <c r="D285" s="64" t="s">
        <v>119</v>
      </c>
      <c r="E285" s="106" t="s">
        <v>3524</v>
      </c>
      <c r="F285" s="120" t="s">
        <v>3813</v>
      </c>
      <c r="G285" s="108">
        <v>3</v>
      </c>
      <c r="H285" s="38" t="s">
        <v>3814</v>
      </c>
      <c r="I285" s="38"/>
      <c r="J285" s="38"/>
      <c r="K285" s="109" t="s">
        <v>3637</v>
      </c>
      <c r="L285" s="109"/>
      <c r="M285" s="109"/>
      <c r="N285" s="109"/>
      <c r="O285" s="109"/>
      <c r="P285" s="121">
        <v>1771</v>
      </c>
      <c r="Q285" s="121">
        <v>371</v>
      </c>
      <c r="R285" s="112"/>
      <c r="S285" s="113">
        <v>40</v>
      </c>
      <c r="T285" s="112"/>
      <c r="U285" s="123"/>
      <c r="V285" s="123"/>
      <c r="W285" s="123"/>
      <c r="X285" s="123"/>
      <c r="Y285" s="123"/>
      <c r="Z285" s="124"/>
      <c r="AA285" s="123"/>
      <c r="AB285" s="123"/>
      <c r="AC285" s="123"/>
      <c r="AD285" s="123"/>
      <c r="AE285" s="123"/>
      <c r="AF285" s="123"/>
      <c r="AG285" s="17"/>
      <c r="AH285" s="24"/>
      <c r="AI285" s="25"/>
      <c r="AJ285" s="25"/>
    </row>
    <row r="286" spans="1:36" x14ac:dyDescent="0.3">
      <c r="A286" s="63">
        <v>280</v>
      </c>
      <c r="B286" s="102" t="s">
        <v>3520</v>
      </c>
      <c r="C286" s="102" t="s">
        <v>3521</v>
      </c>
      <c r="D286" s="64" t="s">
        <v>119</v>
      </c>
      <c r="E286" s="106" t="s">
        <v>3524</v>
      </c>
      <c r="F286" s="120" t="s">
        <v>3813</v>
      </c>
      <c r="G286" s="108">
        <v>3</v>
      </c>
      <c r="H286" s="38" t="s">
        <v>3814</v>
      </c>
      <c r="I286" s="38"/>
      <c r="J286" s="38"/>
      <c r="K286" s="109" t="s">
        <v>3818</v>
      </c>
      <c r="L286" s="109"/>
      <c r="M286" s="109"/>
      <c r="N286" s="109"/>
      <c r="O286" s="109"/>
      <c r="P286" s="108">
        <v>3368</v>
      </c>
      <c r="Q286" s="108">
        <v>598</v>
      </c>
      <c r="R286" s="112"/>
      <c r="S286" s="113"/>
      <c r="T286" s="112"/>
      <c r="U286" s="123"/>
      <c r="V286" s="123"/>
      <c r="W286" s="123"/>
      <c r="X286" s="123"/>
      <c r="Y286" s="123"/>
      <c r="Z286" s="124"/>
      <c r="AA286" s="123"/>
      <c r="AB286" s="123"/>
      <c r="AC286" s="123"/>
      <c r="AD286" s="123"/>
      <c r="AE286" s="123"/>
      <c r="AF286" s="123"/>
      <c r="AG286" s="17"/>
      <c r="AH286" s="24"/>
      <c r="AI286" s="25"/>
      <c r="AJ286" s="25"/>
    </row>
    <row r="287" spans="1:36" x14ac:dyDescent="0.3">
      <c r="A287" s="63">
        <v>281</v>
      </c>
      <c r="B287" s="102" t="s">
        <v>3520</v>
      </c>
      <c r="C287" s="102" t="s">
        <v>3521</v>
      </c>
      <c r="D287" s="64" t="s">
        <v>119</v>
      </c>
      <c r="E287" s="106" t="s">
        <v>3524</v>
      </c>
      <c r="F287" s="120" t="s">
        <v>3813</v>
      </c>
      <c r="G287" s="108">
        <v>4</v>
      </c>
      <c r="H287" s="38" t="s">
        <v>3673</v>
      </c>
      <c r="I287" s="38"/>
      <c r="J287" s="38"/>
      <c r="K287" s="109" t="s">
        <v>3718</v>
      </c>
      <c r="L287" s="109"/>
      <c r="M287" s="109"/>
      <c r="N287" s="109"/>
      <c r="O287" s="109"/>
      <c r="P287" s="108">
        <v>4831</v>
      </c>
      <c r="Q287" s="108">
        <v>910</v>
      </c>
      <c r="R287" s="112"/>
      <c r="S287" s="113"/>
      <c r="T287" s="112"/>
      <c r="U287" s="123"/>
      <c r="V287" s="123"/>
      <c r="W287" s="123"/>
      <c r="X287" s="123"/>
      <c r="Y287" s="123"/>
      <c r="Z287" s="124"/>
      <c r="AA287" s="123"/>
      <c r="AB287" s="123"/>
      <c r="AC287" s="123"/>
      <c r="AD287" s="123"/>
      <c r="AE287" s="123"/>
      <c r="AF287" s="123"/>
      <c r="AG287" s="17"/>
      <c r="AH287" s="24"/>
      <c r="AI287" s="25"/>
      <c r="AJ287" s="25"/>
    </row>
    <row r="288" spans="1:36" x14ac:dyDescent="0.3">
      <c r="A288" s="63">
        <v>282</v>
      </c>
      <c r="B288" s="102" t="s">
        <v>3520</v>
      </c>
      <c r="C288" s="102" t="s">
        <v>3521</v>
      </c>
      <c r="D288" s="64" t="s">
        <v>119</v>
      </c>
      <c r="E288" s="106" t="s">
        <v>3524</v>
      </c>
      <c r="F288" s="120" t="s">
        <v>3813</v>
      </c>
      <c r="G288" s="108">
        <v>5</v>
      </c>
      <c r="H288" s="38" t="s">
        <v>3673</v>
      </c>
      <c r="I288" s="38"/>
      <c r="J288" s="38"/>
      <c r="K288" s="109" t="s">
        <v>3542</v>
      </c>
      <c r="L288" s="109"/>
      <c r="M288" s="109"/>
      <c r="N288" s="109"/>
      <c r="O288" s="109"/>
      <c r="P288" s="108">
        <v>3967</v>
      </c>
      <c r="Q288" s="108">
        <v>742</v>
      </c>
      <c r="R288" s="112"/>
      <c r="S288" s="113">
        <v>210</v>
      </c>
      <c r="T288" s="112"/>
      <c r="U288" s="123"/>
      <c r="V288" s="123"/>
      <c r="W288" s="123"/>
      <c r="X288" s="123"/>
      <c r="Y288" s="123"/>
      <c r="Z288" s="124"/>
      <c r="AA288" s="123"/>
      <c r="AB288" s="123"/>
      <c r="AC288" s="123"/>
      <c r="AD288" s="123"/>
      <c r="AE288" s="123"/>
      <c r="AF288" s="123"/>
      <c r="AG288" s="17"/>
      <c r="AH288" s="24"/>
      <c r="AI288" s="25"/>
      <c r="AJ288" s="25"/>
    </row>
    <row r="289" spans="1:36" x14ac:dyDescent="0.3">
      <c r="A289" s="63">
        <v>283</v>
      </c>
      <c r="B289" s="102" t="s">
        <v>3520</v>
      </c>
      <c r="C289" s="102" t="s">
        <v>3521</v>
      </c>
      <c r="D289" s="64" t="s">
        <v>119</v>
      </c>
      <c r="E289" s="106" t="s">
        <v>3524</v>
      </c>
      <c r="F289" s="120" t="s">
        <v>3813</v>
      </c>
      <c r="G289" s="108">
        <v>6</v>
      </c>
      <c r="H289" s="38" t="s">
        <v>3673</v>
      </c>
      <c r="I289" s="38"/>
      <c r="J289" s="38"/>
      <c r="K289" s="109" t="s">
        <v>3819</v>
      </c>
      <c r="L289" s="109"/>
      <c r="M289" s="109"/>
      <c r="N289" s="109"/>
      <c r="O289" s="109"/>
      <c r="P289" s="110">
        <v>2870</v>
      </c>
      <c r="Q289" s="110">
        <v>555</v>
      </c>
      <c r="R289" s="112"/>
      <c r="S289" s="113">
        <v>9</v>
      </c>
      <c r="T289" s="112"/>
      <c r="U289" s="123"/>
      <c r="V289" s="123"/>
      <c r="W289" s="123"/>
      <c r="X289" s="123"/>
      <c r="Y289" s="123"/>
      <c r="Z289" s="124"/>
      <c r="AA289" s="123"/>
      <c r="AB289" s="123"/>
      <c r="AC289" s="123"/>
      <c r="AD289" s="123"/>
      <c r="AE289" s="123"/>
      <c r="AF289" s="123"/>
      <c r="AG289" s="17"/>
      <c r="AH289" s="24"/>
      <c r="AI289" s="25"/>
      <c r="AJ289" s="25"/>
    </row>
    <row r="290" spans="1:36" x14ac:dyDescent="0.3">
      <c r="A290" s="63">
        <v>284</v>
      </c>
      <c r="B290" s="102" t="s">
        <v>3520</v>
      </c>
      <c r="C290" s="102" t="s">
        <v>3521</v>
      </c>
      <c r="D290" s="64" t="s">
        <v>119</v>
      </c>
      <c r="E290" s="106" t="s">
        <v>3524</v>
      </c>
      <c r="F290" s="120" t="s">
        <v>3813</v>
      </c>
      <c r="G290" s="108">
        <v>7</v>
      </c>
      <c r="H290" s="38" t="s">
        <v>3820</v>
      </c>
      <c r="I290" s="38"/>
      <c r="J290" s="38"/>
      <c r="K290" s="109" t="s">
        <v>3821</v>
      </c>
      <c r="L290" s="109"/>
      <c r="M290" s="109"/>
      <c r="N290" s="109"/>
      <c r="O290" s="109"/>
      <c r="P290" s="110">
        <v>1638</v>
      </c>
      <c r="Q290" s="121">
        <v>339</v>
      </c>
      <c r="R290" s="112"/>
      <c r="S290" s="113"/>
      <c r="T290" s="112"/>
      <c r="U290" s="123"/>
      <c r="V290" s="123"/>
      <c r="W290" s="123"/>
      <c r="X290" s="123"/>
      <c r="Y290" s="123"/>
      <c r="Z290" s="124"/>
      <c r="AA290" s="123"/>
      <c r="AB290" s="123"/>
      <c r="AC290" s="123"/>
      <c r="AD290" s="123"/>
      <c r="AE290" s="123"/>
      <c r="AF290" s="123"/>
      <c r="AG290" s="17"/>
      <c r="AH290" s="24"/>
      <c r="AI290" s="25"/>
      <c r="AJ290" s="25"/>
    </row>
    <row r="291" spans="1:36" x14ac:dyDescent="0.3">
      <c r="A291" s="63">
        <v>285</v>
      </c>
      <c r="B291" s="102" t="s">
        <v>3520</v>
      </c>
      <c r="C291" s="102" t="s">
        <v>3521</v>
      </c>
      <c r="D291" s="64" t="s">
        <v>119</v>
      </c>
      <c r="E291" s="106" t="s">
        <v>3524</v>
      </c>
      <c r="F291" s="120" t="s">
        <v>3813</v>
      </c>
      <c r="G291" s="108">
        <v>7</v>
      </c>
      <c r="H291" s="38" t="s">
        <v>3820</v>
      </c>
      <c r="I291" s="38"/>
      <c r="J291" s="38"/>
      <c r="K291" s="109" t="s">
        <v>3822</v>
      </c>
      <c r="L291" s="109"/>
      <c r="M291" s="109"/>
      <c r="N291" s="109"/>
      <c r="O291" s="109"/>
      <c r="P291" s="110">
        <v>2511</v>
      </c>
      <c r="Q291" s="121">
        <v>498</v>
      </c>
      <c r="R291" s="112"/>
      <c r="S291" s="113">
        <v>196</v>
      </c>
      <c r="T291" s="112"/>
      <c r="U291" s="123"/>
      <c r="V291" s="123"/>
      <c r="W291" s="123"/>
      <c r="X291" s="123"/>
      <c r="Y291" s="123"/>
      <c r="Z291" s="124"/>
      <c r="AA291" s="123"/>
      <c r="AB291" s="123"/>
      <c r="AC291" s="123"/>
      <c r="AD291" s="123"/>
      <c r="AE291" s="123"/>
      <c r="AF291" s="123"/>
      <c r="AG291" s="17"/>
      <c r="AH291" s="24"/>
      <c r="AI291" s="25"/>
      <c r="AJ291" s="25"/>
    </row>
    <row r="292" spans="1:36" x14ac:dyDescent="0.3">
      <c r="A292" s="63">
        <v>286</v>
      </c>
      <c r="B292" s="102" t="s">
        <v>3520</v>
      </c>
      <c r="C292" s="102" t="s">
        <v>3521</v>
      </c>
      <c r="D292" s="64" t="s">
        <v>119</v>
      </c>
      <c r="E292" s="106" t="s">
        <v>3524</v>
      </c>
      <c r="F292" s="120" t="s">
        <v>3813</v>
      </c>
      <c r="G292" s="108">
        <v>8</v>
      </c>
      <c r="H292" s="38" t="s">
        <v>3820</v>
      </c>
      <c r="I292" s="38"/>
      <c r="J292" s="38"/>
      <c r="K292" s="109" t="s">
        <v>3823</v>
      </c>
      <c r="L292" s="109"/>
      <c r="M292" s="109"/>
      <c r="N292" s="109"/>
      <c r="O292" s="109"/>
      <c r="P292" s="110">
        <v>1664</v>
      </c>
      <c r="Q292" s="121">
        <v>325</v>
      </c>
      <c r="R292" s="112"/>
      <c r="S292" s="113"/>
      <c r="T292" s="112"/>
      <c r="U292" s="123"/>
      <c r="V292" s="123"/>
      <c r="W292" s="123"/>
      <c r="X292" s="123"/>
      <c r="Y292" s="123"/>
      <c r="Z292" s="124"/>
      <c r="AA292" s="123"/>
      <c r="AB292" s="123"/>
      <c r="AC292" s="123"/>
      <c r="AD292" s="123"/>
      <c r="AE292" s="123"/>
      <c r="AF292" s="123"/>
      <c r="AG292" s="17"/>
      <c r="AH292" s="24"/>
      <c r="AI292" s="25"/>
      <c r="AJ292" s="25"/>
    </row>
    <row r="293" spans="1:36" x14ac:dyDescent="0.3">
      <c r="A293" s="63">
        <v>287</v>
      </c>
      <c r="B293" s="102" t="s">
        <v>3520</v>
      </c>
      <c r="C293" s="102" t="s">
        <v>3521</v>
      </c>
      <c r="D293" s="64" t="s">
        <v>119</v>
      </c>
      <c r="E293" s="106" t="s">
        <v>3524</v>
      </c>
      <c r="F293" s="120" t="s">
        <v>3813</v>
      </c>
      <c r="G293" s="108">
        <v>8</v>
      </c>
      <c r="H293" s="38" t="s">
        <v>3820</v>
      </c>
      <c r="I293" s="38"/>
      <c r="J293" s="38"/>
      <c r="K293" s="109" t="s">
        <v>3824</v>
      </c>
      <c r="L293" s="109"/>
      <c r="M293" s="109"/>
      <c r="N293" s="109"/>
      <c r="O293" s="109"/>
      <c r="P293" s="110">
        <v>1900</v>
      </c>
      <c r="Q293" s="110">
        <v>378</v>
      </c>
      <c r="R293" s="112"/>
      <c r="S293" s="113"/>
      <c r="T293" s="112"/>
      <c r="U293" s="123"/>
      <c r="V293" s="123"/>
      <c r="W293" s="123"/>
      <c r="X293" s="123"/>
      <c r="Y293" s="123"/>
      <c r="Z293" s="124"/>
      <c r="AA293" s="123"/>
      <c r="AB293" s="123"/>
      <c r="AC293" s="123"/>
      <c r="AD293" s="123"/>
      <c r="AE293" s="123"/>
      <c r="AF293" s="123"/>
      <c r="AG293" s="17"/>
      <c r="AH293" s="24"/>
      <c r="AI293" s="25"/>
      <c r="AJ293" s="25"/>
    </row>
    <row r="294" spans="1:36" x14ac:dyDescent="0.3">
      <c r="A294" s="63">
        <v>288</v>
      </c>
      <c r="B294" s="102" t="s">
        <v>3520</v>
      </c>
      <c r="C294" s="102" t="s">
        <v>3521</v>
      </c>
      <c r="D294" s="64" t="s">
        <v>119</v>
      </c>
      <c r="E294" s="106" t="s">
        <v>3524</v>
      </c>
      <c r="F294" s="120" t="s">
        <v>3813</v>
      </c>
      <c r="G294" s="108">
        <v>9</v>
      </c>
      <c r="H294" s="38" t="s">
        <v>3820</v>
      </c>
      <c r="I294" s="38"/>
      <c r="J294" s="38"/>
      <c r="K294" s="109" t="s">
        <v>3825</v>
      </c>
      <c r="L294" s="109"/>
      <c r="M294" s="109"/>
      <c r="N294" s="109"/>
      <c r="O294" s="109"/>
      <c r="P294" s="121">
        <v>1737</v>
      </c>
      <c r="Q294" s="121">
        <v>378</v>
      </c>
      <c r="R294" s="112"/>
      <c r="S294" s="113">
        <v>97</v>
      </c>
      <c r="T294" s="112"/>
      <c r="U294" s="123"/>
      <c r="V294" s="123"/>
      <c r="W294" s="123"/>
      <c r="X294" s="123"/>
      <c r="Y294" s="123"/>
      <c r="Z294" s="124"/>
      <c r="AA294" s="123"/>
      <c r="AB294" s="123"/>
      <c r="AC294" s="123"/>
      <c r="AD294" s="123"/>
      <c r="AE294" s="123"/>
      <c r="AF294" s="123"/>
      <c r="AG294" s="17"/>
      <c r="AH294" s="24"/>
      <c r="AI294" s="25"/>
      <c r="AJ294" s="25"/>
    </row>
    <row r="295" spans="1:36" x14ac:dyDescent="0.3">
      <c r="A295" s="63">
        <v>289</v>
      </c>
      <c r="B295" s="102" t="s">
        <v>3520</v>
      </c>
      <c r="C295" s="102" t="s">
        <v>3521</v>
      </c>
      <c r="D295" s="64" t="s">
        <v>119</v>
      </c>
      <c r="E295" s="106" t="s">
        <v>3524</v>
      </c>
      <c r="F295" s="120" t="s">
        <v>3813</v>
      </c>
      <c r="G295" s="108">
        <v>9</v>
      </c>
      <c r="H295" s="38" t="s">
        <v>3820</v>
      </c>
      <c r="I295" s="38"/>
      <c r="J295" s="38"/>
      <c r="K295" s="109" t="s">
        <v>3643</v>
      </c>
      <c r="L295" s="109"/>
      <c r="M295" s="109"/>
      <c r="N295" s="109"/>
      <c r="O295" s="109"/>
      <c r="P295" s="110">
        <v>1335</v>
      </c>
      <c r="Q295" s="121">
        <v>279</v>
      </c>
      <c r="R295" s="112"/>
      <c r="S295" s="113">
        <v>100</v>
      </c>
      <c r="T295" s="112"/>
      <c r="U295" s="123"/>
      <c r="V295" s="123"/>
      <c r="W295" s="123"/>
      <c r="X295" s="123"/>
      <c r="Y295" s="123"/>
      <c r="Z295" s="124"/>
      <c r="AA295" s="123"/>
      <c r="AB295" s="123"/>
      <c r="AC295" s="123"/>
      <c r="AD295" s="123"/>
      <c r="AE295" s="123"/>
      <c r="AF295" s="123"/>
      <c r="AG295" s="17"/>
      <c r="AH295" s="24"/>
      <c r="AI295" s="25"/>
      <c r="AJ295" s="25"/>
    </row>
    <row r="296" spans="1:36" x14ac:dyDescent="0.3">
      <c r="A296" s="63">
        <v>290</v>
      </c>
      <c r="B296" s="102" t="s">
        <v>3520</v>
      </c>
      <c r="C296" s="102" t="s">
        <v>3521</v>
      </c>
      <c r="D296" s="64" t="s">
        <v>119</v>
      </c>
      <c r="E296" s="106" t="s">
        <v>3524</v>
      </c>
      <c r="F296" s="107" t="s">
        <v>3826</v>
      </c>
      <c r="G296" s="108">
        <v>1</v>
      </c>
      <c r="H296" s="38" t="s">
        <v>3827</v>
      </c>
      <c r="I296" s="38"/>
      <c r="J296" s="38"/>
      <c r="K296" s="109" t="s">
        <v>3828</v>
      </c>
      <c r="L296" s="109"/>
      <c r="M296" s="109"/>
      <c r="N296" s="109"/>
      <c r="O296" s="109"/>
      <c r="P296" s="110">
        <v>4955</v>
      </c>
      <c r="Q296" s="110">
        <v>925</v>
      </c>
      <c r="R296" s="112"/>
      <c r="S296" s="113"/>
      <c r="T296" s="112"/>
      <c r="U296" s="123"/>
      <c r="V296" s="123"/>
      <c r="W296" s="123"/>
      <c r="X296" s="123"/>
      <c r="Y296" s="123"/>
      <c r="Z296" s="124"/>
      <c r="AA296" s="123"/>
      <c r="AB296" s="123"/>
      <c r="AC296" s="123"/>
      <c r="AD296" s="123"/>
      <c r="AE296" s="123"/>
      <c r="AF296" s="123"/>
      <c r="AG296" s="17"/>
      <c r="AH296" s="24"/>
      <c r="AI296" s="25"/>
      <c r="AJ296" s="25"/>
    </row>
    <row r="297" spans="1:36" x14ac:dyDescent="0.3">
      <c r="A297" s="63">
        <v>291</v>
      </c>
      <c r="B297" s="102" t="s">
        <v>3520</v>
      </c>
      <c r="C297" s="102" t="s">
        <v>3521</v>
      </c>
      <c r="D297" s="64" t="s">
        <v>119</v>
      </c>
      <c r="E297" s="106" t="s">
        <v>3524</v>
      </c>
      <c r="F297" s="107" t="s">
        <v>3826</v>
      </c>
      <c r="G297" s="110">
        <v>2</v>
      </c>
      <c r="H297" s="38" t="s">
        <v>3827</v>
      </c>
      <c r="I297" s="38"/>
      <c r="J297" s="38"/>
      <c r="K297" s="109" t="s">
        <v>3828</v>
      </c>
      <c r="L297" s="109"/>
      <c r="M297" s="109"/>
      <c r="N297" s="109"/>
      <c r="O297" s="109"/>
      <c r="P297" s="110">
        <v>1816</v>
      </c>
      <c r="Q297" s="110">
        <v>332</v>
      </c>
      <c r="R297" s="112"/>
      <c r="S297" s="113"/>
      <c r="T297" s="112"/>
      <c r="U297" s="123"/>
      <c r="V297" s="123"/>
      <c r="W297" s="123"/>
      <c r="X297" s="123"/>
      <c r="Y297" s="123"/>
      <c r="Z297" s="124"/>
      <c r="AA297" s="123"/>
      <c r="AB297" s="123"/>
      <c r="AC297" s="123"/>
      <c r="AD297" s="123"/>
      <c r="AE297" s="123"/>
      <c r="AF297" s="123"/>
      <c r="AG297" s="17"/>
      <c r="AH297" s="24"/>
      <c r="AI297" s="25"/>
      <c r="AJ297" s="25"/>
    </row>
    <row r="298" spans="1:36" x14ac:dyDescent="0.3">
      <c r="A298" s="63">
        <v>292</v>
      </c>
      <c r="B298" s="102" t="s">
        <v>3520</v>
      </c>
      <c r="C298" s="102" t="s">
        <v>3521</v>
      </c>
      <c r="D298" s="64" t="s">
        <v>119</v>
      </c>
      <c r="E298" s="106" t="s">
        <v>3524</v>
      </c>
      <c r="F298" s="107" t="s">
        <v>3826</v>
      </c>
      <c r="G298" s="110">
        <v>2</v>
      </c>
      <c r="H298" s="38" t="s">
        <v>3827</v>
      </c>
      <c r="I298" s="38"/>
      <c r="J298" s="38"/>
      <c r="K298" s="109" t="s">
        <v>3829</v>
      </c>
      <c r="L298" s="109"/>
      <c r="M298" s="109"/>
      <c r="N298" s="109"/>
      <c r="O298" s="109"/>
      <c r="P298" s="110">
        <v>1234</v>
      </c>
      <c r="Q298" s="121">
        <v>216</v>
      </c>
      <c r="R298" s="112"/>
      <c r="S298" s="113"/>
      <c r="T298" s="112"/>
      <c r="U298" s="123"/>
      <c r="V298" s="123"/>
      <c r="W298" s="123"/>
      <c r="X298" s="123"/>
      <c r="Y298" s="123"/>
      <c r="Z298" s="124"/>
      <c r="AA298" s="123"/>
      <c r="AB298" s="123"/>
      <c r="AC298" s="123"/>
      <c r="AD298" s="123"/>
      <c r="AE298" s="123"/>
      <c r="AF298" s="123"/>
      <c r="AG298" s="17"/>
      <c r="AH298" s="24"/>
      <c r="AI298" s="25"/>
      <c r="AJ298" s="25"/>
    </row>
    <row r="299" spans="1:36" x14ac:dyDescent="0.3">
      <c r="A299" s="63">
        <v>293</v>
      </c>
      <c r="B299" s="102" t="s">
        <v>3520</v>
      </c>
      <c r="C299" s="102" t="s">
        <v>3521</v>
      </c>
      <c r="D299" s="64" t="s">
        <v>119</v>
      </c>
      <c r="E299" s="106" t="s">
        <v>3524</v>
      </c>
      <c r="F299" s="107" t="s">
        <v>3826</v>
      </c>
      <c r="G299" s="108">
        <v>3</v>
      </c>
      <c r="H299" s="38" t="s">
        <v>3827</v>
      </c>
      <c r="I299" s="38"/>
      <c r="J299" s="38"/>
      <c r="K299" s="109" t="s">
        <v>3830</v>
      </c>
      <c r="L299" s="109"/>
      <c r="M299" s="109"/>
      <c r="N299" s="109"/>
      <c r="O299" s="109"/>
      <c r="P299" s="110">
        <v>2041</v>
      </c>
      <c r="Q299" s="110">
        <v>387</v>
      </c>
      <c r="R299" s="112"/>
      <c r="S299" s="113"/>
      <c r="T299" s="112"/>
      <c r="U299" s="123"/>
      <c r="V299" s="123"/>
      <c r="W299" s="123"/>
      <c r="X299" s="123"/>
      <c r="Y299" s="123"/>
      <c r="Z299" s="124"/>
      <c r="AA299" s="123"/>
      <c r="AB299" s="123"/>
      <c r="AC299" s="123"/>
      <c r="AD299" s="123"/>
      <c r="AE299" s="123"/>
      <c r="AF299" s="123"/>
      <c r="AG299" s="17"/>
      <c r="AH299" s="24"/>
      <c r="AI299" s="25"/>
      <c r="AJ299" s="25"/>
    </row>
    <row r="300" spans="1:36" x14ac:dyDescent="0.3">
      <c r="A300" s="63">
        <v>294</v>
      </c>
      <c r="B300" s="102" t="s">
        <v>3520</v>
      </c>
      <c r="C300" s="102" t="s">
        <v>3521</v>
      </c>
      <c r="D300" s="64" t="s">
        <v>119</v>
      </c>
      <c r="E300" s="106" t="s">
        <v>3524</v>
      </c>
      <c r="F300" s="107" t="s">
        <v>3826</v>
      </c>
      <c r="G300" s="108">
        <v>4</v>
      </c>
      <c r="H300" s="38" t="s">
        <v>3831</v>
      </c>
      <c r="I300" s="38"/>
      <c r="J300" s="38"/>
      <c r="K300" s="109" t="s">
        <v>3832</v>
      </c>
      <c r="L300" s="109"/>
      <c r="M300" s="109"/>
      <c r="N300" s="109"/>
      <c r="O300" s="109"/>
      <c r="P300" s="110">
        <v>4284</v>
      </c>
      <c r="Q300" s="110">
        <v>851</v>
      </c>
      <c r="R300" s="112"/>
      <c r="S300" s="113"/>
      <c r="T300" s="112"/>
      <c r="U300" s="123"/>
      <c r="V300" s="123"/>
      <c r="W300" s="123"/>
      <c r="X300" s="123"/>
      <c r="Y300" s="123"/>
      <c r="Z300" s="124"/>
      <c r="AA300" s="123"/>
      <c r="AB300" s="123"/>
      <c r="AC300" s="123"/>
      <c r="AD300" s="123"/>
      <c r="AE300" s="123"/>
      <c r="AF300" s="123"/>
      <c r="AG300" s="17"/>
      <c r="AH300" s="24"/>
      <c r="AI300" s="25"/>
      <c r="AJ300" s="25"/>
    </row>
    <row r="301" spans="1:36" x14ac:dyDescent="0.3">
      <c r="A301" s="63">
        <v>295</v>
      </c>
      <c r="B301" s="102" t="s">
        <v>3520</v>
      </c>
      <c r="C301" s="102" t="s">
        <v>3521</v>
      </c>
      <c r="D301" s="64" t="s">
        <v>119</v>
      </c>
      <c r="E301" s="106" t="s">
        <v>3524</v>
      </c>
      <c r="F301" s="107" t="s">
        <v>3826</v>
      </c>
      <c r="G301" s="108">
        <v>5</v>
      </c>
      <c r="H301" s="38" t="s">
        <v>3831</v>
      </c>
      <c r="I301" s="38"/>
      <c r="J301" s="38"/>
      <c r="K301" s="109" t="s">
        <v>3833</v>
      </c>
      <c r="L301" s="109"/>
      <c r="M301" s="109"/>
      <c r="N301" s="109"/>
      <c r="O301" s="109"/>
      <c r="P301" s="110">
        <v>3073</v>
      </c>
      <c r="Q301" s="110">
        <v>613</v>
      </c>
      <c r="R301" s="112"/>
      <c r="S301" s="113">
        <v>144</v>
      </c>
      <c r="T301" s="112"/>
      <c r="U301" s="123"/>
      <c r="V301" s="123"/>
      <c r="W301" s="123"/>
      <c r="X301" s="123"/>
      <c r="Y301" s="123"/>
      <c r="Z301" s="124"/>
      <c r="AA301" s="123"/>
      <c r="AB301" s="123"/>
      <c r="AC301" s="123"/>
      <c r="AD301" s="123"/>
      <c r="AE301" s="123"/>
      <c r="AF301" s="123"/>
      <c r="AG301" s="17"/>
      <c r="AH301" s="24"/>
      <c r="AI301" s="25"/>
      <c r="AJ301" s="25"/>
    </row>
    <row r="302" spans="1:36" x14ac:dyDescent="0.3">
      <c r="A302" s="63">
        <v>296</v>
      </c>
      <c r="B302" s="102" t="s">
        <v>3520</v>
      </c>
      <c r="C302" s="102" t="s">
        <v>3521</v>
      </c>
      <c r="D302" s="64" t="s">
        <v>119</v>
      </c>
      <c r="E302" s="106" t="s">
        <v>3524</v>
      </c>
      <c r="F302" s="107" t="s">
        <v>3826</v>
      </c>
      <c r="G302" s="108">
        <v>6</v>
      </c>
      <c r="H302" s="38" t="s">
        <v>3831</v>
      </c>
      <c r="I302" s="38"/>
      <c r="J302" s="38"/>
      <c r="K302" s="109" t="s">
        <v>3834</v>
      </c>
      <c r="L302" s="109"/>
      <c r="M302" s="109"/>
      <c r="N302" s="109"/>
      <c r="O302" s="109"/>
      <c r="P302" s="111">
        <v>3814</v>
      </c>
      <c r="Q302" s="110">
        <v>783</v>
      </c>
      <c r="R302" s="112"/>
      <c r="S302" s="113">
        <v>98</v>
      </c>
      <c r="T302" s="112"/>
      <c r="U302" s="123"/>
      <c r="V302" s="123"/>
      <c r="W302" s="123"/>
      <c r="X302" s="123"/>
      <c r="Y302" s="123"/>
      <c r="Z302" s="124"/>
      <c r="AA302" s="123"/>
      <c r="AB302" s="123"/>
      <c r="AC302" s="123"/>
      <c r="AD302" s="123"/>
      <c r="AE302" s="123"/>
      <c r="AF302" s="123"/>
      <c r="AG302" s="17"/>
      <c r="AH302" s="24"/>
      <c r="AI302" s="25"/>
      <c r="AJ302" s="25"/>
    </row>
    <row r="303" spans="1:36" x14ac:dyDescent="0.3">
      <c r="A303" s="63">
        <v>297</v>
      </c>
      <c r="B303" s="102" t="s">
        <v>3520</v>
      </c>
      <c r="C303" s="102" t="s">
        <v>3521</v>
      </c>
      <c r="D303" s="64" t="s">
        <v>119</v>
      </c>
      <c r="E303" s="106" t="s">
        <v>3524</v>
      </c>
      <c r="F303" s="107" t="s">
        <v>3826</v>
      </c>
      <c r="G303" s="108">
        <v>7</v>
      </c>
      <c r="H303" s="38" t="s">
        <v>3835</v>
      </c>
      <c r="I303" s="38"/>
      <c r="J303" s="38"/>
      <c r="K303" s="109" t="s">
        <v>3836</v>
      </c>
      <c r="L303" s="109"/>
      <c r="M303" s="109"/>
      <c r="N303" s="109"/>
      <c r="O303" s="109"/>
      <c r="P303" s="110">
        <v>1031</v>
      </c>
      <c r="Q303" s="121">
        <v>233</v>
      </c>
      <c r="R303" s="112"/>
      <c r="S303" s="113">
        <v>52</v>
      </c>
      <c r="T303" s="112"/>
      <c r="U303" s="123"/>
      <c r="V303" s="123"/>
      <c r="W303" s="123"/>
      <c r="X303" s="123"/>
      <c r="Y303" s="123"/>
      <c r="Z303" s="124"/>
      <c r="AA303" s="123"/>
      <c r="AB303" s="123"/>
      <c r="AC303" s="123"/>
      <c r="AD303" s="123"/>
      <c r="AE303" s="123"/>
      <c r="AF303" s="123"/>
      <c r="AG303" s="17"/>
      <c r="AH303" s="24"/>
      <c r="AI303" s="25"/>
      <c r="AJ303" s="25"/>
    </row>
    <row r="304" spans="1:36" x14ac:dyDescent="0.3">
      <c r="A304" s="63">
        <v>298</v>
      </c>
      <c r="B304" s="102" t="s">
        <v>3520</v>
      </c>
      <c r="C304" s="102" t="s">
        <v>3521</v>
      </c>
      <c r="D304" s="64" t="s">
        <v>119</v>
      </c>
      <c r="E304" s="106" t="s">
        <v>3524</v>
      </c>
      <c r="F304" s="107" t="s">
        <v>3826</v>
      </c>
      <c r="G304" s="108">
        <v>7</v>
      </c>
      <c r="H304" s="38" t="s">
        <v>3835</v>
      </c>
      <c r="I304" s="38"/>
      <c r="J304" s="38"/>
      <c r="K304" s="109" t="s">
        <v>3837</v>
      </c>
      <c r="L304" s="109"/>
      <c r="M304" s="109"/>
      <c r="N304" s="109"/>
      <c r="O304" s="109"/>
      <c r="P304" s="108">
        <v>1009</v>
      </c>
      <c r="Q304" s="108">
        <v>199</v>
      </c>
      <c r="R304" s="112"/>
      <c r="S304" s="113"/>
      <c r="T304" s="112"/>
      <c r="U304" s="123"/>
      <c r="V304" s="123"/>
      <c r="W304" s="123"/>
      <c r="X304" s="123"/>
      <c r="Y304" s="123"/>
      <c r="Z304" s="124"/>
      <c r="AA304" s="123"/>
      <c r="AB304" s="123"/>
      <c r="AC304" s="123"/>
      <c r="AD304" s="123"/>
      <c r="AE304" s="123"/>
      <c r="AF304" s="123"/>
      <c r="AG304" s="17"/>
      <c r="AH304" s="24"/>
      <c r="AI304" s="25"/>
      <c r="AJ304" s="25"/>
    </row>
    <row r="305" spans="1:36" x14ac:dyDescent="0.3">
      <c r="A305" s="63">
        <v>299</v>
      </c>
      <c r="B305" s="102" t="s">
        <v>3520</v>
      </c>
      <c r="C305" s="102" t="s">
        <v>3521</v>
      </c>
      <c r="D305" s="64" t="s">
        <v>119</v>
      </c>
      <c r="E305" s="106" t="s">
        <v>3524</v>
      </c>
      <c r="F305" s="107" t="s">
        <v>3826</v>
      </c>
      <c r="G305" s="108">
        <v>7</v>
      </c>
      <c r="H305" s="38" t="s">
        <v>3835</v>
      </c>
      <c r="I305" s="38"/>
      <c r="J305" s="38"/>
      <c r="K305" s="109" t="s">
        <v>3838</v>
      </c>
      <c r="L305" s="109"/>
      <c r="M305" s="109"/>
      <c r="N305" s="109"/>
      <c r="O305" s="109"/>
      <c r="P305" s="110">
        <v>1473</v>
      </c>
      <c r="Q305" s="110">
        <v>261</v>
      </c>
      <c r="R305" s="112"/>
      <c r="S305" s="113"/>
      <c r="T305" s="112"/>
      <c r="U305" s="123"/>
      <c r="V305" s="123"/>
      <c r="W305" s="123"/>
      <c r="X305" s="123"/>
      <c r="Y305" s="123"/>
      <c r="Z305" s="124"/>
      <c r="AA305" s="123"/>
      <c r="AB305" s="123"/>
      <c r="AC305" s="123"/>
      <c r="AD305" s="123"/>
      <c r="AE305" s="123"/>
      <c r="AF305" s="123"/>
      <c r="AG305" s="17"/>
      <c r="AH305" s="24"/>
      <c r="AI305" s="25"/>
      <c r="AJ305" s="25"/>
    </row>
    <row r="306" spans="1:36" x14ac:dyDescent="0.3">
      <c r="A306" s="63">
        <v>300</v>
      </c>
      <c r="B306" s="102" t="s">
        <v>3520</v>
      </c>
      <c r="C306" s="102" t="s">
        <v>3521</v>
      </c>
      <c r="D306" s="64" t="s">
        <v>119</v>
      </c>
      <c r="E306" s="106" t="s">
        <v>3524</v>
      </c>
      <c r="F306" s="107" t="s">
        <v>3826</v>
      </c>
      <c r="G306" s="108">
        <v>8</v>
      </c>
      <c r="H306" s="38" t="s">
        <v>3835</v>
      </c>
      <c r="I306" s="38"/>
      <c r="J306" s="38"/>
      <c r="K306" s="109" t="s">
        <v>3839</v>
      </c>
      <c r="L306" s="109"/>
      <c r="M306" s="109"/>
      <c r="N306" s="109"/>
      <c r="O306" s="109"/>
      <c r="P306" s="110">
        <v>3984</v>
      </c>
      <c r="Q306" s="110">
        <v>750</v>
      </c>
      <c r="R306" s="112"/>
      <c r="S306" s="113">
        <v>174</v>
      </c>
      <c r="T306" s="112"/>
      <c r="U306" s="123"/>
      <c r="V306" s="123"/>
      <c r="W306" s="123"/>
      <c r="X306" s="123"/>
      <c r="Y306" s="123"/>
      <c r="Z306" s="124"/>
      <c r="AA306" s="123"/>
      <c r="AB306" s="123"/>
      <c r="AC306" s="123"/>
      <c r="AD306" s="123"/>
      <c r="AE306" s="123"/>
      <c r="AF306" s="123"/>
      <c r="AG306" s="17"/>
      <c r="AH306" s="24"/>
      <c r="AI306" s="25"/>
      <c r="AJ306" s="25"/>
    </row>
    <row r="307" spans="1:36" x14ac:dyDescent="0.3">
      <c r="A307" s="63">
        <v>301</v>
      </c>
      <c r="B307" s="102" t="s">
        <v>3520</v>
      </c>
      <c r="C307" s="102" t="s">
        <v>3521</v>
      </c>
      <c r="D307" s="64" t="s">
        <v>119</v>
      </c>
      <c r="E307" s="106" t="s">
        <v>3524</v>
      </c>
      <c r="F307" s="107" t="s">
        <v>3826</v>
      </c>
      <c r="G307" s="108">
        <v>9</v>
      </c>
      <c r="H307" s="38" t="s">
        <v>3835</v>
      </c>
      <c r="I307" s="38"/>
      <c r="J307" s="38"/>
      <c r="K307" s="109" t="s">
        <v>3627</v>
      </c>
      <c r="L307" s="109"/>
      <c r="M307" s="109"/>
      <c r="N307" s="109"/>
      <c r="O307" s="109"/>
      <c r="P307" s="110">
        <v>1989</v>
      </c>
      <c r="Q307" s="110">
        <v>370</v>
      </c>
      <c r="R307" s="112"/>
      <c r="S307" s="113">
        <v>10</v>
      </c>
      <c r="T307" s="112"/>
      <c r="U307" s="123"/>
      <c r="V307" s="123"/>
      <c r="W307" s="123"/>
      <c r="X307" s="123"/>
      <c r="Y307" s="123"/>
      <c r="Z307" s="124"/>
      <c r="AA307" s="123"/>
      <c r="AB307" s="123"/>
      <c r="AC307" s="123"/>
      <c r="AD307" s="123"/>
      <c r="AE307" s="123"/>
      <c r="AF307" s="123"/>
      <c r="AG307" s="17"/>
      <c r="AH307" s="24"/>
      <c r="AI307" s="25"/>
      <c r="AJ307" s="25"/>
    </row>
    <row r="308" spans="1:36" x14ac:dyDescent="0.3">
      <c r="A308" s="63">
        <v>302</v>
      </c>
      <c r="B308" s="102" t="s">
        <v>3520</v>
      </c>
      <c r="C308" s="102" t="s">
        <v>3521</v>
      </c>
      <c r="D308" s="64" t="s">
        <v>119</v>
      </c>
      <c r="E308" s="106" t="s">
        <v>3524</v>
      </c>
      <c r="F308" s="120" t="s">
        <v>3840</v>
      </c>
      <c r="G308" s="108">
        <v>1</v>
      </c>
      <c r="H308" s="38" t="s">
        <v>3532</v>
      </c>
      <c r="I308" s="38"/>
      <c r="J308" s="38"/>
      <c r="K308" s="109" t="s">
        <v>3841</v>
      </c>
      <c r="L308" s="109"/>
      <c r="M308" s="109"/>
      <c r="N308" s="109"/>
      <c r="O308" s="109"/>
      <c r="P308" s="110">
        <v>2826</v>
      </c>
      <c r="Q308" s="110">
        <v>608</v>
      </c>
      <c r="R308" s="112"/>
      <c r="S308" s="113">
        <v>162</v>
      </c>
      <c r="T308" s="112"/>
      <c r="U308" s="123"/>
      <c r="V308" s="123"/>
      <c r="W308" s="123"/>
      <c r="X308" s="123"/>
      <c r="Y308" s="123"/>
      <c r="Z308" s="124"/>
      <c r="AA308" s="123"/>
      <c r="AB308" s="123"/>
      <c r="AC308" s="123"/>
      <c r="AD308" s="123"/>
      <c r="AE308" s="123"/>
      <c r="AF308" s="123"/>
      <c r="AG308" s="17"/>
      <c r="AH308" s="24"/>
      <c r="AI308" s="25"/>
      <c r="AJ308" s="25"/>
    </row>
    <row r="309" spans="1:36" x14ac:dyDescent="0.3">
      <c r="A309" s="63">
        <v>303</v>
      </c>
      <c r="B309" s="102" t="s">
        <v>3520</v>
      </c>
      <c r="C309" s="102" t="s">
        <v>3521</v>
      </c>
      <c r="D309" s="64" t="s">
        <v>119</v>
      </c>
      <c r="E309" s="106" t="s">
        <v>3524</v>
      </c>
      <c r="F309" s="120" t="s">
        <v>3840</v>
      </c>
      <c r="G309" s="108">
        <v>2</v>
      </c>
      <c r="H309" s="38" t="s">
        <v>3532</v>
      </c>
      <c r="I309" s="38"/>
      <c r="J309" s="38"/>
      <c r="K309" s="109" t="s">
        <v>3842</v>
      </c>
      <c r="L309" s="109"/>
      <c r="M309" s="109"/>
      <c r="N309" s="109"/>
      <c r="O309" s="109"/>
      <c r="P309" s="110">
        <v>1679</v>
      </c>
      <c r="Q309" s="121">
        <v>355</v>
      </c>
      <c r="R309" s="112"/>
      <c r="S309" s="113"/>
      <c r="T309" s="112"/>
      <c r="U309" s="123"/>
      <c r="V309" s="123"/>
      <c r="W309" s="123"/>
      <c r="X309" s="123"/>
      <c r="Y309" s="123"/>
      <c r="Z309" s="124"/>
      <c r="AA309" s="123"/>
      <c r="AB309" s="123"/>
      <c r="AC309" s="123"/>
      <c r="AD309" s="123"/>
      <c r="AE309" s="123"/>
      <c r="AF309" s="123"/>
      <c r="AG309" s="17"/>
      <c r="AH309" s="24"/>
      <c r="AI309" s="25"/>
      <c r="AJ309" s="25"/>
    </row>
    <row r="310" spans="1:36" x14ac:dyDescent="0.3">
      <c r="A310" s="63">
        <v>304</v>
      </c>
      <c r="B310" s="102" t="s">
        <v>3520</v>
      </c>
      <c r="C310" s="102" t="s">
        <v>3521</v>
      </c>
      <c r="D310" s="64" t="s">
        <v>119</v>
      </c>
      <c r="E310" s="106" t="s">
        <v>3524</v>
      </c>
      <c r="F310" s="120" t="s">
        <v>3840</v>
      </c>
      <c r="G310" s="108">
        <v>2</v>
      </c>
      <c r="H310" s="38" t="s">
        <v>3532</v>
      </c>
      <c r="I310" s="38"/>
      <c r="J310" s="38"/>
      <c r="K310" s="109" t="s">
        <v>3536</v>
      </c>
      <c r="L310" s="109"/>
      <c r="M310" s="109"/>
      <c r="N310" s="109"/>
      <c r="O310" s="109"/>
      <c r="P310" s="110">
        <v>1521</v>
      </c>
      <c r="Q310" s="110">
        <v>330</v>
      </c>
      <c r="R310" s="112"/>
      <c r="S310" s="113"/>
      <c r="T310" s="112"/>
      <c r="U310" s="123"/>
      <c r="V310" s="123"/>
      <c r="W310" s="123"/>
      <c r="X310" s="123"/>
      <c r="Y310" s="123"/>
      <c r="Z310" s="124"/>
      <c r="AA310" s="123"/>
      <c r="AB310" s="123"/>
      <c r="AC310" s="123"/>
      <c r="AD310" s="123"/>
      <c r="AE310" s="123"/>
      <c r="AF310" s="123"/>
      <c r="AG310" s="17"/>
      <c r="AH310" s="24"/>
      <c r="AI310" s="25"/>
      <c r="AJ310" s="25"/>
    </row>
    <row r="311" spans="1:36" x14ac:dyDescent="0.3">
      <c r="A311" s="63">
        <v>305</v>
      </c>
      <c r="B311" s="102" t="s">
        <v>3520</v>
      </c>
      <c r="C311" s="102" t="s">
        <v>3521</v>
      </c>
      <c r="D311" s="64" t="s">
        <v>119</v>
      </c>
      <c r="E311" s="106" t="s">
        <v>3524</v>
      </c>
      <c r="F311" s="120" t="s">
        <v>3840</v>
      </c>
      <c r="G311" s="108">
        <v>3</v>
      </c>
      <c r="H311" s="38" t="s">
        <v>3532</v>
      </c>
      <c r="I311" s="38"/>
      <c r="J311" s="38"/>
      <c r="K311" s="109" t="s">
        <v>3718</v>
      </c>
      <c r="L311" s="109"/>
      <c r="M311" s="109"/>
      <c r="N311" s="109"/>
      <c r="O311" s="109"/>
      <c r="P311" s="110">
        <v>2957</v>
      </c>
      <c r="Q311" s="110">
        <v>588</v>
      </c>
      <c r="R311" s="112"/>
      <c r="S311" s="113"/>
      <c r="T311" s="112"/>
      <c r="U311" s="123"/>
      <c r="V311" s="123"/>
      <c r="W311" s="123"/>
      <c r="X311" s="123"/>
      <c r="Y311" s="123"/>
      <c r="Z311" s="124"/>
      <c r="AA311" s="123"/>
      <c r="AB311" s="123"/>
      <c r="AC311" s="123"/>
      <c r="AD311" s="123"/>
      <c r="AE311" s="123"/>
      <c r="AF311" s="123"/>
      <c r="AG311" s="17"/>
      <c r="AH311" s="24"/>
      <c r="AI311" s="25"/>
      <c r="AJ311" s="25"/>
    </row>
    <row r="312" spans="1:36" x14ac:dyDescent="0.3">
      <c r="A312" s="63">
        <v>306</v>
      </c>
      <c r="B312" s="102" t="s">
        <v>3520</v>
      </c>
      <c r="C312" s="102" t="s">
        <v>3521</v>
      </c>
      <c r="D312" s="64" t="s">
        <v>119</v>
      </c>
      <c r="E312" s="106" t="s">
        <v>3524</v>
      </c>
      <c r="F312" s="120" t="s">
        <v>3840</v>
      </c>
      <c r="G312" s="108">
        <v>4</v>
      </c>
      <c r="H312" s="38" t="s">
        <v>3532</v>
      </c>
      <c r="I312" s="38"/>
      <c r="J312" s="38"/>
      <c r="K312" s="109" t="s">
        <v>3843</v>
      </c>
      <c r="L312" s="109"/>
      <c r="M312" s="109"/>
      <c r="N312" s="109"/>
      <c r="O312" s="109"/>
      <c r="P312" s="110">
        <v>3233</v>
      </c>
      <c r="Q312" s="110">
        <v>684</v>
      </c>
      <c r="R312" s="112"/>
      <c r="S312" s="113"/>
      <c r="T312" s="112"/>
      <c r="U312" s="123"/>
      <c r="V312" s="123"/>
      <c r="W312" s="123"/>
      <c r="X312" s="123"/>
      <c r="Y312" s="123"/>
      <c r="Z312" s="124"/>
      <c r="AA312" s="123"/>
      <c r="AB312" s="123"/>
      <c r="AC312" s="123"/>
      <c r="AD312" s="123"/>
      <c r="AE312" s="123"/>
      <c r="AF312" s="123"/>
      <c r="AG312" s="23"/>
      <c r="AH312" s="24"/>
      <c r="AI312" s="25"/>
      <c r="AJ312" s="25"/>
    </row>
    <row r="313" spans="1:36" x14ac:dyDescent="0.3">
      <c r="A313" s="63">
        <v>307</v>
      </c>
      <c r="B313" s="102" t="s">
        <v>3520</v>
      </c>
      <c r="C313" s="102" t="s">
        <v>3521</v>
      </c>
      <c r="D313" s="64" t="s">
        <v>119</v>
      </c>
      <c r="E313" s="106" t="s">
        <v>3524</v>
      </c>
      <c r="F313" s="120" t="s">
        <v>3840</v>
      </c>
      <c r="G313" s="108">
        <v>5</v>
      </c>
      <c r="H313" s="38" t="s">
        <v>3532</v>
      </c>
      <c r="I313" s="38"/>
      <c r="J313" s="38"/>
      <c r="K313" s="109" t="s">
        <v>3637</v>
      </c>
      <c r="L313" s="109"/>
      <c r="M313" s="109"/>
      <c r="N313" s="109"/>
      <c r="O313" s="109"/>
      <c r="P313" s="110">
        <v>2325</v>
      </c>
      <c r="Q313" s="121">
        <v>483</v>
      </c>
      <c r="R313" s="112"/>
      <c r="S313" s="113"/>
      <c r="T313" s="112"/>
      <c r="U313" s="123"/>
      <c r="V313" s="123"/>
      <c r="W313" s="123"/>
      <c r="X313" s="123"/>
      <c r="Y313" s="123"/>
      <c r="Z313" s="124"/>
      <c r="AA313" s="123"/>
      <c r="AB313" s="123"/>
      <c r="AC313" s="123"/>
      <c r="AD313" s="123"/>
      <c r="AE313" s="123"/>
      <c r="AF313" s="123"/>
      <c r="AG313" s="17"/>
      <c r="AH313" s="24"/>
      <c r="AI313" s="25"/>
      <c r="AJ313" s="25"/>
    </row>
    <row r="314" spans="1:36" x14ac:dyDescent="0.3">
      <c r="A314" s="63">
        <v>308</v>
      </c>
      <c r="B314" s="102" t="s">
        <v>3520</v>
      </c>
      <c r="C314" s="102" t="s">
        <v>3521</v>
      </c>
      <c r="D314" s="64" t="s">
        <v>119</v>
      </c>
      <c r="E314" s="106" t="s">
        <v>3524</v>
      </c>
      <c r="F314" s="120" t="s">
        <v>3840</v>
      </c>
      <c r="G314" s="108">
        <v>6</v>
      </c>
      <c r="H314" s="38" t="s">
        <v>3844</v>
      </c>
      <c r="I314" s="38"/>
      <c r="J314" s="38"/>
      <c r="K314" s="109" t="s">
        <v>3845</v>
      </c>
      <c r="L314" s="109"/>
      <c r="M314" s="109"/>
      <c r="N314" s="109"/>
      <c r="O314" s="109"/>
      <c r="P314" s="110">
        <v>3344</v>
      </c>
      <c r="Q314" s="121">
        <v>579</v>
      </c>
      <c r="R314" s="112"/>
      <c r="S314" s="113"/>
      <c r="T314" s="112"/>
      <c r="U314" s="123"/>
      <c r="V314" s="123"/>
      <c r="W314" s="123"/>
      <c r="X314" s="123"/>
      <c r="Y314" s="123"/>
      <c r="Z314" s="124"/>
      <c r="AA314" s="123"/>
      <c r="AB314" s="123"/>
      <c r="AC314" s="123"/>
      <c r="AD314" s="123"/>
      <c r="AE314" s="123"/>
      <c r="AF314" s="123"/>
      <c r="AG314" s="17"/>
      <c r="AH314" s="24"/>
      <c r="AI314" s="25"/>
      <c r="AJ314" s="25"/>
    </row>
    <row r="315" spans="1:36" x14ac:dyDescent="0.3">
      <c r="A315" s="63">
        <v>309</v>
      </c>
      <c r="B315" s="102" t="s">
        <v>3520</v>
      </c>
      <c r="C315" s="102" t="s">
        <v>3521</v>
      </c>
      <c r="D315" s="64" t="s">
        <v>119</v>
      </c>
      <c r="E315" s="106" t="s">
        <v>3524</v>
      </c>
      <c r="F315" s="120" t="s">
        <v>3840</v>
      </c>
      <c r="G315" s="108">
        <v>7</v>
      </c>
      <c r="H315" s="38" t="s">
        <v>3844</v>
      </c>
      <c r="I315" s="38"/>
      <c r="J315" s="38"/>
      <c r="K315" s="109" t="s">
        <v>3846</v>
      </c>
      <c r="L315" s="109"/>
      <c r="M315" s="109"/>
      <c r="N315" s="109"/>
      <c r="O315" s="109"/>
      <c r="P315" s="110">
        <v>4341</v>
      </c>
      <c r="Q315" s="121">
        <v>824</v>
      </c>
      <c r="R315" s="112"/>
      <c r="S315" s="113"/>
      <c r="T315" s="112"/>
      <c r="U315" s="123"/>
      <c r="V315" s="123"/>
      <c r="W315" s="123"/>
      <c r="X315" s="123"/>
      <c r="Y315" s="123"/>
      <c r="Z315" s="124"/>
      <c r="AA315" s="123"/>
      <c r="AB315" s="123"/>
      <c r="AC315" s="123"/>
      <c r="AD315" s="123"/>
      <c r="AE315" s="123"/>
      <c r="AF315" s="123"/>
      <c r="AG315" s="17"/>
      <c r="AH315" s="24"/>
      <c r="AI315" s="25"/>
      <c r="AJ315" s="25"/>
    </row>
    <row r="316" spans="1:36" x14ac:dyDescent="0.3">
      <c r="A316" s="63">
        <v>310</v>
      </c>
      <c r="B316" s="102" t="s">
        <v>3520</v>
      </c>
      <c r="C316" s="102" t="s">
        <v>3521</v>
      </c>
      <c r="D316" s="64" t="s">
        <v>119</v>
      </c>
      <c r="E316" s="106" t="s">
        <v>3524</v>
      </c>
      <c r="F316" s="120" t="s">
        <v>3840</v>
      </c>
      <c r="G316" s="108">
        <v>8</v>
      </c>
      <c r="H316" s="38" t="s">
        <v>3844</v>
      </c>
      <c r="I316" s="38"/>
      <c r="J316" s="38"/>
      <c r="K316" s="109" t="s">
        <v>3847</v>
      </c>
      <c r="L316" s="109"/>
      <c r="M316" s="109"/>
      <c r="N316" s="109"/>
      <c r="O316" s="109"/>
      <c r="P316" s="110">
        <v>2733</v>
      </c>
      <c r="Q316" s="110">
        <v>612</v>
      </c>
      <c r="R316" s="112"/>
      <c r="S316" s="113">
        <v>39</v>
      </c>
      <c r="T316" s="112"/>
      <c r="U316" s="123"/>
      <c r="V316" s="123"/>
      <c r="W316" s="123"/>
      <c r="X316" s="123"/>
      <c r="Y316" s="123"/>
      <c r="Z316" s="124"/>
      <c r="AA316" s="123"/>
      <c r="AB316" s="123"/>
      <c r="AC316" s="123"/>
      <c r="AD316" s="123"/>
      <c r="AE316" s="123"/>
      <c r="AF316" s="123"/>
      <c r="AG316" s="17"/>
      <c r="AH316" s="24"/>
      <c r="AI316" s="25"/>
      <c r="AJ316" s="25"/>
    </row>
    <row r="317" spans="1:36" x14ac:dyDescent="0.3">
      <c r="A317" s="63">
        <v>311</v>
      </c>
      <c r="B317" s="102" t="s">
        <v>3520</v>
      </c>
      <c r="C317" s="102" t="s">
        <v>3521</v>
      </c>
      <c r="D317" s="64" t="s">
        <v>119</v>
      </c>
      <c r="E317" s="106" t="s">
        <v>3524</v>
      </c>
      <c r="F317" s="120" t="s">
        <v>3840</v>
      </c>
      <c r="G317" s="108">
        <v>9</v>
      </c>
      <c r="H317" s="38" t="s">
        <v>3844</v>
      </c>
      <c r="I317" s="38"/>
      <c r="J317" s="38"/>
      <c r="K317" s="109" t="s">
        <v>3848</v>
      </c>
      <c r="L317" s="109"/>
      <c r="M317" s="109"/>
      <c r="N317" s="109"/>
      <c r="O317" s="109"/>
      <c r="P317" s="110">
        <v>3403</v>
      </c>
      <c r="Q317" s="121">
        <v>628</v>
      </c>
      <c r="R317" s="112"/>
      <c r="S317" s="113"/>
      <c r="T317" s="112"/>
      <c r="U317" s="123"/>
      <c r="V317" s="123"/>
      <c r="W317" s="123"/>
      <c r="X317" s="123"/>
      <c r="Y317" s="123"/>
      <c r="Z317" s="124"/>
      <c r="AA317" s="123"/>
      <c r="AB317" s="123"/>
      <c r="AC317" s="123"/>
      <c r="AD317" s="123"/>
      <c r="AE317" s="123"/>
      <c r="AF317" s="123"/>
      <c r="AG317" s="17"/>
      <c r="AH317" s="24"/>
      <c r="AI317" s="25"/>
      <c r="AJ317" s="25"/>
    </row>
    <row r="318" spans="1:36" x14ac:dyDescent="0.3">
      <c r="A318" s="63">
        <v>312</v>
      </c>
      <c r="B318" s="102" t="s">
        <v>3520</v>
      </c>
      <c r="C318" s="102" t="s">
        <v>3521</v>
      </c>
      <c r="D318" s="64" t="s">
        <v>119</v>
      </c>
      <c r="E318" s="106" t="s">
        <v>3524</v>
      </c>
      <c r="F318" s="120" t="s">
        <v>3849</v>
      </c>
      <c r="G318" s="125">
        <v>1</v>
      </c>
      <c r="H318" s="38" t="s">
        <v>3850</v>
      </c>
      <c r="I318" s="38"/>
      <c r="J318" s="38"/>
      <c r="K318" s="109" t="s">
        <v>3851</v>
      </c>
      <c r="L318" s="109"/>
      <c r="M318" s="109"/>
      <c r="N318" s="109"/>
      <c r="O318" s="109"/>
      <c r="P318" s="108">
        <v>637</v>
      </c>
      <c r="Q318" s="108">
        <v>141</v>
      </c>
      <c r="R318" s="112"/>
      <c r="S318" s="113"/>
      <c r="T318" s="112"/>
      <c r="U318" s="123"/>
      <c r="V318" s="123"/>
      <c r="W318" s="123"/>
      <c r="X318" s="123"/>
      <c r="Y318" s="123"/>
      <c r="Z318" s="124"/>
      <c r="AA318" s="123"/>
      <c r="AB318" s="123"/>
      <c r="AC318" s="123"/>
      <c r="AD318" s="123"/>
      <c r="AE318" s="123"/>
      <c r="AF318" s="123"/>
      <c r="AG318" s="17"/>
      <c r="AH318" s="24"/>
      <c r="AI318" s="25"/>
      <c r="AJ318" s="25"/>
    </row>
    <row r="319" spans="1:36" x14ac:dyDescent="0.3">
      <c r="A319" s="63">
        <v>313</v>
      </c>
      <c r="B319" s="102" t="s">
        <v>3520</v>
      </c>
      <c r="C319" s="102" t="s">
        <v>3521</v>
      </c>
      <c r="D319" s="64" t="s">
        <v>119</v>
      </c>
      <c r="E319" s="106" t="s">
        <v>3524</v>
      </c>
      <c r="F319" s="120" t="s">
        <v>3849</v>
      </c>
      <c r="G319" s="125">
        <v>1</v>
      </c>
      <c r="H319" s="38" t="s">
        <v>3850</v>
      </c>
      <c r="I319" s="38"/>
      <c r="J319" s="38"/>
      <c r="K319" s="109" t="s">
        <v>3643</v>
      </c>
      <c r="L319" s="109"/>
      <c r="M319" s="109"/>
      <c r="N319" s="109"/>
      <c r="O319" s="109"/>
      <c r="P319" s="108">
        <v>786</v>
      </c>
      <c r="Q319" s="108">
        <v>185</v>
      </c>
      <c r="R319" s="112"/>
      <c r="S319" s="113"/>
      <c r="T319" s="112"/>
      <c r="U319" s="123"/>
      <c r="V319" s="123"/>
      <c r="W319" s="123"/>
      <c r="X319" s="123"/>
      <c r="Y319" s="123"/>
      <c r="Z319" s="124"/>
      <c r="AA319" s="123"/>
      <c r="AB319" s="123"/>
      <c r="AC319" s="123"/>
      <c r="AD319" s="123"/>
      <c r="AE319" s="123"/>
      <c r="AF319" s="123"/>
      <c r="AG319" s="17"/>
      <c r="AH319" s="24"/>
      <c r="AI319" s="25"/>
      <c r="AJ319" s="25"/>
    </row>
    <row r="320" spans="1:36" x14ac:dyDescent="0.3">
      <c r="A320" s="63">
        <v>314</v>
      </c>
      <c r="B320" s="102" t="s">
        <v>3520</v>
      </c>
      <c r="C320" s="102" t="s">
        <v>3521</v>
      </c>
      <c r="D320" s="64" t="s">
        <v>119</v>
      </c>
      <c r="E320" s="106" t="s">
        <v>3524</v>
      </c>
      <c r="F320" s="120" t="s">
        <v>3849</v>
      </c>
      <c r="G320" s="108">
        <v>2</v>
      </c>
      <c r="H320" s="38" t="s">
        <v>3850</v>
      </c>
      <c r="I320" s="38"/>
      <c r="J320" s="38"/>
      <c r="K320" s="109" t="s">
        <v>3686</v>
      </c>
      <c r="L320" s="109"/>
      <c r="M320" s="109"/>
      <c r="N320" s="109"/>
      <c r="O320" s="109"/>
      <c r="P320" s="108">
        <v>2331</v>
      </c>
      <c r="Q320" s="108">
        <v>495</v>
      </c>
      <c r="R320" s="112"/>
      <c r="S320" s="113"/>
      <c r="T320" s="112"/>
      <c r="U320" s="123"/>
      <c r="V320" s="123"/>
      <c r="W320" s="123"/>
      <c r="X320" s="123"/>
      <c r="Y320" s="123"/>
      <c r="Z320" s="124"/>
      <c r="AA320" s="123"/>
      <c r="AB320" s="123"/>
      <c r="AC320" s="123"/>
      <c r="AD320" s="123"/>
      <c r="AE320" s="123"/>
      <c r="AF320" s="123"/>
      <c r="AG320" s="17"/>
      <c r="AH320" s="24"/>
      <c r="AI320" s="25"/>
      <c r="AJ320" s="25"/>
    </row>
    <row r="321" spans="1:36" x14ac:dyDescent="0.3">
      <c r="A321" s="63">
        <v>315</v>
      </c>
      <c r="B321" s="102" t="s">
        <v>3520</v>
      </c>
      <c r="C321" s="102" t="s">
        <v>3521</v>
      </c>
      <c r="D321" s="64" t="s">
        <v>119</v>
      </c>
      <c r="E321" s="106" t="s">
        <v>3524</v>
      </c>
      <c r="F321" s="120" t="s">
        <v>3849</v>
      </c>
      <c r="G321" s="108">
        <v>3</v>
      </c>
      <c r="H321" s="38" t="s">
        <v>3852</v>
      </c>
      <c r="I321" s="38"/>
      <c r="J321" s="38"/>
      <c r="K321" s="109" t="s">
        <v>3533</v>
      </c>
      <c r="L321" s="109"/>
      <c r="M321" s="109"/>
      <c r="N321" s="109"/>
      <c r="O321" s="109"/>
      <c r="P321" s="110">
        <v>1395</v>
      </c>
      <c r="Q321" s="110">
        <v>285</v>
      </c>
      <c r="R321" s="112"/>
      <c r="S321" s="113"/>
      <c r="T321" s="112"/>
      <c r="U321" s="123"/>
      <c r="V321" s="123"/>
      <c r="W321" s="123"/>
      <c r="X321" s="123"/>
      <c r="Y321" s="123"/>
      <c r="Z321" s="124"/>
      <c r="AA321" s="123"/>
      <c r="AB321" s="123"/>
      <c r="AC321" s="123"/>
      <c r="AD321" s="123"/>
      <c r="AE321" s="123"/>
      <c r="AF321" s="123"/>
      <c r="AG321" s="17"/>
      <c r="AH321" s="24"/>
      <c r="AI321" s="25"/>
      <c r="AJ321" s="25"/>
    </row>
    <row r="322" spans="1:36" x14ac:dyDescent="0.3">
      <c r="A322" s="63">
        <v>316</v>
      </c>
      <c r="B322" s="102" t="s">
        <v>3520</v>
      </c>
      <c r="C322" s="102" t="s">
        <v>3521</v>
      </c>
      <c r="D322" s="64" t="s">
        <v>119</v>
      </c>
      <c r="E322" s="106" t="s">
        <v>3524</v>
      </c>
      <c r="F322" s="120" t="s">
        <v>3849</v>
      </c>
      <c r="G322" s="108">
        <v>4</v>
      </c>
      <c r="H322" s="38" t="s">
        <v>3852</v>
      </c>
      <c r="I322" s="38"/>
      <c r="J322" s="38"/>
      <c r="K322" s="109" t="s">
        <v>3853</v>
      </c>
      <c r="L322" s="109"/>
      <c r="M322" s="109"/>
      <c r="N322" s="109"/>
      <c r="O322" s="109"/>
      <c r="P322" s="110">
        <v>3353</v>
      </c>
      <c r="Q322" s="110">
        <v>711</v>
      </c>
      <c r="R322" s="112"/>
      <c r="S322" s="113">
        <v>58</v>
      </c>
      <c r="T322" s="112"/>
      <c r="U322" s="123"/>
      <c r="V322" s="123"/>
      <c r="W322" s="123"/>
      <c r="X322" s="123"/>
      <c r="Y322" s="123"/>
      <c r="Z322" s="124"/>
      <c r="AA322" s="123"/>
      <c r="AB322" s="123"/>
      <c r="AC322" s="123"/>
      <c r="AD322" s="123"/>
      <c r="AE322" s="123"/>
      <c r="AF322" s="123"/>
      <c r="AG322" s="17"/>
      <c r="AH322" s="24"/>
      <c r="AI322" s="25"/>
      <c r="AJ322" s="25"/>
    </row>
    <row r="323" spans="1:36" x14ac:dyDescent="0.3">
      <c r="A323" s="63">
        <v>317</v>
      </c>
      <c r="B323" s="102" t="s">
        <v>3520</v>
      </c>
      <c r="C323" s="102" t="s">
        <v>3521</v>
      </c>
      <c r="D323" s="64" t="s">
        <v>119</v>
      </c>
      <c r="E323" s="106" t="s">
        <v>3524</v>
      </c>
      <c r="F323" s="120" t="s">
        <v>3849</v>
      </c>
      <c r="G323" s="108">
        <v>5</v>
      </c>
      <c r="H323" s="38" t="s">
        <v>3852</v>
      </c>
      <c r="I323" s="38"/>
      <c r="J323" s="38"/>
      <c r="K323" s="109" t="s">
        <v>3854</v>
      </c>
      <c r="L323" s="109"/>
      <c r="M323" s="109"/>
      <c r="N323" s="109"/>
      <c r="O323" s="109"/>
      <c r="P323" s="110">
        <v>1534</v>
      </c>
      <c r="Q323" s="110">
        <v>357</v>
      </c>
      <c r="R323" s="112"/>
      <c r="S323" s="113"/>
      <c r="T323" s="112"/>
      <c r="U323" s="123"/>
      <c r="V323" s="123"/>
      <c r="W323" s="123"/>
      <c r="X323" s="123"/>
      <c r="Y323" s="123"/>
      <c r="Z323" s="124"/>
      <c r="AA323" s="123"/>
      <c r="AB323" s="123"/>
      <c r="AC323" s="123"/>
      <c r="AD323" s="123"/>
      <c r="AE323" s="123"/>
      <c r="AF323" s="123"/>
      <c r="AG323" s="17"/>
      <c r="AH323" s="24"/>
      <c r="AI323" s="25"/>
      <c r="AJ323" s="25"/>
    </row>
    <row r="324" spans="1:36" x14ac:dyDescent="0.3">
      <c r="A324" s="63">
        <v>318</v>
      </c>
      <c r="B324" s="102" t="s">
        <v>3520</v>
      </c>
      <c r="C324" s="102" t="s">
        <v>3521</v>
      </c>
      <c r="D324" s="64" t="s">
        <v>119</v>
      </c>
      <c r="E324" s="106" t="s">
        <v>3524</v>
      </c>
      <c r="F324" s="120" t="s">
        <v>3849</v>
      </c>
      <c r="G324" s="108">
        <v>6</v>
      </c>
      <c r="H324" s="38" t="s">
        <v>3852</v>
      </c>
      <c r="I324" s="38"/>
      <c r="J324" s="38"/>
      <c r="K324" s="109" t="s">
        <v>3855</v>
      </c>
      <c r="L324" s="109"/>
      <c r="M324" s="109"/>
      <c r="N324" s="109"/>
      <c r="O324" s="109"/>
      <c r="P324" s="110">
        <v>1713</v>
      </c>
      <c r="Q324" s="110">
        <v>367</v>
      </c>
      <c r="R324" s="112"/>
      <c r="S324" s="113"/>
      <c r="T324" s="112"/>
      <c r="U324" s="123"/>
      <c r="V324" s="123"/>
      <c r="W324" s="123"/>
      <c r="X324" s="123"/>
      <c r="Y324" s="123"/>
      <c r="Z324" s="124"/>
      <c r="AA324" s="123"/>
      <c r="AB324" s="123"/>
      <c r="AC324" s="123"/>
      <c r="AD324" s="123"/>
      <c r="AE324" s="123"/>
      <c r="AF324" s="123"/>
      <c r="AG324" s="17"/>
      <c r="AH324" s="24"/>
      <c r="AI324" s="25"/>
      <c r="AJ324" s="25"/>
    </row>
    <row r="325" spans="1:36" x14ac:dyDescent="0.3">
      <c r="A325" s="63">
        <v>319</v>
      </c>
      <c r="B325" s="102" t="s">
        <v>3520</v>
      </c>
      <c r="C325" s="102" t="s">
        <v>3521</v>
      </c>
      <c r="D325" s="64" t="s">
        <v>119</v>
      </c>
      <c r="E325" s="106" t="s">
        <v>3524</v>
      </c>
      <c r="F325" s="120" t="s">
        <v>3849</v>
      </c>
      <c r="G325" s="126">
        <v>7</v>
      </c>
      <c r="H325" s="38" t="s">
        <v>3850</v>
      </c>
      <c r="I325" s="38"/>
      <c r="J325" s="38"/>
      <c r="K325" s="109" t="s">
        <v>3856</v>
      </c>
      <c r="L325" s="109"/>
      <c r="M325" s="109"/>
      <c r="N325" s="109"/>
      <c r="O325" s="109"/>
      <c r="P325" s="110">
        <v>1284</v>
      </c>
      <c r="Q325" s="121">
        <v>251</v>
      </c>
      <c r="R325" s="112"/>
      <c r="S325" s="113"/>
      <c r="T325" s="112"/>
      <c r="U325" s="123"/>
      <c r="V325" s="123"/>
      <c r="W325" s="123"/>
      <c r="X325" s="123"/>
      <c r="Y325" s="123"/>
      <c r="Z325" s="124"/>
      <c r="AA325" s="123"/>
      <c r="AB325" s="123"/>
      <c r="AC325" s="123"/>
      <c r="AD325" s="123"/>
      <c r="AE325" s="123"/>
      <c r="AF325" s="123"/>
      <c r="AG325" s="17"/>
      <c r="AH325" s="24"/>
      <c r="AI325" s="25"/>
      <c r="AJ325" s="25"/>
    </row>
    <row r="326" spans="1:36" x14ac:dyDescent="0.3">
      <c r="A326" s="63">
        <v>320</v>
      </c>
      <c r="B326" s="102" t="s">
        <v>3520</v>
      </c>
      <c r="C326" s="102" t="s">
        <v>3521</v>
      </c>
      <c r="D326" s="64" t="s">
        <v>119</v>
      </c>
      <c r="E326" s="106" t="s">
        <v>3524</v>
      </c>
      <c r="F326" s="120" t="s">
        <v>3849</v>
      </c>
      <c r="G326" s="126">
        <v>7</v>
      </c>
      <c r="H326" s="38" t="s">
        <v>3850</v>
      </c>
      <c r="I326" s="38"/>
      <c r="J326" s="38"/>
      <c r="K326" s="109" t="s">
        <v>3857</v>
      </c>
      <c r="L326" s="109"/>
      <c r="M326" s="109"/>
      <c r="N326" s="109"/>
      <c r="O326" s="109"/>
      <c r="P326" s="121">
        <v>1585</v>
      </c>
      <c r="Q326" s="121">
        <v>319</v>
      </c>
      <c r="R326" s="112"/>
      <c r="S326" s="113"/>
      <c r="T326" s="112"/>
      <c r="U326" s="123"/>
      <c r="V326" s="123"/>
      <c r="W326" s="123"/>
      <c r="X326" s="123"/>
      <c r="Y326" s="123"/>
      <c r="Z326" s="124"/>
      <c r="AA326" s="123"/>
      <c r="AB326" s="123"/>
      <c r="AC326" s="123"/>
      <c r="AD326" s="123"/>
      <c r="AE326" s="123"/>
      <c r="AF326" s="123"/>
      <c r="AG326" s="23"/>
      <c r="AH326" s="24"/>
      <c r="AI326" s="25"/>
      <c r="AJ326" s="25"/>
    </row>
    <row r="327" spans="1:36" x14ac:dyDescent="0.3">
      <c r="A327" s="63">
        <v>321</v>
      </c>
      <c r="B327" s="102" t="s">
        <v>3520</v>
      </c>
      <c r="C327" s="102" t="s">
        <v>3521</v>
      </c>
      <c r="D327" s="64" t="s">
        <v>119</v>
      </c>
      <c r="E327" s="106" t="s">
        <v>3524</v>
      </c>
      <c r="F327" s="120" t="s">
        <v>3849</v>
      </c>
      <c r="G327" s="108">
        <v>8</v>
      </c>
      <c r="H327" s="38" t="s">
        <v>3850</v>
      </c>
      <c r="I327" s="38"/>
      <c r="J327" s="38"/>
      <c r="K327" s="109" t="s">
        <v>3858</v>
      </c>
      <c r="L327" s="109"/>
      <c r="M327" s="109"/>
      <c r="N327" s="109"/>
      <c r="O327" s="109"/>
      <c r="P327" s="110">
        <v>1680</v>
      </c>
      <c r="Q327" s="121">
        <v>342</v>
      </c>
      <c r="R327" s="112"/>
      <c r="S327" s="113"/>
      <c r="T327" s="112"/>
      <c r="U327" s="123"/>
      <c r="V327" s="123"/>
      <c r="W327" s="123"/>
      <c r="X327" s="123"/>
      <c r="Y327" s="123"/>
      <c r="Z327" s="124"/>
      <c r="AA327" s="123"/>
      <c r="AB327" s="123"/>
      <c r="AC327" s="123"/>
      <c r="AD327" s="123"/>
      <c r="AE327" s="123"/>
      <c r="AF327" s="123"/>
      <c r="AG327" s="17"/>
      <c r="AH327" s="24"/>
      <c r="AI327" s="25"/>
      <c r="AJ327" s="25"/>
    </row>
    <row r="328" spans="1:36" x14ac:dyDescent="0.3">
      <c r="A328" s="63">
        <v>322</v>
      </c>
      <c r="B328" s="102" t="s">
        <v>3520</v>
      </c>
      <c r="C328" s="102" t="s">
        <v>3521</v>
      </c>
      <c r="D328" s="64" t="s">
        <v>119</v>
      </c>
      <c r="E328" s="106" t="s">
        <v>3524</v>
      </c>
      <c r="F328" s="120" t="s">
        <v>3849</v>
      </c>
      <c r="G328" s="108">
        <v>9</v>
      </c>
      <c r="H328" s="38" t="s">
        <v>3850</v>
      </c>
      <c r="I328" s="38"/>
      <c r="J328" s="38"/>
      <c r="K328" s="109" t="s">
        <v>3627</v>
      </c>
      <c r="L328" s="109"/>
      <c r="M328" s="109"/>
      <c r="N328" s="109"/>
      <c r="O328" s="109"/>
      <c r="P328" s="110">
        <v>1194</v>
      </c>
      <c r="Q328" s="121">
        <v>247</v>
      </c>
      <c r="R328" s="112"/>
      <c r="S328" s="113"/>
      <c r="T328" s="112"/>
      <c r="U328" s="123"/>
      <c r="V328" s="123"/>
      <c r="W328" s="123"/>
      <c r="X328" s="123"/>
      <c r="Y328" s="123"/>
      <c r="Z328" s="124"/>
      <c r="AA328" s="123"/>
      <c r="AB328" s="123"/>
      <c r="AC328" s="123"/>
      <c r="AD328" s="123"/>
      <c r="AE328" s="123"/>
      <c r="AF328" s="123"/>
      <c r="AG328" s="17"/>
      <c r="AH328" s="24"/>
      <c r="AI328" s="25"/>
      <c r="AJ328" s="25"/>
    </row>
    <row r="329" spans="1:36" x14ac:dyDescent="0.3">
      <c r="A329" s="63">
        <v>323</v>
      </c>
      <c r="B329" s="102" t="s">
        <v>3520</v>
      </c>
      <c r="C329" s="102" t="s">
        <v>3521</v>
      </c>
      <c r="D329" s="64" t="s">
        <v>119</v>
      </c>
      <c r="E329" s="106" t="s">
        <v>3524</v>
      </c>
      <c r="F329" s="120" t="s">
        <v>3859</v>
      </c>
      <c r="G329" s="108">
        <v>1</v>
      </c>
      <c r="H329" s="38" t="s">
        <v>3860</v>
      </c>
      <c r="I329" s="38"/>
      <c r="J329" s="38"/>
      <c r="K329" s="109" t="s">
        <v>3861</v>
      </c>
      <c r="L329" s="109"/>
      <c r="M329" s="109"/>
      <c r="N329" s="109"/>
      <c r="O329" s="109"/>
      <c r="P329" s="108">
        <v>1836</v>
      </c>
      <c r="Q329" s="108">
        <v>468</v>
      </c>
      <c r="R329" s="112"/>
      <c r="S329" s="113">
        <v>58</v>
      </c>
      <c r="T329" s="112"/>
      <c r="U329" s="123"/>
      <c r="V329" s="123"/>
      <c r="W329" s="123"/>
      <c r="X329" s="123"/>
      <c r="Y329" s="123"/>
      <c r="Z329" s="124"/>
      <c r="AA329" s="123"/>
      <c r="AB329" s="123"/>
      <c r="AC329" s="123"/>
      <c r="AD329" s="123"/>
      <c r="AE329" s="123"/>
      <c r="AF329" s="123"/>
      <c r="AG329" s="17"/>
      <c r="AH329" s="24"/>
      <c r="AI329" s="25"/>
      <c r="AJ329" s="25"/>
    </row>
    <row r="330" spans="1:36" x14ac:dyDescent="0.3">
      <c r="A330" s="63">
        <v>324</v>
      </c>
      <c r="B330" s="102" t="s">
        <v>3520</v>
      </c>
      <c r="C330" s="102" t="s">
        <v>3521</v>
      </c>
      <c r="D330" s="64" t="s">
        <v>119</v>
      </c>
      <c r="E330" s="106" t="s">
        <v>3524</v>
      </c>
      <c r="F330" s="120" t="s">
        <v>3859</v>
      </c>
      <c r="G330" s="108">
        <v>2</v>
      </c>
      <c r="H330" s="38" t="s">
        <v>3860</v>
      </c>
      <c r="I330" s="38"/>
      <c r="J330" s="38"/>
      <c r="K330" s="109" t="s">
        <v>3862</v>
      </c>
      <c r="L330" s="109"/>
      <c r="M330" s="109"/>
      <c r="N330" s="109"/>
      <c r="O330" s="109"/>
      <c r="P330" s="108">
        <v>1536</v>
      </c>
      <c r="Q330" s="108">
        <v>332</v>
      </c>
      <c r="R330" s="112"/>
      <c r="S330" s="113"/>
      <c r="T330" s="112"/>
      <c r="U330" s="123"/>
      <c r="V330" s="123"/>
      <c r="W330" s="123"/>
      <c r="X330" s="123"/>
      <c r="Y330" s="123"/>
      <c r="Z330" s="124"/>
      <c r="AA330" s="123"/>
      <c r="AB330" s="123"/>
      <c r="AC330" s="123"/>
      <c r="AD330" s="123"/>
      <c r="AE330" s="123"/>
      <c r="AF330" s="123"/>
      <c r="AG330" s="17"/>
      <c r="AH330" s="24"/>
      <c r="AI330" s="25"/>
      <c r="AJ330" s="25"/>
    </row>
    <row r="331" spans="1:36" x14ac:dyDescent="0.3">
      <c r="A331" s="63">
        <v>325</v>
      </c>
      <c r="B331" s="102" t="s">
        <v>3520</v>
      </c>
      <c r="C331" s="102" t="s">
        <v>3521</v>
      </c>
      <c r="D331" s="64" t="s">
        <v>119</v>
      </c>
      <c r="E331" s="106" t="s">
        <v>3524</v>
      </c>
      <c r="F331" s="120" t="s">
        <v>3859</v>
      </c>
      <c r="G331" s="108">
        <v>3</v>
      </c>
      <c r="H331" s="38" t="s">
        <v>3860</v>
      </c>
      <c r="I331" s="38"/>
      <c r="J331" s="38"/>
      <c r="K331" s="109" t="s">
        <v>3863</v>
      </c>
      <c r="L331" s="109"/>
      <c r="M331" s="109"/>
      <c r="N331" s="109"/>
      <c r="O331" s="109"/>
      <c r="P331" s="111">
        <v>615</v>
      </c>
      <c r="Q331" s="121">
        <v>109</v>
      </c>
      <c r="R331" s="112"/>
      <c r="S331" s="113"/>
      <c r="T331" s="112"/>
      <c r="U331" s="123"/>
      <c r="V331" s="123"/>
      <c r="W331" s="123"/>
      <c r="X331" s="123"/>
      <c r="Y331" s="123"/>
      <c r="Z331" s="124"/>
      <c r="AA331" s="123"/>
      <c r="AB331" s="123"/>
      <c r="AC331" s="123"/>
      <c r="AD331" s="123"/>
      <c r="AE331" s="123"/>
      <c r="AF331" s="123"/>
      <c r="AG331" s="17"/>
      <c r="AH331" s="24"/>
      <c r="AI331" s="25"/>
      <c r="AJ331" s="25"/>
    </row>
    <row r="332" spans="1:36" x14ac:dyDescent="0.3">
      <c r="A332" s="63">
        <v>326</v>
      </c>
      <c r="B332" s="102" t="s">
        <v>3520</v>
      </c>
      <c r="C332" s="102" t="s">
        <v>3521</v>
      </c>
      <c r="D332" s="64" t="s">
        <v>119</v>
      </c>
      <c r="E332" s="106" t="s">
        <v>3524</v>
      </c>
      <c r="F332" s="120" t="s">
        <v>3859</v>
      </c>
      <c r="G332" s="108">
        <v>4</v>
      </c>
      <c r="H332" s="38" t="s">
        <v>3860</v>
      </c>
      <c r="I332" s="38"/>
      <c r="J332" s="38"/>
      <c r="K332" s="109" t="s">
        <v>3864</v>
      </c>
      <c r="L332" s="109"/>
      <c r="M332" s="109"/>
      <c r="N332" s="109"/>
      <c r="O332" s="109"/>
      <c r="P332" s="108">
        <v>1309</v>
      </c>
      <c r="Q332" s="108">
        <v>286</v>
      </c>
      <c r="R332" s="112"/>
      <c r="S332" s="113"/>
      <c r="T332" s="112"/>
      <c r="U332" s="123"/>
      <c r="V332" s="123"/>
      <c r="W332" s="123"/>
      <c r="X332" s="123"/>
      <c r="Y332" s="123"/>
      <c r="Z332" s="124"/>
      <c r="AA332" s="123"/>
      <c r="AB332" s="123"/>
      <c r="AC332" s="123"/>
      <c r="AD332" s="123"/>
      <c r="AE332" s="123"/>
      <c r="AF332" s="123"/>
      <c r="AG332" s="17"/>
      <c r="AH332" s="24"/>
      <c r="AI332" s="25"/>
      <c r="AJ332" s="25"/>
    </row>
    <row r="333" spans="1:36" x14ac:dyDescent="0.3">
      <c r="A333" s="63">
        <v>327</v>
      </c>
      <c r="B333" s="102" t="s">
        <v>3520</v>
      </c>
      <c r="C333" s="102" t="s">
        <v>3521</v>
      </c>
      <c r="D333" s="64" t="s">
        <v>119</v>
      </c>
      <c r="E333" s="106" t="s">
        <v>3524</v>
      </c>
      <c r="F333" s="120" t="s">
        <v>3859</v>
      </c>
      <c r="G333" s="108">
        <v>5</v>
      </c>
      <c r="H333" s="38" t="s">
        <v>3860</v>
      </c>
      <c r="I333" s="38"/>
      <c r="J333" s="38"/>
      <c r="K333" s="109" t="s">
        <v>3865</v>
      </c>
      <c r="L333" s="109"/>
      <c r="M333" s="109"/>
      <c r="N333" s="109"/>
      <c r="O333" s="109"/>
      <c r="P333" s="108">
        <v>1492</v>
      </c>
      <c r="Q333" s="121">
        <v>295</v>
      </c>
      <c r="R333" s="112"/>
      <c r="S333" s="113"/>
      <c r="T333" s="112"/>
      <c r="U333" s="123"/>
      <c r="V333" s="123"/>
      <c r="W333" s="123"/>
      <c r="X333" s="123"/>
      <c r="Y333" s="123"/>
      <c r="Z333" s="124"/>
      <c r="AA333" s="123"/>
      <c r="AB333" s="123"/>
      <c r="AC333" s="123"/>
      <c r="AD333" s="123"/>
      <c r="AE333" s="123"/>
      <c r="AF333" s="123"/>
      <c r="AG333" s="17"/>
      <c r="AH333" s="24"/>
      <c r="AI333" s="25"/>
      <c r="AJ333" s="25"/>
    </row>
    <row r="334" spans="1:36" x14ac:dyDescent="0.3">
      <c r="A334" s="63">
        <v>328</v>
      </c>
      <c r="B334" s="102" t="s">
        <v>3520</v>
      </c>
      <c r="C334" s="102" t="s">
        <v>3521</v>
      </c>
      <c r="D334" s="64" t="s">
        <v>119</v>
      </c>
      <c r="E334" s="106" t="s">
        <v>3524</v>
      </c>
      <c r="F334" s="120" t="s">
        <v>3859</v>
      </c>
      <c r="G334" s="108">
        <v>6</v>
      </c>
      <c r="H334" s="38" t="s">
        <v>3860</v>
      </c>
      <c r="I334" s="38"/>
      <c r="J334" s="38"/>
      <c r="K334" s="109" t="s">
        <v>3866</v>
      </c>
      <c r="L334" s="109"/>
      <c r="M334" s="109"/>
      <c r="N334" s="109"/>
      <c r="O334" s="109"/>
      <c r="P334" s="108">
        <v>1618</v>
      </c>
      <c r="Q334" s="121">
        <v>306</v>
      </c>
      <c r="R334" s="112"/>
      <c r="S334" s="113"/>
      <c r="T334" s="112"/>
      <c r="U334" s="123"/>
      <c r="V334" s="123"/>
      <c r="W334" s="123"/>
      <c r="X334" s="123"/>
      <c r="Y334" s="123"/>
      <c r="Z334" s="124"/>
      <c r="AA334" s="123"/>
      <c r="AB334" s="123"/>
      <c r="AC334" s="123"/>
      <c r="AD334" s="123"/>
      <c r="AE334" s="123"/>
      <c r="AF334" s="123"/>
      <c r="AG334" s="17"/>
      <c r="AH334" s="24"/>
      <c r="AI334" s="25"/>
      <c r="AJ334" s="25"/>
    </row>
    <row r="335" spans="1:36" x14ac:dyDescent="0.3">
      <c r="A335" s="63">
        <v>329</v>
      </c>
      <c r="B335" s="102" t="s">
        <v>3520</v>
      </c>
      <c r="C335" s="102" t="s">
        <v>3521</v>
      </c>
      <c r="D335" s="64" t="s">
        <v>119</v>
      </c>
      <c r="E335" s="106" t="s">
        <v>3524</v>
      </c>
      <c r="F335" s="120" t="s">
        <v>3859</v>
      </c>
      <c r="G335" s="108">
        <v>7</v>
      </c>
      <c r="H335" s="38" t="s">
        <v>3860</v>
      </c>
      <c r="I335" s="38"/>
      <c r="J335" s="38"/>
      <c r="K335" s="109" t="s">
        <v>3867</v>
      </c>
      <c r="L335" s="109"/>
      <c r="M335" s="109"/>
      <c r="N335" s="109"/>
      <c r="O335" s="109"/>
      <c r="P335" s="108">
        <v>1387</v>
      </c>
      <c r="Q335" s="108">
        <v>307</v>
      </c>
      <c r="R335" s="112"/>
      <c r="S335" s="113"/>
      <c r="T335" s="112"/>
      <c r="U335" s="123"/>
      <c r="V335" s="123"/>
      <c r="W335" s="123"/>
      <c r="X335" s="123"/>
      <c r="Y335" s="123"/>
      <c r="Z335" s="124"/>
      <c r="AA335" s="123"/>
      <c r="AB335" s="123"/>
      <c r="AC335" s="123"/>
      <c r="AD335" s="123"/>
      <c r="AE335" s="123"/>
      <c r="AF335" s="123"/>
      <c r="AG335" s="17"/>
      <c r="AH335" s="24"/>
      <c r="AI335" s="25"/>
      <c r="AJ335" s="25"/>
    </row>
    <row r="336" spans="1:36" x14ac:dyDescent="0.3">
      <c r="A336" s="63">
        <v>330</v>
      </c>
      <c r="B336" s="102" t="s">
        <v>3520</v>
      </c>
      <c r="C336" s="102" t="s">
        <v>3521</v>
      </c>
      <c r="D336" s="64" t="s">
        <v>119</v>
      </c>
      <c r="E336" s="106" t="s">
        <v>3524</v>
      </c>
      <c r="F336" s="120" t="s">
        <v>3859</v>
      </c>
      <c r="G336" s="108">
        <v>8</v>
      </c>
      <c r="H336" s="38" t="s">
        <v>3860</v>
      </c>
      <c r="I336" s="38"/>
      <c r="J336" s="38"/>
      <c r="K336" s="109" t="s">
        <v>3868</v>
      </c>
      <c r="L336" s="109"/>
      <c r="M336" s="109"/>
      <c r="N336" s="109"/>
      <c r="O336" s="109"/>
      <c r="P336" s="108">
        <v>1486</v>
      </c>
      <c r="Q336" s="121">
        <v>297</v>
      </c>
      <c r="R336" s="112"/>
      <c r="S336" s="113"/>
      <c r="T336" s="112"/>
      <c r="U336" s="123"/>
      <c r="V336" s="123"/>
      <c r="W336" s="123"/>
      <c r="X336" s="123"/>
      <c r="Y336" s="123"/>
      <c r="Z336" s="124"/>
      <c r="AA336" s="123"/>
      <c r="AB336" s="123"/>
      <c r="AC336" s="123"/>
      <c r="AD336" s="123"/>
      <c r="AE336" s="123"/>
      <c r="AF336" s="123"/>
      <c r="AG336" s="17"/>
      <c r="AH336" s="24"/>
      <c r="AI336" s="25"/>
      <c r="AJ336" s="25"/>
    </row>
    <row r="337" spans="1:36" x14ac:dyDescent="0.3">
      <c r="A337" s="63">
        <v>331</v>
      </c>
      <c r="B337" s="102" t="s">
        <v>3520</v>
      </c>
      <c r="C337" s="102" t="s">
        <v>3521</v>
      </c>
      <c r="D337" s="64" t="s">
        <v>119</v>
      </c>
      <c r="E337" s="106" t="s">
        <v>3524</v>
      </c>
      <c r="F337" s="120" t="s">
        <v>3859</v>
      </c>
      <c r="G337" s="108">
        <v>9</v>
      </c>
      <c r="H337" s="38" t="s">
        <v>3860</v>
      </c>
      <c r="I337" s="38"/>
      <c r="J337" s="38"/>
      <c r="K337" s="109" t="s">
        <v>3869</v>
      </c>
      <c r="L337" s="109"/>
      <c r="M337" s="109"/>
      <c r="N337" s="109"/>
      <c r="O337" s="109"/>
      <c r="P337" s="108">
        <v>1788</v>
      </c>
      <c r="Q337" s="108">
        <v>331</v>
      </c>
      <c r="R337" s="112"/>
      <c r="S337" s="113"/>
      <c r="T337" s="112"/>
      <c r="U337" s="123"/>
      <c r="V337" s="123"/>
      <c r="W337" s="123"/>
      <c r="X337" s="123"/>
      <c r="Y337" s="123"/>
      <c r="Z337" s="124"/>
      <c r="AA337" s="123"/>
      <c r="AB337" s="123"/>
      <c r="AC337" s="123"/>
      <c r="AD337" s="123"/>
      <c r="AE337" s="123"/>
      <c r="AF337" s="123"/>
      <c r="AG337" s="17"/>
      <c r="AH337" s="24"/>
      <c r="AI337" s="25"/>
      <c r="AJ337" s="25"/>
    </row>
    <row r="338" spans="1:36" x14ac:dyDescent="0.3">
      <c r="A338" s="63">
        <v>332</v>
      </c>
      <c r="B338" s="102" t="s">
        <v>3520</v>
      </c>
      <c r="C338" s="102" t="s">
        <v>3521</v>
      </c>
      <c r="D338" s="64" t="s">
        <v>119</v>
      </c>
      <c r="E338" s="106" t="s">
        <v>3524</v>
      </c>
      <c r="F338" s="120" t="s">
        <v>3870</v>
      </c>
      <c r="G338" s="108">
        <v>1</v>
      </c>
      <c r="H338" s="38" t="s">
        <v>3871</v>
      </c>
      <c r="I338" s="38"/>
      <c r="J338" s="38"/>
      <c r="K338" s="109" t="s">
        <v>3719</v>
      </c>
      <c r="L338" s="109"/>
      <c r="M338" s="109"/>
      <c r="N338" s="109"/>
      <c r="O338" s="109"/>
      <c r="P338" s="121">
        <v>1735</v>
      </c>
      <c r="Q338" s="121">
        <v>377</v>
      </c>
      <c r="R338" s="112"/>
      <c r="S338" s="113"/>
      <c r="T338" s="112"/>
      <c r="U338" s="123"/>
      <c r="V338" s="123"/>
      <c r="W338" s="123"/>
      <c r="X338" s="123"/>
      <c r="Y338" s="123"/>
      <c r="Z338" s="124"/>
      <c r="AA338" s="123"/>
      <c r="AB338" s="123"/>
      <c r="AC338" s="123"/>
      <c r="AD338" s="123"/>
      <c r="AE338" s="123"/>
      <c r="AF338" s="123"/>
      <c r="AG338" s="17"/>
      <c r="AH338" s="24"/>
      <c r="AI338" s="25"/>
      <c r="AJ338" s="25"/>
    </row>
    <row r="339" spans="1:36" x14ac:dyDescent="0.3">
      <c r="A339" s="63">
        <v>333</v>
      </c>
      <c r="B339" s="102" t="s">
        <v>3520</v>
      </c>
      <c r="C339" s="102" t="s">
        <v>3521</v>
      </c>
      <c r="D339" s="64" t="s">
        <v>119</v>
      </c>
      <c r="E339" s="106" t="s">
        <v>3524</v>
      </c>
      <c r="F339" s="120" t="s">
        <v>3870</v>
      </c>
      <c r="G339" s="108">
        <v>1</v>
      </c>
      <c r="H339" s="38" t="s">
        <v>3871</v>
      </c>
      <c r="I339" s="38"/>
      <c r="J339" s="38"/>
      <c r="K339" s="109" t="s">
        <v>3872</v>
      </c>
      <c r="L339" s="109"/>
      <c r="M339" s="109"/>
      <c r="N339" s="109"/>
      <c r="O339" s="109"/>
      <c r="P339" s="108">
        <v>3128</v>
      </c>
      <c r="Q339" s="108">
        <v>667</v>
      </c>
      <c r="R339" s="112"/>
      <c r="S339" s="113"/>
      <c r="T339" s="112"/>
      <c r="U339" s="123"/>
      <c r="V339" s="123"/>
      <c r="W339" s="123"/>
      <c r="X339" s="123"/>
      <c r="Y339" s="123"/>
      <c r="Z339" s="124"/>
      <c r="AA339" s="123"/>
      <c r="AB339" s="123"/>
      <c r="AC339" s="123"/>
      <c r="AD339" s="123"/>
      <c r="AE339" s="123"/>
      <c r="AF339" s="123"/>
      <c r="AG339" s="17"/>
      <c r="AH339" s="24"/>
      <c r="AI339" s="25"/>
      <c r="AJ339" s="25"/>
    </row>
    <row r="340" spans="1:36" x14ac:dyDescent="0.3">
      <c r="A340" s="63">
        <v>334</v>
      </c>
      <c r="B340" s="102" t="s">
        <v>3520</v>
      </c>
      <c r="C340" s="102" t="s">
        <v>3521</v>
      </c>
      <c r="D340" s="64" t="s">
        <v>119</v>
      </c>
      <c r="E340" s="106" t="s">
        <v>3524</v>
      </c>
      <c r="F340" s="120" t="s">
        <v>3870</v>
      </c>
      <c r="G340" s="108">
        <v>2</v>
      </c>
      <c r="H340" s="38" t="s">
        <v>3871</v>
      </c>
      <c r="I340" s="38"/>
      <c r="J340" s="38"/>
      <c r="K340" s="109" t="s">
        <v>3643</v>
      </c>
      <c r="L340" s="109"/>
      <c r="M340" s="109"/>
      <c r="N340" s="109"/>
      <c r="O340" s="109"/>
      <c r="P340" s="108">
        <v>2900</v>
      </c>
      <c r="Q340" s="108">
        <v>536</v>
      </c>
      <c r="R340" s="112"/>
      <c r="S340" s="113">
        <v>54</v>
      </c>
      <c r="T340" s="112"/>
      <c r="U340" s="123"/>
      <c r="V340" s="123"/>
      <c r="W340" s="123"/>
      <c r="X340" s="123"/>
      <c r="Y340" s="123"/>
      <c r="Z340" s="124"/>
      <c r="AA340" s="123"/>
      <c r="AB340" s="123"/>
      <c r="AC340" s="123"/>
      <c r="AD340" s="123"/>
      <c r="AE340" s="123"/>
      <c r="AF340" s="123"/>
      <c r="AG340" s="17"/>
      <c r="AH340" s="24"/>
      <c r="AI340" s="25"/>
      <c r="AJ340" s="25"/>
    </row>
    <row r="341" spans="1:36" x14ac:dyDescent="0.3">
      <c r="A341" s="63">
        <v>335</v>
      </c>
      <c r="B341" s="102" t="s">
        <v>3520</v>
      </c>
      <c r="C341" s="102" t="s">
        <v>3521</v>
      </c>
      <c r="D341" s="64" t="s">
        <v>119</v>
      </c>
      <c r="E341" s="106" t="s">
        <v>3524</v>
      </c>
      <c r="F341" s="120" t="s">
        <v>3870</v>
      </c>
      <c r="G341" s="108">
        <v>2</v>
      </c>
      <c r="H341" s="38" t="s">
        <v>3871</v>
      </c>
      <c r="I341" s="38"/>
      <c r="J341" s="38"/>
      <c r="K341" s="109" t="s">
        <v>3873</v>
      </c>
      <c r="L341" s="109"/>
      <c r="M341" s="109"/>
      <c r="N341" s="109"/>
      <c r="O341" s="109"/>
      <c r="P341" s="108">
        <v>2448</v>
      </c>
      <c r="Q341" s="108">
        <v>421</v>
      </c>
      <c r="R341" s="112"/>
      <c r="S341" s="113"/>
      <c r="T341" s="112"/>
      <c r="U341" s="123"/>
      <c r="V341" s="123"/>
      <c r="W341" s="123"/>
      <c r="X341" s="123"/>
      <c r="Y341" s="123"/>
      <c r="Z341" s="124"/>
      <c r="AA341" s="123"/>
      <c r="AB341" s="123"/>
      <c r="AC341" s="123"/>
      <c r="AD341" s="123"/>
      <c r="AE341" s="123"/>
      <c r="AF341" s="123"/>
      <c r="AG341" s="17"/>
      <c r="AH341" s="24"/>
      <c r="AI341" s="25"/>
      <c r="AJ341" s="25"/>
    </row>
    <row r="342" spans="1:36" x14ac:dyDescent="0.3">
      <c r="A342" s="63">
        <v>336</v>
      </c>
      <c r="B342" s="102" t="s">
        <v>3520</v>
      </c>
      <c r="C342" s="102" t="s">
        <v>3521</v>
      </c>
      <c r="D342" s="64" t="s">
        <v>119</v>
      </c>
      <c r="E342" s="106" t="s">
        <v>3524</v>
      </c>
      <c r="F342" s="120" t="s">
        <v>3870</v>
      </c>
      <c r="G342" s="108">
        <v>3</v>
      </c>
      <c r="H342" s="38" t="s">
        <v>3871</v>
      </c>
      <c r="I342" s="38"/>
      <c r="J342" s="38"/>
      <c r="K342" s="109" t="s">
        <v>3536</v>
      </c>
      <c r="L342" s="109"/>
      <c r="M342" s="109"/>
      <c r="N342" s="109"/>
      <c r="O342" s="109"/>
      <c r="P342" s="108">
        <v>2551</v>
      </c>
      <c r="Q342" s="108">
        <v>523</v>
      </c>
      <c r="R342" s="112"/>
      <c r="S342" s="113"/>
      <c r="T342" s="112"/>
      <c r="U342" s="123"/>
      <c r="V342" s="123"/>
      <c r="W342" s="123"/>
      <c r="X342" s="123"/>
      <c r="Y342" s="123"/>
      <c r="Z342" s="124"/>
      <c r="AA342" s="123"/>
      <c r="AB342" s="123"/>
      <c r="AC342" s="123"/>
      <c r="AD342" s="123"/>
      <c r="AE342" s="123"/>
      <c r="AF342" s="123"/>
      <c r="AG342" s="17"/>
      <c r="AH342" s="24"/>
      <c r="AI342" s="25"/>
      <c r="AJ342" s="25"/>
    </row>
    <row r="343" spans="1:36" x14ac:dyDescent="0.3">
      <c r="A343" s="63">
        <v>337</v>
      </c>
      <c r="B343" s="102" t="s">
        <v>3520</v>
      </c>
      <c r="C343" s="102" t="s">
        <v>3521</v>
      </c>
      <c r="D343" s="64" t="s">
        <v>119</v>
      </c>
      <c r="E343" s="106" t="s">
        <v>3524</v>
      </c>
      <c r="F343" s="120" t="s">
        <v>3870</v>
      </c>
      <c r="G343" s="108">
        <v>3</v>
      </c>
      <c r="H343" s="38" t="s">
        <v>3871</v>
      </c>
      <c r="I343" s="38"/>
      <c r="J343" s="38"/>
      <c r="K343" s="109" t="s">
        <v>3874</v>
      </c>
      <c r="L343" s="109"/>
      <c r="M343" s="109"/>
      <c r="N343" s="109"/>
      <c r="O343" s="109"/>
      <c r="P343" s="108">
        <v>1519</v>
      </c>
      <c r="Q343" s="108">
        <v>356</v>
      </c>
      <c r="R343" s="112"/>
      <c r="S343" s="113"/>
      <c r="T343" s="112"/>
      <c r="U343" s="123"/>
      <c r="V343" s="123"/>
      <c r="W343" s="123"/>
      <c r="X343" s="123"/>
      <c r="Y343" s="123"/>
      <c r="Z343" s="124"/>
      <c r="AA343" s="123"/>
      <c r="AB343" s="123"/>
      <c r="AC343" s="123"/>
      <c r="AD343" s="123"/>
      <c r="AE343" s="123"/>
      <c r="AF343" s="123"/>
      <c r="AG343" s="17"/>
      <c r="AH343" s="24"/>
      <c r="AI343" s="25"/>
      <c r="AJ343" s="25"/>
    </row>
    <row r="344" spans="1:36" x14ac:dyDescent="0.3">
      <c r="A344" s="63">
        <v>338</v>
      </c>
      <c r="B344" s="102" t="s">
        <v>3520</v>
      </c>
      <c r="C344" s="102" t="s">
        <v>3521</v>
      </c>
      <c r="D344" s="64" t="s">
        <v>119</v>
      </c>
      <c r="E344" s="106" t="s">
        <v>3524</v>
      </c>
      <c r="F344" s="120" t="s">
        <v>3870</v>
      </c>
      <c r="G344" s="108">
        <v>4</v>
      </c>
      <c r="H344" s="38" t="s">
        <v>3875</v>
      </c>
      <c r="I344" s="38"/>
      <c r="J344" s="38"/>
      <c r="K344" s="109" t="s">
        <v>3876</v>
      </c>
      <c r="L344" s="109"/>
      <c r="M344" s="109"/>
      <c r="N344" s="109"/>
      <c r="O344" s="109"/>
      <c r="P344" s="110">
        <v>1739</v>
      </c>
      <c r="Q344" s="121">
        <v>478</v>
      </c>
      <c r="R344" s="112"/>
      <c r="S344" s="113">
        <v>118</v>
      </c>
      <c r="T344" s="112"/>
      <c r="U344" s="123"/>
      <c r="V344" s="123"/>
      <c r="W344" s="123"/>
      <c r="X344" s="123"/>
      <c r="Y344" s="123"/>
      <c r="Z344" s="124"/>
      <c r="AA344" s="123"/>
      <c r="AB344" s="123"/>
      <c r="AC344" s="123"/>
      <c r="AD344" s="123"/>
      <c r="AE344" s="123"/>
      <c r="AF344" s="123"/>
      <c r="AG344" s="17"/>
      <c r="AH344" s="24"/>
      <c r="AI344" s="25"/>
      <c r="AJ344" s="25"/>
    </row>
    <row r="345" spans="1:36" x14ac:dyDescent="0.3">
      <c r="A345" s="63">
        <v>339</v>
      </c>
      <c r="B345" s="102" t="s">
        <v>3520</v>
      </c>
      <c r="C345" s="102" t="s">
        <v>3521</v>
      </c>
      <c r="D345" s="64" t="s">
        <v>119</v>
      </c>
      <c r="E345" s="106" t="s">
        <v>3524</v>
      </c>
      <c r="F345" s="120" t="s">
        <v>3870</v>
      </c>
      <c r="G345" s="108">
        <v>4</v>
      </c>
      <c r="H345" s="38" t="s">
        <v>3875</v>
      </c>
      <c r="I345" s="38"/>
      <c r="J345" s="38"/>
      <c r="K345" s="109" t="s">
        <v>3877</v>
      </c>
      <c r="L345" s="109"/>
      <c r="M345" s="109"/>
      <c r="N345" s="109"/>
      <c r="O345" s="109"/>
      <c r="P345" s="110">
        <v>1673</v>
      </c>
      <c r="Q345" s="121">
        <v>350</v>
      </c>
      <c r="R345" s="112"/>
      <c r="S345" s="113"/>
      <c r="T345" s="112"/>
      <c r="U345" s="123"/>
      <c r="V345" s="123"/>
      <c r="W345" s="123"/>
      <c r="X345" s="123"/>
      <c r="Y345" s="123"/>
      <c r="Z345" s="124"/>
      <c r="AA345" s="123"/>
      <c r="AB345" s="123"/>
      <c r="AC345" s="123"/>
      <c r="AD345" s="123"/>
      <c r="AE345" s="123"/>
      <c r="AF345" s="123"/>
      <c r="AG345" s="17"/>
      <c r="AH345" s="24"/>
      <c r="AI345" s="25"/>
      <c r="AJ345" s="25"/>
    </row>
    <row r="346" spans="1:36" x14ac:dyDescent="0.3">
      <c r="A346" s="63">
        <v>340</v>
      </c>
      <c r="B346" s="102" t="s">
        <v>3520</v>
      </c>
      <c r="C346" s="102" t="s">
        <v>3521</v>
      </c>
      <c r="D346" s="64" t="s">
        <v>119</v>
      </c>
      <c r="E346" s="106" t="s">
        <v>3524</v>
      </c>
      <c r="F346" s="120" t="s">
        <v>3870</v>
      </c>
      <c r="G346" s="108">
        <v>4</v>
      </c>
      <c r="H346" s="38" t="s">
        <v>3875</v>
      </c>
      <c r="I346" s="38"/>
      <c r="J346" s="38"/>
      <c r="K346" s="109" t="s">
        <v>3627</v>
      </c>
      <c r="L346" s="109"/>
      <c r="M346" s="109"/>
      <c r="N346" s="109"/>
      <c r="O346" s="109"/>
      <c r="P346" s="110">
        <v>1655</v>
      </c>
      <c r="Q346" s="121">
        <v>319</v>
      </c>
      <c r="R346" s="112"/>
      <c r="S346" s="113"/>
      <c r="T346" s="112"/>
      <c r="U346" s="123"/>
      <c r="V346" s="123"/>
      <c r="W346" s="123"/>
      <c r="X346" s="123"/>
      <c r="Y346" s="123"/>
      <c r="Z346" s="124"/>
      <c r="AA346" s="123"/>
      <c r="AB346" s="123"/>
      <c r="AC346" s="123"/>
      <c r="AD346" s="123"/>
      <c r="AE346" s="123"/>
      <c r="AF346" s="123"/>
      <c r="AG346" s="17"/>
      <c r="AH346" s="24"/>
      <c r="AI346" s="25"/>
      <c r="AJ346" s="25"/>
    </row>
    <row r="347" spans="1:36" x14ac:dyDescent="0.3">
      <c r="A347" s="63">
        <v>341</v>
      </c>
      <c r="B347" s="102" t="s">
        <v>3520</v>
      </c>
      <c r="C347" s="102" t="s">
        <v>3521</v>
      </c>
      <c r="D347" s="64" t="s">
        <v>119</v>
      </c>
      <c r="E347" s="106" t="s">
        <v>3524</v>
      </c>
      <c r="F347" s="120" t="s">
        <v>3870</v>
      </c>
      <c r="G347" s="108">
        <v>5</v>
      </c>
      <c r="H347" s="38" t="s">
        <v>3875</v>
      </c>
      <c r="I347" s="38"/>
      <c r="J347" s="38"/>
      <c r="K347" s="109" t="s">
        <v>3878</v>
      </c>
      <c r="L347" s="109"/>
      <c r="M347" s="109"/>
      <c r="N347" s="109"/>
      <c r="O347" s="109"/>
      <c r="P347" s="110">
        <v>1262</v>
      </c>
      <c r="Q347" s="121">
        <v>253</v>
      </c>
      <c r="R347" s="112"/>
      <c r="S347" s="113"/>
      <c r="T347" s="112"/>
      <c r="U347" s="123"/>
      <c r="V347" s="123"/>
      <c r="W347" s="123"/>
      <c r="X347" s="123"/>
      <c r="Y347" s="123"/>
      <c r="Z347" s="124"/>
      <c r="AA347" s="123"/>
      <c r="AB347" s="123"/>
      <c r="AC347" s="123"/>
      <c r="AD347" s="123"/>
      <c r="AE347" s="123"/>
      <c r="AF347" s="123"/>
      <c r="AG347" s="17"/>
      <c r="AH347" s="24"/>
      <c r="AI347" s="25"/>
      <c r="AJ347" s="25"/>
    </row>
    <row r="348" spans="1:36" x14ac:dyDescent="0.3">
      <c r="A348" s="63">
        <v>342</v>
      </c>
      <c r="B348" s="102" t="s">
        <v>3520</v>
      </c>
      <c r="C348" s="102" t="s">
        <v>3521</v>
      </c>
      <c r="D348" s="64" t="s">
        <v>119</v>
      </c>
      <c r="E348" s="106" t="s">
        <v>3524</v>
      </c>
      <c r="F348" s="120" t="s">
        <v>3870</v>
      </c>
      <c r="G348" s="108">
        <v>5</v>
      </c>
      <c r="H348" s="38" t="s">
        <v>3875</v>
      </c>
      <c r="I348" s="38"/>
      <c r="J348" s="38"/>
      <c r="K348" s="109" t="s">
        <v>3879</v>
      </c>
      <c r="L348" s="109"/>
      <c r="M348" s="109"/>
      <c r="N348" s="109"/>
      <c r="O348" s="109"/>
      <c r="P348" s="108">
        <v>903</v>
      </c>
      <c r="Q348" s="121">
        <v>184</v>
      </c>
      <c r="R348" s="112"/>
      <c r="S348" s="113"/>
      <c r="T348" s="112"/>
      <c r="U348" s="123"/>
      <c r="V348" s="123"/>
      <c r="W348" s="123"/>
      <c r="X348" s="123"/>
      <c r="Y348" s="123"/>
      <c r="Z348" s="124"/>
      <c r="AA348" s="123"/>
      <c r="AB348" s="123"/>
      <c r="AC348" s="123"/>
      <c r="AD348" s="123"/>
      <c r="AE348" s="123"/>
      <c r="AF348" s="123"/>
      <c r="AG348" s="17"/>
      <c r="AH348" s="24"/>
      <c r="AI348" s="25"/>
      <c r="AJ348" s="25"/>
    </row>
    <row r="349" spans="1:36" x14ac:dyDescent="0.3">
      <c r="A349" s="63">
        <v>343</v>
      </c>
      <c r="B349" s="102" t="s">
        <v>3520</v>
      </c>
      <c r="C349" s="102" t="s">
        <v>3521</v>
      </c>
      <c r="D349" s="64" t="s">
        <v>119</v>
      </c>
      <c r="E349" s="106" t="s">
        <v>3524</v>
      </c>
      <c r="F349" s="120" t="s">
        <v>3870</v>
      </c>
      <c r="G349" s="108">
        <v>5</v>
      </c>
      <c r="H349" s="38" t="s">
        <v>3875</v>
      </c>
      <c r="I349" s="38"/>
      <c r="J349" s="38"/>
      <c r="K349" s="109" t="s">
        <v>3880</v>
      </c>
      <c r="L349" s="109"/>
      <c r="M349" s="109"/>
      <c r="N349" s="109"/>
      <c r="O349" s="109"/>
      <c r="P349" s="108">
        <v>2636</v>
      </c>
      <c r="Q349" s="121">
        <v>524</v>
      </c>
      <c r="R349" s="112"/>
      <c r="S349" s="113"/>
      <c r="T349" s="112"/>
      <c r="U349" s="123"/>
      <c r="V349" s="123"/>
      <c r="W349" s="123"/>
      <c r="X349" s="123"/>
      <c r="Y349" s="123"/>
      <c r="Z349" s="124"/>
      <c r="AA349" s="123"/>
      <c r="AB349" s="123"/>
      <c r="AC349" s="123"/>
      <c r="AD349" s="123"/>
      <c r="AE349" s="123"/>
      <c r="AF349" s="123"/>
      <c r="AG349" s="17"/>
      <c r="AH349" s="24"/>
      <c r="AI349" s="25"/>
      <c r="AJ349" s="25"/>
    </row>
    <row r="350" spans="1:36" x14ac:dyDescent="0.3">
      <c r="A350" s="63">
        <v>344</v>
      </c>
      <c r="B350" s="102" t="s">
        <v>3520</v>
      </c>
      <c r="C350" s="102" t="s">
        <v>3521</v>
      </c>
      <c r="D350" s="64" t="s">
        <v>119</v>
      </c>
      <c r="E350" s="106" t="s">
        <v>3524</v>
      </c>
      <c r="F350" s="120" t="s">
        <v>3870</v>
      </c>
      <c r="G350" s="108">
        <v>6</v>
      </c>
      <c r="H350" s="38" t="s">
        <v>3875</v>
      </c>
      <c r="I350" s="38"/>
      <c r="J350" s="38"/>
      <c r="K350" s="109" t="s">
        <v>3881</v>
      </c>
      <c r="L350" s="109"/>
      <c r="M350" s="109"/>
      <c r="N350" s="109"/>
      <c r="O350" s="109"/>
      <c r="P350" s="108">
        <v>2741</v>
      </c>
      <c r="Q350" s="108">
        <v>594</v>
      </c>
      <c r="R350" s="112"/>
      <c r="S350" s="113"/>
      <c r="T350" s="112"/>
      <c r="U350" s="123"/>
      <c r="V350" s="123"/>
      <c r="W350" s="123"/>
      <c r="X350" s="123"/>
      <c r="Y350" s="123"/>
      <c r="Z350" s="124"/>
      <c r="AA350" s="123"/>
      <c r="AB350" s="123"/>
      <c r="AC350" s="123"/>
      <c r="AD350" s="123"/>
      <c r="AE350" s="123"/>
      <c r="AF350" s="123"/>
      <c r="AG350" s="17"/>
      <c r="AH350" s="24"/>
      <c r="AI350" s="25"/>
      <c r="AJ350" s="25"/>
    </row>
    <row r="351" spans="1:36" x14ac:dyDescent="0.3">
      <c r="A351" s="63">
        <v>345</v>
      </c>
      <c r="B351" s="102" t="s">
        <v>3520</v>
      </c>
      <c r="C351" s="102" t="s">
        <v>3521</v>
      </c>
      <c r="D351" s="64" t="s">
        <v>119</v>
      </c>
      <c r="E351" s="106" t="s">
        <v>3524</v>
      </c>
      <c r="F351" s="120" t="s">
        <v>3870</v>
      </c>
      <c r="G351" s="108">
        <v>6</v>
      </c>
      <c r="H351" s="38" t="s">
        <v>3875</v>
      </c>
      <c r="I351" s="38"/>
      <c r="J351" s="38"/>
      <c r="K351" s="109" t="s">
        <v>3882</v>
      </c>
      <c r="L351" s="109"/>
      <c r="M351" s="109"/>
      <c r="N351" s="109"/>
      <c r="O351" s="109"/>
      <c r="P351" s="108">
        <v>1155</v>
      </c>
      <c r="Q351" s="121">
        <v>249</v>
      </c>
      <c r="R351" s="112"/>
      <c r="S351" s="113"/>
      <c r="T351" s="112"/>
      <c r="U351" s="123"/>
      <c r="V351" s="123"/>
      <c r="W351" s="123"/>
      <c r="X351" s="123"/>
      <c r="Y351" s="123"/>
      <c r="Z351" s="124"/>
      <c r="AA351" s="123"/>
      <c r="AB351" s="123"/>
      <c r="AC351" s="123"/>
      <c r="AD351" s="123"/>
      <c r="AE351" s="123"/>
      <c r="AF351" s="123"/>
      <c r="AG351" s="17"/>
      <c r="AH351" s="39"/>
      <c r="AI351" s="40"/>
      <c r="AJ351" s="40"/>
    </row>
    <row r="352" spans="1:36" x14ac:dyDescent="0.3">
      <c r="A352" s="63">
        <v>346</v>
      </c>
      <c r="B352" s="102" t="s">
        <v>3520</v>
      </c>
      <c r="C352" s="102" t="s">
        <v>3521</v>
      </c>
      <c r="D352" s="64" t="s">
        <v>119</v>
      </c>
      <c r="E352" s="106" t="s">
        <v>3524</v>
      </c>
      <c r="F352" s="120" t="s">
        <v>3870</v>
      </c>
      <c r="G352" s="108">
        <v>6</v>
      </c>
      <c r="H352" s="38" t="s">
        <v>3875</v>
      </c>
      <c r="I352" s="38"/>
      <c r="J352" s="38"/>
      <c r="K352" s="109" t="s">
        <v>3883</v>
      </c>
      <c r="L352" s="109"/>
      <c r="M352" s="109"/>
      <c r="N352" s="109"/>
      <c r="O352" s="109"/>
      <c r="P352" s="108">
        <v>696</v>
      </c>
      <c r="Q352" s="121">
        <v>748</v>
      </c>
      <c r="R352" s="112"/>
      <c r="S352" s="113"/>
      <c r="T352" s="112"/>
      <c r="U352" s="123"/>
      <c r="V352" s="123"/>
      <c r="W352" s="123"/>
      <c r="X352" s="123"/>
      <c r="Y352" s="123"/>
      <c r="Z352" s="124"/>
      <c r="AA352" s="123"/>
      <c r="AB352" s="123"/>
      <c r="AC352" s="123"/>
      <c r="AD352" s="123"/>
      <c r="AE352" s="123"/>
      <c r="AF352" s="123"/>
      <c r="AG352" s="17"/>
      <c r="AH352" s="39"/>
      <c r="AI352" s="40"/>
      <c r="AJ352" s="40"/>
    </row>
    <row r="353" spans="1:36" x14ac:dyDescent="0.3">
      <c r="A353" s="63">
        <v>347</v>
      </c>
      <c r="B353" s="102" t="s">
        <v>3520</v>
      </c>
      <c r="C353" s="102" t="s">
        <v>3521</v>
      </c>
      <c r="D353" s="64" t="s">
        <v>119</v>
      </c>
      <c r="E353" s="106" t="s">
        <v>3524</v>
      </c>
      <c r="F353" s="120" t="s">
        <v>3870</v>
      </c>
      <c r="G353" s="125">
        <v>7</v>
      </c>
      <c r="H353" s="38" t="s">
        <v>3884</v>
      </c>
      <c r="I353" s="38"/>
      <c r="J353" s="38"/>
      <c r="K353" s="109" t="s">
        <v>3885</v>
      </c>
      <c r="L353" s="109"/>
      <c r="M353" s="109"/>
      <c r="N353" s="109"/>
      <c r="O353" s="109"/>
      <c r="P353" s="108">
        <v>998</v>
      </c>
      <c r="Q353" s="108">
        <v>208</v>
      </c>
      <c r="R353" s="112"/>
      <c r="S353" s="113"/>
      <c r="T353" s="112"/>
      <c r="U353" s="123"/>
      <c r="V353" s="123"/>
      <c r="W353" s="123"/>
      <c r="X353" s="123"/>
      <c r="Y353" s="123"/>
      <c r="Z353" s="124"/>
      <c r="AA353" s="123"/>
      <c r="AB353" s="123"/>
      <c r="AC353" s="123"/>
      <c r="AD353" s="123"/>
      <c r="AE353" s="123"/>
      <c r="AF353" s="123"/>
      <c r="AG353" s="17"/>
      <c r="AH353" s="23"/>
      <c r="AI353" s="40"/>
      <c r="AJ353" s="40"/>
    </row>
    <row r="354" spans="1:36" x14ac:dyDescent="0.3">
      <c r="A354" s="63">
        <v>348</v>
      </c>
      <c r="B354" s="102" t="s">
        <v>3520</v>
      </c>
      <c r="C354" s="102" t="s">
        <v>3521</v>
      </c>
      <c r="D354" s="64" t="s">
        <v>119</v>
      </c>
      <c r="E354" s="106" t="s">
        <v>3524</v>
      </c>
      <c r="F354" s="120" t="s">
        <v>3870</v>
      </c>
      <c r="G354" s="125">
        <v>7</v>
      </c>
      <c r="H354" s="38" t="s">
        <v>3884</v>
      </c>
      <c r="I354" s="38"/>
      <c r="J354" s="38"/>
      <c r="K354" s="109" t="s">
        <v>3886</v>
      </c>
      <c r="L354" s="109"/>
      <c r="M354" s="109"/>
      <c r="N354" s="109"/>
      <c r="O354" s="109"/>
      <c r="P354" s="108">
        <v>3123</v>
      </c>
      <c r="Q354" s="121">
        <v>996</v>
      </c>
      <c r="R354" s="112"/>
      <c r="S354" s="113"/>
      <c r="T354" s="112"/>
      <c r="U354" s="123"/>
      <c r="V354" s="123"/>
      <c r="W354" s="123"/>
      <c r="X354" s="123"/>
      <c r="Y354" s="123"/>
      <c r="Z354" s="124"/>
      <c r="AA354" s="123"/>
      <c r="AB354" s="123"/>
      <c r="AC354" s="123"/>
      <c r="AD354" s="123"/>
      <c r="AE354" s="123"/>
      <c r="AF354" s="123"/>
      <c r="AG354" s="17"/>
      <c r="AH354" s="23"/>
      <c r="AI354" s="40"/>
      <c r="AJ354" s="40"/>
    </row>
    <row r="355" spans="1:36" x14ac:dyDescent="0.3">
      <c r="A355" s="63">
        <v>349</v>
      </c>
      <c r="B355" s="102" t="s">
        <v>3520</v>
      </c>
      <c r="C355" s="102" t="s">
        <v>3521</v>
      </c>
      <c r="D355" s="64" t="s">
        <v>119</v>
      </c>
      <c r="E355" s="106" t="s">
        <v>3524</v>
      </c>
      <c r="F355" s="120" t="s">
        <v>3870</v>
      </c>
      <c r="G355" s="108">
        <v>8</v>
      </c>
      <c r="H355" s="38" t="s">
        <v>3884</v>
      </c>
      <c r="I355" s="38"/>
      <c r="J355" s="38"/>
      <c r="K355" s="109" t="s">
        <v>3885</v>
      </c>
      <c r="L355" s="109"/>
      <c r="M355" s="109"/>
      <c r="N355" s="109"/>
      <c r="O355" s="109"/>
      <c r="P355" s="108">
        <v>1065</v>
      </c>
      <c r="Q355" s="108">
        <v>218</v>
      </c>
      <c r="R355" s="112"/>
      <c r="S355" s="113"/>
      <c r="T355" s="112"/>
      <c r="U355" s="123"/>
      <c r="V355" s="123"/>
      <c r="W355" s="123"/>
      <c r="X355" s="123"/>
      <c r="Y355" s="123"/>
      <c r="Z355" s="124"/>
      <c r="AA355" s="123"/>
      <c r="AB355" s="123"/>
      <c r="AC355" s="123"/>
      <c r="AD355" s="123"/>
      <c r="AE355" s="123"/>
      <c r="AF355" s="123"/>
      <c r="AG355" s="17"/>
      <c r="AH355" s="23"/>
      <c r="AI355" s="40"/>
      <c r="AJ355" s="40"/>
    </row>
    <row r="356" spans="1:36" x14ac:dyDescent="0.3">
      <c r="A356" s="63">
        <v>350</v>
      </c>
      <c r="B356" s="102" t="s">
        <v>3520</v>
      </c>
      <c r="C356" s="102" t="s">
        <v>3521</v>
      </c>
      <c r="D356" s="64" t="s">
        <v>119</v>
      </c>
      <c r="E356" s="106" t="s">
        <v>3524</v>
      </c>
      <c r="F356" s="120" t="s">
        <v>3870</v>
      </c>
      <c r="G356" s="108">
        <v>8</v>
      </c>
      <c r="H356" s="38" t="s">
        <v>3884</v>
      </c>
      <c r="I356" s="38"/>
      <c r="J356" s="38"/>
      <c r="K356" s="109" t="s">
        <v>3887</v>
      </c>
      <c r="L356" s="109"/>
      <c r="M356" s="109"/>
      <c r="N356" s="109"/>
      <c r="O356" s="109"/>
      <c r="P356" s="108">
        <v>2067</v>
      </c>
      <c r="Q356" s="108">
        <v>427</v>
      </c>
      <c r="R356" s="112"/>
      <c r="S356" s="113"/>
      <c r="T356" s="112"/>
      <c r="U356" s="123"/>
      <c r="V356" s="123"/>
      <c r="W356" s="123"/>
      <c r="X356" s="123"/>
      <c r="Y356" s="123"/>
      <c r="Z356" s="124"/>
      <c r="AA356" s="123"/>
      <c r="AB356" s="123"/>
      <c r="AC356" s="123"/>
      <c r="AD356" s="123"/>
      <c r="AE356" s="123"/>
      <c r="AF356" s="123"/>
      <c r="AG356" s="17"/>
      <c r="AH356" s="23"/>
      <c r="AI356" s="40"/>
      <c r="AJ356" s="40"/>
    </row>
    <row r="357" spans="1:36" x14ac:dyDescent="0.3">
      <c r="A357" s="63">
        <v>351</v>
      </c>
      <c r="B357" s="102" t="s">
        <v>3520</v>
      </c>
      <c r="C357" s="102" t="s">
        <v>3521</v>
      </c>
      <c r="D357" s="64" t="s">
        <v>119</v>
      </c>
      <c r="E357" s="106" t="s">
        <v>3524</v>
      </c>
      <c r="F357" s="120" t="s">
        <v>3870</v>
      </c>
      <c r="G357" s="108">
        <v>8</v>
      </c>
      <c r="H357" s="38" t="s">
        <v>3884</v>
      </c>
      <c r="I357" s="38"/>
      <c r="J357" s="38"/>
      <c r="K357" s="109" t="s">
        <v>3888</v>
      </c>
      <c r="L357" s="109"/>
      <c r="M357" s="109"/>
      <c r="N357" s="109"/>
      <c r="O357" s="109"/>
      <c r="P357" s="108">
        <v>943</v>
      </c>
      <c r="Q357" s="121">
        <v>228</v>
      </c>
      <c r="R357" s="112"/>
      <c r="S357" s="113"/>
      <c r="T357" s="112"/>
      <c r="U357" s="123"/>
      <c r="V357" s="123"/>
      <c r="W357" s="123"/>
      <c r="X357" s="123"/>
      <c r="Y357" s="123"/>
      <c r="Z357" s="124"/>
      <c r="AA357" s="123"/>
      <c r="AB357" s="123"/>
      <c r="AC357" s="123"/>
      <c r="AD357" s="123"/>
      <c r="AE357" s="123"/>
      <c r="AF357" s="123"/>
      <c r="AG357" s="17"/>
      <c r="AH357" s="39"/>
      <c r="AI357" s="40"/>
      <c r="AJ357" s="40"/>
    </row>
    <row r="358" spans="1:36" x14ac:dyDescent="0.3">
      <c r="A358" s="63">
        <v>352</v>
      </c>
      <c r="B358" s="102" t="s">
        <v>3520</v>
      </c>
      <c r="C358" s="102" t="s">
        <v>3521</v>
      </c>
      <c r="D358" s="64" t="s">
        <v>119</v>
      </c>
      <c r="E358" s="106" t="s">
        <v>3524</v>
      </c>
      <c r="F358" s="108" t="s">
        <v>3870</v>
      </c>
      <c r="G358" s="108">
        <v>9</v>
      </c>
      <c r="H358" s="38" t="s">
        <v>3884</v>
      </c>
      <c r="I358" s="38"/>
      <c r="J358" s="38"/>
      <c r="K358" s="109" t="s">
        <v>3888</v>
      </c>
      <c r="L358" s="109"/>
      <c r="M358" s="109"/>
      <c r="N358" s="109"/>
      <c r="O358" s="109"/>
      <c r="P358" s="108">
        <v>3915</v>
      </c>
      <c r="Q358" s="108">
        <v>785</v>
      </c>
      <c r="R358" s="112"/>
      <c r="S358" s="113"/>
      <c r="T358" s="112"/>
      <c r="U358" s="123"/>
      <c r="V358" s="123"/>
      <c r="W358" s="123"/>
      <c r="X358" s="123"/>
      <c r="Y358" s="123"/>
      <c r="Z358" s="124"/>
      <c r="AA358" s="123"/>
      <c r="AB358" s="123"/>
      <c r="AC358" s="123"/>
      <c r="AD358" s="123"/>
      <c r="AE358" s="123"/>
      <c r="AF358" s="123"/>
      <c r="AG358" s="17"/>
      <c r="AH358" s="39"/>
      <c r="AI358" s="40"/>
      <c r="AJ358" s="40"/>
    </row>
    <row r="359" spans="1:36" x14ac:dyDescent="0.3">
      <c r="A359" s="63">
        <v>353</v>
      </c>
      <c r="B359" s="102" t="s">
        <v>3520</v>
      </c>
      <c r="C359" s="102" t="s">
        <v>3521</v>
      </c>
      <c r="D359" s="64" t="s">
        <v>119</v>
      </c>
      <c r="E359" s="106" t="s">
        <v>3524</v>
      </c>
      <c r="F359" s="108" t="s">
        <v>3870</v>
      </c>
      <c r="G359" s="108">
        <v>9</v>
      </c>
      <c r="H359" s="38" t="s">
        <v>3884</v>
      </c>
      <c r="I359" s="38"/>
      <c r="J359" s="38"/>
      <c r="K359" s="109" t="s">
        <v>3889</v>
      </c>
      <c r="L359" s="109"/>
      <c r="M359" s="109"/>
      <c r="N359" s="109"/>
      <c r="O359" s="109"/>
      <c r="P359" s="108">
        <v>1889</v>
      </c>
      <c r="Q359" s="108">
        <v>365</v>
      </c>
      <c r="R359" s="112"/>
      <c r="S359" s="113"/>
      <c r="T359" s="112"/>
      <c r="U359" s="123"/>
      <c r="V359" s="123"/>
      <c r="W359" s="123"/>
      <c r="X359" s="123"/>
      <c r="Y359" s="123"/>
      <c r="Z359" s="124"/>
      <c r="AA359" s="123"/>
      <c r="AB359" s="123"/>
      <c r="AC359" s="123"/>
      <c r="AD359" s="123"/>
      <c r="AE359" s="123"/>
      <c r="AF359" s="123"/>
      <c r="AG359" s="17"/>
      <c r="AH359" s="39"/>
      <c r="AI359" s="40"/>
      <c r="AJ359" s="40"/>
    </row>
    <row r="360" spans="1:36" x14ac:dyDescent="0.3">
      <c r="A360" s="63">
        <v>354</v>
      </c>
      <c r="B360" s="102" t="s">
        <v>3520</v>
      </c>
      <c r="C360" s="102" t="s">
        <v>3521</v>
      </c>
      <c r="D360" s="64" t="s">
        <v>119</v>
      </c>
      <c r="E360" s="106" t="s">
        <v>3524</v>
      </c>
      <c r="F360" s="108" t="s">
        <v>3890</v>
      </c>
      <c r="G360" s="108">
        <v>1</v>
      </c>
      <c r="H360" s="38" t="s">
        <v>3891</v>
      </c>
      <c r="I360" s="38"/>
      <c r="J360" s="38"/>
      <c r="K360" s="109" t="s">
        <v>3892</v>
      </c>
      <c r="L360" s="109"/>
      <c r="M360" s="109"/>
      <c r="N360" s="109"/>
      <c r="O360" s="109"/>
      <c r="P360" s="110">
        <v>1720</v>
      </c>
      <c r="Q360" s="121">
        <v>342</v>
      </c>
      <c r="R360" s="112"/>
      <c r="S360" s="113">
        <v>1135</v>
      </c>
      <c r="T360" s="112"/>
      <c r="U360" s="123"/>
      <c r="V360" s="123"/>
      <c r="W360" s="123"/>
      <c r="X360" s="123"/>
      <c r="Y360" s="123"/>
      <c r="Z360" s="124"/>
      <c r="AA360" s="123"/>
      <c r="AB360" s="123"/>
      <c r="AC360" s="123"/>
      <c r="AD360" s="123"/>
      <c r="AE360" s="123"/>
      <c r="AF360" s="123"/>
      <c r="AG360" s="17"/>
      <c r="AH360" s="39"/>
      <c r="AI360" s="40"/>
      <c r="AJ360" s="40"/>
    </row>
    <row r="361" spans="1:36" x14ac:dyDescent="0.3">
      <c r="A361" s="63">
        <v>355</v>
      </c>
      <c r="B361" s="102" t="s">
        <v>3520</v>
      </c>
      <c r="C361" s="102" t="s">
        <v>3521</v>
      </c>
      <c r="D361" s="64" t="s">
        <v>119</v>
      </c>
      <c r="E361" s="106" t="s">
        <v>3524</v>
      </c>
      <c r="F361" s="108" t="s">
        <v>3890</v>
      </c>
      <c r="G361" s="108">
        <v>2</v>
      </c>
      <c r="H361" s="38" t="s">
        <v>3893</v>
      </c>
      <c r="I361" s="38"/>
      <c r="J361" s="38"/>
      <c r="K361" s="109" t="s">
        <v>3542</v>
      </c>
      <c r="L361" s="109"/>
      <c r="M361" s="109"/>
      <c r="N361" s="109"/>
      <c r="O361" s="109"/>
      <c r="P361" s="110">
        <v>702</v>
      </c>
      <c r="Q361" s="121">
        <v>151</v>
      </c>
      <c r="R361" s="112"/>
      <c r="S361" s="113"/>
      <c r="T361" s="112"/>
      <c r="U361" s="123"/>
      <c r="V361" s="123"/>
      <c r="W361" s="123"/>
      <c r="X361" s="123"/>
      <c r="Y361" s="123"/>
      <c r="Z361" s="124"/>
      <c r="AA361" s="123"/>
      <c r="AB361" s="123"/>
      <c r="AC361" s="123"/>
      <c r="AD361" s="123"/>
      <c r="AE361" s="123"/>
      <c r="AF361" s="123"/>
      <c r="AG361" s="17"/>
      <c r="AH361" s="39"/>
      <c r="AI361" s="40"/>
      <c r="AJ361" s="40"/>
    </row>
    <row r="362" spans="1:36" x14ac:dyDescent="0.3">
      <c r="A362" s="63">
        <v>356</v>
      </c>
      <c r="B362" s="102" t="s">
        <v>3520</v>
      </c>
      <c r="C362" s="102" t="s">
        <v>3521</v>
      </c>
      <c r="D362" s="64" t="s">
        <v>119</v>
      </c>
      <c r="E362" s="106" t="s">
        <v>3524</v>
      </c>
      <c r="F362" s="108" t="s">
        <v>3890</v>
      </c>
      <c r="G362" s="108">
        <v>2</v>
      </c>
      <c r="H362" s="38" t="s">
        <v>3893</v>
      </c>
      <c r="I362" s="38"/>
      <c r="J362" s="38"/>
      <c r="K362" s="109" t="s">
        <v>3894</v>
      </c>
      <c r="L362" s="109"/>
      <c r="M362" s="109"/>
      <c r="N362" s="109"/>
      <c r="O362" s="109"/>
      <c r="P362" s="108">
        <v>666</v>
      </c>
      <c r="Q362" s="108">
        <v>136</v>
      </c>
      <c r="R362" s="112"/>
      <c r="S362" s="113">
        <v>1339</v>
      </c>
      <c r="T362" s="112"/>
      <c r="U362" s="123"/>
      <c r="V362" s="123"/>
      <c r="W362" s="123"/>
      <c r="X362" s="123"/>
      <c r="Y362" s="123"/>
      <c r="Z362" s="124"/>
      <c r="AA362" s="123"/>
      <c r="AB362" s="123"/>
      <c r="AC362" s="123"/>
      <c r="AD362" s="123"/>
      <c r="AE362" s="123"/>
      <c r="AF362" s="123"/>
      <c r="AG362" s="17"/>
      <c r="AH362" s="39"/>
      <c r="AI362" s="40"/>
      <c r="AJ362" s="40"/>
    </row>
    <row r="363" spans="1:36" x14ac:dyDescent="0.3">
      <c r="A363" s="63">
        <v>357</v>
      </c>
      <c r="B363" s="102" t="s">
        <v>3520</v>
      </c>
      <c r="C363" s="102" t="s">
        <v>3521</v>
      </c>
      <c r="D363" s="64" t="s">
        <v>119</v>
      </c>
      <c r="E363" s="106" t="s">
        <v>3524</v>
      </c>
      <c r="F363" s="108" t="s">
        <v>3890</v>
      </c>
      <c r="G363" s="108">
        <v>3</v>
      </c>
      <c r="H363" s="38" t="s">
        <v>3893</v>
      </c>
      <c r="I363" s="38"/>
      <c r="J363" s="38"/>
      <c r="K363" s="109" t="s">
        <v>3547</v>
      </c>
      <c r="L363" s="109"/>
      <c r="M363" s="109"/>
      <c r="N363" s="109"/>
      <c r="O363" s="109"/>
      <c r="P363" s="108">
        <v>1039</v>
      </c>
      <c r="Q363" s="108">
        <v>153</v>
      </c>
      <c r="R363" s="112"/>
      <c r="S363" s="113">
        <v>635</v>
      </c>
      <c r="T363" s="112"/>
      <c r="U363" s="123"/>
      <c r="V363" s="123"/>
      <c r="W363" s="123"/>
      <c r="X363" s="123"/>
      <c r="Y363" s="123"/>
      <c r="Z363" s="124"/>
      <c r="AA363" s="123"/>
      <c r="AB363" s="123"/>
      <c r="AC363" s="123"/>
      <c r="AD363" s="123"/>
      <c r="AE363" s="123"/>
      <c r="AF363" s="123"/>
      <c r="AG363" s="17"/>
      <c r="AH363" s="39"/>
      <c r="AI363" s="40"/>
      <c r="AJ363" s="40"/>
    </row>
    <row r="364" spans="1:36" x14ac:dyDescent="0.3">
      <c r="A364" s="63">
        <v>358</v>
      </c>
      <c r="B364" s="102" t="s">
        <v>3520</v>
      </c>
      <c r="C364" s="102" t="s">
        <v>3521</v>
      </c>
      <c r="D364" s="64" t="s">
        <v>119</v>
      </c>
      <c r="E364" s="106" t="s">
        <v>3524</v>
      </c>
      <c r="F364" s="108" t="s">
        <v>3890</v>
      </c>
      <c r="G364" s="108">
        <v>4</v>
      </c>
      <c r="H364" s="38" t="s">
        <v>3895</v>
      </c>
      <c r="I364" s="38"/>
      <c r="J364" s="38"/>
      <c r="K364" s="109" t="s">
        <v>3643</v>
      </c>
      <c r="L364" s="109"/>
      <c r="M364" s="109"/>
      <c r="N364" s="109"/>
      <c r="O364" s="109"/>
      <c r="P364" s="108">
        <v>939</v>
      </c>
      <c r="Q364" s="108">
        <v>187</v>
      </c>
      <c r="R364" s="112"/>
      <c r="S364" s="113">
        <v>322</v>
      </c>
      <c r="T364" s="112"/>
      <c r="U364" s="123"/>
      <c r="V364" s="123"/>
      <c r="W364" s="123"/>
      <c r="X364" s="123"/>
      <c r="Y364" s="123"/>
      <c r="Z364" s="124"/>
      <c r="AA364" s="123"/>
      <c r="AB364" s="123"/>
      <c r="AC364" s="123"/>
      <c r="AD364" s="123"/>
      <c r="AE364" s="123"/>
      <c r="AF364" s="123"/>
      <c r="AG364" s="24"/>
      <c r="AH364" s="24"/>
      <c r="AI364" s="40"/>
      <c r="AJ364" s="40"/>
    </row>
    <row r="365" spans="1:36" x14ac:dyDescent="0.3">
      <c r="A365" s="63">
        <v>359</v>
      </c>
      <c r="B365" s="102" t="s">
        <v>3520</v>
      </c>
      <c r="C365" s="102" t="s">
        <v>3521</v>
      </c>
      <c r="D365" s="64" t="s">
        <v>119</v>
      </c>
      <c r="E365" s="106" t="s">
        <v>3524</v>
      </c>
      <c r="F365" s="108" t="s">
        <v>3890</v>
      </c>
      <c r="G365" s="108">
        <v>4</v>
      </c>
      <c r="H365" s="38" t="s">
        <v>3895</v>
      </c>
      <c r="I365" s="38"/>
      <c r="J365" s="38"/>
      <c r="K365" s="109" t="s">
        <v>3896</v>
      </c>
      <c r="L365" s="109"/>
      <c r="M365" s="109"/>
      <c r="N365" s="109"/>
      <c r="O365" s="109"/>
      <c r="P365" s="110">
        <v>388</v>
      </c>
      <c r="Q365" s="121">
        <v>95</v>
      </c>
      <c r="R365" s="112"/>
      <c r="S365" s="113">
        <v>415</v>
      </c>
      <c r="T365" s="112"/>
      <c r="U365" s="123"/>
      <c r="V365" s="123"/>
      <c r="W365" s="123"/>
      <c r="X365" s="123"/>
      <c r="Y365" s="123"/>
      <c r="Z365" s="124"/>
      <c r="AA365" s="123"/>
      <c r="AB365" s="123"/>
      <c r="AC365" s="123"/>
      <c r="AD365" s="123"/>
      <c r="AE365" s="123"/>
      <c r="AF365" s="123"/>
      <c r="AG365" s="34"/>
      <c r="AH365" s="39"/>
      <c r="AI365" s="40"/>
      <c r="AJ365" s="40"/>
    </row>
    <row r="366" spans="1:36" x14ac:dyDescent="0.3">
      <c r="A366" s="63">
        <v>360</v>
      </c>
      <c r="B366" s="102" t="s">
        <v>3520</v>
      </c>
      <c r="C366" s="102" t="s">
        <v>3521</v>
      </c>
      <c r="D366" s="64" t="s">
        <v>119</v>
      </c>
      <c r="E366" s="106" t="s">
        <v>3524</v>
      </c>
      <c r="F366" s="108" t="s">
        <v>3890</v>
      </c>
      <c r="G366" s="108">
        <v>5</v>
      </c>
      <c r="H366" s="38" t="s">
        <v>3895</v>
      </c>
      <c r="I366" s="38"/>
      <c r="J366" s="38"/>
      <c r="K366" s="109" t="s">
        <v>3897</v>
      </c>
      <c r="L366" s="109"/>
      <c r="M366" s="109"/>
      <c r="N366" s="109"/>
      <c r="O366" s="109"/>
      <c r="P366" s="108">
        <v>773</v>
      </c>
      <c r="Q366" s="108">
        <v>169</v>
      </c>
      <c r="R366" s="112"/>
      <c r="S366" s="113">
        <v>489</v>
      </c>
      <c r="T366" s="112"/>
      <c r="U366" s="123"/>
      <c r="V366" s="123"/>
      <c r="W366" s="123"/>
      <c r="X366" s="123"/>
      <c r="Y366" s="123"/>
      <c r="Z366" s="124"/>
      <c r="AA366" s="123"/>
      <c r="AB366" s="123"/>
      <c r="AC366" s="123"/>
      <c r="AD366" s="123"/>
      <c r="AE366" s="123"/>
      <c r="AF366" s="123"/>
      <c r="AG366" s="34"/>
      <c r="AH366" s="39"/>
      <c r="AI366" s="40"/>
      <c r="AJ366" s="40"/>
    </row>
    <row r="367" spans="1:36" x14ac:dyDescent="0.3">
      <c r="A367" s="63">
        <v>361</v>
      </c>
      <c r="B367" s="102" t="s">
        <v>3520</v>
      </c>
      <c r="C367" s="102" t="s">
        <v>3521</v>
      </c>
      <c r="D367" s="64" t="s">
        <v>119</v>
      </c>
      <c r="E367" s="106" t="s">
        <v>3524</v>
      </c>
      <c r="F367" s="108" t="s">
        <v>3890</v>
      </c>
      <c r="G367" s="108">
        <v>4</v>
      </c>
      <c r="H367" s="38" t="s">
        <v>3895</v>
      </c>
      <c r="I367" s="38"/>
      <c r="J367" s="38"/>
      <c r="K367" s="109" t="s">
        <v>3898</v>
      </c>
      <c r="L367" s="109"/>
      <c r="M367" s="109"/>
      <c r="N367" s="109"/>
      <c r="O367" s="109"/>
      <c r="P367" s="108">
        <v>648</v>
      </c>
      <c r="Q367" s="108">
        <v>145</v>
      </c>
      <c r="R367" s="112"/>
      <c r="S367" s="113">
        <v>421</v>
      </c>
      <c r="T367" s="112"/>
      <c r="U367" s="123"/>
      <c r="V367" s="123"/>
      <c r="W367" s="123"/>
      <c r="X367" s="123"/>
      <c r="Y367" s="123"/>
      <c r="Z367" s="124"/>
      <c r="AA367" s="123"/>
      <c r="AB367" s="123"/>
      <c r="AC367" s="123"/>
      <c r="AD367" s="123"/>
      <c r="AE367" s="123"/>
      <c r="AF367" s="123"/>
      <c r="AG367" s="34"/>
      <c r="AH367" s="39"/>
      <c r="AI367" s="40"/>
      <c r="AJ367" s="40"/>
    </row>
    <row r="368" spans="1:36" x14ac:dyDescent="0.3">
      <c r="A368" s="63">
        <v>362</v>
      </c>
      <c r="B368" s="102" t="s">
        <v>3520</v>
      </c>
      <c r="C368" s="102" t="s">
        <v>3521</v>
      </c>
      <c r="D368" s="64" t="s">
        <v>119</v>
      </c>
      <c r="E368" s="106" t="s">
        <v>3524</v>
      </c>
      <c r="F368" s="108" t="s">
        <v>3890</v>
      </c>
      <c r="G368" s="108">
        <v>6</v>
      </c>
      <c r="H368" s="38" t="s">
        <v>3891</v>
      </c>
      <c r="I368" s="38"/>
      <c r="J368" s="38"/>
      <c r="K368" s="109" t="s">
        <v>3899</v>
      </c>
      <c r="L368" s="109"/>
      <c r="M368" s="109"/>
      <c r="N368" s="109"/>
      <c r="O368" s="109"/>
      <c r="P368" s="108">
        <v>252</v>
      </c>
      <c r="Q368" s="121">
        <v>61</v>
      </c>
      <c r="R368" s="112"/>
      <c r="S368" s="113">
        <v>174</v>
      </c>
      <c r="T368" s="112"/>
      <c r="U368" s="123"/>
      <c r="V368" s="123"/>
      <c r="W368" s="123"/>
      <c r="X368" s="123"/>
      <c r="Y368" s="123"/>
      <c r="Z368" s="124"/>
      <c r="AA368" s="123"/>
      <c r="AB368" s="123"/>
      <c r="AC368" s="123"/>
      <c r="AD368" s="123"/>
      <c r="AE368" s="123"/>
      <c r="AF368" s="123"/>
      <c r="AG368" s="34"/>
      <c r="AH368" s="39"/>
      <c r="AI368" s="40"/>
      <c r="AJ368" s="40"/>
    </row>
    <row r="369" spans="1:36" x14ac:dyDescent="0.3">
      <c r="A369" s="63">
        <v>363</v>
      </c>
      <c r="B369" s="102" t="s">
        <v>3520</v>
      </c>
      <c r="C369" s="102" t="s">
        <v>3521</v>
      </c>
      <c r="D369" s="64" t="s">
        <v>119</v>
      </c>
      <c r="E369" s="106" t="s">
        <v>3524</v>
      </c>
      <c r="F369" s="108" t="s">
        <v>3890</v>
      </c>
      <c r="G369" s="108">
        <v>6</v>
      </c>
      <c r="H369" s="38" t="s">
        <v>3891</v>
      </c>
      <c r="I369" s="38"/>
      <c r="J369" s="38"/>
      <c r="K369" s="109" t="s">
        <v>3900</v>
      </c>
      <c r="L369" s="109"/>
      <c r="M369" s="109"/>
      <c r="N369" s="109"/>
      <c r="O369" s="109"/>
      <c r="P369" s="110">
        <v>754</v>
      </c>
      <c r="Q369" s="121">
        <v>146</v>
      </c>
      <c r="R369" s="112"/>
      <c r="S369" s="113">
        <f>52+425</f>
        <v>477</v>
      </c>
      <c r="T369" s="112"/>
      <c r="U369" s="123"/>
      <c r="V369" s="123"/>
      <c r="W369" s="123"/>
      <c r="X369" s="123"/>
      <c r="Y369" s="123"/>
      <c r="Z369" s="124"/>
      <c r="AA369" s="123"/>
      <c r="AB369" s="123"/>
      <c r="AC369" s="123"/>
      <c r="AD369" s="123"/>
      <c r="AE369" s="123"/>
      <c r="AF369" s="123"/>
      <c r="AG369" s="42"/>
      <c r="AH369" s="39"/>
      <c r="AI369" s="40"/>
      <c r="AJ369" s="40"/>
    </row>
    <row r="370" spans="1:36" x14ac:dyDescent="0.3">
      <c r="A370" s="63">
        <v>364</v>
      </c>
      <c r="B370" s="102" t="s">
        <v>3520</v>
      </c>
      <c r="C370" s="102" t="s">
        <v>3521</v>
      </c>
      <c r="D370" s="64" t="s">
        <v>119</v>
      </c>
      <c r="E370" s="106" t="s">
        <v>3524</v>
      </c>
      <c r="F370" s="108" t="s">
        <v>3890</v>
      </c>
      <c r="G370" s="108">
        <v>7</v>
      </c>
      <c r="H370" s="38" t="s">
        <v>3901</v>
      </c>
      <c r="I370" s="38"/>
      <c r="J370" s="38"/>
      <c r="K370" s="109" t="s">
        <v>3902</v>
      </c>
      <c r="L370" s="109"/>
      <c r="M370" s="109"/>
      <c r="N370" s="109"/>
      <c r="O370" s="109"/>
      <c r="P370" s="110">
        <v>966</v>
      </c>
      <c r="Q370" s="121">
        <v>212</v>
      </c>
      <c r="R370" s="112"/>
      <c r="S370" s="113">
        <v>500</v>
      </c>
      <c r="T370" s="112"/>
      <c r="U370" s="123">
        <v>1</v>
      </c>
      <c r="V370" s="123"/>
      <c r="W370" s="123"/>
      <c r="X370" s="123"/>
      <c r="Y370" s="123"/>
      <c r="Z370" s="124"/>
      <c r="AA370" s="123"/>
      <c r="AB370" s="123"/>
      <c r="AC370" s="123"/>
      <c r="AD370" s="123"/>
      <c r="AE370" s="123"/>
      <c r="AF370" s="123"/>
      <c r="AG370" s="42"/>
      <c r="AH370" s="39"/>
      <c r="AI370" s="40"/>
      <c r="AJ370" s="40"/>
    </row>
    <row r="371" spans="1:36" x14ac:dyDescent="0.3">
      <c r="A371" s="63">
        <v>365</v>
      </c>
      <c r="B371" s="102" t="s">
        <v>3520</v>
      </c>
      <c r="C371" s="102" t="s">
        <v>3521</v>
      </c>
      <c r="D371" s="64" t="s">
        <v>119</v>
      </c>
      <c r="E371" s="106" t="s">
        <v>3524</v>
      </c>
      <c r="F371" s="108" t="s">
        <v>3890</v>
      </c>
      <c r="G371" s="108">
        <v>8</v>
      </c>
      <c r="H371" s="38" t="s">
        <v>3901</v>
      </c>
      <c r="I371" s="38"/>
      <c r="J371" s="38"/>
      <c r="K371" s="109" t="s">
        <v>3903</v>
      </c>
      <c r="L371" s="109"/>
      <c r="M371" s="109"/>
      <c r="N371" s="109"/>
      <c r="O371" s="109"/>
      <c r="P371" s="108">
        <v>1004</v>
      </c>
      <c r="Q371" s="108">
        <v>238</v>
      </c>
      <c r="R371" s="112"/>
      <c r="S371" s="113">
        <v>528</v>
      </c>
      <c r="T371" s="112"/>
      <c r="U371" s="123"/>
      <c r="V371" s="123"/>
      <c r="W371" s="123"/>
      <c r="X371" s="123"/>
      <c r="Y371" s="123"/>
      <c r="Z371" s="124"/>
      <c r="AA371" s="123"/>
      <c r="AB371" s="123"/>
      <c r="AC371" s="123"/>
      <c r="AD371" s="123"/>
      <c r="AE371" s="123"/>
      <c r="AF371" s="123"/>
      <c r="AG371" s="42"/>
      <c r="AH371" s="39"/>
      <c r="AI371" s="40"/>
      <c r="AJ371" s="40"/>
    </row>
    <row r="372" spans="1:36" x14ac:dyDescent="0.3">
      <c r="A372" s="63">
        <v>366</v>
      </c>
      <c r="B372" s="102" t="s">
        <v>3520</v>
      </c>
      <c r="C372" s="102" t="s">
        <v>3521</v>
      </c>
      <c r="D372" s="64" t="s">
        <v>119</v>
      </c>
      <c r="E372" s="106" t="s">
        <v>3524</v>
      </c>
      <c r="F372" s="108" t="s">
        <v>3890</v>
      </c>
      <c r="G372" s="108">
        <v>9</v>
      </c>
      <c r="H372" s="38" t="s">
        <v>3901</v>
      </c>
      <c r="I372" s="38"/>
      <c r="J372" s="38"/>
      <c r="K372" s="109" t="s">
        <v>3904</v>
      </c>
      <c r="L372" s="109"/>
      <c r="M372" s="109"/>
      <c r="N372" s="109"/>
      <c r="O372" s="109"/>
      <c r="P372" s="108">
        <v>861</v>
      </c>
      <c r="Q372" s="108">
        <v>239</v>
      </c>
      <c r="R372" s="112"/>
      <c r="S372" s="113">
        <v>451</v>
      </c>
      <c r="T372" s="112"/>
      <c r="U372" s="123"/>
      <c r="V372" s="123"/>
      <c r="W372" s="123"/>
      <c r="X372" s="123"/>
      <c r="Y372" s="123"/>
      <c r="Z372" s="124"/>
      <c r="AA372" s="123"/>
      <c r="AB372" s="123"/>
      <c r="AC372" s="123"/>
      <c r="AD372" s="123"/>
      <c r="AE372" s="123"/>
      <c r="AF372" s="123"/>
      <c r="AG372" s="42"/>
      <c r="AH372" s="39"/>
      <c r="AI372" s="40"/>
      <c r="AJ372" s="40"/>
    </row>
  </sheetData>
  <autoFilter ref="A6:AJ372"/>
  <mergeCells count="3">
    <mergeCell ref="G1:G2"/>
    <mergeCell ref="A5:D5"/>
    <mergeCell ref="U5:AF5"/>
  </mergeCells>
  <conditionalFormatting sqref="M7:M372">
    <cfRule type="duplicateValues" dxfId="4" priority="2"/>
  </conditionalFormatting>
  <dataValidations count="1">
    <dataValidation type="list" allowBlank="1" showInputMessage="1" showErrorMessage="1" sqref="E7:E372">
      <formula1>INDIRECT($D7)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25"/>
  <sheetViews>
    <sheetView workbookViewId="0">
      <pane xSplit="12" ySplit="6" topLeftCell="AB7" activePane="bottomRight" state="frozen"/>
      <selection pane="topRight" activeCell="M1" sqref="M1"/>
      <selection pane="bottomLeft" activeCell="A6" sqref="A6"/>
      <selection pane="bottomRight" activeCell="U5" sqref="U5:AF5"/>
    </sheetView>
  </sheetViews>
  <sheetFormatPr defaultRowHeight="14.4" x14ac:dyDescent="0.3"/>
  <cols>
    <col min="1" max="1" width="4.109375" style="65" customWidth="1"/>
    <col min="2" max="2" width="14" style="65" customWidth="1"/>
    <col min="3" max="3" width="13.109375" style="65" customWidth="1"/>
    <col min="4" max="4" width="12.21875" style="65" customWidth="1"/>
    <col min="5" max="5" width="17" style="65" customWidth="1"/>
    <col min="6" max="6" width="12.109375" style="65" customWidth="1"/>
    <col min="7" max="7" width="6.88671875" style="65" customWidth="1"/>
    <col min="8" max="8" width="19.6640625" style="4" customWidth="1"/>
    <col min="9" max="9" width="7.21875" style="4" customWidth="1"/>
    <col min="10" max="10" width="15.6640625" style="4" customWidth="1"/>
    <col min="11" max="11" width="23.44140625" style="4" customWidth="1"/>
    <col min="12" max="12" width="19.21875" style="4" customWidth="1"/>
    <col min="13" max="13" width="8.33203125" style="4" customWidth="1"/>
    <col min="14" max="14" width="9.6640625" style="4" customWidth="1"/>
    <col min="15" max="15" width="10.44140625" style="4" customWidth="1"/>
    <col min="16" max="17" width="8.6640625" style="4" customWidth="1"/>
    <col min="18" max="18" width="7.33203125" style="4" customWidth="1"/>
    <col min="19" max="19" width="7.44140625" style="4" customWidth="1"/>
    <col min="20" max="20" width="7.33203125" style="4" customWidth="1"/>
    <col min="21" max="32" width="4.77734375" style="4" customWidth="1"/>
    <col min="33" max="33" width="15" style="4" customWidth="1"/>
    <col min="34" max="16384" width="8.88671875" style="4"/>
  </cols>
  <sheetData>
    <row r="1" spans="1:36" s="13" customFormat="1" x14ac:dyDescent="0.3">
      <c r="A1" s="55"/>
      <c r="B1" s="55"/>
      <c r="C1" s="55"/>
      <c r="D1" s="55"/>
      <c r="E1" s="55"/>
      <c r="F1" s="55"/>
      <c r="G1" s="165" t="s">
        <v>23</v>
      </c>
      <c r="H1" s="46" t="s">
        <v>0</v>
      </c>
      <c r="I1" s="47">
        <f>COUNTIF(I7:I544,"SK(H)")</f>
        <v>0</v>
      </c>
      <c r="J1" s="46" t="s">
        <v>1</v>
      </c>
      <c r="K1" s="46">
        <f>COUNTA(J7:J560)</f>
        <v>219</v>
      </c>
      <c r="L1" s="9"/>
      <c r="M1" s="9"/>
      <c r="N1" s="9"/>
      <c r="O1" s="9"/>
      <c r="Z1" s="11"/>
      <c r="AA1" s="8"/>
      <c r="AB1" s="8"/>
      <c r="AC1" s="8"/>
      <c r="AD1" s="11"/>
      <c r="AE1" s="11"/>
      <c r="AF1" s="11" t="s">
        <v>2</v>
      </c>
      <c r="AG1" s="11"/>
      <c r="AH1" s="10"/>
      <c r="AI1" s="12"/>
      <c r="AJ1" s="8"/>
    </row>
    <row r="2" spans="1:36" s="13" customFormat="1" x14ac:dyDescent="0.3">
      <c r="A2" s="55"/>
      <c r="B2" s="55"/>
      <c r="C2" s="55"/>
      <c r="D2" s="56"/>
      <c r="E2" s="57"/>
      <c r="F2" s="57"/>
      <c r="G2" s="165"/>
      <c r="H2" s="46" t="s">
        <v>3</v>
      </c>
      <c r="I2" s="47">
        <f>COUNTIF(I7:I545,"SHW(H)")</f>
        <v>0</v>
      </c>
      <c r="J2" s="46" t="s">
        <v>5</v>
      </c>
      <c r="K2" s="46">
        <f>COUNTA(K7:K225)</f>
        <v>219</v>
      </c>
      <c r="L2" s="9"/>
      <c r="M2" s="9"/>
      <c r="N2" s="9"/>
      <c r="O2" s="9"/>
      <c r="Z2" s="11"/>
      <c r="AA2" s="8"/>
      <c r="AB2" s="8"/>
      <c r="AC2" s="8"/>
      <c r="AD2" s="11"/>
      <c r="AE2" s="11"/>
      <c r="AF2" s="11" t="s">
        <v>4</v>
      </c>
      <c r="AG2" s="11"/>
      <c r="AH2" s="10"/>
      <c r="AI2" s="8"/>
      <c r="AJ2" s="8"/>
    </row>
    <row r="3" spans="1:36" s="13" customFormat="1" x14ac:dyDescent="0.3">
      <c r="A3" s="55"/>
      <c r="B3" s="55"/>
      <c r="C3" s="55"/>
      <c r="D3" s="56"/>
      <c r="E3" s="57"/>
      <c r="F3" s="57"/>
      <c r="G3" s="162"/>
      <c r="H3" s="9"/>
      <c r="I3" s="164"/>
      <c r="J3" s="9"/>
      <c r="K3" s="9"/>
      <c r="L3" s="9"/>
      <c r="M3" s="9"/>
      <c r="N3" s="9"/>
      <c r="O3" s="9"/>
      <c r="Z3" s="11"/>
      <c r="AA3" s="8"/>
      <c r="AB3" s="8"/>
      <c r="AC3" s="8"/>
      <c r="AD3" s="11"/>
      <c r="AE3" s="11"/>
      <c r="AF3" s="11" t="s">
        <v>6</v>
      </c>
      <c r="AG3" s="11"/>
      <c r="AH3" s="10"/>
      <c r="AI3" s="8"/>
      <c r="AJ3" s="8"/>
    </row>
    <row r="4" spans="1:36" s="13" customFormat="1" x14ac:dyDescent="0.3">
      <c r="A4" s="55"/>
      <c r="B4" s="55"/>
      <c r="C4" s="55"/>
      <c r="D4" s="55"/>
      <c r="E4" s="58"/>
      <c r="F4" s="58"/>
      <c r="G4" s="55"/>
      <c r="H4" s="8"/>
      <c r="I4" s="8"/>
      <c r="K4" s="11"/>
      <c r="L4" s="11"/>
      <c r="M4" s="11"/>
      <c r="N4" s="11"/>
      <c r="O4" s="11"/>
      <c r="Z4" s="11"/>
      <c r="AA4" s="8"/>
      <c r="AB4" s="8"/>
      <c r="AC4" s="8"/>
      <c r="AD4" s="11"/>
      <c r="AE4" s="11"/>
      <c r="AG4" s="11"/>
      <c r="AH4" s="10"/>
    </row>
    <row r="5" spans="1:36" ht="19.8" customHeight="1" x14ac:dyDescent="0.3">
      <c r="A5" s="166" t="s">
        <v>7</v>
      </c>
      <c r="B5" s="166"/>
      <c r="C5" s="166"/>
      <c r="D5" s="166"/>
      <c r="E5" s="103" t="s">
        <v>3905</v>
      </c>
      <c r="F5" s="103"/>
      <c r="G5" s="103"/>
      <c r="H5" s="2"/>
      <c r="I5" s="1"/>
      <c r="J5" s="1"/>
      <c r="K5" s="15"/>
      <c r="L5" s="15"/>
      <c r="M5" s="15"/>
      <c r="N5" s="15"/>
      <c r="O5" s="15"/>
      <c r="P5" s="5"/>
      <c r="Q5" s="5"/>
      <c r="R5" s="5"/>
      <c r="S5" s="5"/>
      <c r="T5" s="1"/>
      <c r="U5" s="167" t="s">
        <v>4489</v>
      </c>
      <c r="V5" s="167"/>
      <c r="W5" s="167"/>
      <c r="X5" s="167"/>
      <c r="Y5" s="167"/>
      <c r="Z5" s="167"/>
      <c r="AA5" s="167"/>
      <c r="AB5" s="167"/>
      <c r="AC5" s="167"/>
      <c r="AD5" s="167"/>
      <c r="AE5" s="167"/>
      <c r="AF5" s="167"/>
      <c r="AG5" s="6"/>
      <c r="AH5" s="3"/>
      <c r="AI5" s="7"/>
      <c r="AJ5" s="7"/>
    </row>
    <row r="6" spans="1:36" s="14" customFormat="1" ht="84.6" customHeight="1" x14ac:dyDescent="0.3">
      <c r="A6" s="60" t="s">
        <v>8</v>
      </c>
      <c r="B6" s="61" t="s">
        <v>3518</v>
      </c>
      <c r="C6" s="61" t="s">
        <v>3519</v>
      </c>
      <c r="D6" s="61" t="s">
        <v>9</v>
      </c>
      <c r="E6" s="61" t="s">
        <v>10</v>
      </c>
      <c r="F6" s="61" t="s">
        <v>11</v>
      </c>
      <c r="G6" s="62" t="s">
        <v>3523</v>
      </c>
      <c r="H6" s="19" t="s">
        <v>12</v>
      </c>
      <c r="I6" s="19" t="s">
        <v>13</v>
      </c>
      <c r="J6" s="48" t="s">
        <v>14</v>
      </c>
      <c r="K6" s="53" t="s">
        <v>34</v>
      </c>
      <c r="L6" s="81" t="s">
        <v>35</v>
      </c>
      <c r="M6" s="53" t="s">
        <v>40</v>
      </c>
      <c r="N6" s="53" t="s">
        <v>36</v>
      </c>
      <c r="O6" s="53" t="s">
        <v>37</v>
      </c>
      <c r="P6" s="19" t="s">
        <v>15</v>
      </c>
      <c r="Q6" s="19" t="s">
        <v>3522</v>
      </c>
      <c r="R6" s="48" t="s">
        <v>33</v>
      </c>
      <c r="S6" s="81" t="s">
        <v>38</v>
      </c>
      <c r="T6" s="19" t="s">
        <v>39</v>
      </c>
      <c r="U6" s="44" t="s">
        <v>26</v>
      </c>
      <c r="V6" s="45" t="s">
        <v>27</v>
      </c>
      <c r="W6" s="45" t="s">
        <v>16</v>
      </c>
      <c r="X6" s="45" t="s">
        <v>17</v>
      </c>
      <c r="Y6" s="45" t="s">
        <v>18</v>
      </c>
      <c r="Z6" s="45" t="s">
        <v>19</v>
      </c>
      <c r="AA6" s="45" t="s">
        <v>20</v>
      </c>
      <c r="AB6" s="45" t="s">
        <v>28</v>
      </c>
      <c r="AC6" s="45" t="s">
        <v>29</v>
      </c>
      <c r="AD6" s="45" t="s">
        <v>30</v>
      </c>
      <c r="AE6" s="45" t="s">
        <v>31</v>
      </c>
      <c r="AF6" s="45" t="s">
        <v>32</v>
      </c>
      <c r="AG6" s="49" t="s">
        <v>25</v>
      </c>
      <c r="AH6" s="50" t="s">
        <v>24</v>
      </c>
      <c r="AI6" s="51" t="s">
        <v>21</v>
      </c>
      <c r="AJ6" s="52" t="s">
        <v>22</v>
      </c>
    </row>
    <row r="7" spans="1:36" x14ac:dyDescent="0.3">
      <c r="A7" s="63">
        <v>1</v>
      </c>
      <c r="B7" s="102" t="s">
        <v>3520</v>
      </c>
      <c r="C7" s="102" t="s">
        <v>3521</v>
      </c>
      <c r="D7" s="64" t="s">
        <v>119</v>
      </c>
      <c r="E7" s="24" t="s">
        <v>3905</v>
      </c>
      <c r="F7" s="106" t="s">
        <v>3906</v>
      </c>
      <c r="G7" s="127">
        <v>1</v>
      </c>
      <c r="H7" s="106" t="s">
        <v>3907</v>
      </c>
      <c r="I7" s="106"/>
      <c r="J7" s="128" t="s">
        <v>3908</v>
      </c>
      <c r="K7" s="129" t="s">
        <v>3909</v>
      </c>
      <c r="L7" s="129"/>
      <c r="M7" s="129"/>
      <c r="N7" s="129"/>
      <c r="O7" s="129"/>
      <c r="P7" s="123">
        <f>624+7</f>
        <v>631</v>
      </c>
      <c r="Q7" s="123">
        <f>131+4</f>
        <v>135</v>
      </c>
      <c r="R7" s="130"/>
      <c r="S7" s="131">
        <v>0</v>
      </c>
      <c r="T7" s="124">
        <v>0</v>
      </c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6"/>
      <c r="AH7" s="24"/>
      <c r="AI7" s="25"/>
      <c r="AJ7" s="25"/>
    </row>
    <row r="8" spans="1:36" x14ac:dyDescent="0.3">
      <c r="A8" s="63">
        <v>2</v>
      </c>
      <c r="B8" s="102" t="s">
        <v>3520</v>
      </c>
      <c r="C8" s="102" t="s">
        <v>3521</v>
      </c>
      <c r="D8" s="64" t="s">
        <v>119</v>
      </c>
      <c r="E8" s="24" t="s">
        <v>3905</v>
      </c>
      <c r="F8" s="106" t="s">
        <v>3906</v>
      </c>
      <c r="G8" s="127">
        <v>1</v>
      </c>
      <c r="H8" s="106" t="s">
        <v>3907</v>
      </c>
      <c r="I8" s="106"/>
      <c r="J8" s="128" t="s">
        <v>3908</v>
      </c>
      <c r="K8" s="129" t="s">
        <v>3910</v>
      </c>
      <c r="L8" s="129"/>
      <c r="M8" s="129"/>
      <c r="N8" s="129"/>
      <c r="O8" s="129"/>
      <c r="P8" s="123">
        <v>445</v>
      </c>
      <c r="Q8" s="123">
        <v>121</v>
      </c>
      <c r="R8" s="130"/>
      <c r="S8" s="131">
        <v>0</v>
      </c>
      <c r="T8" s="124">
        <v>0</v>
      </c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17"/>
      <c r="AH8" s="24"/>
      <c r="AI8" s="25"/>
      <c r="AJ8" s="25"/>
    </row>
    <row r="9" spans="1:36" x14ac:dyDescent="0.3">
      <c r="A9" s="63">
        <v>3</v>
      </c>
      <c r="B9" s="102" t="s">
        <v>3520</v>
      </c>
      <c r="C9" s="102" t="s">
        <v>3521</v>
      </c>
      <c r="D9" s="64" t="s">
        <v>119</v>
      </c>
      <c r="E9" s="24" t="s">
        <v>3905</v>
      </c>
      <c r="F9" s="106" t="s">
        <v>3906</v>
      </c>
      <c r="G9" s="127">
        <v>1</v>
      </c>
      <c r="H9" s="106" t="s">
        <v>3907</v>
      </c>
      <c r="I9" s="106"/>
      <c r="J9" s="128" t="s">
        <v>3908</v>
      </c>
      <c r="K9" s="132" t="s">
        <v>3911</v>
      </c>
      <c r="L9" s="132"/>
      <c r="M9" s="132"/>
      <c r="N9" s="132"/>
      <c r="O9" s="132"/>
      <c r="P9" s="123">
        <f>1885+5</f>
        <v>1890</v>
      </c>
      <c r="Q9" s="123">
        <f>352+2</f>
        <v>354</v>
      </c>
      <c r="R9" s="130"/>
      <c r="S9" s="131">
        <v>0</v>
      </c>
      <c r="T9" s="124">
        <v>0</v>
      </c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17"/>
      <c r="AH9" s="24"/>
      <c r="AI9" s="25"/>
      <c r="AJ9" s="25"/>
    </row>
    <row r="10" spans="1:36" x14ac:dyDescent="0.3">
      <c r="A10" s="63">
        <v>4</v>
      </c>
      <c r="B10" s="102" t="s">
        <v>3520</v>
      </c>
      <c r="C10" s="102" t="s">
        <v>3521</v>
      </c>
      <c r="D10" s="64" t="s">
        <v>119</v>
      </c>
      <c r="E10" s="24" t="s">
        <v>3905</v>
      </c>
      <c r="F10" s="106" t="s">
        <v>3906</v>
      </c>
      <c r="G10" s="127">
        <v>1</v>
      </c>
      <c r="H10" s="106" t="s">
        <v>3907</v>
      </c>
      <c r="I10" s="106"/>
      <c r="J10" s="128" t="s">
        <v>3908</v>
      </c>
      <c r="K10" s="129" t="s">
        <v>3912</v>
      </c>
      <c r="L10" s="129"/>
      <c r="M10" s="129"/>
      <c r="N10" s="129"/>
      <c r="O10" s="129"/>
      <c r="P10" s="123">
        <v>1136</v>
      </c>
      <c r="Q10" s="123">
        <f>221+20</f>
        <v>241</v>
      </c>
      <c r="R10" s="130"/>
      <c r="S10" s="131">
        <v>0</v>
      </c>
      <c r="T10" s="124">
        <v>0</v>
      </c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17"/>
      <c r="AH10" s="24"/>
      <c r="AI10" s="25"/>
      <c r="AJ10" s="25"/>
    </row>
    <row r="11" spans="1:36" x14ac:dyDescent="0.3">
      <c r="A11" s="63">
        <v>5</v>
      </c>
      <c r="B11" s="102" t="s">
        <v>3520</v>
      </c>
      <c r="C11" s="102" t="s">
        <v>3521</v>
      </c>
      <c r="D11" s="64" t="s">
        <v>119</v>
      </c>
      <c r="E11" s="24" t="s">
        <v>3905</v>
      </c>
      <c r="F11" s="106" t="s">
        <v>3906</v>
      </c>
      <c r="G11" s="127">
        <v>1</v>
      </c>
      <c r="H11" s="106" t="s">
        <v>3907</v>
      </c>
      <c r="I11" s="106"/>
      <c r="J11" s="128" t="s">
        <v>3908</v>
      </c>
      <c r="K11" s="132" t="s">
        <v>3913</v>
      </c>
      <c r="L11" s="132"/>
      <c r="M11" s="132"/>
      <c r="N11" s="132"/>
      <c r="O11" s="132"/>
      <c r="P11" s="123">
        <f>1346+7</f>
        <v>1353</v>
      </c>
      <c r="Q11" s="123">
        <f>247+10</f>
        <v>257</v>
      </c>
      <c r="R11" s="130"/>
      <c r="S11" s="131">
        <v>0</v>
      </c>
      <c r="T11" s="124">
        <v>0</v>
      </c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16"/>
      <c r="AH11" s="24"/>
      <c r="AI11" s="25"/>
      <c r="AJ11" s="25"/>
    </row>
    <row r="12" spans="1:36" x14ac:dyDescent="0.3">
      <c r="A12" s="63">
        <v>6</v>
      </c>
      <c r="B12" s="102" t="s">
        <v>3520</v>
      </c>
      <c r="C12" s="102" t="s">
        <v>3521</v>
      </c>
      <c r="D12" s="64" t="s">
        <v>119</v>
      </c>
      <c r="E12" s="24" t="s">
        <v>3905</v>
      </c>
      <c r="F12" s="106" t="s">
        <v>3906</v>
      </c>
      <c r="G12" s="127">
        <v>1</v>
      </c>
      <c r="H12" s="106" t="s">
        <v>3907</v>
      </c>
      <c r="I12" s="106"/>
      <c r="J12" s="128" t="s">
        <v>3908</v>
      </c>
      <c r="K12" s="129" t="s">
        <v>3914</v>
      </c>
      <c r="L12" s="129"/>
      <c r="M12" s="129"/>
      <c r="N12" s="129"/>
      <c r="O12" s="129"/>
      <c r="P12" s="123">
        <v>843</v>
      </c>
      <c r="Q12" s="123">
        <f>155+1</f>
        <v>156</v>
      </c>
      <c r="R12" s="130"/>
      <c r="S12" s="131">
        <v>0</v>
      </c>
      <c r="T12" s="124">
        <v>0</v>
      </c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17"/>
      <c r="AH12" s="24"/>
      <c r="AI12" s="25"/>
      <c r="AJ12" s="25"/>
    </row>
    <row r="13" spans="1:36" x14ac:dyDescent="0.3">
      <c r="A13" s="63">
        <v>7</v>
      </c>
      <c r="B13" s="102" t="s">
        <v>3520</v>
      </c>
      <c r="C13" s="102" t="s">
        <v>3521</v>
      </c>
      <c r="D13" s="64" t="s">
        <v>119</v>
      </c>
      <c r="E13" s="24" t="s">
        <v>3905</v>
      </c>
      <c r="F13" s="106" t="s">
        <v>3906</v>
      </c>
      <c r="G13" s="133">
        <v>2</v>
      </c>
      <c r="H13" s="38" t="s">
        <v>3915</v>
      </c>
      <c r="I13" s="106"/>
      <c r="J13" s="128" t="s">
        <v>3908</v>
      </c>
      <c r="K13" s="129" t="s">
        <v>3916</v>
      </c>
      <c r="L13" s="129"/>
      <c r="M13" s="129"/>
      <c r="N13" s="129"/>
      <c r="O13" s="129"/>
      <c r="P13" s="123">
        <f>1289+5</f>
        <v>1294</v>
      </c>
      <c r="Q13" s="123">
        <f>270+10</f>
        <v>280</v>
      </c>
      <c r="R13" s="130"/>
      <c r="S13" s="131">
        <v>0</v>
      </c>
      <c r="T13" s="124">
        <v>0</v>
      </c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17"/>
      <c r="AH13" s="24"/>
      <c r="AI13" s="25"/>
      <c r="AJ13" s="25"/>
    </row>
    <row r="14" spans="1:36" x14ac:dyDescent="0.3">
      <c r="A14" s="63">
        <v>8</v>
      </c>
      <c r="B14" s="102" t="s">
        <v>3520</v>
      </c>
      <c r="C14" s="102" t="s">
        <v>3521</v>
      </c>
      <c r="D14" s="64" t="s">
        <v>119</v>
      </c>
      <c r="E14" s="24" t="s">
        <v>3905</v>
      </c>
      <c r="F14" s="106" t="s">
        <v>3906</v>
      </c>
      <c r="G14" s="133">
        <v>2</v>
      </c>
      <c r="H14" s="38" t="s">
        <v>3915</v>
      </c>
      <c r="I14" s="106"/>
      <c r="J14" s="128" t="s">
        <v>3908</v>
      </c>
      <c r="K14" s="129" t="s">
        <v>3718</v>
      </c>
      <c r="L14" s="129"/>
      <c r="M14" s="129"/>
      <c r="N14" s="129"/>
      <c r="O14" s="129"/>
      <c r="P14" s="123">
        <v>392</v>
      </c>
      <c r="Q14" s="123">
        <f>82+10</f>
        <v>92</v>
      </c>
      <c r="R14" s="130"/>
      <c r="S14" s="131">
        <v>0</v>
      </c>
      <c r="T14" s="124">
        <v>0</v>
      </c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16"/>
      <c r="AH14" s="24"/>
      <c r="AI14" s="25"/>
      <c r="AJ14" s="25"/>
    </row>
    <row r="15" spans="1:36" x14ac:dyDescent="0.3">
      <c r="A15" s="63">
        <v>9</v>
      </c>
      <c r="B15" s="102" t="s">
        <v>3520</v>
      </c>
      <c r="C15" s="102" t="s">
        <v>3521</v>
      </c>
      <c r="D15" s="64" t="s">
        <v>119</v>
      </c>
      <c r="E15" s="24" t="s">
        <v>3905</v>
      </c>
      <c r="F15" s="106" t="s">
        <v>3906</v>
      </c>
      <c r="G15" s="133">
        <v>2</v>
      </c>
      <c r="H15" s="38" t="s">
        <v>3915</v>
      </c>
      <c r="I15" s="106"/>
      <c r="J15" s="128" t="s">
        <v>3908</v>
      </c>
      <c r="K15" s="132" t="s">
        <v>3917</v>
      </c>
      <c r="L15" s="129"/>
      <c r="M15" s="132"/>
      <c r="N15" s="132"/>
      <c r="O15" s="132"/>
      <c r="P15" s="123">
        <f>1689+60</f>
        <v>1749</v>
      </c>
      <c r="Q15" s="123">
        <f>313+45</f>
        <v>358</v>
      </c>
      <c r="R15" s="130"/>
      <c r="S15" s="131">
        <v>0</v>
      </c>
      <c r="T15" s="124">
        <v>0</v>
      </c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17"/>
      <c r="AH15" s="24"/>
      <c r="AI15" s="25"/>
      <c r="AJ15" s="25"/>
    </row>
    <row r="16" spans="1:36" x14ac:dyDescent="0.3">
      <c r="A16" s="63">
        <v>10</v>
      </c>
      <c r="B16" s="102" t="s">
        <v>3520</v>
      </c>
      <c r="C16" s="102" t="s">
        <v>3521</v>
      </c>
      <c r="D16" s="64" t="s">
        <v>119</v>
      </c>
      <c r="E16" s="24" t="s">
        <v>3905</v>
      </c>
      <c r="F16" s="106" t="s">
        <v>3906</v>
      </c>
      <c r="G16" s="133">
        <v>2</v>
      </c>
      <c r="H16" s="38" t="s">
        <v>3915</v>
      </c>
      <c r="I16" s="106"/>
      <c r="J16" s="128" t="s">
        <v>3908</v>
      </c>
      <c r="K16" s="129" t="s">
        <v>3743</v>
      </c>
      <c r="L16" s="129"/>
      <c r="M16" s="129"/>
      <c r="N16" s="129"/>
      <c r="O16" s="129"/>
      <c r="P16" s="123">
        <v>584</v>
      </c>
      <c r="Q16" s="123">
        <f>124+10</f>
        <v>134</v>
      </c>
      <c r="R16" s="130"/>
      <c r="S16" s="131">
        <v>0</v>
      </c>
      <c r="T16" s="124">
        <v>0</v>
      </c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17"/>
      <c r="AH16" s="24"/>
      <c r="AI16" s="25"/>
      <c r="AJ16" s="25"/>
    </row>
    <row r="17" spans="1:36" x14ac:dyDescent="0.3">
      <c r="A17" s="63">
        <v>11</v>
      </c>
      <c r="B17" s="102" t="s">
        <v>3520</v>
      </c>
      <c r="C17" s="102" t="s">
        <v>3521</v>
      </c>
      <c r="D17" s="64" t="s">
        <v>119</v>
      </c>
      <c r="E17" s="24" t="s">
        <v>3905</v>
      </c>
      <c r="F17" s="106" t="s">
        <v>3906</v>
      </c>
      <c r="G17" s="133">
        <v>2</v>
      </c>
      <c r="H17" s="38" t="s">
        <v>3918</v>
      </c>
      <c r="I17" s="106"/>
      <c r="J17" s="128" t="s">
        <v>3908</v>
      </c>
      <c r="K17" s="132" t="s">
        <v>3919</v>
      </c>
      <c r="L17" s="132"/>
      <c r="M17" s="132"/>
      <c r="N17" s="132"/>
      <c r="O17" s="132"/>
      <c r="P17" s="123">
        <f>1373+50</f>
        <v>1423</v>
      </c>
      <c r="Q17" s="123">
        <f>283+34</f>
        <v>317</v>
      </c>
      <c r="R17" s="130"/>
      <c r="S17" s="131">
        <v>0</v>
      </c>
      <c r="T17" s="124">
        <v>0</v>
      </c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17"/>
      <c r="AH17" s="24"/>
      <c r="AI17" s="25"/>
      <c r="AJ17" s="25"/>
    </row>
    <row r="18" spans="1:36" x14ac:dyDescent="0.3">
      <c r="A18" s="63">
        <v>12</v>
      </c>
      <c r="B18" s="102" t="s">
        <v>3520</v>
      </c>
      <c r="C18" s="102" t="s">
        <v>3521</v>
      </c>
      <c r="D18" s="64" t="s">
        <v>119</v>
      </c>
      <c r="E18" s="24" t="s">
        <v>3905</v>
      </c>
      <c r="F18" s="106" t="s">
        <v>3906</v>
      </c>
      <c r="G18" s="133">
        <v>2</v>
      </c>
      <c r="H18" s="38" t="s">
        <v>3915</v>
      </c>
      <c r="I18" s="106"/>
      <c r="J18" s="128" t="s">
        <v>3908</v>
      </c>
      <c r="K18" s="129" t="s">
        <v>3920</v>
      </c>
      <c r="L18" s="129"/>
      <c r="M18" s="129"/>
      <c r="N18" s="129"/>
      <c r="O18" s="129"/>
      <c r="P18" s="123">
        <f>829+5</f>
        <v>834</v>
      </c>
      <c r="Q18" s="123">
        <f>168+15</f>
        <v>183</v>
      </c>
      <c r="R18" s="130"/>
      <c r="S18" s="131">
        <v>0</v>
      </c>
      <c r="T18" s="124">
        <v>0</v>
      </c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17"/>
      <c r="AH18" s="24"/>
      <c r="AI18" s="25"/>
      <c r="AJ18" s="25"/>
    </row>
    <row r="19" spans="1:36" x14ac:dyDescent="0.3">
      <c r="A19" s="63">
        <v>13</v>
      </c>
      <c r="B19" s="102" t="s">
        <v>3520</v>
      </c>
      <c r="C19" s="102" t="s">
        <v>3521</v>
      </c>
      <c r="D19" s="64" t="s">
        <v>119</v>
      </c>
      <c r="E19" s="24" t="s">
        <v>3905</v>
      </c>
      <c r="F19" s="106" t="s">
        <v>3906</v>
      </c>
      <c r="G19" s="133">
        <v>2</v>
      </c>
      <c r="H19" s="38" t="s">
        <v>3915</v>
      </c>
      <c r="I19" s="106"/>
      <c r="J19" s="128" t="s">
        <v>3908</v>
      </c>
      <c r="K19" s="132" t="s">
        <v>3921</v>
      </c>
      <c r="L19" s="132"/>
      <c r="M19" s="132"/>
      <c r="N19" s="132"/>
      <c r="O19" s="132"/>
      <c r="P19" s="123">
        <v>410</v>
      </c>
      <c r="Q19" s="123">
        <f>91+5</f>
        <v>96</v>
      </c>
      <c r="R19" s="130"/>
      <c r="S19" s="131">
        <v>0</v>
      </c>
      <c r="T19" s="124">
        <v>0</v>
      </c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17"/>
      <c r="AH19" s="24"/>
      <c r="AI19" s="25"/>
      <c r="AJ19" s="25"/>
    </row>
    <row r="20" spans="1:36" x14ac:dyDescent="0.3">
      <c r="A20" s="63">
        <v>14</v>
      </c>
      <c r="B20" s="102" t="s">
        <v>3520</v>
      </c>
      <c r="C20" s="102" t="s">
        <v>3521</v>
      </c>
      <c r="D20" s="64" t="s">
        <v>119</v>
      </c>
      <c r="E20" s="24" t="s">
        <v>3905</v>
      </c>
      <c r="F20" s="106" t="s">
        <v>3906</v>
      </c>
      <c r="G20" s="133">
        <v>2</v>
      </c>
      <c r="H20" s="38" t="s">
        <v>3915</v>
      </c>
      <c r="I20" s="106"/>
      <c r="J20" s="128" t="s">
        <v>3908</v>
      </c>
      <c r="K20" s="129" t="s">
        <v>3922</v>
      </c>
      <c r="L20" s="129"/>
      <c r="M20" s="129"/>
      <c r="N20" s="129"/>
      <c r="O20" s="129"/>
      <c r="P20" s="123">
        <f>1735+10</f>
        <v>1745</v>
      </c>
      <c r="Q20" s="123">
        <f>356+30</f>
        <v>386</v>
      </c>
      <c r="R20" s="130"/>
      <c r="S20" s="131">
        <v>0</v>
      </c>
      <c r="T20" s="124">
        <v>0</v>
      </c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17"/>
      <c r="AH20" s="24"/>
      <c r="AI20" s="25"/>
      <c r="AJ20" s="25"/>
    </row>
    <row r="21" spans="1:36" x14ac:dyDescent="0.3">
      <c r="A21" s="63">
        <v>15</v>
      </c>
      <c r="B21" s="102" t="s">
        <v>3520</v>
      </c>
      <c r="C21" s="102" t="s">
        <v>3521</v>
      </c>
      <c r="D21" s="64" t="s">
        <v>119</v>
      </c>
      <c r="E21" s="24" t="s">
        <v>3905</v>
      </c>
      <c r="F21" s="106" t="s">
        <v>3906</v>
      </c>
      <c r="G21" s="134">
        <v>3</v>
      </c>
      <c r="H21" s="106" t="s">
        <v>3907</v>
      </c>
      <c r="I21" s="106"/>
      <c r="J21" s="128" t="s">
        <v>3908</v>
      </c>
      <c r="K21" s="129" t="s">
        <v>3923</v>
      </c>
      <c r="L21" s="129"/>
      <c r="M21" s="129"/>
      <c r="N21" s="129"/>
      <c r="O21" s="129"/>
      <c r="P21" s="123">
        <f>1393+7</f>
        <v>1400</v>
      </c>
      <c r="Q21" s="123">
        <f>263+1</f>
        <v>264</v>
      </c>
      <c r="R21" s="130"/>
      <c r="S21" s="131">
        <v>0</v>
      </c>
      <c r="T21" s="124">
        <v>0</v>
      </c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17"/>
      <c r="AH21" s="24"/>
      <c r="AI21" s="25"/>
      <c r="AJ21" s="25"/>
    </row>
    <row r="22" spans="1:36" x14ac:dyDescent="0.3">
      <c r="A22" s="63">
        <v>16</v>
      </c>
      <c r="B22" s="102" t="s">
        <v>3520</v>
      </c>
      <c r="C22" s="102" t="s">
        <v>3521</v>
      </c>
      <c r="D22" s="64" t="s">
        <v>119</v>
      </c>
      <c r="E22" s="24" t="s">
        <v>3905</v>
      </c>
      <c r="F22" s="106" t="s">
        <v>3906</v>
      </c>
      <c r="G22" s="134">
        <v>3</v>
      </c>
      <c r="H22" s="106" t="s">
        <v>3907</v>
      </c>
      <c r="I22" s="106"/>
      <c r="J22" s="128" t="s">
        <v>3908</v>
      </c>
      <c r="K22" s="129" t="s">
        <v>3924</v>
      </c>
      <c r="L22" s="129"/>
      <c r="M22" s="129"/>
      <c r="N22" s="129"/>
      <c r="O22" s="129"/>
      <c r="P22" s="123">
        <v>1073</v>
      </c>
      <c r="Q22" s="123">
        <f>207+9</f>
        <v>216</v>
      </c>
      <c r="R22" s="130"/>
      <c r="S22" s="131">
        <v>0</v>
      </c>
      <c r="T22" s="124">
        <v>0</v>
      </c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17"/>
      <c r="AH22" s="24"/>
      <c r="AI22" s="25"/>
      <c r="AJ22" s="25"/>
    </row>
    <row r="23" spans="1:36" x14ac:dyDescent="0.3">
      <c r="A23" s="63">
        <v>17</v>
      </c>
      <c r="B23" s="102" t="s">
        <v>3520</v>
      </c>
      <c r="C23" s="102" t="s">
        <v>3521</v>
      </c>
      <c r="D23" s="64" t="s">
        <v>119</v>
      </c>
      <c r="E23" s="24" t="s">
        <v>3905</v>
      </c>
      <c r="F23" s="106" t="s">
        <v>3906</v>
      </c>
      <c r="G23" s="134">
        <v>3</v>
      </c>
      <c r="H23" s="106" t="s">
        <v>3907</v>
      </c>
      <c r="I23" s="106"/>
      <c r="J23" s="128" t="s">
        <v>3908</v>
      </c>
      <c r="K23" s="129" t="s">
        <v>3925</v>
      </c>
      <c r="L23" s="129"/>
      <c r="M23" s="129"/>
      <c r="N23" s="129"/>
      <c r="O23" s="129"/>
      <c r="P23" s="123">
        <v>651</v>
      </c>
      <c r="Q23" s="123">
        <f>132+15</f>
        <v>147</v>
      </c>
      <c r="R23" s="130"/>
      <c r="S23" s="131">
        <v>0</v>
      </c>
      <c r="T23" s="124">
        <v>0</v>
      </c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17"/>
      <c r="AH23" s="24"/>
      <c r="AI23" s="25"/>
      <c r="AJ23" s="25"/>
    </row>
    <row r="24" spans="1:36" x14ac:dyDescent="0.3">
      <c r="A24" s="63">
        <v>18</v>
      </c>
      <c r="B24" s="102" t="s">
        <v>3520</v>
      </c>
      <c r="C24" s="102" t="s">
        <v>3521</v>
      </c>
      <c r="D24" s="64" t="s">
        <v>119</v>
      </c>
      <c r="E24" s="24" t="s">
        <v>3905</v>
      </c>
      <c r="F24" s="106" t="s">
        <v>3906</v>
      </c>
      <c r="G24" s="134">
        <v>3</v>
      </c>
      <c r="H24" s="106" t="s">
        <v>3907</v>
      </c>
      <c r="I24" s="106"/>
      <c r="J24" s="128" t="s">
        <v>3908</v>
      </c>
      <c r="K24" s="129" t="s">
        <v>3926</v>
      </c>
      <c r="L24" s="129"/>
      <c r="M24" s="129"/>
      <c r="N24" s="129"/>
      <c r="O24" s="129"/>
      <c r="P24" s="123">
        <v>1740</v>
      </c>
      <c r="Q24" s="123">
        <f>341+20</f>
        <v>361</v>
      </c>
      <c r="R24" s="130"/>
      <c r="S24" s="131">
        <v>0</v>
      </c>
      <c r="T24" s="124">
        <v>0</v>
      </c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17"/>
      <c r="AH24" s="24"/>
      <c r="AI24" s="25"/>
      <c r="AJ24" s="25"/>
    </row>
    <row r="25" spans="1:36" x14ac:dyDescent="0.3">
      <c r="A25" s="63">
        <v>19</v>
      </c>
      <c r="B25" s="102" t="s">
        <v>3520</v>
      </c>
      <c r="C25" s="102" t="s">
        <v>3521</v>
      </c>
      <c r="D25" s="64" t="s">
        <v>119</v>
      </c>
      <c r="E25" s="24" t="s">
        <v>3905</v>
      </c>
      <c r="F25" s="106" t="s">
        <v>3906</v>
      </c>
      <c r="G25" s="134">
        <v>3</v>
      </c>
      <c r="H25" s="106" t="s">
        <v>3907</v>
      </c>
      <c r="I25" s="106"/>
      <c r="J25" s="128" t="s">
        <v>3908</v>
      </c>
      <c r="K25" s="129" t="s">
        <v>3927</v>
      </c>
      <c r="L25" s="129"/>
      <c r="M25" s="129"/>
      <c r="N25" s="129"/>
      <c r="O25" s="129"/>
      <c r="P25" s="123">
        <v>1653</v>
      </c>
      <c r="Q25" s="123">
        <v>336</v>
      </c>
      <c r="R25" s="130"/>
      <c r="S25" s="131">
        <v>0</v>
      </c>
      <c r="T25" s="124">
        <v>0</v>
      </c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17"/>
      <c r="AH25" s="24"/>
      <c r="AI25" s="25"/>
      <c r="AJ25" s="25"/>
    </row>
    <row r="26" spans="1:36" x14ac:dyDescent="0.3">
      <c r="A26" s="63">
        <v>20</v>
      </c>
      <c r="B26" s="102" t="s">
        <v>3520</v>
      </c>
      <c r="C26" s="102" t="s">
        <v>3521</v>
      </c>
      <c r="D26" s="64" t="s">
        <v>119</v>
      </c>
      <c r="E26" s="24" t="s">
        <v>3905</v>
      </c>
      <c r="F26" s="106" t="s">
        <v>3906</v>
      </c>
      <c r="G26" s="134">
        <v>4</v>
      </c>
      <c r="H26" s="38" t="s">
        <v>3915</v>
      </c>
      <c r="I26" s="106"/>
      <c r="J26" s="128" t="s">
        <v>3908</v>
      </c>
      <c r="K26" s="129" t="s">
        <v>3928</v>
      </c>
      <c r="L26" s="129"/>
      <c r="M26" s="129"/>
      <c r="N26" s="129"/>
      <c r="O26" s="129"/>
      <c r="P26" s="123">
        <f>2201+20</f>
        <v>2221</v>
      </c>
      <c r="Q26" s="123">
        <f>560+10</f>
        <v>570</v>
      </c>
      <c r="R26" s="130"/>
      <c r="S26" s="131">
        <v>0</v>
      </c>
      <c r="T26" s="124">
        <v>0</v>
      </c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17"/>
      <c r="AH26" s="24"/>
      <c r="AI26" s="25"/>
      <c r="AJ26" s="25"/>
    </row>
    <row r="27" spans="1:36" x14ac:dyDescent="0.3">
      <c r="A27" s="63">
        <v>21</v>
      </c>
      <c r="B27" s="102" t="s">
        <v>3520</v>
      </c>
      <c r="C27" s="102" t="s">
        <v>3521</v>
      </c>
      <c r="D27" s="64" t="s">
        <v>119</v>
      </c>
      <c r="E27" s="24" t="s">
        <v>3905</v>
      </c>
      <c r="F27" s="106" t="s">
        <v>3906</v>
      </c>
      <c r="G27" s="134">
        <v>4</v>
      </c>
      <c r="H27" s="38" t="s">
        <v>3915</v>
      </c>
      <c r="I27" s="106"/>
      <c r="J27" s="128" t="s">
        <v>3908</v>
      </c>
      <c r="K27" s="129" t="s">
        <v>3929</v>
      </c>
      <c r="L27" s="129"/>
      <c r="M27" s="129"/>
      <c r="N27" s="129"/>
      <c r="O27" s="129"/>
      <c r="P27" s="123">
        <f>337+5</f>
        <v>342</v>
      </c>
      <c r="Q27" s="123">
        <f>60+1</f>
        <v>61</v>
      </c>
      <c r="R27" s="130"/>
      <c r="S27" s="131">
        <v>0</v>
      </c>
      <c r="T27" s="124">
        <v>0</v>
      </c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17"/>
      <c r="AH27" s="24"/>
      <c r="AI27" s="25"/>
      <c r="AJ27" s="25"/>
    </row>
    <row r="28" spans="1:36" x14ac:dyDescent="0.3">
      <c r="A28" s="63">
        <v>22</v>
      </c>
      <c r="B28" s="102" t="s">
        <v>3520</v>
      </c>
      <c r="C28" s="102" t="s">
        <v>3521</v>
      </c>
      <c r="D28" s="64" t="s">
        <v>119</v>
      </c>
      <c r="E28" s="24" t="s">
        <v>3905</v>
      </c>
      <c r="F28" s="106" t="s">
        <v>3906</v>
      </c>
      <c r="G28" s="134">
        <v>4</v>
      </c>
      <c r="H28" s="38" t="s">
        <v>3915</v>
      </c>
      <c r="I28" s="106"/>
      <c r="J28" s="128" t="s">
        <v>3908</v>
      </c>
      <c r="K28" s="132" t="s">
        <v>3930</v>
      </c>
      <c r="L28" s="132"/>
      <c r="M28" s="132"/>
      <c r="N28" s="132"/>
      <c r="O28" s="132"/>
      <c r="P28" s="123">
        <f>1641+11</f>
        <v>1652</v>
      </c>
      <c r="Q28" s="123">
        <f>372+20</f>
        <v>392</v>
      </c>
      <c r="R28" s="130"/>
      <c r="S28" s="131">
        <v>0</v>
      </c>
      <c r="T28" s="124">
        <v>0</v>
      </c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17"/>
      <c r="AH28" s="24"/>
      <c r="AI28" s="25"/>
      <c r="AJ28" s="25"/>
    </row>
    <row r="29" spans="1:36" x14ac:dyDescent="0.3">
      <c r="A29" s="63">
        <v>23</v>
      </c>
      <c r="B29" s="102" t="s">
        <v>3520</v>
      </c>
      <c r="C29" s="102" t="s">
        <v>3521</v>
      </c>
      <c r="D29" s="64" t="s">
        <v>119</v>
      </c>
      <c r="E29" s="24" t="s">
        <v>3905</v>
      </c>
      <c r="F29" s="106" t="s">
        <v>3906</v>
      </c>
      <c r="G29" s="134">
        <v>4</v>
      </c>
      <c r="H29" s="38" t="s">
        <v>3915</v>
      </c>
      <c r="I29" s="106"/>
      <c r="J29" s="128" t="s">
        <v>3908</v>
      </c>
      <c r="K29" s="129" t="s">
        <v>3608</v>
      </c>
      <c r="L29" s="129"/>
      <c r="M29" s="129"/>
      <c r="N29" s="129"/>
      <c r="O29" s="129"/>
      <c r="P29" s="123">
        <f>1593+30</f>
        <v>1623</v>
      </c>
      <c r="Q29" s="123">
        <f>264+15</f>
        <v>279</v>
      </c>
      <c r="R29" s="130"/>
      <c r="S29" s="131">
        <v>0</v>
      </c>
      <c r="T29" s="124">
        <v>0</v>
      </c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17"/>
      <c r="AH29" s="24"/>
      <c r="AI29" s="25"/>
      <c r="AJ29" s="25"/>
    </row>
    <row r="30" spans="1:36" x14ac:dyDescent="0.3">
      <c r="A30" s="63">
        <v>24</v>
      </c>
      <c r="B30" s="102" t="s">
        <v>3520</v>
      </c>
      <c r="C30" s="102" t="s">
        <v>3521</v>
      </c>
      <c r="D30" s="64" t="s">
        <v>119</v>
      </c>
      <c r="E30" s="24" t="s">
        <v>3905</v>
      </c>
      <c r="F30" s="106" t="s">
        <v>3906</v>
      </c>
      <c r="G30" s="134">
        <v>4</v>
      </c>
      <c r="H30" s="38" t="s">
        <v>3931</v>
      </c>
      <c r="I30" s="106"/>
      <c r="J30" s="128" t="s">
        <v>3908</v>
      </c>
      <c r="K30" s="129" t="s">
        <v>3932</v>
      </c>
      <c r="L30" s="129"/>
      <c r="M30" s="129"/>
      <c r="N30" s="129"/>
      <c r="O30" s="129"/>
      <c r="P30" s="123">
        <f>1502+14</f>
        <v>1516</v>
      </c>
      <c r="Q30" s="123">
        <f>307+9</f>
        <v>316</v>
      </c>
      <c r="R30" s="130"/>
      <c r="S30" s="131">
        <v>0</v>
      </c>
      <c r="T30" s="124">
        <v>0</v>
      </c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17"/>
      <c r="AH30" s="24"/>
      <c r="AI30" s="25"/>
      <c r="AJ30" s="25"/>
    </row>
    <row r="31" spans="1:36" x14ac:dyDescent="0.3">
      <c r="A31" s="63">
        <v>25</v>
      </c>
      <c r="B31" s="102" t="s">
        <v>3520</v>
      </c>
      <c r="C31" s="102" t="s">
        <v>3521</v>
      </c>
      <c r="D31" s="64" t="s">
        <v>119</v>
      </c>
      <c r="E31" s="24" t="s">
        <v>3905</v>
      </c>
      <c r="F31" s="106" t="s">
        <v>3906</v>
      </c>
      <c r="G31" s="134">
        <v>5</v>
      </c>
      <c r="H31" s="38" t="s">
        <v>3915</v>
      </c>
      <c r="I31" s="106"/>
      <c r="J31" s="128" t="s">
        <v>3908</v>
      </c>
      <c r="K31" s="132" t="s">
        <v>3933</v>
      </c>
      <c r="L31" s="132"/>
      <c r="M31" s="132"/>
      <c r="N31" s="132"/>
      <c r="O31" s="132"/>
      <c r="P31" s="123">
        <f>3830+60</f>
        <v>3890</v>
      </c>
      <c r="Q31" s="123">
        <f>798+45</f>
        <v>843</v>
      </c>
      <c r="R31" s="130"/>
      <c r="S31" s="131">
        <v>0</v>
      </c>
      <c r="T31" s="124">
        <v>0</v>
      </c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17"/>
      <c r="AH31" s="24"/>
      <c r="AI31" s="25"/>
      <c r="AJ31" s="25"/>
    </row>
    <row r="32" spans="1:36" x14ac:dyDescent="0.3">
      <c r="A32" s="63">
        <v>26</v>
      </c>
      <c r="B32" s="102" t="s">
        <v>3520</v>
      </c>
      <c r="C32" s="102" t="s">
        <v>3521</v>
      </c>
      <c r="D32" s="64" t="s">
        <v>119</v>
      </c>
      <c r="E32" s="24" t="s">
        <v>3905</v>
      </c>
      <c r="F32" s="106" t="s">
        <v>3906</v>
      </c>
      <c r="G32" s="134">
        <v>5</v>
      </c>
      <c r="H32" s="38" t="s">
        <v>3918</v>
      </c>
      <c r="I32" s="106"/>
      <c r="J32" s="128" t="s">
        <v>3908</v>
      </c>
      <c r="K32" s="132" t="s">
        <v>3934</v>
      </c>
      <c r="L32" s="132"/>
      <c r="M32" s="132"/>
      <c r="N32" s="132"/>
      <c r="O32" s="132"/>
      <c r="P32" s="123">
        <v>1077</v>
      </c>
      <c r="Q32" s="123">
        <v>214</v>
      </c>
      <c r="R32" s="130"/>
      <c r="S32" s="131">
        <v>0</v>
      </c>
      <c r="T32" s="124">
        <v>0</v>
      </c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17"/>
      <c r="AH32" s="24"/>
      <c r="AI32" s="25"/>
      <c r="AJ32" s="25"/>
    </row>
    <row r="33" spans="1:36" x14ac:dyDescent="0.3">
      <c r="A33" s="63">
        <v>27</v>
      </c>
      <c r="B33" s="102" t="s">
        <v>3520</v>
      </c>
      <c r="C33" s="102" t="s">
        <v>3521</v>
      </c>
      <c r="D33" s="64" t="s">
        <v>119</v>
      </c>
      <c r="E33" s="24" t="s">
        <v>3905</v>
      </c>
      <c r="F33" s="106" t="s">
        <v>3906</v>
      </c>
      <c r="G33" s="134">
        <v>5</v>
      </c>
      <c r="H33" s="38" t="s">
        <v>3918</v>
      </c>
      <c r="I33" s="106"/>
      <c r="J33" s="128" t="s">
        <v>3908</v>
      </c>
      <c r="K33" s="129" t="s">
        <v>3935</v>
      </c>
      <c r="L33" s="129"/>
      <c r="M33" s="129"/>
      <c r="N33" s="129"/>
      <c r="O33" s="129"/>
      <c r="P33" s="123">
        <f>3047+20</f>
        <v>3067</v>
      </c>
      <c r="Q33" s="123">
        <f>735+20</f>
        <v>755</v>
      </c>
      <c r="R33" s="130"/>
      <c r="S33" s="131">
        <v>0</v>
      </c>
      <c r="T33" s="124">
        <v>0</v>
      </c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17"/>
      <c r="AH33" s="24"/>
      <c r="AI33" s="25"/>
      <c r="AJ33" s="25"/>
    </row>
    <row r="34" spans="1:36" x14ac:dyDescent="0.3">
      <c r="A34" s="63">
        <v>28</v>
      </c>
      <c r="B34" s="102" t="s">
        <v>3520</v>
      </c>
      <c r="C34" s="102" t="s">
        <v>3521</v>
      </c>
      <c r="D34" s="64" t="s">
        <v>119</v>
      </c>
      <c r="E34" s="24" t="s">
        <v>3905</v>
      </c>
      <c r="F34" s="106" t="s">
        <v>3906</v>
      </c>
      <c r="G34" s="134">
        <v>5</v>
      </c>
      <c r="H34" s="38" t="s">
        <v>3918</v>
      </c>
      <c r="I34" s="106"/>
      <c r="J34" s="128" t="s">
        <v>3908</v>
      </c>
      <c r="K34" s="132" t="s">
        <v>3936</v>
      </c>
      <c r="L34" s="132"/>
      <c r="M34" s="132"/>
      <c r="N34" s="132"/>
      <c r="O34" s="132"/>
      <c r="P34" s="123">
        <f>848+10</f>
        <v>858</v>
      </c>
      <c r="Q34" s="123">
        <f>176+10</f>
        <v>186</v>
      </c>
      <c r="R34" s="130"/>
      <c r="S34" s="131">
        <v>0</v>
      </c>
      <c r="T34" s="124">
        <v>0</v>
      </c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17"/>
      <c r="AH34" s="24"/>
      <c r="AI34" s="25"/>
      <c r="AJ34" s="25"/>
    </row>
    <row r="35" spans="1:36" x14ac:dyDescent="0.3">
      <c r="A35" s="63">
        <v>29</v>
      </c>
      <c r="B35" s="102" t="s">
        <v>3520</v>
      </c>
      <c r="C35" s="102" t="s">
        <v>3521</v>
      </c>
      <c r="D35" s="64" t="s">
        <v>119</v>
      </c>
      <c r="E35" s="24" t="s">
        <v>3905</v>
      </c>
      <c r="F35" s="106" t="s">
        <v>3906</v>
      </c>
      <c r="G35" s="134">
        <v>6</v>
      </c>
      <c r="H35" s="38" t="s">
        <v>3918</v>
      </c>
      <c r="I35" s="106"/>
      <c r="J35" s="128" t="s">
        <v>3908</v>
      </c>
      <c r="K35" s="132" t="s">
        <v>3937</v>
      </c>
      <c r="L35" s="132"/>
      <c r="M35" s="132"/>
      <c r="N35" s="132"/>
      <c r="O35" s="132"/>
      <c r="P35" s="123">
        <v>3330</v>
      </c>
      <c r="Q35" s="123">
        <v>743</v>
      </c>
      <c r="R35" s="130"/>
      <c r="S35" s="131">
        <v>0</v>
      </c>
      <c r="T35" s="124">
        <v>0</v>
      </c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17"/>
      <c r="AH35" s="24"/>
      <c r="AI35" s="29"/>
      <c r="AJ35" s="29"/>
    </row>
    <row r="36" spans="1:36" x14ac:dyDescent="0.3">
      <c r="A36" s="63">
        <v>30</v>
      </c>
      <c r="B36" s="102" t="s">
        <v>3520</v>
      </c>
      <c r="C36" s="102" t="s">
        <v>3521</v>
      </c>
      <c r="D36" s="64" t="s">
        <v>119</v>
      </c>
      <c r="E36" s="24" t="s">
        <v>3905</v>
      </c>
      <c r="F36" s="106" t="s">
        <v>3906</v>
      </c>
      <c r="G36" s="134">
        <v>6</v>
      </c>
      <c r="H36" s="38" t="s">
        <v>3918</v>
      </c>
      <c r="I36" s="106"/>
      <c r="J36" s="128" t="s">
        <v>3908</v>
      </c>
      <c r="K36" s="132" t="s">
        <v>3938</v>
      </c>
      <c r="L36" s="132"/>
      <c r="M36" s="132"/>
      <c r="N36" s="132"/>
      <c r="O36" s="132"/>
      <c r="P36" s="123">
        <f>1745+60</f>
        <v>1805</v>
      </c>
      <c r="Q36" s="123">
        <f>350+20</f>
        <v>370</v>
      </c>
      <c r="R36" s="130"/>
      <c r="S36" s="131">
        <v>0</v>
      </c>
      <c r="T36" s="124">
        <v>0</v>
      </c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17"/>
      <c r="AH36" s="24"/>
      <c r="AI36" s="30"/>
      <c r="AJ36" s="30"/>
    </row>
    <row r="37" spans="1:36" x14ac:dyDescent="0.3">
      <c r="A37" s="63">
        <v>31</v>
      </c>
      <c r="B37" s="102" t="s">
        <v>3520</v>
      </c>
      <c r="C37" s="102" t="s">
        <v>3521</v>
      </c>
      <c r="D37" s="64" t="s">
        <v>119</v>
      </c>
      <c r="E37" s="24" t="s">
        <v>3905</v>
      </c>
      <c r="F37" s="106" t="s">
        <v>3906</v>
      </c>
      <c r="G37" s="133">
        <v>7</v>
      </c>
      <c r="H37" s="38" t="s">
        <v>3918</v>
      </c>
      <c r="I37" s="106"/>
      <c r="J37" s="128" t="s">
        <v>3908</v>
      </c>
      <c r="K37" s="132" t="s">
        <v>3939</v>
      </c>
      <c r="L37" s="132"/>
      <c r="M37" s="132"/>
      <c r="N37" s="132"/>
      <c r="O37" s="132"/>
      <c r="P37" s="123">
        <f>1074+55</f>
        <v>1129</v>
      </c>
      <c r="Q37" s="123">
        <f>221+15</f>
        <v>236</v>
      </c>
      <c r="R37" s="130"/>
      <c r="S37" s="131">
        <v>0</v>
      </c>
      <c r="T37" s="124">
        <v>0</v>
      </c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17"/>
      <c r="AH37" s="24"/>
      <c r="AI37" s="31"/>
      <c r="AJ37" s="31"/>
    </row>
    <row r="38" spans="1:36" x14ac:dyDescent="0.3">
      <c r="A38" s="63">
        <v>32</v>
      </c>
      <c r="B38" s="102" t="s">
        <v>3520</v>
      </c>
      <c r="C38" s="102" t="s">
        <v>3521</v>
      </c>
      <c r="D38" s="64" t="s">
        <v>119</v>
      </c>
      <c r="E38" s="24" t="s">
        <v>3905</v>
      </c>
      <c r="F38" s="106" t="s">
        <v>3906</v>
      </c>
      <c r="G38" s="133">
        <v>7</v>
      </c>
      <c r="H38" s="38" t="s">
        <v>3918</v>
      </c>
      <c r="I38" s="106"/>
      <c r="J38" s="128" t="s">
        <v>3908</v>
      </c>
      <c r="K38" s="132" t="s">
        <v>3940</v>
      </c>
      <c r="L38" s="132"/>
      <c r="M38" s="132"/>
      <c r="N38" s="132"/>
      <c r="O38" s="132"/>
      <c r="P38" s="123">
        <v>1154</v>
      </c>
      <c r="Q38" s="123">
        <v>273</v>
      </c>
      <c r="R38" s="130"/>
      <c r="S38" s="131">
        <v>0</v>
      </c>
      <c r="T38" s="124">
        <v>0</v>
      </c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17"/>
      <c r="AH38" s="24"/>
      <c r="AI38" s="31"/>
      <c r="AJ38" s="31"/>
    </row>
    <row r="39" spans="1:36" x14ac:dyDescent="0.3">
      <c r="A39" s="63">
        <v>33</v>
      </c>
      <c r="B39" s="102" t="s">
        <v>3520</v>
      </c>
      <c r="C39" s="102" t="s">
        <v>3521</v>
      </c>
      <c r="D39" s="64" t="s">
        <v>119</v>
      </c>
      <c r="E39" s="24" t="s">
        <v>3905</v>
      </c>
      <c r="F39" s="106" t="s">
        <v>3906</v>
      </c>
      <c r="G39" s="133">
        <v>7</v>
      </c>
      <c r="H39" s="38" t="s">
        <v>3918</v>
      </c>
      <c r="I39" s="106"/>
      <c r="J39" s="128" t="s">
        <v>3908</v>
      </c>
      <c r="K39" s="132" t="s">
        <v>3941</v>
      </c>
      <c r="L39" s="132"/>
      <c r="M39" s="132"/>
      <c r="N39" s="132"/>
      <c r="O39" s="132"/>
      <c r="P39" s="123">
        <f>1207+52</f>
        <v>1259</v>
      </c>
      <c r="Q39" s="123">
        <f>296+10</f>
        <v>306</v>
      </c>
      <c r="R39" s="130"/>
      <c r="S39" s="131">
        <v>0</v>
      </c>
      <c r="T39" s="124">
        <v>0</v>
      </c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17"/>
      <c r="AH39" s="24"/>
      <c r="AI39" s="29"/>
      <c r="AJ39" s="29"/>
    </row>
    <row r="40" spans="1:36" x14ac:dyDescent="0.3">
      <c r="A40" s="63">
        <v>34</v>
      </c>
      <c r="B40" s="102" t="s">
        <v>3520</v>
      </c>
      <c r="C40" s="102" t="s">
        <v>3521</v>
      </c>
      <c r="D40" s="64" t="s">
        <v>119</v>
      </c>
      <c r="E40" s="24" t="s">
        <v>3905</v>
      </c>
      <c r="F40" s="106" t="s">
        <v>3906</v>
      </c>
      <c r="G40" s="133">
        <v>7</v>
      </c>
      <c r="H40" s="38" t="s">
        <v>3918</v>
      </c>
      <c r="I40" s="106"/>
      <c r="J40" s="128" t="s">
        <v>3908</v>
      </c>
      <c r="K40" s="132" t="s">
        <v>3942</v>
      </c>
      <c r="L40" s="132"/>
      <c r="M40" s="132"/>
      <c r="N40" s="132"/>
      <c r="O40" s="132"/>
      <c r="P40" s="123">
        <v>2037</v>
      </c>
      <c r="Q40" s="123">
        <v>437</v>
      </c>
      <c r="R40" s="130"/>
      <c r="S40" s="131">
        <v>0</v>
      </c>
      <c r="T40" s="124">
        <v>0</v>
      </c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17"/>
      <c r="AH40" s="24"/>
      <c r="AI40" s="29"/>
      <c r="AJ40" s="29"/>
    </row>
    <row r="41" spans="1:36" x14ac:dyDescent="0.3">
      <c r="A41" s="63">
        <v>35</v>
      </c>
      <c r="B41" s="102" t="s">
        <v>3520</v>
      </c>
      <c r="C41" s="102" t="s">
        <v>3521</v>
      </c>
      <c r="D41" s="64" t="s">
        <v>119</v>
      </c>
      <c r="E41" s="24" t="s">
        <v>3905</v>
      </c>
      <c r="F41" s="106" t="s">
        <v>3906</v>
      </c>
      <c r="G41" s="133">
        <v>7</v>
      </c>
      <c r="H41" s="38" t="s">
        <v>3918</v>
      </c>
      <c r="I41" s="106"/>
      <c r="J41" s="128" t="s">
        <v>3908</v>
      </c>
      <c r="K41" s="132" t="s">
        <v>3943</v>
      </c>
      <c r="L41" s="132"/>
      <c r="M41" s="132"/>
      <c r="N41" s="132"/>
      <c r="O41" s="132"/>
      <c r="P41" s="123">
        <v>691</v>
      </c>
      <c r="Q41" s="123">
        <f>133+10</f>
        <v>143</v>
      </c>
      <c r="R41" s="130"/>
      <c r="S41" s="131">
        <v>0</v>
      </c>
      <c r="T41" s="124">
        <v>0</v>
      </c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17"/>
      <c r="AH41" s="24"/>
      <c r="AI41" s="25"/>
      <c r="AJ41" s="25"/>
    </row>
    <row r="42" spans="1:36" x14ac:dyDescent="0.3">
      <c r="A42" s="63">
        <v>36</v>
      </c>
      <c r="B42" s="102" t="s">
        <v>3520</v>
      </c>
      <c r="C42" s="102" t="s">
        <v>3521</v>
      </c>
      <c r="D42" s="64" t="s">
        <v>119</v>
      </c>
      <c r="E42" s="24" t="s">
        <v>3905</v>
      </c>
      <c r="F42" s="106" t="s">
        <v>3906</v>
      </c>
      <c r="G42" s="133">
        <v>7</v>
      </c>
      <c r="H42" s="38" t="s">
        <v>3918</v>
      </c>
      <c r="I42" s="106"/>
      <c r="J42" s="128" t="s">
        <v>3908</v>
      </c>
      <c r="K42" s="132" t="s">
        <v>3944</v>
      </c>
      <c r="L42" s="132"/>
      <c r="M42" s="132"/>
      <c r="N42" s="132"/>
      <c r="O42" s="132"/>
      <c r="P42" s="123">
        <v>2431</v>
      </c>
      <c r="Q42" s="123">
        <v>530</v>
      </c>
      <c r="R42" s="130"/>
      <c r="S42" s="131">
        <v>0</v>
      </c>
      <c r="T42" s="124">
        <v>0</v>
      </c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17"/>
      <c r="AH42" s="24"/>
      <c r="AI42" s="25"/>
      <c r="AJ42" s="25"/>
    </row>
    <row r="43" spans="1:36" x14ac:dyDescent="0.3">
      <c r="A43" s="63">
        <v>37</v>
      </c>
      <c r="B43" s="102" t="s">
        <v>3520</v>
      </c>
      <c r="C43" s="102" t="s">
        <v>3521</v>
      </c>
      <c r="D43" s="64" t="s">
        <v>119</v>
      </c>
      <c r="E43" s="24" t="s">
        <v>3905</v>
      </c>
      <c r="F43" s="106" t="s">
        <v>3906</v>
      </c>
      <c r="G43" s="133">
        <v>7</v>
      </c>
      <c r="H43" s="38" t="s">
        <v>3931</v>
      </c>
      <c r="I43" s="106"/>
      <c r="J43" s="128" t="s">
        <v>3908</v>
      </c>
      <c r="K43" s="132" t="s">
        <v>3945</v>
      </c>
      <c r="L43" s="132"/>
      <c r="M43" s="132"/>
      <c r="N43" s="132"/>
      <c r="O43" s="132"/>
      <c r="P43" s="123">
        <v>939</v>
      </c>
      <c r="Q43" s="123">
        <v>209</v>
      </c>
      <c r="R43" s="130"/>
      <c r="S43" s="131">
        <v>0</v>
      </c>
      <c r="T43" s="124">
        <v>0</v>
      </c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17"/>
      <c r="AH43" s="24"/>
      <c r="AI43" s="25"/>
      <c r="AJ43" s="25"/>
    </row>
    <row r="44" spans="1:36" x14ac:dyDescent="0.3">
      <c r="A44" s="63">
        <v>38</v>
      </c>
      <c r="B44" s="102" t="s">
        <v>3520</v>
      </c>
      <c r="C44" s="102" t="s">
        <v>3521</v>
      </c>
      <c r="D44" s="64" t="s">
        <v>119</v>
      </c>
      <c r="E44" s="24" t="s">
        <v>3905</v>
      </c>
      <c r="F44" s="106" t="s">
        <v>3906</v>
      </c>
      <c r="G44" s="134">
        <v>8</v>
      </c>
      <c r="H44" s="38" t="s">
        <v>3931</v>
      </c>
      <c r="I44" s="106"/>
      <c r="J44" s="128" t="s">
        <v>3908</v>
      </c>
      <c r="K44" s="132" t="s">
        <v>3946</v>
      </c>
      <c r="L44" s="132"/>
      <c r="M44" s="132"/>
      <c r="N44" s="132"/>
      <c r="O44" s="132"/>
      <c r="P44" s="123">
        <f>2712+5</f>
        <v>2717</v>
      </c>
      <c r="Q44" s="123">
        <f>522+3</f>
        <v>525</v>
      </c>
      <c r="R44" s="130"/>
      <c r="S44" s="131">
        <v>0</v>
      </c>
      <c r="T44" s="124">
        <v>0</v>
      </c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17"/>
      <c r="AH44" s="24"/>
      <c r="AI44" s="32"/>
      <c r="AJ44" s="32"/>
    </row>
    <row r="45" spans="1:36" x14ac:dyDescent="0.3">
      <c r="A45" s="63">
        <v>39</v>
      </c>
      <c r="B45" s="102" t="s">
        <v>3520</v>
      </c>
      <c r="C45" s="102" t="s">
        <v>3521</v>
      </c>
      <c r="D45" s="64" t="s">
        <v>119</v>
      </c>
      <c r="E45" s="24" t="s">
        <v>3905</v>
      </c>
      <c r="F45" s="106" t="s">
        <v>3906</v>
      </c>
      <c r="G45" s="134">
        <v>8</v>
      </c>
      <c r="H45" s="38" t="s">
        <v>3931</v>
      </c>
      <c r="I45" s="106"/>
      <c r="J45" s="128" t="s">
        <v>3908</v>
      </c>
      <c r="K45" s="132" t="s">
        <v>3947</v>
      </c>
      <c r="L45" s="132"/>
      <c r="M45" s="132"/>
      <c r="N45" s="132"/>
      <c r="O45" s="132"/>
      <c r="P45" s="123">
        <v>946</v>
      </c>
      <c r="Q45" s="123">
        <v>210</v>
      </c>
      <c r="R45" s="130"/>
      <c r="S45" s="135">
        <v>137</v>
      </c>
      <c r="T45" s="124">
        <v>155</v>
      </c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17"/>
      <c r="AH45" s="24"/>
      <c r="AI45" s="33"/>
      <c r="AJ45" s="33"/>
    </row>
    <row r="46" spans="1:36" x14ac:dyDescent="0.3">
      <c r="A46" s="63">
        <v>40</v>
      </c>
      <c r="B46" s="102" t="s">
        <v>3520</v>
      </c>
      <c r="C46" s="102" t="s">
        <v>3521</v>
      </c>
      <c r="D46" s="64" t="s">
        <v>119</v>
      </c>
      <c r="E46" s="24" t="s">
        <v>3905</v>
      </c>
      <c r="F46" s="106" t="s">
        <v>3906</v>
      </c>
      <c r="G46" s="134">
        <v>8</v>
      </c>
      <c r="H46" s="38" t="s">
        <v>3931</v>
      </c>
      <c r="I46" s="106"/>
      <c r="J46" s="128" t="s">
        <v>3908</v>
      </c>
      <c r="K46" s="132" t="s">
        <v>3948</v>
      </c>
      <c r="L46" s="132"/>
      <c r="M46" s="132"/>
      <c r="N46" s="132"/>
      <c r="O46" s="132"/>
      <c r="P46" s="123">
        <v>2533</v>
      </c>
      <c r="Q46" s="123">
        <v>548</v>
      </c>
      <c r="R46" s="130"/>
      <c r="S46" s="135">
        <v>129</v>
      </c>
      <c r="T46" s="124">
        <v>142</v>
      </c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17"/>
      <c r="AH46" s="24"/>
      <c r="AI46" s="33"/>
      <c r="AJ46" s="33"/>
    </row>
    <row r="47" spans="1:36" x14ac:dyDescent="0.3">
      <c r="A47" s="63">
        <v>41</v>
      </c>
      <c r="B47" s="102" t="s">
        <v>3520</v>
      </c>
      <c r="C47" s="102" t="s">
        <v>3521</v>
      </c>
      <c r="D47" s="64" t="s">
        <v>119</v>
      </c>
      <c r="E47" s="24" t="s">
        <v>3905</v>
      </c>
      <c r="F47" s="106" t="s">
        <v>3906</v>
      </c>
      <c r="G47" s="134">
        <v>8</v>
      </c>
      <c r="H47" s="38" t="s">
        <v>3931</v>
      </c>
      <c r="I47" s="106"/>
      <c r="J47" s="128" t="s">
        <v>3908</v>
      </c>
      <c r="K47" s="129" t="s">
        <v>3949</v>
      </c>
      <c r="L47" s="129"/>
      <c r="M47" s="129"/>
      <c r="N47" s="129"/>
      <c r="O47" s="129"/>
      <c r="P47" s="123">
        <v>585</v>
      </c>
      <c r="Q47" s="123">
        <v>140</v>
      </c>
      <c r="R47" s="130"/>
      <c r="S47" s="135">
        <v>0</v>
      </c>
      <c r="T47" s="124">
        <v>0</v>
      </c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17"/>
      <c r="AH47" s="24"/>
      <c r="AI47" s="33"/>
      <c r="AJ47" s="33"/>
    </row>
    <row r="48" spans="1:36" x14ac:dyDescent="0.3">
      <c r="A48" s="63">
        <v>42</v>
      </c>
      <c r="B48" s="102" t="s">
        <v>3520</v>
      </c>
      <c r="C48" s="102" t="s">
        <v>3521</v>
      </c>
      <c r="D48" s="64" t="s">
        <v>119</v>
      </c>
      <c r="E48" s="24" t="s">
        <v>3905</v>
      </c>
      <c r="F48" s="106" t="s">
        <v>3906</v>
      </c>
      <c r="G48" s="134">
        <v>9</v>
      </c>
      <c r="H48" s="38" t="s">
        <v>3931</v>
      </c>
      <c r="I48" s="106"/>
      <c r="J48" s="128" t="s">
        <v>3908</v>
      </c>
      <c r="K48" s="132" t="s">
        <v>3627</v>
      </c>
      <c r="L48" s="132"/>
      <c r="M48" s="132"/>
      <c r="N48" s="132"/>
      <c r="O48" s="132"/>
      <c r="P48" s="123">
        <v>2447</v>
      </c>
      <c r="Q48" s="123">
        <v>525</v>
      </c>
      <c r="R48" s="130"/>
      <c r="S48" s="135">
        <v>0</v>
      </c>
      <c r="T48" s="124">
        <v>0</v>
      </c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4"/>
      <c r="AH48" s="24"/>
      <c r="AI48" s="35"/>
      <c r="AJ48" s="35"/>
    </row>
    <row r="49" spans="1:36" x14ac:dyDescent="0.3">
      <c r="A49" s="63">
        <v>43</v>
      </c>
      <c r="B49" s="102" t="s">
        <v>3520</v>
      </c>
      <c r="C49" s="102" t="s">
        <v>3521</v>
      </c>
      <c r="D49" s="64" t="s">
        <v>119</v>
      </c>
      <c r="E49" s="24" t="s">
        <v>3905</v>
      </c>
      <c r="F49" s="106" t="s">
        <v>3906</v>
      </c>
      <c r="G49" s="134">
        <v>9</v>
      </c>
      <c r="H49" s="38" t="s">
        <v>3931</v>
      </c>
      <c r="I49" s="106"/>
      <c r="J49" s="128" t="s">
        <v>3908</v>
      </c>
      <c r="K49" s="136" t="s">
        <v>3950</v>
      </c>
      <c r="L49" s="136"/>
      <c r="M49" s="136"/>
      <c r="N49" s="136"/>
      <c r="O49" s="136"/>
      <c r="P49" s="123">
        <v>4392</v>
      </c>
      <c r="Q49" s="123">
        <v>1218</v>
      </c>
      <c r="R49" s="130"/>
      <c r="S49" s="135">
        <v>121</v>
      </c>
      <c r="T49" s="124">
        <v>152</v>
      </c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17"/>
      <c r="AH49" s="24"/>
      <c r="AI49" s="33"/>
      <c r="AJ49" s="33"/>
    </row>
    <row r="50" spans="1:36" x14ac:dyDescent="0.3">
      <c r="A50" s="63">
        <v>44</v>
      </c>
      <c r="B50" s="102" t="s">
        <v>3520</v>
      </c>
      <c r="C50" s="102" t="s">
        <v>3521</v>
      </c>
      <c r="D50" s="64" t="s">
        <v>119</v>
      </c>
      <c r="E50" s="24" t="s">
        <v>3905</v>
      </c>
      <c r="F50" s="38" t="s">
        <v>3951</v>
      </c>
      <c r="G50" s="108">
        <v>1</v>
      </c>
      <c r="H50" s="38" t="s">
        <v>3952</v>
      </c>
      <c r="I50" s="106"/>
      <c r="J50" s="128" t="s">
        <v>3908</v>
      </c>
      <c r="K50" s="132" t="s">
        <v>121</v>
      </c>
      <c r="L50" s="132"/>
      <c r="M50" s="132"/>
      <c r="N50" s="132"/>
      <c r="O50" s="132"/>
      <c r="P50" s="123">
        <v>1582</v>
      </c>
      <c r="Q50" s="123">
        <v>391</v>
      </c>
      <c r="R50" s="130"/>
      <c r="S50" s="135">
        <v>52</v>
      </c>
      <c r="T50" s="123">
        <v>55</v>
      </c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17"/>
      <c r="AH50" s="24"/>
      <c r="AI50" s="33"/>
      <c r="AJ50" s="33"/>
    </row>
    <row r="51" spans="1:36" x14ac:dyDescent="0.3">
      <c r="A51" s="63">
        <v>45</v>
      </c>
      <c r="B51" s="102" t="s">
        <v>3520</v>
      </c>
      <c r="C51" s="102" t="s">
        <v>3521</v>
      </c>
      <c r="D51" s="64" t="s">
        <v>119</v>
      </c>
      <c r="E51" s="24" t="s">
        <v>3905</v>
      </c>
      <c r="F51" s="38" t="s">
        <v>3951</v>
      </c>
      <c r="G51" s="108">
        <v>1</v>
      </c>
      <c r="H51" s="38" t="s">
        <v>3952</v>
      </c>
      <c r="I51" s="106"/>
      <c r="J51" s="128" t="s">
        <v>3908</v>
      </c>
      <c r="K51" s="136" t="s">
        <v>3627</v>
      </c>
      <c r="L51" s="136"/>
      <c r="M51" s="136"/>
      <c r="N51" s="136"/>
      <c r="O51" s="136"/>
      <c r="P51" s="123">
        <v>576</v>
      </c>
      <c r="Q51" s="123">
        <v>117</v>
      </c>
      <c r="R51" s="130"/>
      <c r="S51" s="135">
        <v>0</v>
      </c>
      <c r="T51" s="124">
        <v>0</v>
      </c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17"/>
      <c r="AH51" s="24"/>
      <c r="AI51" s="25"/>
      <c r="AJ51" s="25"/>
    </row>
    <row r="52" spans="1:36" x14ac:dyDescent="0.3">
      <c r="A52" s="63">
        <v>46</v>
      </c>
      <c r="B52" s="102" t="s">
        <v>3520</v>
      </c>
      <c r="C52" s="102" t="s">
        <v>3521</v>
      </c>
      <c r="D52" s="64" t="s">
        <v>119</v>
      </c>
      <c r="E52" s="24" t="s">
        <v>3905</v>
      </c>
      <c r="F52" s="38" t="s">
        <v>3951</v>
      </c>
      <c r="G52" s="108">
        <v>1</v>
      </c>
      <c r="H52" s="38" t="s">
        <v>3952</v>
      </c>
      <c r="I52" s="106"/>
      <c r="J52" s="128" t="s">
        <v>3908</v>
      </c>
      <c r="K52" s="132" t="s">
        <v>3953</v>
      </c>
      <c r="L52" s="132"/>
      <c r="M52" s="132"/>
      <c r="N52" s="132"/>
      <c r="O52" s="132"/>
      <c r="P52" s="123">
        <f>1100</f>
        <v>1100</v>
      </c>
      <c r="Q52" s="123">
        <v>237</v>
      </c>
      <c r="R52" s="130"/>
      <c r="S52" s="135">
        <v>49</v>
      </c>
      <c r="T52" s="123">
        <v>39</v>
      </c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17"/>
      <c r="AH52" s="24"/>
      <c r="AI52" s="25"/>
      <c r="AJ52" s="25"/>
    </row>
    <row r="53" spans="1:36" x14ac:dyDescent="0.3">
      <c r="A53" s="63">
        <v>47</v>
      </c>
      <c r="B53" s="102" t="s">
        <v>3520</v>
      </c>
      <c r="C53" s="102" t="s">
        <v>3521</v>
      </c>
      <c r="D53" s="64" t="s">
        <v>119</v>
      </c>
      <c r="E53" s="24" t="s">
        <v>3905</v>
      </c>
      <c r="F53" s="38" t="s">
        <v>3951</v>
      </c>
      <c r="G53" s="108">
        <v>2</v>
      </c>
      <c r="H53" s="38" t="s">
        <v>3952</v>
      </c>
      <c r="I53" s="106"/>
      <c r="J53" s="128" t="s">
        <v>3908</v>
      </c>
      <c r="K53" s="132" t="s">
        <v>3954</v>
      </c>
      <c r="L53" s="132"/>
      <c r="M53" s="132"/>
      <c r="N53" s="132"/>
      <c r="O53" s="132"/>
      <c r="P53" s="123">
        <v>1438</v>
      </c>
      <c r="Q53" s="123">
        <v>310</v>
      </c>
      <c r="R53" s="130"/>
      <c r="S53" s="135">
        <v>0</v>
      </c>
      <c r="T53" s="124">
        <v>0</v>
      </c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17"/>
      <c r="AH53" s="24"/>
      <c r="AI53" s="25"/>
      <c r="AJ53" s="25"/>
    </row>
    <row r="54" spans="1:36" x14ac:dyDescent="0.3">
      <c r="A54" s="63">
        <v>48</v>
      </c>
      <c r="B54" s="102" t="s">
        <v>3520</v>
      </c>
      <c r="C54" s="102" t="s">
        <v>3521</v>
      </c>
      <c r="D54" s="64" t="s">
        <v>119</v>
      </c>
      <c r="E54" s="24" t="s">
        <v>3905</v>
      </c>
      <c r="F54" s="38" t="s">
        <v>3951</v>
      </c>
      <c r="G54" s="108">
        <v>2</v>
      </c>
      <c r="H54" s="38" t="s">
        <v>3952</v>
      </c>
      <c r="I54" s="106"/>
      <c r="J54" s="128" t="s">
        <v>3908</v>
      </c>
      <c r="K54" s="132" t="s">
        <v>3955</v>
      </c>
      <c r="L54" s="132"/>
      <c r="M54" s="132"/>
      <c r="N54" s="132"/>
      <c r="O54" s="132"/>
      <c r="P54" s="123">
        <v>800</v>
      </c>
      <c r="Q54" s="123">
        <v>202</v>
      </c>
      <c r="R54" s="130"/>
      <c r="S54" s="135">
        <v>138</v>
      </c>
      <c r="T54" s="123">
        <v>121</v>
      </c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17"/>
      <c r="AH54" s="24"/>
      <c r="AI54" s="25"/>
      <c r="AJ54" s="25"/>
    </row>
    <row r="55" spans="1:36" x14ac:dyDescent="0.3">
      <c r="A55" s="63">
        <v>49</v>
      </c>
      <c r="B55" s="102" t="s">
        <v>3520</v>
      </c>
      <c r="C55" s="102" t="s">
        <v>3521</v>
      </c>
      <c r="D55" s="64" t="s">
        <v>119</v>
      </c>
      <c r="E55" s="24" t="s">
        <v>3905</v>
      </c>
      <c r="F55" s="38" t="s">
        <v>3951</v>
      </c>
      <c r="G55" s="108">
        <v>2</v>
      </c>
      <c r="H55" s="38" t="s">
        <v>3952</v>
      </c>
      <c r="I55" s="106"/>
      <c r="J55" s="128" t="s">
        <v>3908</v>
      </c>
      <c r="K55" s="132" t="s">
        <v>3956</v>
      </c>
      <c r="L55" s="132"/>
      <c r="M55" s="132"/>
      <c r="N55" s="132"/>
      <c r="O55" s="132"/>
      <c r="P55" s="123">
        <v>350</v>
      </c>
      <c r="Q55" s="123">
        <v>62</v>
      </c>
      <c r="R55" s="130"/>
      <c r="S55" s="135">
        <v>0</v>
      </c>
      <c r="T55" s="124">
        <v>0</v>
      </c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17"/>
      <c r="AH55" s="24"/>
      <c r="AI55" s="25"/>
      <c r="AJ55" s="25"/>
    </row>
    <row r="56" spans="1:36" x14ac:dyDescent="0.3">
      <c r="A56" s="63">
        <v>50</v>
      </c>
      <c r="B56" s="102" t="s">
        <v>3520</v>
      </c>
      <c r="C56" s="102" t="s">
        <v>3521</v>
      </c>
      <c r="D56" s="64" t="s">
        <v>119</v>
      </c>
      <c r="E56" s="24" t="s">
        <v>3905</v>
      </c>
      <c r="F56" s="38" t="s">
        <v>3951</v>
      </c>
      <c r="G56" s="108">
        <v>2</v>
      </c>
      <c r="H56" s="38" t="s">
        <v>3952</v>
      </c>
      <c r="I56" s="106"/>
      <c r="J56" s="128" t="s">
        <v>3908</v>
      </c>
      <c r="K56" s="132" t="s">
        <v>3957</v>
      </c>
      <c r="L56" s="132"/>
      <c r="M56" s="132"/>
      <c r="N56" s="132"/>
      <c r="O56" s="132"/>
      <c r="P56" s="123">
        <v>1076</v>
      </c>
      <c r="Q56" s="123">
        <v>254</v>
      </c>
      <c r="R56" s="130"/>
      <c r="S56" s="135">
        <v>111</v>
      </c>
      <c r="T56" s="123">
        <v>132</v>
      </c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17"/>
      <c r="AH56" s="24"/>
      <c r="AI56" s="25"/>
      <c r="AJ56" s="25"/>
    </row>
    <row r="57" spans="1:36" x14ac:dyDescent="0.3">
      <c r="A57" s="63">
        <v>51</v>
      </c>
      <c r="B57" s="102" t="s">
        <v>3520</v>
      </c>
      <c r="C57" s="102" t="s">
        <v>3521</v>
      </c>
      <c r="D57" s="64" t="s">
        <v>119</v>
      </c>
      <c r="E57" s="24" t="s">
        <v>3905</v>
      </c>
      <c r="F57" s="38" t="s">
        <v>3951</v>
      </c>
      <c r="G57" s="108">
        <v>2</v>
      </c>
      <c r="H57" s="38" t="s">
        <v>3952</v>
      </c>
      <c r="I57" s="106"/>
      <c r="J57" s="128" t="s">
        <v>3908</v>
      </c>
      <c r="K57" s="132" t="s">
        <v>3958</v>
      </c>
      <c r="L57" s="132"/>
      <c r="M57" s="132"/>
      <c r="N57" s="132"/>
      <c r="O57" s="132"/>
      <c r="P57" s="123">
        <v>1446</v>
      </c>
      <c r="Q57" s="123">
        <v>290</v>
      </c>
      <c r="R57" s="130"/>
      <c r="S57" s="135">
        <v>28</v>
      </c>
      <c r="T57" s="123">
        <v>34</v>
      </c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17"/>
      <c r="AH57" s="24"/>
      <c r="AI57" s="25"/>
      <c r="AJ57" s="25"/>
    </row>
    <row r="58" spans="1:36" x14ac:dyDescent="0.3">
      <c r="A58" s="63">
        <v>52</v>
      </c>
      <c r="B58" s="102" t="s">
        <v>3520</v>
      </c>
      <c r="C58" s="102" t="s">
        <v>3521</v>
      </c>
      <c r="D58" s="64" t="s">
        <v>119</v>
      </c>
      <c r="E58" s="24" t="s">
        <v>3905</v>
      </c>
      <c r="F58" s="38" t="s">
        <v>3951</v>
      </c>
      <c r="G58" s="108">
        <v>3</v>
      </c>
      <c r="H58" s="38" t="s">
        <v>3959</v>
      </c>
      <c r="I58" s="106"/>
      <c r="J58" s="128" t="s">
        <v>3908</v>
      </c>
      <c r="K58" s="132" t="s">
        <v>3960</v>
      </c>
      <c r="L58" s="132"/>
      <c r="M58" s="132"/>
      <c r="N58" s="132"/>
      <c r="O58" s="132"/>
      <c r="P58" s="123">
        <v>1596</v>
      </c>
      <c r="Q58" s="123">
        <v>391</v>
      </c>
      <c r="R58" s="130"/>
      <c r="S58" s="135">
        <v>238</v>
      </c>
      <c r="T58" s="123">
        <v>250</v>
      </c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17"/>
      <c r="AH58" s="24"/>
      <c r="AI58" s="25"/>
      <c r="AJ58" s="25"/>
    </row>
    <row r="59" spans="1:36" x14ac:dyDescent="0.3">
      <c r="A59" s="63">
        <v>53</v>
      </c>
      <c r="B59" s="102" t="s">
        <v>3520</v>
      </c>
      <c r="C59" s="102" t="s">
        <v>3521</v>
      </c>
      <c r="D59" s="64" t="s">
        <v>119</v>
      </c>
      <c r="E59" s="24" t="s">
        <v>3905</v>
      </c>
      <c r="F59" s="38" t="s">
        <v>3951</v>
      </c>
      <c r="G59" s="108">
        <v>3</v>
      </c>
      <c r="H59" s="38" t="s">
        <v>3959</v>
      </c>
      <c r="I59" s="106"/>
      <c r="J59" s="128" t="s">
        <v>3908</v>
      </c>
      <c r="K59" s="132" t="s">
        <v>3961</v>
      </c>
      <c r="L59" s="132"/>
      <c r="M59" s="132"/>
      <c r="N59" s="132"/>
      <c r="O59" s="132"/>
      <c r="P59" s="123">
        <v>1320</v>
      </c>
      <c r="Q59" s="123">
        <v>275</v>
      </c>
      <c r="R59" s="130"/>
      <c r="S59" s="135">
        <v>0</v>
      </c>
      <c r="T59" s="124">
        <v>0</v>
      </c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17"/>
      <c r="AH59" s="24"/>
      <c r="AI59" s="25"/>
      <c r="AJ59" s="25"/>
    </row>
    <row r="60" spans="1:36" x14ac:dyDescent="0.3">
      <c r="A60" s="63">
        <v>54</v>
      </c>
      <c r="B60" s="102" t="s">
        <v>3520</v>
      </c>
      <c r="C60" s="102" t="s">
        <v>3521</v>
      </c>
      <c r="D60" s="64" t="s">
        <v>119</v>
      </c>
      <c r="E60" s="24" t="s">
        <v>3905</v>
      </c>
      <c r="F60" s="38" t="s">
        <v>3951</v>
      </c>
      <c r="G60" s="108">
        <v>3</v>
      </c>
      <c r="H60" s="38" t="s">
        <v>3952</v>
      </c>
      <c r="I60" s="106"/>
      <c r="J60" s="128" t="s">
        <v>3908</v>
      </c>
      <c r="K60" s="136" t="s">
        <v>3962</v>
      </c>
      <c r="L60" s="136"/>
      <c r="M60" s="136"/>
      <c r="N60" s="136"/>
      <c r="O60" s="136"/>
      <c r="P60" s="123">
        <v>535</v>
      </c>
      <c r="Q60" s="123">
        <v>135</v>
      </c>
      <c r="R60" s="130"/>
      <c r="S60" s="135">
        <v>64</v>
      </c>
      <c r="T60" s="123">
        <v>75</v>
      </c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17"/>
      <c r="AH60" s="24"/>
      <c r="AI60" s="25"/>
      <c r="AJ60" s="25"/>
    </row>
    <row r="61" spans="1:36" x14ac:dyDescent="0.3">
      <c r="A61" s="63">
        <v>55</v>
      </c>
      <c r="B61" s="102" t="s">
        <v>3520</v>
      </c>
      <c r="C61" s="102" t="s">
        <v>3521</v>
      </c>
      <c r="D61" s="64" t="s">
        <v>119</v>
      </c>
      <c r="E61" s="24" t="s">
        <v>3905</v>
      </c>
      <c r="F61" s="38" t="s">
        <v>3951</v>
      </c>
      <c r="G61" s="108">
        <v>4</v>
      </c>
      <c r="H61" s="38" t="s">
        <v>3963</v>
      </c>
      <c r="I61" s="106"/>
      <c r="J61" s="128" t="s">
        <v>3908</v>
      </c>
      <c r="K61" s="132" t="s">
        <v>3964</v>
      </c>
      <c r="L61" s="132"/>
      <c r="M61" s="132"/>
      <c r="N61" s="132"/>
      <c r="O61" s="132"/>
      <c r="P61" s="123">
        <v>2846</v>
      </c>
      <c r="Q61" s="123">
        <v>697</v>
      </c>
      <c r="R61" s="130"/>
      <c r="S61" s="135">
        <v>0</v>
      </c>
      <c r="T61" s="124">
        <v>0</v>
      </c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17"/>
      <c r="AH61" s="24"/>
      <c r="AI61" s="25"/>
      <c r="AJ61" s="25"/>
    </row>
    <row r="62" spans="1:36" x14ac:dyDescent="0.3">
      <c r="A62" s="63">
        <v>56</v>
      </c>
      <c r="B62" s="102" t="s">
        <v>3520</v>
      </c>
      <c r="C62" s="102" t="s">
        <v>3521</v>
      </c>
      <c r="D62" s="64" t="s">
        <v>119</v>
      </c>
      <c r="E62" s="24" t="s">
        <v>3905</v>
      </c>
      <c r="F62" s="38" t="s">
        <v>3951</v>
      </c>
      <c r="G62" s="108">
        <v>4</v>
      </c>
      <c r="H62" s="38" t="s">
        <v>3963</v>
      </c>
      <c r="I62" s="106"/>
      <c r="J62" s="128" t="s">
        <v>3908</v>
      </c>
      <c r="K62" s="136" t="s">
        <v>3965</v>
      </c>
      <c r="L62" s="136"/>
      <c r="M62" s="136"/>
      <c r="N62" s="136"/>
      <c r="O62" s="136"/>
      <c r="P62" s="123">
        <v>2870</v>
      </c>
      <c r="Q62" s="123">
        <v>623</v>
      </c>
      <c r="R62" s="130"/>
      <c r="S62" s="135">
        <v>0</v>
      </c>
      <c r="T62" s="124">
        <v>0</v>
      </c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17"/>
      <c r="AH62" s="24"/>
      <c r="AI62" s="25"/>
      <c r="AJ62" s="25"/>
    </row>
    <row r="63" spans="1:36" x14ac:dyDescent="0.3">
      <c r="A63" s="63">
        <v>57</v>
      </c>
      <c r="B63" s="102" t="s">
        <v>3520</v>
      </c>
      <c r="C63" s="102" t="s">
        <v>3521</v>
      </c>
      <c r="D63" s="64" t="s">
        <v>119</v>
      </c>
      <c r="E63" s="24" t="s">
        <v>3905</v>
      </c>
      <c r="F63" s="38" t="s">
        <v>3951</v>
      </c>
      <c r="G63" s="137">
        <v>5</v>
      </c>
      <c r="H63" s="38" t="s">
        <v>3963</v>
      </c>
      <c r="I63" s="106"/>
      <c r="J63" s="128" t="s">
        <v>3908</v>
      </c>
      <c r="K63" s="136" t="s">
        <v>3966</v>
      </c>
      <c r="L63" s="136"/>
      <c r="M63" s="136"/>
      <c r="N63" s="136"/>
      <c r="O63" s="136"/>
      <c r="P63" s="123">
        <v>1739</v>
      </c>
      <c r="Q63" s="123">
        <v>363</v>
      </c>
      <c r="R63" s="130"/>
      <c r="S63" s="135">
        <v>0</v>
      </c>
      <c r="T63" s="124">
        <v>0</v>
      </c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17"/>
      <c r="AH63" s="24"/>
      <c r="AI63" s="25"/>
      <c r="AJ63" s="25"/>
    </row>
    <row r="64" spans="1:36" x14ac:dyDescent="0.3">
      <c r="A64" s="63">
        <v>58</v>
      </c>
      <c r="B64" s="102" t="s">
        <v>3520</v>
      </c>
      <c r="C64" s="102" t="s">
        <v>3521</v>
      </c>
      <c r="D64" s="64" t="s">
        <v>119</v>
      </c>
      <c r="E64" s="24" t="s">
        <v>3905</v>
      </c>
      <c r="F64" s="38" t="s">
        <v>3951</v>
      </c>
      <c r="G64" s="137">
        <v>5</v>
      </c>
      <c r="H64" s="38" t="s">
        <v>3963</v>
      </c>
      <c r="I64" s="106"/>
      <c r="J64" s="128" t="s">
        <v>3908</v>
      </c>
      <c r="K64" s="136" t="s">
        <v>3896</v>
      </c>
      <c r="L64" s="136"/>
      <c r="M64" s="136"/>
      <c r="N64" s="136"/>
      <c r="O64" s="136"/>
      <c r="P64" s="123">
        <v>1010</v>
      </c>
      <c r="Q64" s="123">
        <v>214</v>
      </c>
      <c r="R64" s="130"/>
      <c r="S64" s="135">
        <v>0</v>
      </c>
      <c r="T64" s="124">
        <v>0</v>
      </c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17"/>
      <c r="AH64" s="24"/>
      <c r="AI64" s="25"/>
      <c r="AJ64" s="25"/>
    </row>
    <row r="65" spans="1:36" x14ac:dyDescent="0.3">
      <c r="A65" s="63">
        <v>59</v>
      </c>
      <c r="B65" s="102" t="s">
        <v>3520</v>
      </c>
      <c r="C65" s="102" t="s">
        <v>3521</v>
      </c>
      <c r="D65" s="64" t="s">
        <v>119</v>
      </c>
      <c r="E65" s="24" t="s">
        <v>3905</v>
      </c>
      <c r="F65" s="38" t="s">
        <v>3951</v>
      </c>
      <c r="G65" s="137">
        <v>6</v>
      </c>
      <c r="H65" s="38" t="s">
        <v>3967</v>
      </c>
      <c r="I65" s="106"/>
      <c r="J65" s="128" t="s">
        <v>3908</v>
      </c>
      <c r="K65" s="136" t="s">
        <v>3968</v>
      </c>
      <c r="L65" s="136"/>
      <c r="M65" s="136"/>
      <c r="N65" s="136"/>
      <c r="O65" s="136"/>
      <c r="P65" s="123">
        <v>415</v>
      </c>
      <c r="Q65" s="123">
        <v>92</v>
      </c>
      <c r="R65" s="130"/>
      <c r="S65" s="135">
        <v>0</v>
      </c>
      <c r="T65" s="124">
        <v>0</v>
      </c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17"/>
      <c r="AH65" s="24"/>
      <c r="AI65" s="25"/>
      <c r="AJ65" s="25"/>
    </row>
    <row r="66" spans="1:36" x14ac:dyDescent="0.3">
      <c r="A66" s="63">
        <v>60</v>
      </c>
      <c r="B66" s="102" t="s">
        <v>3520</v>
      </c>
      <c r="C66" s="102" t="s">
        <v>3521</v>
      </c>
      <c r="D66" s="64" t="s">
        <v>119</v>
      </c>
      <c r="E66" s="24" t="s">
        <v>3905</v>
      </c>
      <c r="F66" s="38" t="s">
        <v>3951</v>
      </c>
      <c r="G66" s="138">
        <v>6</v>
      </c>
      <c r="H66" s="38" t="s">
        <v>3967</v>
      </c>
      <c r="I66" s="106"/>
      <c r="J66" s="128" t="s">
        <v>3908</v>
      </c>
      <c r="K66" s="136" t="s">
        <v>3969</v>
      </c>
      <c r="L66" s="136"/>
      <c r="M66" s="136"/>
      <c r="N66" s="136"/>
      <c r="O66" s="136"/>
      <c r="P66" s="123">
        <v>1215</v>
      </c>
      <c r="Q66" s="123">
        <v>250</v>
      </c>
      <c r="R66" s="130"/>
      <c r="S66" s="135">
        <v>0</v>
      </c>
      <c r="T66" s="124">
        <v>0</v>
      </c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17"/>
      <c r="AH66" s="24"/>
      <c r="AI66" s="25"/>
      <c r="AJ66" s="25"/>
    </row>
    <row r="67" spans="1:36" x14ac:dyDescent="0.3">
      <c r="A67" s="63">
        <v>61</v>
      </c>
      <c r="B67" s="102" t="s">
        <v>3520</v>
      </c>
      <c r="C67" s="102" t="s">
        <v>3521</v>
      </c>
      <c r="D67" s="64" t="s">
        <v>119</v>
      </c>
      <c r="E67" s="24" t="s">
        <v>3905</v>
      </c>
      <c r="F67" s="38" t="s">
        <v>3951</v>
      </c>
      <c r="G67" s="108">
        <v>7</v>
      </c>
      <c r="H67" s="38" t="s">
        <v>3967</v>
      </c>
      <c r="I67" s="106"/>
      <c r="J67" s="128" t="s">
        <v>3908</v>
      </c>
      <c r="K67" s="136" t="s">
        <v>3970</v>
      </c>
      <c r="L67" s="136"/>
      <c r="M67" s="136"/>
      <c r="N67" s="136"/>
      <c r="O67" s="136"/>
      <c r="P67" s="123">
        <v>1370</v>
      </c>
      <c r="Q67" s="123">
        <v>290</v>
      </c>
      <c r="R67" s="130"/>
      <c r="S67" s="135">
        <v>0</v>
      </c>
      <c r="T67" s="124">
        <v>0</v>
      </c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17"/>
      <c r="AH67" s="24"/>
      <c r="AI67" s="25"/>
      <c r="AJ67" s="25"/>
    </row>
    <row r="68" spans="1:36" x14ac:dyDescent="0.3">
      <c r="A68" s="63">
        <v>62</v>
      </c>
      <c r="B68" s="102" t="s">
        <v>3520</v>
      </c>
      <c r="C68" s="102" t="s">
        <v>3521</v>
      </c>
      <c r="D68" s="64" t="s">
        <v>119</v>
      </c>
      <c r="E68" s="24" t="s">
        <v>3905</v>
      </c>
      <c r="F68" s="38" t="s">
        <v>3951</v>
      </c>
      <c r="G68" s="108">
        <v>7</v>
      </c>
      <c r="H68" s="38" t="s">
        <v>3967</v>
      </c>
      <c r="I68" s="106"/>
      <c r="J68" s="128" t="s">
        <v>3908</v>
      </c>
      <c r="K68" s="132" t="s">
        <v>3971</v>
      </c>
      <c r="L68" s="132"/>
      <c r="M68" s="132"/>
      <c r="N68" s="132"/>
      <c r="O68" s="132"/>
      <c r="P68" s="123">
        <v>1245</v>
      </c>
      <c r="Q68" s="123">
        <v>257</v>
      </c>
      <c r="R68" s="130"/>
      <c r="S68" s="135">
        <v>0</v>
      </c>
      <c r="T68" s="124">
        <v>0</v>
      </c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17"/>
      <c r="AH68" s="24"/>
      <c r="AI68" s="25"/>
      <c r="AJ68" s="25"/>
    </row>
    <row r="69" spans="1:36" x14ac:dyDescent="0.3">
      <c r="A69" s="63">
        <v>63</v>
      </c>
      <c r="B69" s="102" t="s">
        <v>3520</v>
      </c>
      <c r="C69" s="102" t="s">
        <v>3521</v>
      </c>
      <c r="D69" s="64" t="s">
        <v>119</v>
      </c>
      <c r="E69" s="24" t="s">
        <v>3905</v>
      </c>
      <c r="F69" s="38" t="s">
        <v>3951</v>
      </c>
      <c r="G69" s="108">
        <v>7</v>
      </c>
      <c r="H69" s="38" t="s">
        <v>3967</v>
      </c>
      <c r="I69" s="106"/>
      <c r="J69" s="128" t="s">
        <v>3908</v>
      </c>
      <c r="K69" s="136" t="s">
        <v>3972</v>
      </c>
      <c r="L69" s="136"/>
      <c r="M69" s="136"/>
      <c r="N69" s="136"/>
      <c r="O69" s="136"/>
      <c r="P69" s="123">
        <v>1370</v>
      </c>
      <c r="Q69" s="123">
        <v>290</v>
      </c>
      <c r="R69" s="130"/>
      <c r="S69" s="135">
        <v>0</v>
      </c>
      <c r="T69" s="124">
        <v>0</v>
      </c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17"/>
      <c r="AH69" s="24"/>
      <c r="AI69" s="25"/>
      <c r="AJ69" s="25"/>
    </row>
    <row r="70" spans="1:36" x14ac:dyDescent="0.3">
      <c r="A70" s="63">
        <v>64</v>
      </c>
      <c r="B70" s="102" t="s">
        <v>3520</v>
      </c>
      <c r="C70" s="102" t="s">
        <v>3521</v>
      </c>
      <c r="D70" s="64" t="s">
        <v>119</v>
      </c>
      <c r="E70" s="24" t="s">
        <v>3905</v>
      </c>
      <c r="F70" s="38" t="s">
        <v>3951</v>
      </c>
      <c r="G70" s="137">
        <v>8</v>
      </c>
      <c r="H70" s="38" t="s">
        <v>3967</v>
      </c>
      <c r="I70" s="106"/>
      <c r="J70" s="128" t="s">
        <v>3908</v>
      </c>
      <c r="K70" s="136" t="s">
        <v>3973</v>
      </c>
      <c r="L70" s="136"/>
      <c r="M70" s="136"/>
      <c r="N70" s="136"/>
      <c r="O70" s="136"/>
      <c r="P70" s="123">
        <v>2943</v>
      </c>
      <c r="Q70" s="123">
        <v>579</v>
      </c>
      <c r="R70" s="130"/>
      <c r="S70" s="135">
        <v>0</v>
      </c>
      <c r="T70" s="124">
        <v>0</v>
      </c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17"/>
      <c r="AH70" s="24"/>
      <c r="AI70" s="25"/>
      <c r="AJ70" s="25"/>
    </row>
    <row r="71" spans="1:36" x14ac:dyDescent="0.3">
      <c r="A71" s="63">
        <v>65</v>
      </c>
      <c r="B71" s="102" t="s">
        <v>3520</v>
      </c>
      <c r="C71" s="102" t="s">
        <v>3521</v>
      </c>
      <c r="D71" s="64" t="s">
        <v>119</v>
      </c>
      <c r="E71" s="24" t="s">
        <v>3905</v>
      </c>
      <c r="F71" s="38" t="s">
        <v>3951</v>
      </c>
      <c r="G71" s="120">
        <v>9</v>
      </c>
      <c r="H71" s="38" t="s">
        <v>3967</v>
      </c>
      <c r="I71" s="106"/>
      <c r="J71" s="128" t="s">
        <v>3908</v>
      </c>
      <c r="K71" s="136" t="s">
        <v>3974</v>
      </c>
      <c r="L71" s="136"/>
      <c r="M71" s="136"/>
      <c r="N71" s="136"/>
      <c r="O71" s="136"/>
      <c r="P71" s="123">
        <v>2924</v>
      </c>
      <c r="Q71" s="123">
        <v>660</v>
      </c>
      <c r="R71" s="130"/>
      <c r="S71" s="135">
        <v>0</v>
      </c>
      <c r="T71" s="124">
        <v>0</v>
      </c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17"/>
      <c r="AH71" s="24"/>
      <c r="AI71" s="25"/>
      <c r="AJ71" s="25"/>
    </row>
    <row r="72" spans="1:36" x14ac:dyDescent="0.3">
      <c r="A72" s="63">
        <v>66</v>
      </c>
      <c r="B72" s="102" t="s">
        <v>3520</v>
      </c>
      <c r="C72" s="102" t="s">
        <v>3521</v>
      </c>
      <c r="D72" s="64" t="s">
        <v>119</v>
      </c>
      <c r="E72" s="24" t="s">
        <v>3905</v>
      </c>
      <c r="F72" s="38" t="s">
        <v>3975</v>
      </c>
      <c r="G72" s="108">
        <v>1</v>
      </c>
      <c r="H72" s="38" t="s">
        <v>3976</v>
      </c>
      <c r="I72" s="106"/>
      <c r="J72" s="128" t="s">
        <v>3908</v>
      </c>
      <c r="K72" s="132" t="s">
        <v>3977</v>
      </c>
      <c r="L72" s="132"/>
      <c r="M72" s="132"/>
      <c r="N72" s="132"/>
      <c r="O72" s="132"/>
      <c r="P72" s="123">
        <v>804</v>
      </c>
      <c r="Q72" s="123">
        <v>171</v>
      </c>
      <c r="R72" s="130"/>
      <c r="S72" s="135">
        <v>69</v>
      </c>
      <c r="T72" s="123">
        <v>83</v>
      </c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17"/>
      <c r="AH72" s="24"/>
      <c r="AI72" s="25"/>
      <c r="AJ72" s="25"/>
    </row>
    <row r="73" spans="1:36" x14ac:dyDescent="0.3">
      <c r="A73" s="63">
        <v>67</v>
      </c>
      <c r="B73" s="102" t="s">
        <v>3520</v>
      </c>
      <c r="C73" s="102" t="s">
        <v>3521</v>
      </c>
      <c r="D73" s="64" t="s">
        <v>119</v>
      </c>
      <c r="E73" s="24" t="s">
        <v>3905</v>
      </c>
      <c r="F73" s="38" t="s">
        <v>3975</v>
      </c>
      <c r="G73" s="108">
        <v>1</v>
      </c>
      <c r="H73" s="38" t="s">
        <v>3976</v>
      </c>
      <c r="I73" s="106"/>
      <c r="J73" s="128" t="s">
        <v>3908</v>
      </c>
      <c r="K73" s="132" t="s">
        <v>3749</v>
      </c>
      <c r="L73" s="132"/>
      <c r="M73" s="132"/>
      <c r="N73" s="132"/>
      <c r="O73" s="132"/>
      <c r="P73" s="123">
        <v>1046</v>
      </c>
      <c r="Q73" s="123">
        <v>213</v>
      </c>
      <c r="R73" s="130"/>
      <c r="S73" s="135">
        <v>93</v>
      </c>
      <c r="T73" s="123">
        <v>99</v>
      </c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17"/>
      <c r="AH73" s="24"/>
      <c r="AI73" s="25"/>
      <c r="AJ73" s="25"/>
    </row>
    <row r="74" spans="1:36" x14ac:dyDescent="0.3">
      <c r="A74" s="63">
        <v>68</v>
      </c>
      <c r="B74" s="102" t="s">
        <v>3520</v>
      </c>
      <c r="C74" s="102" t="s">
        <v>3521</v>
      </c>
      <c r="D74" s="64" t="s">
        <v>119</v>
      </c>
      <c r="E74" s="24" t="s">
        <v>3905</v>
      </c>
      <c r="F74" s="38" t="s">
        <v>3975</v>
      </c>
      <c r="G74" s="108">
        <v>1</v>
      </c>
      <c r="H74" s="38" t="s">
        <v>3976</v>
      </c>
      <c r="I74" s="106"/>
      <c r="J74" s="128" t="s">
        <v>3908</v>
      </c>
      <c r="K74" s="132" t="s">
        <v>3978</v>
      </c>
      <c r="L74" s="132"/>
      <c r="M74" s="132"/>
      <c r="N74" s="132"/>
      <c r="O74" s="132"/>
      <c r="P74" s="123">
        <v>1513</v>
      </c>
      <c r="Q74" s="123">
        <v>281</v>
      </c>
      <c r="R74" s="130"/>
      <c r="S74" s="135">
        <v>71</v>
      </c>
      <c r="T74" s="123">
        <v>75</v>
      </c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17"/>
      <c r="AH74" s="24"/>
      <c r="AI74" s="25"/>
      <c r="AJ74" s="25"/>
    </row>
    <row r="75" spans="1:36" x14ac:dyDescent="0.3">
      <c r="A75" s="63">
        <v>69</v>
      </c>
      <c r="B75" s="102" t="s">
        <v>3520</v>
      </c>
      <c r="C75" s="102" t="s">
        <v>3521</v>
      </c>
      <c r="D75" s="64" t="s">
        <v>119</v>
      </c>
      <c r="E75" s="24" t="s">
        <v>3905</v>
      </c>
      <c r="F75" s="38" t="s">
        <v>3975</v>
      </c>
      <c r="G75" s="108">
        <v>1</v>
      </c>
      <c r="H75" s="38" t="s">
        <v>3976</v>
      </c>
      <c r="I75" s="106"/>
      <c r="J75" s="128" t="s">
        <v>3908</v>
      </c>
      <c r="K75" s="132" t="s">
        <v>3979</v>
      </c>
      <c r="L75" s="132"/>
      <c r="M75" s="132"/>
      <c r="N75" s="132"/>
      <c r="O75" s="132"/>
      <c r="P75" s="123">
        <v>313</v>
      </c>
      <c r="Q75" s="123">
        <v>65</v>
      </c>
      <c r="R75" s="130"/>
      <c r="S75" s="139">
        <v>0</v>
      </c>
      <c r="T75" s="124">
        <v>0</v>
      </c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17"/>
      <c r="AH75" s="24"/>
      <c r="AI75" s="25"/>
      <c r="AJ75" s="25"/>
    </row>
    <row r="76" spans="1:36" x14ac:dyDescent="0.3">
      <c r="A76" s="63">
        <v>70</v>
      </c>
      <c r="B76" s="102" t="s">
        <v>3520</v>
      </c>
      <c r="C76" s="102" t="s">
        <v>3521</v>
      </c>
      <c r="D76" s="64" t="s">
        <v>119</v>
      </c>
      <c r="E76" s="24" t="s">
        <v>3905</v>
      </c>
      <c r="F76" s="38" t="s">
        <v>3975</v>
      </c>
      <c r="G76" s="108">
        <v>1</v>
      </c>
      <c r="H76" s="38" t="s">
        <v>3976</v>
      </c>
      <c r="I76" s="106"/>
      <c r="J76" s="128" t="s">
        <v>3908</v>
      </c>
      <c r="K76" s="132" t="s">
        <v>3980</v>
      </c>
      <c r="L76" s="132"/>
      <c r="M76" s="132"/>
      <c r="N76" s="132"/>
      <c r="O76" s="132"/>
      <c r="P76" s="123">
        <f>567+2</f>
        <v>569</v>
      </c>
      <c r="Q76" s="123">
        <f>121+2</f>
        <v>123</v>
      </c>
      <c r="R76" s="130"/>
      <c r="S76" s="139">
        <v>0</v>
      </c>
      <c r="T76" s="124">
        <v>0</v>
      </c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17"/>
      <c r="AH76" s="24"/>
      <c r="AI76" s="25"/>
      <c r="AJ76" s="25"/>
    </row>
    <row r="77" spans="1:36" x14ac:dyDescent="0.3">
      <c r="A77" s="63">
        <v>71</v>
      </c>
      <c r="B77" s="102" t="s">
        <v>3520</v>
      </c>
      <c r="C77" s="102" t="s">
        <v>3521</v>
      </c>
      <c r="D77" s="64" t="s">
        <v>119</v>
      </c>
      <c r="E77" s="24" t="s">
        <v>3905</v>
      </c>
      <c r="F77" s="38" t="s">
        <v>3975</v>
      </c>
      <c r="G77" s="108">
        <v>1</v>
      </c>
      <c r="H77" s="38" t="s">
        <v>3976</v>
      </c>
      <c r="I77" s="106"/>
      <c r="J77" s="128" t="s">
        <v>3908</v>
      </c>
      <c r="K77" s="132" t="s">
        <v>3981</v>
      </c>
      <c r="L77" s="132"/>
      <c r="M77" s="132"/>
      <c r="N77" s="132"/>
      <c r="O77" s="132"/>
      <c r="P77" s="123">
        <v>286</v>
      </c>
      <c r="Q77" s="123">
        <v>57</v>
      </c>
      <c r="R77" s="130"/>
      <c r="S77" s="139">
        <v>0</v>
      </c>
      <c r="T77" s="124">
        <v>0</v>
      </c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17"/>
      <c r="AH77" s="24"/>
      <c r="AI77" s="25"/>
      <c r="AJ77" s="25"/>
    </row>
    <row r="78" spans="1:36" x14ac:dyDescent="0.3">
      <c r="A78" s="63">
        <v>72</v>
      </c>
      <c r="B78" s="102" t="s">
        <v>3520</v>
      </c>
      <c r="C78" s="102" t="s">
        <v>3521</v>
      </c>
      <c r="D78" s="64" t="s">
        <v>119</v>
      </c>
      <c r="E78" s="24" t="s">
        <v>3905</v>
      </c>
      <c r="F78" s="38" t="s">
        <v>3975</v>
      </c>
      <c r="G78" s="108">
        <v>2</v>
      </c>
      <c r="H78" s="38" t="s">
        <v>3982</v>
      </c>
      <c r="I78" s="106"/>
      <c r="J78" s="128" t="s">
        <v>3908</v>
      </c>
      <c r="K78" s="132" t="s">
        <v>3983</v>
      </c>
      <c r="L78" s="132"/>
      <c r="M78" s="132"/>
      <c r="N78" s="132"/>
      <c r="O78" s="132"/>
      <c r="P78" s="123">
        <v>537</v>
      </c>
      <c r="Q78" s="123">
        <v>99</v>
      </c>
      <c r="R78" s="130"/>
      <c r="S78" s="139">
        <v>0</v>
      </c>
      <c r="T78" s="124">
        <v>0</v>
      </c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17"/>
      <c r="AH78" s="24"/>
      <c r="AI78" s="25"/>
      <c r="AJ78" s="25"/>
    </row>
    <row r="79" spans="1:36" x14ac:dyDescent="0.3">
      <c r="A79" s="63">
        <v>73</v>
      </c>
      <c r="B79" s="102" t="s">
        <v>3520</v>
      </c>
      <c r="C79" s="102" t="s">
        <v>3521</v>
      </c>
      <c r="D79" s="64" t="s">
        <v>119</v>
      </c>
      <c r="E79" s="24" t="s">
        <v>3905</v>
      </c>
      <c r="F79" s="38" t="s">
        <v>3975</v>
      </c>
      <c r="G79" s="108">
        <v>2</v>
      </c>
      <c r="H79" s="38" t="s">
        <v>3982</v>
      </c>
      <c r="I79" s="106"/>
      <c r="J79" s="128" t="s">
        <v>3908</v>
      </c>
      <c r="K79" s="132" t="s">
        <v>3984</v>
      </c>
      <c r="L79" s="132"/>
      <c r="M79" s="132"/>
      <c r="N79" s="132"/>
      <c r="O79" s="132"/>
      <c r="P79" s="123">
        <v>2005</v>
      </c>
      <c r="Q79" s="123">
        <v>370</v>
      </c>
      <c r="R79" s="130"/>
      <c r="S79" s="139">
        <v>0</v>
      </c>
      <c r="T79" s="124">
        <v>0</v>
      </c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17"/>
      <c r="AH79" s="24"/>
      <c r="AI79" s="25"/>
      <c r="AJ79" s="25"/>
    </row>
    <row r="80" spans="1:36" x14ac:dyDescent="0.3">
      <c r="A80" s="63">
        <v>74</v>
      </c>
      <c r="B80" s="102" t="s">
        <v>3520</v>
      </c>
      <c r="C80" s="102" t="s">
        <v>3521</v>
      </c>
      <c r="D80" s="64" t="s">
        <v>119</v>
      </c>
      <c r="E80" s="24" t="s">
        <v>3905</v>
      </c>
      <c r="F80" s="38" t="s">
        <v>3975</v>
      </c>
      <c r="G80" s="108">
        <v>2</v>
      </c>
      <c r="H80" s="38" t="s">
        <v>3982</v>
      </c>
      <c r="I80" s="106"/>
      <c r="J80" s="128" t="s">
        <v>3908</v>
      </c>
      <c r="K80" s="132" t="s">
        <v>3985</v>
      </c>
      <c r="L80" s="132"/>
      <c r="M80" s="132"/>
      <c r="N80" s="132"/>
      <c r="O80" s="132"/>
      <c r="P80" s="123">
        <v>380</v>
      </c>
      <c r="Q80" s="123">
        <v>66</v>
      </c>
      <c r="R80" s="130"/>
      <c r="S80" s="139">
        <v>0</v>
      </c>
      <c r="T80" s="124">
        <v>0</v>
      </c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17"/>
      <c r="AH80" s="24"/>
      <c r="AI80" s="25"/>
      <c r="AJ80" s="25"/>
    </row>
    <row r="81" spans="1:36" x14ac:dyDescent="0.3">
      <c r="A81" s="63">
        <v>75</v>
      </c>
      <c r="B81" s="102" t="s">
        <v>3520</v>
      </c>
      <c r="C81" s="102" t="s">
        <v>3521</v>
      </c>
      <c r="D81" s="64" t="s">
        <v>119</v>
      </c>
      <c r="E81" s="24" t="s">
        <v>3905</v>
      </c>
      <c r="F81" s="38" t="s">
        <v>3975</v>
      </c>
      <c r="G81" s="108">
        <v>2</v>
      </c>
      <c r="H81" s="38" t="s">
        <v>3976</v>
      </c>
      <c r="I81" s="106"/>
      <c r="J81" s="128" t="s">
        <v>3908</v>
      </c>
      <c r="K81" s="132" t="s">
        <v>3535</v>
      </c>
      <c r="L81" s="132"/>
      <c r="M81" s="132"/>
      <c r="N81" s="132"/>
      <c r="O81" s="132"/>
      <c r="P81" s="123">
        <v>480</v>
      </c>
      <c r="Q81" s="123">
        <v>99</v>
      </c>
      <c r="R81" s="130"/>
      <c r="S81" s="135">
        <v>21</v>
      </c>
      <c r="T81" s="123">
        <v>30</v>
      </c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17"/>
      <c r="AH81" s="24"/>
      <c r="AI81" s="25"/>
      <c r="AJ81" s="25"/>
    </row>
    <row r="82" spans="1:36" x14ac:dyDescent="0.3">
      <c r="A82" s="63">
        <v>76</v>
      </c>
      <c r="B82" s="102" t="s">
        <v>3520</v>
      </c>
      <c r="C82" s="102" t="s">
        <v>3521</v>
      </c>
      <c r="D82" s="64" t="s">
        <v>119</v>
      </c>
      <c r="E82" s="24" t="s">
        <v>3905</v>
      </c>
      <c r="F82" s="38" t="s">
        <v>3975</v>
      </c>
      <c r="G82" s="108">
        <v>2</v>
      </c>
      <c r="H82" s="38" t="s">
        <v>3982</v>
      </c>
      <c r="I82" s="106"/>
      <c r="J82" s="128" t="s">
        <v>3908</v>
      </c>
      <c r="K82" s="132" t="s">
        <v>3986</v>
      </c>
      <c r="L82" s="132"/>
      <c r="M82" s="132"/>
      <c r="N82" s="132"/>
      <c r="O82" s="132"/>
      <c r="P82" s="123">
        <v>844</v>
      </c>
      <c r="Q82" s="123">
        <v>159</v>
      </c>
      <c r="R82" s="130"/>
      <c r="S82" s="139">
        <v>0</v>
      </c>
      <c r="T82" s="124">
        <v>0</v>
      </c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17"/>
      <c r="AH82" s="24"/>
      <c r="AI82" s="25"/>
      <c r="AJ82" s="25"/>
    </row>
    <row r="83" spans="1:36" x14ac:dyDescent="0.3">
      <c r="A83" s="63">
        <v>77</v>
      </c>
      <c r="B83" s="102" t="s">
        <v>3520</v>
      </c>
      <c r="C83" s="102" t="s">
        <v>3521</v>
      </c>
      <c r="D83" s="64" t="s">
        <v>119</v>
      </c>
      <c r="E83" s="24" t="s">
        <v>3905</v>
      </c>
      <c r="F83" s="38" t="s">
        <v>3975</v>
      </c>
      <c r="G83" s="108">
        <v>2</v>
      </c>
      <c r="H83" s="38" t="s">
        <v>3987</v>
      </c>
      <c r="I83" s="106"/>
      <c r="J83" s="128" t="s">
        <v>3908</v>
      </c>
      <c r="K83" s="132" t="s">
        <v>3988</v>
      </c>
      <c r="L83" s="132"/>
      <c r="M83" s="132"/>
      <c r="N83" s="132"/>
      <c r="O83" s="132"/>
      <c r="P83" s="123">
        <v>315</v>
      </c>
      <c r="Q83" s="123">
        <v>72</v>
      </c>
      <c r="R83" s="130"/>
      <c r="S83" s="139">
        <v>0</v>
      </c>
      <c r="T83" s="124">
        <v>0</v>
      </c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17"/>
      <c r="AH83" s="24"/>
      <c r="AI83" s="25"/>
      <c r="AJ83" s="25"/>
    </row>
    <row r="84" spans="1:36" x14ac:dyDescent="0.3">
      <c r="A84" s="63">
        <v>78</v>
      </c>
      <c r="B84" s="102" t="s">
        <v>3520</v>
      </c>
      <c r="C84" s="102" t="s">
        <v>3521</v>
      </c>
      <c r="D84" s="64" t="s">
        <v>119</v>
      </c>
      <c r="E84" s="24" t="s">
        <v>3905</v>
      </c>
      <c r="F84" s="38" t="s">
        <v>3975</v>
      </c>
      <c r="G84" s="108">
        <v>3</v>
      </c>
      <c r="H84" s="38" t="s">
        <v>3987</v>
      </c>
      <c r="I84" s="106"/>
      <c r="J84" s="128" t="s">
        <v>3908</v>
      </c>
      <c r="K84" s="132" t="s">
        <v>3989</v>
      </c>
      <c r="L84" s="132"/>
      <c r="M84" s="132"/>
      <c r="N84" s="132"/>
      <c r="O84" s="132"/>
      <c r="P84" s="123">
        <v>998</v>
      </c>
      <c r="Q84" s="123">
        <f>191+4</f>
        <v>195</v>
      </c>
      <c r="R84" s="130"/>
      <c r="S84" s="135">
        <v>49</v>
      </c>
      <c r="T84" s="123">
        <v>55</v>
      </c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17"/>
      <c r="AH84" s="24"/>
      <c r="AI84" s="25"/>
      <c r="AJ84" s="25"/>
    </row>
    <row r="85" spans="1:36" x14ac:dyDescent="0.3">
      <c r="A85" s="63">
        <v>79</v>
      </c>
      <c r="B85" s="102" t="s">
        <v>3520</v>
      </c>
      <c r="C85" s="102" t="s">
        <v>3521</v>
      </c>
      <c r="D85" s="64" t="s">
        <v>119</v>
      </c>
      <c r="E85" s="24" t="s">
        <v>3905</v>
      </c>
      <c r="F85" s="38" t="s">
        <v>3975</v>
      </c>
      <c r="G85" s="108">
        <v>3</v>
      </c>
      <c r="H85" s="38" t="s">
        <v>3987</v>
      </c>
      <c r="I85" s="106"/>
      <c r="J85" s="128" t="s">
        <v>3908</v>
      </c>
      <c r="K85" s="132" t="s">
        <v>3990</v>
      </c>
      <c r="L85" s="132"/>
      <c r="M85" s="132"/>
      <c r="N85" s="132"/>
      <c r="O85" s="132"/>
      <c r="P85" s="123">
        <f>854+10</f>
        <v>864</v>
      </c>
      <c r="Q85" s="123">
        <f>169+6</f>
        <v>175</v>
      </c>
      <c r="R85" s="130"/>
      <c r="S85" s="135">
        <v>61</v>
      </c>
      <c r="T85" s="123">
        <v>71</v>
      </c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17"/>
      <c r="AH85" s="24"/>
      <c r="AI85" s="25"/>
      <c r="AJ85" s="25"/>
    </row>
    <row r="86" spans="1:36" x14ac:dyDescent="0.3">
      <c r="A86" s="63">
        <v>80</v>
      </c>
      <c r="B86" s="102" t="s">
        <v>3520</v>
      </c>
      <c r="C86" s="102" t="s">
        <v>3521</v>
      </c>
      <c r="D86" s="64" t="s">
        <v>119</v>
      </c>
      <c r="E86" s="24" t="s">
        <v>3905</v>
      </c>
      <c r="F86" s="38" t="s">
        <v>3975</v>
      </c>
      <c r="G86" s="108">
        <v>3</v>
      </c>
      <c r="H86" s="38" t="s">
        <v>3987</v>
      </c>
      <c r="I86" s="106"/>
      <c r="J86" s="128" t="s">
        <v>3908</v>
      </c>
      <c r="K86" s="132" t="s">
        <v>3991</v>
      </c>
      <c r="L86" s="132"/>
      <c r="M86" s="132"/>
      <c r="N86" s="132"/>
      <c r="O86" s="132"/>
      <c r="P86" s="123">
        <v>689</v>
      </c>
      <c r="Q86" s="123">
        <v>145</v>
      </c>
      <c r="R86" s="130"/>
      <c r="S86" s="135">
        <v>16</v>
      </c>
      <c r="T86" s="123">
        <v>20</v>
      </c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17"/>
      <c r="AH86" s="24"/>
      <c r="AI86" s="25"/>
      <c r="AJ86" s="25"/>
    </row>
    <row r="87" spans="1:36" x14ac:dyDescent="0.3">
      <c r="A87" s="63">
        <v>81</v>
      </c>
      <c r="B87" s="102" t="s">
        <v>3520</v>
      </c>
      <c r="C87" s="102" t="s">
        <v>3521</v>
      </c>
      <c r="D87" s="64" t="s">
        <v>119</v>
      </c>
      <c r="E87" s="24" t="s">
        <v>3905</v>
      </c>
      <c r="F87" s="38" t="s">
        <v>3975</v>
      </c>
      <c r="G87" s="108">
        <v>3</v>
      </c>
      <c r="H87" s="38" t="s">
        <v>3987</v>
      </c>
      <c r="I87" s="106"/>
      <c r="J87" s="128" t="s">
        <v>3908</v>
      </c>
      <c r="K87" s="132" t="s">
        <v>3992</v>
      </c>
      <c r="L87" s="132"/>
      <c r="M87" s="132"/>
      <c r="N87" s="132"/>
      <c r="O87" s="132"/>
      <c r="P87" s="123">
        <v>509</v>
      </c>
      <c r="Q87" s="123">
        <v>100</v>
      </c>
      <c r="R87" s="130"/>
      <c r="S87" s="135">
        <v>38</v>
      </c>
      <c r="T87" s="123">
        <v>45</v>
      </c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17"/>
      <c r="AH87" s="24"/>
      <c r="AI87" s="25"/>
      <c r="AJ87" s="25"/>
    </row>
    <row r="88" spans="1:36" x14ac:dyDescent="0.3">
      <c r="A88" s="63">
        <v>82</v>
      </c>
      <c r="B88" s="102" t="s">
        <v>3520</v>
      </c>
      <c r="C88" s="102" t="s">
        <v>3521</v>
      </c>
      <c r="D88" s="64" t="s">
        <v>119</v>
      </c>
      <c r="E88" s="24" t="s">
        <v>3905</v>
      </c>
      <c r="F88" s="38" t="s">
        <v>3975</v>
      </c>
      <c r="G88" s="108">
        <v>3</v>
      </c>
      <c r="H88" s="38" t="s">
        <v>3987</v>
      </c>
      <c r="I88" s="106"/>
      <c r="J88" s="128" t="s">
        <v>3908</v>
      </c>
      <c r="K88" s="132" t="s">
        <v>3993</v>
      </c>
      <c r="L88" s="132"/>
      <c r="M88" s="132"/>
      <c r="N88" s="132"/>
      <c r="O88" s="132"/>
      <c r="P88" s="123">
        <v>886</v>
      </c>
      <c r="Q88" s="123">
        <v>162</v>
      </c>
      <c r="R88" s="130"/>
      <c r="S88" s="139">
        <v>17</v>
      </c>
      <c r="T88" s="124">
        <v>20</v>
      </c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16"/>
      <c r="AH88" s="24"/>
      <c r="AI88" s="25"/>
      <c r="AJ88" s="25"/>
    </row>
    <row r="89" spans="1:36" x14ac:dyDescent="0.3">
      <c r="A89" s="63">
        <v>83</v>
      </c>
      <c r="B89" s="102" t="s">
        <v>3520</v>
      </c>
      <c r="C89" s="102" t="s">
        <v>3521</v>
      </c>
      <c r="D89" s="64" t="s">
        <v>119</v>
      </c>
      <c r="E89" s="24" t="s">
        <v>3905</v>
      </c>
      <c r="F89" s="38" t="s">
        <v>3975</v>
      </c>
      <c r="G89" s="108">
        <v>3</v>
      </c>
      <c r="H89" s="38" t="s">
        <v>3987</v>
      </c>
      <c r="I89" s="106"/>
      <c r="J89" s="128" t="s">
        <v>3908</v>
      </c>
      <c r="K89" s="132" t="s">
        <v>3627</v>
      </c>
      <c r="L89" s="132"/>
      <c r="M89" s="132"/>
      <c r="N89" s="132"/>
      <c r="O89" s="132"/>
      <c r="P89" s="123">
        <v>546</v>
      </c>
      <c r="Q89" s="123">
        <v>128</v>
      </c>
      <c r="R89" s="130"/>
      <c r="S89" s="139">
        <v>20</v>
      </c>
      <c r="T89" s="124">
        <v>24</v>
      </c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17"/>
      <c r="AH89" s="24"/>
      <c r="AI89" s="25"/>
      <c r="AJ89" s="25"/>
    </row>
    <row r="90" spans="1:36" x14ac:dyDescent="0.3">
      <c r="A90" s="63">
        <v>84</v>
      </c>
      <c r="B90" s="102" t="s">
        <v>3520</v>
      </c>
      <c r="C90" s="102" t="s">
        <v>3521</v>
      </c>
      <c r="D90" s="64" t="s">
        <v>119</v>
      </c>
      <c r="E90" s="24" t="s">
        <v>3905</v>
      </c>
      <c r="F90" s="38" t="s">
        <v>3975</v>
      </c>
      <c r="G90" s="108">
        <v>3</v>
      </c>
      <c r="H90" s="38" t="s">
        <v>3987</v>
      </c>
      <c r="I90" s="106"/>
      <c r="J90" s="128" t="s">
        <v>3908</v>
      </c>
      <c r="K90" s="132" t="s">
        <v>3994</v>
      </c>
      <c r="L90" s="132"/>
      <c r="M90" s="132"/>
      <c r="N90" s="132"/>
      <c r="O90" s="132"/>
      <c r="P90" s="123">
        <v>70</v>
      </c>
      <c r="Q90" s="123">
        <v>15</v>
      </c>
      <c r="R90" s="130"/>
      <c r="S90" s="135">
        <v>4</v>
      </c>
      <c r="T90" s="123">
        <v>6</v>
      </c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17"/>
      <c r="AH90" s="24"/>
      <c r="AI90" s="25"/>
      <c r="AJ90" s="25"/>
    </row>
    <row r="91" spans="1:36" x14ac:dyDescent="0.3">
      <c r="A91" s="63">
        <v>85</v>
      </c>
      <c r="B91" s="102" t="s">
        <v>3520</v>
      </c>
      <c r="C91" s="102" t="s">
        <v>3521</v>
      </c>
      <c r="D91" s="64" t="s">
        <v>119</v>
      </c>
      <c r="E91" s="24" t="s">
        <v>3905</v>
      </c>
      <c r="F91" s="38" t="s">
        <v>3975</v>
      </c>
      <c r="G91" s="108">
        <v>3</v>
      </c>
      <c r="H91" s="38" t="s">
        <v>3987</v>
      </c>
      <c r="I91" s="106"/>
      <c r="J91" s="128" t="s">
        <v>3908</v>
      </c>
      <c r="K91" s="132" t="s">
        <v>3995</v>
      </c>
      <c r="L91" s="132"/>
      <c r="M91" s="132"/>
      <c r="N91" s="132"/>
      <c r="O91" s="132"/>
      <c r="P91" s="123">
        <f>551+32</f>
        <v>583</v>
      </c>
      <c r="Q91" s="123">
        <f>106+10</f>
        <v>116</v>
      </c>
      <c r="R91" s="130"/>
      <c r="S91" s="135">
        <v>43</v>
      </c>
      <c r="T91" s="123">
        <v>43</v>
      </c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17"/>
      <c r="AH91" s="24"/>
      <c r="AI91" s="25"/>
      <c r="AJ91" s="25"/>
    </row>
    <row r="92" spans="1:36" x14ac:dyDescent="0.3">
      <c r="A92" s="63">
        <v>86</v>
      </c>
      <c r="B92" s="102" t="s">
        <v>3520</v>
      </c>
      <c r="C92" s="102" t="s">
        <v>3521</v>
      </c>
      <c r="D92" s="64" t="s">
        <v>119</v>
      </c>
      <c r="E92" s="24" t="s">
        <v>3905</v>
      </c>
      <c r="F92" s="38" t="s">
        <v>3975</v>
      </c>
      <c r="G92" s="120">
        <v>4</v>
      </c>
      <c r="H92" s="38" t="s">
        <v>3996</v>
      </c>
      <c r="I92" s="106"/>
      <c r="J92" s="128" t="s">
        <v>3908</v>
      </c>
      <c r="K92" s="132" t="s">
        <v>3997</v>
      </c>
      <c r="L92" s="132"/>
      <c r="M92" s="132"/>
      <c r="N92" s="132"/>
      <c r="O92" s="132"/>
      <c r="P92" s="123">
        <v>1232</v>
      </c>
      <c r="Q92" s="123">
        <v>279</v>
      </c>
      <c r="R92" s="130"/>
      <c r="S92" s="135">
        <v>399</v>
      </c>
      <c r="T92" s="123">
        <v>420</v>
      </c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17"/>
      <c r="AH92" s="24"/>
      <c r="AI92" s="25"/>
      <c r="AJ92" s="25"/>
    </row>
    <row r="93" spans="1:36" x14ac:dyDescent="0.3">
      <c r="A93" s="63">
        <v>87</v>
      </c>
      <c r="B93" s="102" t="s">
        <v>3520</v>
      </c>
      <c r="C93" s="102" t="s">
        <v>3521</v>
      </c>
      <c r="D93" s="64" t="s">
        <v>119</v>
      </c>
      <c r="E93" s="24" t="s">
        <v>3905</v>
      </c>
      <c r="F93" s="38" t="s">
        <v>3975</v>
      </c>
      <c r="G93" s="140">
        <v>4</v>
      </c>
      <c r="H93" s="38" t="s">
        <v>3996</v>
      </c>
      <c r="I93" s="106"/>
      <c r="J93" s="128" t="s">
        <v>3908</v>
      </c>
      <c r="K93" s="132" t="s">
        <v>3998</v>
      </c>
      <c r="L93" s="132"/>
      <c r="M93" s="132"/>
      <c r="N93" s="132"/>
      <c r="O93" s="132"/>
      <c r="P93" s="123">
        <v>1116</v>
      </c>
      <c r="Q93" s="123">
        <f>230+5</f>
        <v>235</v>
      </c>
      <c r="R93" s="130"/>
      <c r="S93" s="135">
        <v>91</v>
      </c>
      <c r="T93" s="123">
        <v>92</v>
      </c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17"/>
      <c r="AH93" s="24"/>
      <c r="AI93" s="25"/>
      <c r="AJ93" s="25"/>
    </row>
    <row r="94" spans="1:36" x14ac:dyDescent="0.3">
      <c r="A94" s="63">
        <v>88</v>
      </c>
      <c r="B94" s="102" t="s">
        <v>3520</v>
      </c>
      <c r="C94" s="102" t="s">
        <v>3521</v>
      </c>
      <c r="D94" s="64" t="s">
        <v>119</v>
      </c>
      <c r="E94" s="24" t="s">
        <v>3905</v>
      </c>
      <c r="F94" s="38" t="s">
        <v>3975</v>
      </c>
      <c r="G94" s="108">
        <v>4</v>
      </c>
      <c r="H94" s="38" t="s">
        <v>3996</v>
      </c>
      <c r="I94" s="106"/>
      <c r="J94" s="128" t="s">
        <v>3908</v>
      </c>
      <c r="K94" s="132" t="s">
        <v>3999</v>
      </c>
      <c r="L94" s="132"/>
      <c r="M94" s="132"/>
      <c r="N94" s="132"/>
      <c r="O94" s="132"/>
      <c r="P94" s="123">
        <f>1168+31</f>
        <v>1199</v>
      </c>
      <c r="Q94" s="123">
        <f>250+12</f>
        <v>262</v>
      </c>
      <c r="R94" s="130"/>
      <c r="S94" s="135">
        <v>177</v>
      </c>
      <c r="T94" s="123">
        <v>190</v>
      </c>
      <c r="U94" s="38">
        <v>1</v>
      </c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17"/>
      <c r="AH94" s="24"/>
      <c r="AI94" s="25"/>
      <c r="AJ94" s="25"/>
    </row>
    <row r="95" spans="1:36" x14ac:dyDescent="0.3">
      <c r="A95" s="63">
        <v>89</v>
      </c>
      <c r="B95" s="102" t="s">
        <v>3520</v>
      </c>
      <c r="C95" s="102" t="s">
        <v>3521</v>
      </c>
      <c r="D95" s="64" t="s">
        <v>119</v>
      </c>
      <c r="E95" s="24" t="s">
        <v>3905</v>
      </c>
      <c r="F95" s="38" t="s">
        <v>3975</v>
      </c>
      <c r="G95" s="140">
        <v>4</v>
      </c>
      <c r="H95" s="38" t="s">
        <v>3996</v>
      </c>
      <c r="I95" s="106"/>
      <c r="J95" s="128" t="s">
        <v>3908</v>
      </c>
      <c r="K95" s="132" t="s">
        <v>4000</v>
      </c>
      <c r="L95" s="132"/>
      <c r="M95" s="132"/>
      <c r="N95" s="132"/>
      <c r="O95" s="132"/>
      <c r="P95" s="123">
        <f>442+3</f>
        <v>445</v>
      </c>
      <c r="Q95" s="123">
        <f>100+1</f>
        <v>101</v>
      </c>
      <c r="R95" s="130"/>
      <c r="S95" s="139">
        <v>0</v>
      </c>
      <c r="T95" s="124">
        <v>0</v>
      </c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17"/>
      <c r="AH95" s="24"/>
      <c r="AI95" s="25"/>
      <c r="AJ95" s="25"/>
    </row>
    <row r="96" spans="1:36" x14ac:dyDescent="0.3">
      <c r="A96" s="63">
        <v>90</v>
      </c>
      <c r="B96" s="102" t="s">
        <v>3520</v>
      </c>
      <c r="C96" s="102" t="s">
        <v>3521</v>
      </c>
      <c r="D96" s="64" t="s">
        <v>119</v>
      </c>
      <c r="E96" s="24" t="s">
        <v>3905</v>
      </c>
      <c r="F96" s="38" t="s">
        <v>3975</v>
      </c>
      <c r="G96" s="120">
        <v>4</v>
      </c>
      <c r="H96" s="38" t="s">
        <v>3996</v>
      </c>
      <c r="I96" s="106"/>
      <c r="J96" s="128" t="s">
        <v>3908</v>
      </c>
      <c r="K96" s="132" t="s">
        <v>4001</v>
      </c>
      <c r="L96" s="132"/>
      <c r="M96" s="132"/>
      <c r="N96" s="132"/>
      <c r="O96" s="132"/>
      <c r="P96" s="123">
        <v>843</v>
      </c>
      <c r="Q96" s="123">
        <v>172</v>
      </c>
      <c r="R96" s="130"/>
      <c r="S96" s="139">
        <v>0</v>
      </c>
      <c r="T96" s="124">
        <v>0</v>
      </c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17"/>
      <c r="AH96" s="24"/>
      <c r="AI96" s="25"/>
      <c r="AJ96" s="25"/>
    </row>
    <row r="97" spans="1:36" x14ac:dyDescent="0.3">
      <c r="A97" s="63">
        <v>91</v>
      </c>
      <c r="B97" s="102" t="s">
        <v>3520</v>
      </c>
      <c r="C97" s="102" t="s">
        <v>3521</v>
      </c>
      <c r="D97" s="64" t="s">
        <v>119</v>
      </c>
      <c r="E97" s="24" t="s">
        <v>3905</v>
      </c>
      <c r="F97" s="38" t="s">
        <v>3975</v>
      </c>
      <c r="G97" s="140">
        <v>4</v>
      </c>
      <c r="H97" s="38" t="s">
        <v>3996</v>
      </c>
      <c r="I97" s="106"/>
      <c r="J97" s="128" t="s">
        <v>3908</v>
      </c>
      <c r="K97" s="132" t="s">
        <v>4002</v>
      </c>
      <c r="L97" s="132"/>
      <c r="M97" s="132"/>
      <c r="N97" s="132"/>
      <c r="O97" s="132"/>
      <c r="P97" s="123">
        <f>744+13</f>
        <v>757</v>
      </c>
      <c r="Q97" s="123">
        <f>159+2</f>
        <v>161</v>
      </c>
      <c r="R97" s="130"/>
      <c r="S97" s="135">
        <v>29</v>
      </c>
      <c r="T97" s="123">
        <v>35</v>
      </c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17"/>
      <c r="AH97" s="24"/>
      <c r="AI97" s="25"/>
      <c r="AJ97" s="25"/>
    </row>
    <row r="98" spans="1:36" x14ac:dyDescent="0.3">
      <c r="A98" s="63">
        <v>92</v>
      </c>
      <c r="B98" s="102" t="s">
        <v>3520</v>
      </c>
      <c r="C98" s="102" t="s">
        <v>3521</v>
      </c>
      <c r="D98" s="64" t="s">
        <v>119</v>
      </c>
      <c r="E98" s="24" t="s">
        <v>3905</v>
      </c>
      <c r="F98" s="38" t="s">
        <v>3975</v>
      </c>
      <c r="G98" s="108">
        <v>5</v>
      </c>
      <c r="H98" s="38" t="s">
        <v>4003</v>
      </c>
      <c r="I98" s="106"/>
      <c r="J98" s="128" t="s">
        <v>3908</v>
      </c>
      <c r="K98" s="132" t="s">
        <v>4004</v>
      </c>
      <c r="L98" s="132"/>
      <c r="M98" s="132"/>
      <c r="N98" s="132"/>
      <c r="O98" s="132"/>
      <c r="P98" s="123">
        <f>570+6</f>
        <v>576</v>
      </c>
      <c r="Q98" s="123">
        <f>113+2</f>
        <v>115</v>
      </c>
      <c r="R98" s="130"/>
      <c r="S98" s="135">
        <v>51</v>
      </c>
      <c r="T98" s="123">
        <v>59</v>
      </c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17"/>
      <c r="AH98" s="24"/>
      <c r="AI98" s="25"/>
      <c r="AJ98" s="25"/>
    </row>
    <row r="99" spans="1:36" x14ac:dyDescent="0.3">
      <c r="A99" s="63">
        <v>93</v>
      </c>
      <c r="B99" s="102" t="s">
        <v>3520</v>
      </c>
      <c r="C99" s="102" t="s">
        <v>3521</v>
      </c>
      <c r="D99" s="64" t="s">
        <v>119</v>
      </c>
      <c r="E99" s="24" t="s">
        <v>3905</v>
      </c>
      <c r="F99" s="38" t="s">
        <v>3975</v>
      </c>
      <c r="G99" s="108">
        <v>5</v>
      </c>
      <c r="H99" s="38" t="s">
        <v>4003</v>
      </c>
      <c r="I99" s="106"/>
      <c r="J99" s="128" t="s">
        <v>3908</v>
      </c>
      <c r="K99" s="132" t="s">
        <v>4005</v>
      </c>
      <c r="L99" s="132"/>
      <c r="M99" s="132"/>
      <c r="N99" s="132"/>
      <c r="O99" s="132"/>
      <c r="P99" s="123">
        <v>868</v>
      </c>
      <c r="Q99" s="123">
        <v>137</v>
      </c>
      <c r="R99" s="130"/>
      <c r="S99" s="139">
        <v>0</v>
      </c>
      <c r="T99" s="124">
        <v>0</v>
      </c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17"/>
      <c r="AH99" s="24"/>
      <c r="AI99" s="25"/>
      <c r="AJ99" s="25"/>
    </row>
    <row r="100" spans="1:36" x14ac:dyDescent="0.3">
      <c r="A100" s="63">
        <v>94</v>
      </c>
      <c r="B100" s="102" t="s">
        <v>3520</v>
      </c>
      <c r="C100" s="102" t="s">
        <v>3521</v>
      </c>
      <c r="D100" s="64" t="s">
        <v>119</v>
      </c>
      <c r="E100" s="24" t="s">
        <v>3905</v>
      </c>
      <c r="F100" s="38" t="s">
        <v>3975</v>
      </c>
      <c r="G100" s="108">
        <v>5</v>
      </c>
      <c r="H100" s="38" t="s">
        <v>4003</v>
      </c>
      <c r="I100" s="106"/>
      <c r="J100" s="128" t="s">
        <v>3908</v>
      </c>
      <c r="K100" s="132" t="s">
        <v>4006</v>
      </c>
      <c r="L100" s="132"/>
      <c r="M100" s="132"/>
      <c r="N100" s="132"/>
      <c r="O100" s="132"/>
      <c r="P100" s="123">
        <f>550+45</f>
        <v>595</v>
      </c>
      <c r="Q100" s="123">
        <f>112+15</f>
        <v>127</v>
      </c>
      <c r="R100" s="130"/>
      <c r="S100" s="139">
        <v>0</v>
      </c>
      <c r="T100" s="124">
        <v>0</v>
      </c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17"/>
      <c r="AH100" s="24"/>
      <c r="AI100" s="25"/>
      <c r="AJ100" s="25"/>
    </row>
    <row r="101" spans="1:36" x14ac:dyDescent="0.3">
      <c r="A101" s="63">
        <v>95</v>
      </c>
      <c r="B101" s="102" t="s">
        <v>3520</v>
      </c>
      <c r="C101" s="102" t="s">
        <v>3521</v>
      </c>
      <c r="D101" s="64" t="s">
        <v>119</v>
      </c>
      <c r="E101" s="24" t="s">
        <v>3905</v>
      </c>
      <c r="F101" s="38" t="s">
        <v>3975</v>
      </c>
      <c r="G101" s="108">
        <v>5</v>
      </c>
      <c r="H101" s="38" t="s">
        <v>4003</v>
      </c>
      <c r="I101" s="106"/>
      <c r="J101" s="128" t="s">
        <v>3908</v>
      </c>
      <c r="K101" s="132" t="s">
        <v>4007</v>
      </c>
      <c r="L101" s="132"/>
      <c r="M101" s="132"/>
      <c r="N101" s="132"/>
      <c r="O101" s="132"/>
      <c r="P101" s="123">
        <f>728+12</f>
        <v>740</v>
      </c>
      <c r="Q101" s="123">
        <f>138+3</f>
        <v>141</v>
      </c>
      <c r="R101" s="130"/>
      <c r="S101" s="139">
        <v>0</v>
      </c>
      <c r="T101" s="124">
        <v>0</v>
      </c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17"/>
      <c r="AH101" s="24"/>
      <c r="AI101" s="25"/>
      <c r="AJ101" s="25"/>
    </row>
    <row r="102" spans="1:36" x14ac:dyDescent="0.3">
      <c r="A102" s="63">
        <v>96</v>
      </c>
      <c r="B102" s="102" t="s">
        <v>3520</v>
      </c>
      <c r="C102" s="102" t="s">
        <v>3521</v>
      </c>
      <c r="D102" s="64" t="s">
        <v>119</v>
      </c>
      <c r="E102" s="24" t="s">
        <v>3905</v>
      </c>
      <c r="F102" s="38" t="s">
        <v>3975</v>
      </c>
      <c r="G102" s="108">
        <v>5</v>
      </c>
      <c r="H102" s="38" t="s">
        <v>4003</v>
      </c>
      <c r="I102" s="106"/>
      <c r="J102" s="128" t="s">
        <v>3908</v>
      </c>
      <c r="K102" s="132" t="s">
        <v>4008</v>
      </c>
      <c r="L102" s="132"/>
      <c r="M102" s="132"/>
      <c r="N102" s="132"/>
      <c r="O102" s="132"/>
      <c r="P102" s="123">
        <v>882</v>
      </c>
      <c r="Q102" s="123">
        <v>190</v>
      </c>
      <c r="R102" s="130"/>
      <c r="S102" s="135">
        <v>117</v>
      </c>
      <c r="T102" s="123">
        <v>122</v>
      </c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17"/>
      <c r="AH102" s="24"/>
      <c r="AI102" s="25"/>
      <c r="AJ102" s="25"/>
    </row>
    <row r="103" spans="1:36" x14ac:dyDescent="0.3">
      <c r="A103" s="63">
        <v>97</v>
      </c>
      <c r="B103" s="102" t="s">
        <v>3520</v>
      </c>
      <c r="C103" s="102" t="s">
        <v>3521</v>
      </c>
      <c r="D103" s="64" t="s">
        <v>119</v>
      </c>
      <c r="E103" s="24" t="s">
        <v>3905</v>
      </c>
      <c r="F103" s="38" t="s">
        <v>3975</v>
      </c>
      <c r="G103" s="108">
        <v>6</v>
      </c>
      <c r="H103" s="38" t="s">
        <v>4009</v>
      </c>
      <c r="I103" s="106"/>
      <c r="J103" s="128" t="s">
        <v>3908</v>
      </c>
      <c r="K103" s="136" t="s">
        <v>4010</v>
      </c>
      <c r="L103" s="136"/>
      <c r="M103" s="136"/>
      <c r="N103" s="136"/>
      <c r="O103" s="136"/>
      <c r="P103" s="123">
        <v>3354</v>
      </c>
      <c r="Q103" s="123">
        <v>621</v>
      </c>
      <c r="R103" s="130"/>
      <c r="S103" s="139">
        <v>0</v>
      </c>
      <c r="T103" s="124">
        <v>0</v>
      </c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17"/>
      <c r="AH103" s="24"/>
      <c r="AI103" s="25"/>
      <c r="AJ103" s="25"/>
    </row>
    <row r="104" spans="1:36" x14ac:dyDescent="0.3">
      <c r="A104" s="63">
        <v>98</v>
      </c>
      <c r="B104" s="102" t="s">
        <v>3520</v>
      </c>
      <c r="C104" s="102" t="s">
        <v>3521</v>
      </c>
      <c r="D104" s="64" t="s">
        <v>119</v>
      </c>
      <c r="E104" s="24" t="s">
        <v>3905</v>
      </c>
      <c r="F104" s="38" t="s">
        <v>3975</v>
      </c>
      <c r="G104" s="108">
        <v>7</v>
      </c>
      <c r="H104" s="38" t="s">
        <v>4011</v>
      </c>
      <c r="I104" s="106"/>
      <c r="J104" s="128" t="s">
        <v>3908</v>
      </c>
      <c r="K104" s="132" t="s">
        <v>3719</v>
      </c>
      <c r="L104" s="132"/>
      <c r="M104" s="132"/>
      <c r="N104" s="132"/>
      <c r="O104" s="132"/>
      <c r="P104" s="123">
        <v>453</v>
      </c>
      <c r="Q104" s="123">
        <f>97+3</f>
        <v>100</v>
      </c>
      <c r="R104" s="130"/>
      <c r="S104" s="135">
        <v>48</v>
      </c>
      <c r="T104" s="123">
        <v>51</v>
      </c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17"/>
      <c r="AH104" s="24"/>
      <c r="AI104" s="25"/>
      <c r="AJ104" s="25"/>
    </row>
    <row r="105" spans="1:36" x14ac:dyDescent="0.3">
      <c r="A105" s="63">
        <v>99</v>
      </c>
      <c r="B105" s="102" t="s">
        <v>3520</v>
      </c>
      <c r="C105" s="102" t="s">
        <v>3521</v>
      </c>
      <c r="D105" s="64" t="s">
        <v>119</v>
      </c>
      <c r="E105" s="24" t="s">
        <v>3905</v>
      </c>
      <c r="F105" s="38" t="s">
        <v>3975</v>
      </c>
      <c r="G105" s="108">
        <v>7</v>
      </c>
      <c r="H105" s="38" t="s">
        <v>4011</v>
      </c>
      <c r="I105" s="106"/>
      <c r="J105" s="128" t="s">
        <v>3908</v>
      </c>
      <c r="K105" s="132" t="s">
        <v>4012</v>
      </c>
      <c r="L105" s="132"/>
      <c r="M105" s="132"/>
      <c r="N105" s="132"/>
      <c r="O105" s="132"/>
      <c r="P105" s="123">
        <v>3847</v>
      </c>
      <c r="Q105" s="123">
        <v>870</v>
      </c>
      <c r="R105" s="130"/>
      <c r="S105" s="135">
        <v>93</v>
      </c>
      <c r="T105" s="123">
        <v>100</v>
      </c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17"/>
      <c r="AH105" s="24"/>
      <c r="AI105" s="25"/>
      <c r="AJ105" s="25"/>
    </row>
    <row r="106" spans="1:36" x14ac:dyDescent="0.3">
      <c r="A106" s="63">
        <v>100</v>
      </c>
      <c r="B106" s="102" t="s">
        <v>3520</v>
      </c>
      <c r="C106" s="102" t="s">
        <v>3521</v>
      </c>
      <c r="D106" s="64" t="s">
        <v>119</v>
      </c>
      <c r="E106" s="24" t="s">
        <v>3905</v>
      </c>
      <c r="F106" s="38" t="s">
        <v>3975</v>
      </c>
      <c r="G106" s="108">
        <v>7</v>
      </c>
      <c r="H106" s="38" t="s">
        <v>4011</v>
      </c>
      <c r="I106" s="106"/>
      <c r="J106" s="128" t="s">
        <v>3908</v>
      </c>
      <c r="K106" s="132" t="s">
        <v>3896</v>
      </c>
      <c r="L106" s="132"/>
      <c r="M106" s="132"/>
      <c r="N106" s="132"/>
      <c r="O106" s="132"/>
      <c r="P106" s="123">
        <v>1956</v>
      </c>
      <c r="Q106" s="123">
        <v>424</v>
      </c>
      <c r="R106" s="130"/>
      <c r="S106" s="139">
        <v>0</v>
      </c>
      <c r="T106" s="124">
        <v>0</v>
      </c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17"/>
      <c r="AH106" s="24"/>
      <c r="AI106" s="25"/>
      <c r="AJ106" s="25"/>
    </row>
    <row r="107" spans="1:36" x14ac:dyDescent="0.3">
      <c r="A107" s="63">
        <v>101</v>
      </c>
      <c r="B107" s="102" t="s">
        <v>3520</v>
      </c>
      <c r="C107" s="102" t="s">
        <v>3521</v>
      </c>
      <c r="D107" s="64" t="s">
        <v>119</v>
      </c>
      <c r="E107" s="24" t="s">
        <v>3905</v>
      </c>
      <c r="F107" s="38" t="s">
        <v>3975</v>
      </c>
      <c r="G107" s="108">
        <v>7</v>
      </c>
      <c r="H107" s="38" t="s">
        <v>4011</v>
      </c>
      <c r="I107" s="106"/>
      <c r="J107" s="128" t="s">
        <v>3908</v>
      </c>
      <c r="K107" s="132" t="s">
        <v>4013</v>
      </c>
      <c r="L107" s="132"/>
      <c r="M107" s="132"/>
      <c r="N107" s="132"/>
      <c r="O107" s="132"/>
      <c r="P107" s="123">
        <v>580</v>
      </c>
      <c r="Q107" s="123">
        <v>127</v>
      </c>
      <c r="R107" s="130"/>
      <c r="S107" s="135">
        <v>77</v>
      </c>
      <c r="T107" s="123">
        <v>89</v>
      </c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17"/>
      <c r="AH107" s="24"/>
      <c r="AI107" s="25"/>
      <c r="AJ107" s="25"/>
    </row>
    <row r="108" spans="1:36" x14ac:dyDescent="0.3">
      <c r="A108" s="63">
        <v>102</v>
      </c>
      <c r="B108" s="102" t="s">
        <v>3520</v>
      </c>
      <c r="C108" s="102" t="s">
        <v>3521</v>
      </c>
      <c r="D108" s="64" t="s">
        <v>119</v>
      </c>
      <c r="E108" s="24" t="s">
        <v>3905</v>
      </c>
      <c r="F108" s="38" t="s">
        <v>3975</v>
      </c>
      <c r="G108" s="108">
        <v>8</v>
      </c>
      <c r="H108" s="38" t="s">
        <v>4014</v>
      </c>
      <c r="I108" s="106"/>
      <c r="J108" s="128" t="s">
        <v>3908</v>
      </c>
      <c r="K108" s="132" t="s">
        <v>4015</v>
      </c>
      <c r="L108" s="132"/>
      <c r="M108" s="132"/>
      <c r="N108" s="132"/>
      <c r="O108" s="132"/>
      <c r="P108" s="123">
        <v>1565</v>
      </c>
      <c r="Q108" s="123">
        <v>313</v>
      </c>
      <c r="R108" s="130"/>
      <c r="S108" s="139">
        <v>0</v>
      </c>
      <c r="T108" s="124">
        <v>0</v>
      </c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17"/>
      <c r="AH108" s="24"/>
      <c r="AI108" s="25"/>
      <c r="AJ108" s="25"/>
    </row>
    <row r="109" spans="1:36" x14ac:dyDescent="0.3">
      <c r="A109" s="63">
        <v>103</v>
      </c>
      <c r="B109" s="102" t="s">
        <v>3520</v>
      </c>
      <c r="C109" s="102" t="s">
        <v>3521</v>
      </c>
      <c r="D109" s="64" t="s">
        <v>119</v>
      </c>
      <c r="E109" s="24" t="s">
        <v>3905</v>
      </c>
      <c r="F109" s="38" t="s">
        <v>3975</v>
      </c>
      <c r="G109" s="108">
        <v>8</v>
      </c>
      <c r="H109" s="38" t="s">
        <v>4014</v>
      </c>
      <c r="I109" s="106"/>
      <c r="J109" s="128" t="s">
        <v>3908</v>
      </c>
      <c r="K109" s="132" t="s">
        <v>4016</v>
      </c>
      <c r="L109" s="132"/>
      <c r="M109" s="132"/>
      <c r="N109" s="132"/>
      <c r="O109" s="132"/>
      <c r="P109" s="123">
        <v>1588</v>
      </c>
      <c r="Q109" s="123">
        <v>316</v>
      </c>
      <c r="R109" s="130"/>
      <c r="S109" s="139">
        <v>0</v>
      </c>
      <c r="T109" s="124">
        <v>0</v>
      </c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17"/>
      <c r="AH109" s="24"/>
      <c r="AI109" s="25"/>
      <c r="AJ109" s="25"/>
    </row>
    <row r="110" spans="1:36" x14ac:dyDescent="0.3">
      <c r="A110" s="63">
        <v>104</v>
      </c>
      <c r="B110" s="102" t="s">
        <v>3520</v>
      </c>
      <c r="C110" s="102" t="s">
        <v>3521</v>
      </c>
      <c r="D110" s="64" t="s">
        <v>119</v>
      </c>
      <c r="E110" s="24" t="s">
        <v>3905</v>
      </c>
      <c r="F110" s="38" t="s">
        <v>3975</v>
      </c>
      <c r="G110" s="108">
        <v>8</v>
      </c>
      <c r="H110" s="38" t="s">
        <v>4014</v>
      </c>
      <c r="I110" s="106"/>
      <c r="J110" s="128" t="s">
        <v>3908</v>
      </c>
      <c r="K110" s="136" t="s">
        <v>4017</v>
      </c>
      <c r="L110" s="136"/>
      <c r="M110" s="136"/>
      <c r="N110" s="136"/>
      <c r="O110" s="136"/>
      <c r="P110" s="123">
        <f>1720+2</f>
        <v>1722</v>
      </c>
      <c r="Q110" s="123">
        <f>242+1</f>
        <v>243</v>
      </c>
      <c r="R110" s="130"/>
      <c r="S110" s="139">
        <v>0</v>
      </c>
      <c r="T110" s="124">
        <v>0</v>
      </c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17"/>
      <c r="AH110" s="24"/>
      <c r="AI110" s="25"/>
      <c r="AJ110" s="25"/>
    </row>
    <row r="111" spans="1:36" x14ac:dyDescent="0.3">
      <c r="A111" s="63">
        <v>105</v>
      </c>
      <c r="B111" s="102" t="s">
        <v>3520</v>
      </c>
      <c r="C111" s="102" t="s">
        <v>3521</v>
      </c>
      <c r="D111" s="64" t="s">
        <v>119</v>
      </c>
      <c r="E111" s="24" t="s">
        <v>3905</v>
      </c>
      <c r="F111" s="38" t="s">
        <v>3975</v>
      </c>
      <c r="G111" s="108">
        <v>9</v>
      </c>
      <c r="H111" s="38" t="s">
        <v>4018</v>
      </c>
      <c r="I111" s="106"/>
      <c r="J111" s="128" t="s">
        <v>3908</v>
      </c>
      <c r="K111" s="132" t="s">
        <v>4019</v>
      </c>
      <c r="L111" s="132"/>
      <c r="M111" s="132"/>
      <c r="N111" s="132"/>
      <c r="O111" s="132"/>
      <c r="P111" s="123">
        <v>1927</v>
      </c>
      <c r="Q111" s="123">
        <f>360+18</f>
        <v>378</v>
      </c>
      <c r="R111" s="130"/>
      <c r="S111" s="135">
        <v>91</v>
      </c>
      <c r="T111" s="112">
        <v>99</v>
      </c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17"/>
      <c r="AH111" s="24"/>
      <c r="AI111" s="25"/>
      <c r="AJ111" s="25"/>
    </row>
    <row r="112" spans="1:36" x14ac:dyDescent="0.3">
      <c r="A112" s="63">
        <v>106</v>
      </c>
      <c r="B112" s="102" t="s">
        <v>3520</v>
      </c>
      <c r="C112" s="102" t="s">
        <v>3521</v>
      </c>
      <c r="D112" s="64" t="s">
        <v>119</v>
      </c>
      <c r="E112" s="24" t="s">
        <v>3905</v>
      </c>
      <c r="F112" s="38" t="s">
        <v>3975</v>
      </c>
      <c r="G112" s="108">
        <v>9</v>
      </c>
      <c r="H112" s="38" t="s">
        <v>4018</v>
      </c>
      <c r="I112" s="106"/>
      <c r="J112" s="128" t="s">
        <v>3908</v>
      </c>
      <c r="K112" s="132" t="s">
        <v>4020</v>
      </c>
      <c r="L112" s="132"/>
      <c r="M112" s="132"/>
      <c r="N112" s="132"/>
      <c r="O112" s="132"/>
      <c r="P112" s="123">
        <v>1342</v>
      </c>
      <c r="Q112" s="123">
        <v>293</v>
      </c>
      <c r="R112" s="130"/>
      <c r="S112" s="135">
        <v>69</v>
      </c>
      <c r="T112" s="123">
        <v>77</v>
      </c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17"/>
      <c r="AH112" s="24"/>
      <c r="AI112" s="25"/>
      <c r="AJ112" s="25"/>
    </row>
    <row r="113" spans="1:36" x14ac:dyDescent="0.3">
      <c r="A113" s="63">
        <v>107</v>
      </c>
      <c r="B113" s="102" t="s">
        <v>3520</v>
      </c>
      <c r="C113" s="102" t="s">
        <v>3521</v>
      </c>
      <c r="D113" s="64" t="s">
        <v>119</v>
      </c>
      <c r="E113" s="24" t="s">
        <v>3905</v>
      </c>
      <c r="F113" s="38" t="s">
        <v>3975</v>
      </c>
      <c r="G113" s="108">
        <v>9</v>
      </c>
      <c r="H113" s="38" t="s">
        <v>4018</v>
      </c>
      <c r="I113" s="106"/>
      <c r="J113" s="128" t="s">
        <v>3908</v>
      </c>
      <c r="K113" s="132" t="s">
        <v>4021</v>
      </c>
      <c r="L113" s="132"/>
      <c r="M113" s="132"/>
      <c r="N113" s="132"/>
      <c r="O113" s="132"/>
      <c r="P113" s="123">
        <v>2431</v>
      </c>
      <c r="Q113" s="123">
        <v>632</v>
      </c>
      <c r="R113" s="130"/>
      <c r="S113" s="135">
        <v>53</v>
      </c>
      <c r="T113" s="112">
        <v>63</v>
      </c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17"/>
      <c r="AH113" s="24"/>
      <c r="AI113" s="25"/>
      <c r="AJ113" s="25"/>
    </row>
    <row r="114" spans="1:36" x14ac:dyDescent="0.3">
      <c r="A114" s="63">
        <v>108</v>
      </c>
      <c r="B114" s="102" t="s">
        <v>3520</v>
      </c>
      <c r="C114" s="102" t="s">
        <v>3521</v>
      </c>
      <c r="D114" s="64" t="s">
        <v>119</v>
      </c>
      <c r="E114" s="24" t="s">
        <v>3905</v>
      </c>
      <c r="F114" s="38" t="s">
        <v>3975</v>
      </c>
      <c r="G114" s="108">
        <v>9</v>
      </c>
      <c r="H114" s="38" t="s">
        <v>4018</v>
      </c>
      <c r="I114" s="106"/>
      <c r="J114" s="128" t="s">
        <v>3908</v>
      </c>
      <c r="K114" s="132" t="s">
        <v>4022</v>
      </c>
      <c r="L114" s="132"/>
      <c r="M114" s="132"/>
      <c r="N114" s="132"/>
      <c r="O114" s="132"/>
      <c r="P114" s="123">
        <v>534</v>
      </c>
      <c r="Q114" s="123">
        <v>104</v>
      </c>
      <c r="R114" s="130"/>
      <c r="S114" s="139">
        <v>0</v>
      </c>
      <c r="T114" s="124">
        <v>0</v>
      </c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17"/>
      <c r="AH114" s="24"/>
      <c r="AI114" s="25"/>
      <c r="AJ114" s="25"/>
    </row>
    <row r="115" spans="1:36" x14ac:dyDescent="0.3">
      <c r="A115" s="63">
        <v>109</v>
      </c>
      <c r="B115" s="102" t="s">
        <v>3520</v>
      </c>
      <c r="C115" s="102" t="s">
        <v>3521</v>
      </c>
      <c r="D115" s="64" t="s">
        <v>119</v>
      </c>
      <c r="E115" s="24" t="s">
        <v>3905</v>
      </c>
      <c r="F115" s="38" t="s">
        <v>3975</v>
      </c>
      <c r="G115" s="108">
        <v>9</v>
      </c>
      <c r="H115" s="38" t="s">
        <v>4018</v>
      </c>
      <c r="I115" s="106"/>
      <c r="J115" s="128" t="s">
        <v>3908</v>
      </c>
      <c r="K115" s="136" t="s">
        <v>3627</v>
      </c>
      <c r="L115" s="136"/>
      <c r="M115" s="136"/>
      <c r="N115" s="136"/>
      <c r="O115" s="136"/>
      <c r="P115" s="123">
        <v>994</v>
      </c>
      <c r="Q115" s="123">
        <v>196</v>
      </c>
      <c r="R115" s="130"/>
      <c r="S115" s="139">
        <v>0</v>
      </c>
      <c r="T115" s="124">
        <v>0</v>
      </c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17"/>
      <c r="AH115" s="24"/>
      <c r="AI115" s="25"/>
      <c r="AJ115" s="25"/>
    </row>
    <row r="116" spans="1:36" x14ac:dyDescent="0.3">
      <c r="A116" s="63">
        <v>110</v>
      </c>
      <c r="B116" s="102" t="s">
        <v>3520</v>
      </c>
      <c r="C116" s="102" t="s">
        <v>3521</v>
      </c>
      <c r="D116" s="64" t="s">
        <v>119</v>
      </c>
      <c r="E116" s="24" t="s">
        <v>3905</v>
      </c>
      <c r="F116" s="38" t="s">
        <v>4023</v>
      </c>
      <c r="G116" s="108">
        <v>1</v>
      </c>
      <c r="H116" s="38" t="s">
        <v>4024</v>
      </c>
      <c r="I116" s="106"/>
      <c r="J116" s="128" t="s">
        <v>3908</v>
      </c>
      <c r="K116" s="132" t="s">
        <v>4025</v>
      </c>
      <c r="L116" s="132"/>
      <c r="M116" s="132"/>
      <c r="N116" s="132"/>
      <c r="O116" s="132"/>
      <c r="P116" s="123">
        <f>1036+9</f>
        <v>1045</v>
      </c>
      <c r="Q116" s="123">
        <f>215+3</f>
        <v>218</v>
      </c>
      <c r="R116" s="130"/>
      <c r="S116" s="135">
        <v>179</v>
      </c>
      <c r="T116" s="123">
        <v>199</v>
      </c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17"/>
      <c r="AH116" s="24"/>
      <c r="AI116" s="25"/>
      <c r="AJ116" s="25"/>
    </row>
    <row r="117" spans="1:36" x14ac:dyDescent="0.3">
      <c r="A117" s="63">
        <v>111</v>
      </c>
      <c r="B117" s="102" t="s">
        <v>3520</v>
      </c>
      <c r="C117" s="102" t="s">
        <v>3521</v>
      </c>
      <c r="D117" s="64" t="s">
        <v>119</v>
      </c>
      <c r="E117" s="24" t="s">
        <v>3905</v>
      </c>
      <c r="F117" s="38" t="s">
        <v>4023</v>
      </c>
      <c r="G117" s="108">
        <v>1</v>
      </c>
      <c r="H117" s="38" t="s">
        <v>4024</v>
      </c>
      <c r="I117" s="106"/>
      <c r="J117" s="128" t="s">
        <v>3908</v>
      </c>
      <c r="K117" s="132" t="s">
        <v>4026</v>
      </c>
      <c r="L117" s="132"/>
      <c r="M117" s="132"/>
      <c r="N117" s="132"/>
      <c r="O117" s="132"/>
      <c r="P117" s="123">
        <v>392</v>
      </c>
      <c r="Q117" s="123">
        <v>84</v>
      </c>
      <c r="R117" s="130"/>
      <c r="S117" s="139">
        <v>0</v>
      </c>
      <c r="T117" s="124">
        <v>0</v>
      </c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17"/>
      <c r="AH117" s="24"/>
      <c r="AI117" s="25"/>
      <c r="AJ117" s="25"/>
    </row>
    <row r="118" spans="1:36" x14ac:dyDescent="0.3">
      <c r="A118" s="63">
        <v>112</v>
      </c>
      <c r="B118" s="102" t="s">
        <v>3520</v>
      </c>
      <c r="C118" s="102" t="s">
        <v>3521</v>
      </c>
      <c r="D118" s="64" t="s">
        <v>119</v>
      </c>
      <c r="E118" s="24" t="s">
        <v>3905</v>
      </c>
      <c r="F118" s="38" t="s">
        <v>4023</v>
      </c>
      <c r="G118" s="108">
        <v>1</v>
      </c>
      <c r="H118" s="38" t="s">
        <v>4024</v>
      </c>
      <c r="I118" s="106"/>
      <c r="J118" s="128" t="s">
        <v>3908</v>
      </c>
      <c r="K118" s="136" t="s">
        <v>4027</v>
      </c>
      <c r="L118" s="136"/>
      <c r="M118" s="136"/>
      <c r="N118" s="136"/>
      <c r="O118" s="136"/>
      <c r="P118" s="123">
        <v>733</v>
      </c>
      <c r="Q118" s="123">
        <v>180</v>
      </c>
      <c r="R118" s="130"/>
      <c r="S118" s="139">
        <v>0</v>
      </c>
      <c r="T118" s="124">
        <v>0</v>
      </c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17"/>
      <c r="AH118" s="24"/>
      <c r="AI118" s="25"/>
      <c r="AJ118" s="25"/>
    </row>
    <row r="119" spans="1:36" x14ac:dyDescent="0.3">
      <c r="A119" s="63">
        <v>113</v>
      </c>
      <c r="B119" s="102" t="s">
        <v>3520</v>
      </c>
      <c r="C119" s="102" t="s">
        <v>3521</v>
      </c>
      <c r="D119" s="64" t="s">
        <v>119</v>
      </c>
      <c r="E119" s="24" t="s">
        <v>3905</v>
      </c>
      <c r="F119" s="38" t="s">
        <v>4023</v>
      </c>
      <c r="G119" s="108">
        <v>1</v>
      </c>
      <c r="H119" s="38" t="s">
        <v>4024</v>
      </c>
      <c r="I119" s="106"/>
      <c r="J119" s="128" t="s">
        <v>3908</v>
      </c>
      <c r="K119" s="136" t="s">
        <v>4028</v>
      </c>
      <c r="L119" s="136"/>
      <c r="M119" s="136"/>
      <c r="N119" s="136"/>
      <c r="O119" s="136"/>
      <c r="P119" s="123">
        <f>390+7</f>
        <v>397</v>
      </c>
      <c r="Q119" s="123">
        <f>74+2</f>
        <v>76</v>
      </c>
      <c r="R119" s="130"/>
      <c r="S119" s="139">
        <v>0</v>
      </c>
      <c r="T119" s="124">
        <v>0</v>
      </c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17"/>
      <c r="AH119" s="24"/>
      <c r="AI119" s="25"/>
      <c r="AJ119" s="25"/>
    </row>
    <row r="120" spans="1:36" x14ac:dyDescent="0.3">
      <c r="A120" s="63">
        <v>114</v>
      </c>
      <c r="B120" s="102" t="s">
        <v>3520</v>
      </c>
      <c r="C120" s="102" t="s">
        <v>3521</v>
      </c>
      <c r="D120" s="64" t="s">
        <v>119</v>
      </c>
      <c r="E120" s="24" t="s">
        <v>3905</v>
      </c>
      <c r="F120" s="38" t="s">
        <v>4023</v>
      </c>
      <c r="G120" s="137">
        <v>2</v>
      </c>
      <c r="H120" s="38" t="s">
        <v>4024</v>
      </c>
      <c r="I120" s="106"/>
      <c r="J120" s="128" t="s">
        <v>3908</v>
      </c>
      <c r="K120" s="132" t="s">
        <v>4029</v>
      </c>
      <c r="L120" s="132"/>
      <c r="M120" s="132"/>
      <c r="N120" s="132"/>
      <c r="O120" s="132"/>
      <c r="P120" s="123">
        <v>343</v>
      </c>
      <c r="Q120" s="123">
        <v>65</v>
      </c>
      <c r="R120" s="130"/>
      <c r="S120" s="139">
        <v>0</v>
      </c>
      <c r="T120" s="124">
        <v>0</v>
      </c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17"/>
      <c r="AH120" s="24"/>
      <c r="AI120" s="25"/>
      <c r="AJ120" s="25"/>
    </row>
    <row r="121" spans="1:36" x14ac:dyDescent="0.3">
      <c r="A121" s="63">
        <v>115</v>
      </c>
      <c r="B121" s="102" t="s">
        <v>3520</v>
      </c>
      <c r="C121" s="102" t="s">
        <v>3521</v>
      </c>
      <c r="D121" s="64" t="s">
        <v>119</v>
      </c>
      <c r="E121" s="24" t="s">
        <v>3905</v>
      </c>
      <c r="F121" s="38" t="s">
        <v>4023</v>
      </c>
      <c r="G121" s="137">
        <v>2</v>
      </c>
      <c r="H121" s="38" t="s">
        <v>4024</v>
      </c>
      <c r="I121" s="106"/>
      <c r="J121" s="128" t="s">
        <v>3908</v>
      </c>
      <c r="K121" s="132" t="s">
        <v>4030</v>
      </c>
      <c r="L121" s="132"/>
      <c r="M121" s="132"/>
      <c r="N121" s="132"/>
      <c r="O121" s="132"/>
      <c r="P121" s="123">
        <v>564</v>
      </c>
      <c r="Q121" s="123">
        <v>109</v>
      </c>
      <c r="R121" s="130"/>
      <c r="S121" s="139">
        <v>0</v>
      </c>
      <c r="T121" s="124">
        <v>0</v>
      </c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17"/>
      <c r="AH121" s="24"/>
      <c r="AI121" s="25"/>
      <c r="AJ121" s="25"/>
    </row>
    <row r="122" spans="1:36" x14ac:dyDescent="0.3">
      <c r="A122" s="63">
        <v>116</v>
      </c>
      <c r="B122" s="102" t="s">
        <v>3520</v>
      </c>
      <c r="C122" s="102" t="s">
        <v>3521</v>
      </c>
      <c r="D122" s="64" t="s">
        <v>119</v>
      </c>
      <c r="E122" s="24" t="s">
        <v>3905</v>
      </c>
      <c r="F122" s="38" t="s">
        <v>4023</v>
      </c>
      <c r="G122" s="137">
        <v>2</v>
      </c>
      <c r="H122" s="38" t="s">
        <v>4024</v>
      </c>
      <c r="I122" s="106"/>
      <c r="J122" s="128" t="s">
        <v>3908</v>
      </c>
      <c r="K122" s="132" t="s">
        <v>4031</v>
      </c>
      <c r="L122" s="132"/>
      <c r="M122" s="132"/>
      <c r="N122" s="132"/>
      <c r="O122" s="132"/>
      <c r="P122" s="123">
        <v>955</v>
      </c>
      <c r="Q122" s="123">
        <v>187</v>
      </c>
      <c r="R122" s="130"/>
      <c r="S122" s="139">
        <v>0</v>
      </c>
      <c r="T122" s="124">
        <v>0</v>
      </c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17"/>
      <c r="AH122" s="24"/>
      <c r="AI122" s="25"/>
      <c r="AJ122" s="25"/>
    </row>
    <row r="123" spans="1:36" x14ac:dyDescent="0.3">
      <c r="A123" s="63">
        <v>117</v>
      </c>
      <c r="B123" s="102" t="s">
        <v>3520</v>
      </c>
      <c r="C123" s="102" t="s">
        <v>3521</v>
      </c>
      <c r="D123" s="64" t="s">
        <v>119</v>
      </c>
      <c r="E123" s="24" t="s">
        <v>3905</v>
      </c>
      <c r="F123" s="38" t="s">
        <v>4023</v>
      </c>
      <c r="G123" s="108">
        <v>3</v>
      </c>
      <c r="H123" s="38" t="s">
        <v>4024</v>
      </c>
      <c r="I123" s="106"/>
      <c r="J123" s="128" t="s">
        <v>3908</v>
      </c>
      <c r="K123" s="132" t="s">
        <v>4032</v>
      </c>
      <c r="L123" s="132"/>
      <c r="M123" s="132"/>
      <c r="N123" s="132"/>
      <c r="O123" s="132"/>
      <c r="P123" s="123">
        <f>827+7</f>
        <v>834</v>
      </c>
      <c r="Q123" s="123">
        <f>182+3</f>
        <v>185</v>
      </c>
      <c r="R123" s="130"/>
      <c r="S123" s="135">
        <v>10</v>
      </c>
      <c r="T123" s="123">
        <v>12</v>
      </c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17"/>
      <c r="AH123" s="24"/>
      <c r="AI123" s="25"/>
      <c r="AJ123" s="25"/>
    </row>
    <row r="124" spans="1:36" x14ac:dyDescent="0.3">
      <c r="A124" s="63">
        <v>118</v>
      </c>
      <c r="B124" s="102" t="s">
        <v>3520</v>
      </c>
      <c r="C124" s="102" t="s">
        <v>3521</v>
      </c>
      <c r="D124" s="64" t="s">
        <v>119</v>
      </c>
      <c r="E124" s="24" t="s">
        <v>3905</v>
      </c>
      <c r="F124" s="38" t="s">
        <v>4023</v>
      </c>
      <c r="G124" s="108">
        <v>3</v>
      </c>
      <c r="H124" s="38" t="s">
        <v>4024</v>
      </c>
      <c r="I124" s="106"/>
      <c r="J124" s="128" t="s">
        <v>3908</v>
      </c>
      <c r="K124" s="132" t="s">
        <v>3759</v>
      </c>
      <c r="L124" s="132"/>
      <c r="M124" s="132"/>
      <c r="N124" s="132"/>
      <c r="O124" s="132"/>
      <c r="P124" s="123">
        <f>963+5</f>
        <v>968</v>
      </c>
      <c r="Q124" s="123">
        <f>221+2</f>
        <v>223</v>
      </c>
      <c r="R124" s="130"/>
      <c r="S124" s="135">
        <v>13</v>
      </c>
      <c r="T124" s="123">
        <v>17</v>
      </c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17"/>
      <c r="AH124" s="24"/>
      <c r="AI124" s="25"/>
      <c r="AJ124" s="25"/>
    </row>
    <row r="125" spans="1:36" x14ac:dyDescent="0.3">
      <c r="A125" s="63">
        <v>119</v>
      </c>
      <c r="B125" s="102" t="s">
        <v>3520</v>
      </c>
      <c r="C125" s="102" t="s">
        <v>3521</v>
      </c>
      <c r="D125" s="64" t="s">
        <v>119</v>
      </c>
      <c r="E125" s="24" t="s">
        <v>3905</v>
      </c>
      <c r="F125" s="38" t="s">
        <v>4023</v>
      </c>
      <c r="G125" s="108">
        <v>3</v>
      </c>
      <c r="H125" s="38" t="s">
        <v>4024</v>
      </c>
      <c r="I125" s="106"/>
      <c r="J125" s="128" t="s">
        <v>3908</v>
      </c>
      <c r="K125" s="132" t="s">
        <v>4033</v>
      </c>
      <c r="L125" s="132"/>
      <c r="M125" s="132"/>
      <c r="N125" s="132"/>
      <c r="O125" s="132"/>
      <c r="P125" s="123">
        <f>534+6</f>
        <v>540</v>
      </c>
      <c r="Q125" s="123">
        <f>101+2</f>
        <v>103</v>
      </c>
      <c r="R125" s="130"/>
      <c r="S125" s="139">
        <v>0</v>
      </c>
      <c r="T125" s="124">
        <v>0</v>
      </c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17"/>
      <c r="AH125" s="24"/>
      <c r="AI125" s="25"/>
      <c r="AJ125" s="25"/>
    </row>
    <row r="126" spans="1:36" x14ac:dyDescent="0.3">
      <c r="A126" s="63">
        <v>120</v>
      </c>
      <c r="B126" s="102" t="s">
        <v>3520</v>
      </c>
      <c r="C126" s="102" t="s">
        <v>3521</v>
      </c>
      <c r="D126" s="64" t="s">
        <v>119</v>
      </c>
      <c r="E126" s="24" t="s">
        <v>3905</v>
      </c>
      <c r="F126" s="38" t="s">
        <v>4023</v>
      </c>
      <c r="G126" s="108">
        <v>4</v>
      </c>
      <c r="H126" s="38" t="s">
        <v>4034</v>
      </c>
      <c r="I126" s="106"/>
      <c r="J126" s="128" t="s">
        <v>3908</v>
      </c>
      <c r="K126" s="136" t="s">
        <v>3627</v>
      </c>
      <c r="L126" s="136"/>
      <c r="M126" s="136"/>
      <c r="N126" s="136"/>
      <c r="O126" s="136"/>
      <c r="P126" s="123">
        <v>1671</v>
      </c>
      <c r="Q126" s="123">
        <v>328</v>
      </c>
      <c r="R126" s="130"/>
      <c r="S126" s="139">
        <v>0</v>
      </c>
      <c r="T126" s="124">
        <v>0</v>
      </c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17"/>
      <c r="AH126" s="24"/>
      <c r="AI126" s="25"/>
      <c r="AJ126" s="25"/>
    </row>
    <row r="127" spans="1:36" x14ac:dyDescent="0.3">
      <c r="A127" s="63">
        <v>121</v>
      </c>
      <c r="B127" s="102" t="s">
        <v>3520</v>
      </c>
      <c r="C127" s="102" t="s">
        <v>3521</v>
      </c>
      <c r="D127" s="64" t="s">
        <v>119</v>
      </c>
      <c r="E127" s="24" t="s">
        <v>3905</v>
      </c>
      <c r="F127" s="38" t="s">
        <v>4023</v>
      </c>
      <c r="G127" s="108">
        <v>5</v>
      </c>
      <c r="H127" s="38" t="s">
        <v>4035</v>
      </c>
      <c r="I127" s="106"/>
      <c r="J127" s="128" t="s">
        <v>3908</v>
      </c>
      <c r="K127" s="132" t="s">
        <v>4036</v>
      </c>
      <c r="L127" s="132"/>
      <c r="M127" s="132"/>
      <c r="N127" s="132"/>
      <c r="O127" s="132"/>
      <c r="P127" s="123">
        <v>1317</v>
      </c>
      <c r="Q127" s="123">
        <v>261</v>
      </c>
      <c r="R127" s="130"/>
      <c r="S127" s="139">
        <v>0</v>
      </c>
      <c r="T127" s="124">
        <v>0</v>
      </c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17"/>
      <c r="AH127" s="24"/>
      <c r="AI127" s="25"/>
      <c r="AJ127" s="25"/>
    </row>
    <row r="128" spans="1:36" x14ac:dyDescent="0.3">
      <c r="A128" s="63">
        <v>122</v>
      </c>
      <c r="B128" s="102" t="s">
        <v>3520</v>
      </c>
      <c r="C128" s="102" t="s">
        <v>3521</v>
      </c>
      <c r="D128" s="64" t="s">
        <v>119</v>
      </c>
      <c r="E128" s="24" t="s">
        <v>3905</v>
      </c>
      <c r="F128" s="38" t="s">
        <v>4023</v>
      </c>
      <c r="G128" s="108">
        <v>5</v>
      </c>
      <c r="H128" s="38" t="s">
        <v>4035</v>
      </c>
      <c r="I128" s="106"/>
      <c r="J128" s="128" t="s">
        <v>3908</v>
      </c>
      <c r="K128" s="132" t="s">
        <v>4037</v>
      </c>
      <c r="L128" s="132"/>
      <c r="M128" s="132"/>
      <c r="N128" s="132"/>
      <c r="O128" s="132"/>
      <c r="P128" s="123">
        <v>1428</v>
      </c>
      <c r="Q128" s="123">
        <v>385</v>
      </c>
      <c r="R128" s="130"/>
      <c r="S128" s="135">
        <v>59</v>
      </c>
      <c r="T128" s="123">
        <v>87</v>
      </c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16"/>
      <c r="AH128" s="24"/>
      <c r="AI128" s="25"/>
      <c r="AJ128" s="25"/>
    </row>
    <row r="129" spans="1:36" x14ac:dyDescent="0.3">
      <c r="A129" s="63">
        <v>123</v>
      </c>
      <c r="B129" s="102" t="s">
        <v>3520</v>
      </c>
      <c r="C129" s="102" t="s">
        <v>3521</v>
      </c>
      <c r="D129" s="64" t="s">
        <v>119</v>
      </c>
      <c r="E129" s="24" t="s">
        <v>3905</v>
      </c>
      <c r="F129" s="38" t="s">
        <v>4023</v>
      </c>
      <c r="G129" s="141">
        <v>5</v>
      </c>
      <c r="H129" s="38" t="s">
        <v>4035</v>
      </c>
      <c r="I129" s="106"/>
      <c r="J129" s="128" t="s">
        <v>3908</v>
      </c>
      <c r="K129" s="132" t="s">
        <v>4038</v>
      </c>
      <c r="L129" s="132"/>
      <c r="M129" s="132"/>
      <c r="N129" s="132"/>
      <c r="O129" s="132"/>
      <c r="P129" s="123">
        <v>1108</v>
      </c>
      <c r="Q129" s="123">
        <v>285</v>
      </c>
      <c r="R129" s="130"/>
      <c r="S129" s="139">
        <v>0</v>
      </c>
      <c r="T129" s="124">
        <v>0</v>
      </c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17"/>
      <c r="AH129" s="24"/>
      <c r="AI129" s="25"/>
      <c r="AJ129" s="25"/>
    </row>
    <row r="130" spans="1:36" x14ac:dyDescent="0.3">
      <c r="A130" s="63">
        <v>124</v>
      </c>
      <c r="B130" s="102" t="s">
        <v>3520</v>
      </c>
      <c r="C130" s="102" t="s">
        <v>3521</v>
      </c>
      <c r="D130" s="64" t="s">
        <v>119</v>
      </c>
      <c r="E130" s="24" t="s">
        <v>3905</v>
      </c>
      <c r="F130" s="38" t="s">
        <v>4023</v>
      </c>
      <c r="G130" s="137">
        <v>6</v>
      </c>
      <c r="H130" s="38" t="s">
        <v>4035</v>
      </c>
      <c r="I130" s="106"/>
      <c r="J130" s="128" t="s">
        <v>3908</v>
      </c>
      <c r="K130" s="132" t="s">
        <v>4039</v>
      </c>
      <c r="L130" s="132"/>
      <c r="M130" s="132"/>
      <c r="N130" s="132"/>
      <c r="O130" s="132"/>
      <c r="P130" s="123">
        <v>998</v>
      </c>
      <c r="Q130" s="123">
        <f>297+5</f>
        <v>302</v>
      </c>
      <c r="R130" s="130"/>
      <c r="S130" s="139">
        <v>0</v>
      </c>
      <c r="T130" s="124">
        <v>0</v>
      </c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17"/>
      <c r="AH130" s="24"/>
      <c r="AI130" s="25"/>
      <c r="AJ130" s="25"/>
    </row>
    <row r="131" spans="1:36" x14ac:dyDescent="0.3">
      <c r="A131" s="63">
        <v>125</v>
      </c>
      <c r="B131" s="102" t="s">
        <v>3520</v>
      </c>
      <c r="C131" s="102" t="s">
        <v>3521</v>
      </c>
      <c r="D131" s="64" t="s">
        <v>119</v>
      </c>
      <c r="E131" s="24" t="s">
        <v>3905</v>
      </c>
      <c r="F131" s="38" t="s">
        <v>4023</v>
      </c>
      <c r="G131" s="137">
        <v>6</v>
      </c>
      <c r="H131" s="38" t="s">
        <v>4035</v>
      </c>
      <c r="I131" s="106"/>
      <c r="J131" s="128" t="s">
        <v>3908</v>
      </c>
      <c r="K131" s="132" t="s">
        <v>4040</v>
      </c>
      <c r="L131" s="132"/>
      <c r="M131" s="132"/>
      <c r="N131" s="132"/>
      <c r="O131" s="132"/>
      <c r="P131" s="123">
        <v>1376</v>
      </c>
      <c r="Q131" s="123">
        <v>380</v>
      </c>
      <c r="R131" s="130"/>
      <c r="S131" s="139">
        <v>0</v>
      </c>
      <c r="T131" s="124">
        <v>0</v>
      </c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17"/>
      <c r="AH131" s="24"/>
      <c r="AI131" s="25"/>
      <c r="AJ131" s="25"/>
    </row>
    <row r="132" spans="1:36" x14ac:dyDescent="0.3">
      <c r="A132" s="63">
        <v>126</v>
      </c>
      <c r="B132" s="102" t="s">
        <v>3520</v>
      </c>
      <c r="C132" s="102" t="s">
        <v>3521</v>
      </c>
      <c r="D132" s="64" t="s">
        <v>119</v>
      </c>
      <c r="E132" s="24" t="s">
        <v>3905</v>
      </c>
      <c r="F132" s="38" t="s">
        <v>4023</v>
      </c>
      <c r="G132" s="137">
        <v>6</v>
      </c>
      <c r="H132" s="38" t="s">
        <v>4035</v>
      </c>
      <c r="I132" s="106"/>
      <c r="J132" s="128" t="s">
        <v>3908</v>
      </c>
      <c r="K132" s="132" t="s">
        <v>4041</v>
      </c>
      <c r="L132" s="132"/>
      <c r="M132" s="132"/>
      <c r="N132" s="132"/>
      <c r="O132" s="132"/>
      <c r="P132" s="123">
        <v>1225</v>
      </c>
      <c r="Q132" s="123">
        <v>410</v>
      </c>
      <c r="R132" s="130"/>
      <c r="S132" s="139">
        <v>0</v>
      </c>
      <c r="T132" s="124">
        <v>0</v>
      </c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17"/>
      <c r="AH132" s="24"/>
      <c r="AI132" s="25"/>
      <c r="AJ132" s="25"/>
    </row>
    <row r="133" spans="1:36" x14ac:dyDescent="0.3">
      <c r="A133" s="63">
        <v>127</v>
      </c>
      <c r="B133" s="102" t="s">
        <v>3520</v>
      </c>
      <c r="C133" s="102" t="s">
        <v>3521</v>
      </c>
      <c r="D133" s="64" t="s">
        <v>119</v>
      </c>
      <c r="E133" s="24" t="s">
        <v>3905</v>
      </c>
      <c r="F133" s="38" t="s">
        <v>4023</v>
      </c>
      <c r="G133" s="137">
        <v>6</v>
      </c>
      <c r="H133" s="38" t="s">
        <v>4035</v>
      </c>
      <c r="I133" s="106"/>
      <c r="J133" s="128" t="s">
        <v>3908</v>
      </c>
      <c r="K133" s="136" t="s">
        <v>4042</v>
      </c>
      <c r="L133" s="136"/>
      <c r="M133" s="136"/>
      <c r="N133" s="136"/>
      <c r="O133" s="136"/>
      <c r="P133" s="123">
        <v>1436</v>
      </c>
      <c r="Q133" s="123">
        <v>355</v>
      </c>
      <c r="R133" s="130"/>
      <c r="S133" s="139">
        <v>0</v>
      </c>
      <c r="T133" s="124">
        <v>0</v>
      </c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17"/>
      <c r="AH133" s="24"/>
      <c r="AI133" s="25"/>
      <c r="AJ133" s="25"/>
    </row>
    <row r="134" spans="1:36" x14ac:dyDescent="0.3">
      <c r="A134" s="63">
        <v>128</v>
      </c>
      <c r="B134" s="102" t="s">
        <v>3520</v>
      </c>
      <c r="C134" s="102" t="s">
        <v>3521</v>
      </c>
      <c r="D134" s="64" t="s">
        <v>119</v>
      </c>
      <c r="E134" s="24" t="s">
        <v>3905</v>
      </c>
      <c r="F134" s="38" t="s">
        <v>4023</v>
      </c>
      <c r="G134" s="108">
        <v>7</v>
      </c>
      <c r="H134" s="38" t="s">
        <v>4034</v>
      </c>
      <c r="I134" s="106"/>
      <c r="J134" s="128" t="s">
        <v>3908</v>
      </c>
      <c r="K134" s="132" t="s">
        <v>4043</v>
      </c>
      <c r="L134" s="132"/>
      <c r="M134" s="132"/>
      <c r="N134" s="132"/>
      <c r="O134" s="132"/>
      <c r="P134" s="123">
        <v>260</v>
      </c>
      <c r="Q134" s="123">
        <v>47</v>
      </c>
      <c r="R134" s="130"/>
      <c r="S134" s="139">
        <v>0</v>
      </c>
      <c r="T134" s="124">
        <v>0</v>
      </c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17"/>
      <c r="AH134" s="24"/>
      <c r="AI134" s="25"/>
      <c r="AJ134" s="25"/>
    </row>
    <row r="135" spans="1:36" x14ac:dyDescent="0.3">
      <c r="A135" s="63">
        <v>129</v>
      </c>
      <c r="B135" s="102" t="s">
        <v>3520</v>
      </c>
      <c r="C135" s="102" t="s">
        <v>3521</v>
      </c>
      <c r="D135" s="64" t="s">
        <v>119</v>
      </c>
      <c r="E135" s="24" t="s">
        <v>3905</v>
      </c>
      <c r="F135" s="38" t="s">
        <v>4023</v>
      </c>
      <c r="G135" s="108">
        <v>7</v>
      </c>
      <c r="H135" s="38" t="s">
        <v>4034</v>
      </c>
      <c r="I135" s="106"/>
      <c r="J135" s="128" t="s">
        <v>3908</v>
      </c>
      <c r="K135" s="136" t="s">
        <v>4044</v>
      </c>
      <c r="L135" s="136"/>
      <c r="M135" s="136"/>
      <c r="N135" s="136"/>
      <c r="O135" s="136"/>
      <c r="P135" s="123">
        <v>294</v>
      </c>
      <c r="Q135" s="123">
        <v>53</v>
      </c>
      <c r="R135" s="130"/>
      <c r="S135" s="139">
        <v>0</v>
      </c>
      <c r="T135" s="124">
        <v>0</v>
      </c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17"/>
      <c r="AH135" s="24"/>
      <c r="AI135" s="25"/>
      <c r="AJ135" s="25"/>
    </row>
    <row r="136" spans="1:36" x14ac:dyDescent="0.3">
      <c r="A136" s="63">
        <v>130</v>
      </c>
      <c r="B136" s="102" t="s">
        <v>3520</v>
      </c>
      <c r="C136" s="102" t="s">
        <v>3521</v>
      </c>
      <c r="D136" s="64" t="s">
        <v>119</v>
      </c>
      <c r="E136" s="24" t="s">
        <v>3905</v>
      </c>
      <c r="F136" s="38" t="s">
        <v>4023</v>
      </c>
      <c r="G136" s="108">
        <v>7</v>
      </c>
      <c r="H136" s="38" t="s">
        <v>4035</v>
      </c>
      <c r="I136" s="106"/>
      <c r="J136" s="128" t="s">
        <v>3908</v>
      </c>
      <c r="K136" s="132" t="s">
        <v>3995</v>
      </c>
      <c r="L136" s="132"/>
      <c r="M136" s="132"/>
      <c r="N136" s="132"/>
      <c r="O136" s="132"/>
      <c r="P136" s="123">
        <v>686</v>
      </c>
      <c r="Q136" s="123">
        <v>124</v>
      </c>
      <c r="R136" s="130"/>
      <c r="S136" s="139">
        <v>0</v>
      </c>
      <c r="T136" s="124">
        <v>0</v>
      </c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17"/>
      <c r="AH136" s="24"/>
      <c r="AI136" s="25"/>
      <c r="AJ136" s="25"/>
    </row>
    <row r="137" spans="1:36" x14ac:dyDescent="0.3">
      <c r="A137" s="63">
        <v>131</v>
      </c>
      <c r="B137" s="102" t="s">
        <v>3520</v>
      </c>
      <c r="C137" s="102" t="s">
        <v>3521</v>
      </c>
      <c r="D137" s="64" t="s">
        <v>119</v>
      </c>
      <c r="E137" s="24" t="s">
        <v>3905</v>
      </c>
      <c r="F137" s="38" t="s">
        <v>4023</v>
      </c>
      <c r="G137" s="108">
        <v>8</v>
      </c>
      <c r="H137" s="38" t="s">
        <v>4024</v>
      </c>
      <c r="I137" s="106"/>
      <c r="J137" s="128" t="s">
        <v>3908</v>
      </c>
      <c r="K137" s="132" t="s">
        <v>4045</v>
      </c>
      <c r="L137" s="132"/>
      <c r="M137" s="132"/>
      <c r="N137" s="132"/>
      <c r="O137" s="132"/>
      <c r="P137" s="123">
        <v>989</v>
      </c>
      <c r="Q137" s="123">
        <f>189+4</f>
        <v>193</v>
      </c>
      <c r="R137" s="130"/>
      <c r="S137" s="139">
        <v>0</v>
      </c>
      <c r="T137" s="124">
        <v>0</v>
      </c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17"/>
      <c r="AH137" s="24"/>
      <c r="AI137" s="25"/>
      <c r="AJ137" s="25"/>
    </row>
    <row r="138" spans="1:36" x14ac:dyDescent="0.3">
      <c r="A138" s="63">
        <v>132</v>
      </c>
      <c r="B138" s="102" t="s">
        <v>3520</v>
      </c>
      <c r="C138" s="102" t="s">
        <v>3521</v>
      </c>
      <c r="D138" s="64" t="s">
        <v>119</v>
      </c>
      <c r="E138" s="24" t="s">
        <v>3905</v>
      </c>
      <c r="F138" s="38" t="s">
        <v>4023</v>
      </c>
      <c r="G138" s="108">
        <v>8</v>
      </c>
      <c r="H138" s="38" t="s">
        <v>4034</v>
      </c>
      <c r="I138" s="106"/>
      <c r="J138" s="128" t="s">
        <v>3908</v>
      </c>
      <c r="K138" s="136" t="s">
        <v>4046</v>
      </c>
      <c r="L138" s="136"/>
      <c r="M138" s="136"/>
      <c r="N138" s="136"/>
      <c r="O138" s="136"/>
      <c r="P138" s="123">
        <v>873</v>
      </c>
      <c r="Q138" s="123">
        <v>177</v>
      </c>
      <c r="R138" s="130"/>
      <c r="S138" s="139">
        <v>0</v>
      </c>
      <c r="T138" s="124">
        <v>0</v>
      </c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17"/>
      <c r="AH138" s="24"/>
      <c r="AI138" s="25"/>
      <c r="AJ138" s="25"/>
    </row>
    <row r="139" spans="1:36" x14ac:dyDescent="0.3">
      <c r="A139" s="63">
        <v>133</v>
      </c>
      <c r="B139" s="102" t="s">
        <v>3520</v>
      </c>
      <c r="C139" s="102" t="s">
        <v>3521</v>
      </c>
      <c r="D139" s="64" t="s">
        <v>119</v>
      </c>
      <c r="E139" s="24" t="s">
        <v>3905</v>
      </c>
      <c r="F139" s="38" t="s">
        <v>4023</v>
      </c>
      <c r="G139" s="108">
        <v>9</v>
      </c>
      <c r="H139" s="38" t="s">
        <v>4034</v>
      </c>
      <c r="I139" s="106"/>
      <c r="J139" s="128" t="s">
        <v>3908</v>
      </c>
      <c r="K139" s="132" t="s">
        <v>4047</v>
      </c>
      <c r="L139" s="132"/>
      <c r="M139" s="132"/>
      <c r="N139" s="132"/>
      <c r="O139" s="132"/>
      <c r="P139" s="123">
        <v>964</v>
      </c>
      <c r="Q139" s="123">
        <f>220+2</f>
        <v>222</v>
      </c>
      <c r="R139" s="130"/>
      <c r="S139" s="139">
        <v>0</v>
      </c>
      <c r="T139" s="124">
        <v>0</v>
      </c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17"/>
      <c r="AH139" s="24"/>
      <c r="AI139" s="25"/>
      <c r="AJ139" s="25"/>
    </row>
    <row r="140" spans="1:36" x14ac:dyDescent="0.3">
      <c r="A140" s="63">
        <v>134</v>
      </c>
      <c r="B140" s="102" t="s">
        <v>3520</v>
      </c>
      <c r="C140" s="102" t="s">
        <v>3521</v>
      </c>
      <c r="D140" s="64" t="s">
        <v>119</v>
      </c>
      <c r="E140" s="24" t="s">
        <v>3905</v>
      </c>
      <c r="F140" s="38" t="s">
        <v>4023</v>
      </c>
      <c r="G140" s="108">
        <v>9</v>
      </c>
      <c r="H140" s="38" t="s">
        <v>4034</v>
      </c>
      <c r="I140" s="106"/>
      <c r="J140" s="128" t="s">
        <v>3908</v>
      </c>
      <c r="K140" s="132" t="s">
        <v>4048</v>
      </c>
      <c r="L140" s="132"/>
      <c r="M140" s="132"/>
      <c r="N140" s="132"/>
      <c r="O140" s="132"/>
      <c r="P140" s="123">
        <v>1273</v>
      </c>
      <c r="Q140" s="123">
        <v>288</v>
      </c>
      <c r="R140" s="130"/>
      <c r="S140" s="139">
        <v>0</v>
      </c>
      <c r="T140" s="124">
        <v>0</v>
      </c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17"/>
      <c r="AH140" s="24"/>
      <c r="AI140" s="25"/>
      <c r="AJ140" s="25"/>
    </row>
    <row r="141" spans="1:36" x14ac:dyDescent="0.3">
      <c r="A141" s="63">
        <v>135</v>
      </c>
      <c r="B141" s="102" t="s">
        <v>3520</v>
      </c>
      <c r="C141" s="102" t="s">
        <v>3521</v>
      </c>
      <c r="D141" s="64" t="s">
        <v>119</v>
      </c>
      <c r="E141" s="24" t="s">
        <v>3905</v>
      </c>
      <c r="F141" s="38" t="s">
        <v>4023</v>
      </c>
      <c r="G141" s="108">
        <v>9</v>
      </c>
      <c r="H141" s="38" t="s">
        <v>4034</v>
      </c>
      <c r="I141" s="106"/>
      <c r="J141" s="128" t="s">
        <v>3908</v>
      </c>
      <c r="K141" s="132" t="s">
        <v>3759</v>
      </c>
      <c r="L141" s="132"/>
      <c r="M141" s="132"/>
      <c r="N141" s="132"/>
      <c r="O141" s="132"/>
      <c r="P141" s="123">
        <v>1096</v>
      </c>
      <c r="Q141" s="123">
        <v>237</v>
      </c>
      <c r="R141" s="130"/>
      <c r="S141" s="139">
        <v>0</v>
      </c>
      <c r="T141" s="124">
        <v>0</v>
      </c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17"/>
      <c r="AH141" s="24"/>
      <c r="AI141" s="25"/>
      <c r="AJ141" s="25"/>
    </row>
    <row r="142" spans="1:36" x14ac:dyDescent="0.3">
      <c r="A142" s="63">
        <v>136</v>
      </c>
      <c r="B142" s="102" t="s">
        <v>3520</v>
      </c>
      <c r="C142" s="102" t="s">
        <v>3521</v>
      </c>
      <c r="D142" s="64" t="s">
        <v>119</v>
      </c>
      <c r="E142" s="24" t="s">
        <v>3905</v>
      </c>
      <c r="F142" s="38" t="s">
        <v>4049</v>
      </c>
      <c r="G142" s="108">
        <v>1</v>
      </c>
      <c r="H142" s="38" t="s">
        <v>4050</v>
      </c>
      <c r="I142" s="106"/>
      <c r="J142" s="128" t="s">
        <v>3908</v>
      </c>
      <c r="K142" s="136" t="s">
        <v>4051</v>
      </c>
      <c r="L142" s="136"/>
      <c r="M142" s="136"/>
      <c r="N142" s="136"/>
      <c r="O142" s="136"/>
      <c r="P142" s="123">
        <f>1241+20</f>
        <v>1261</v>
      </c>
      <c r="Q142" s="123">
        <f>259+10</f>
        <v>269</v>
      </c>
      <c r="R142" s="130"/>
      <c r="S142" s="139">
        <v>0</v>
      </c>
      <c r="T142" s="124">
        <v>0</v>
      </c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17"/>
      <c r="AH142" s="24"/>
      <c r="AI142" s="25"/>
      <c r="AJ142" s="25"/>
    </row>
    <row r="143" spans="1:36" x14ac:dyDescent="0.3">
      <c r="A143" s="63">
        <v>137</v>
      </c>
      <c r="B143" s="102" t="s">
        <v>3520</v>
      </c>
      <c r="C143" s="102" t="s">
        <v>3521</v>
      </c>
      <c r="D143" s="64" t="s">
        <v>119</v>
      </c>
      <c r="E143" s="24" t="s">
        <v>3905</v>
      </c>
      <c r="F143" s="38" t="s">
        <v>4049</v>
      </c>
      <c r="G143" s="108">
        <v>1</v>
      </c>
      <c r="H143" s="38" t="s">
        <v>4050</v>
      </c>
      <c r="I143" s="106"/>
      <c r="J143" s="128" t="s">
        <v>3908</v>
      </c>
      <c r="K143" s="136" t="s">
        <v>4052</v>
      </c>
      <c r="L143" s="136"/>
      <c r="M143" s="136"/>
      <c r="N143" s="136"/>
      <c r="O143" s="136"/>
      <c r="P143" s="123">
        <v>728</v>
      </c>
      <c r="Q143" s="123">
        <v>132</v>
      </c>
      <c r="R143" s="130"/>
      <c r="S143" s="139">
        <v>0</v>
      </c>
      <c r="T143" s="124">
        <v>0</v>
      </c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17"/>
      <c r="AH143" s="24"/>
      <c r="AI143" s="25"/>
      <c r="AJ143" s="25"/>
    </row>
    <row r="144" spans="1:36" x14ac:dyDescent="0.3">
      <c r="A144" s="63">
        <v>138</v>
      </c>
      <c r="B144" s="102" t="s">
        <v>3520</v>
      </c>
      <c r="C144" s="102" t="s">
        <v>3521</v>
      </c>
      <c r="D144" s="64" t="s">
        <v>119</v>
      </c>
      <c r="E144" s="24" t="s">
        <v>3905</v>
      </c>
      <c r="F144" s="38" t="s">
        <v>4049</v>
      </c>
      <c r="G144" s="108">
        <v>1</v>
      </c>
      <c r="H144" s="38" t="s">
        <v>4050</v>
      </c>
      <c r="I144" s="106"/>
      <c r="J144" s="128" t="s">
        <v>3908</v>
      </c>
      <c r="K144" s="136" t="s">
        <v>4053</v>
      </c>
      <c r="L144" s="136"/>
      <c r="M144" s="136"/>
      <c r="N144" s="136"/>
      <c r="O144" s="136"/>
      <c r="P144" s="123">
        <f>619+5</f>
        <v>624</v>
      </c>
      <c r="Q144" s="123">
        <f>131+2</f>
        <v>133</v>
      </c>
      <c r="R144" s="130"/>
      <c r="S144" s="139">
        <v>0</v>
      </c>
      <c r="T144" s="124">
        <v>0</v>
      </c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17"/>
      <c r="AH144" s="24"/>
      <c r="AI144" s="25"/>
      <c r="AJ144" s="25"/>
    </row>
    <row r="145" spans="1:36" x14ac:dyDescent="0.3">
      <c r="A145" s="63">
        <v>139</v>
      </c>
      <c r="B145" s="102" t="s">
        <v>3520</v>
      </c>
      <c r="C145" s="102" t="s">
        <v>3521</v>
      </c>
      <c r="D145" s="64" t="s">
        <v>119</v>
      </c>
      <c r="E145" s="24" t="s">
        <v>3905</v>
      </c>
      <c r="F145" s="38" t="s">
        <v>4049</v>
      </c>
      <c r="G145" s="108">
        <v>1</v>
      </c>
      <c r="H145" s="38" t="s">
        <v>4050</v>
      </c>
      <c r="I145" s="106"/>
      <c r="J145" s="128" t="s">
        <v>3908</v>
      </c>
      <c r="K145" s="136" t="s">
        <v>4054</v>
      </c>
      <c r="L145" s="136"/>
      <c r="M145" s="136"/>
      <c r="N145" s="136"/>
      <c r="O145" s="136"/>
      <c r="P145" s="123">
        <v>550</v>
      </c>
      <c r="Q145" s="123">
        <v>103</v>
      </c>
      <c r="R145" s="130"/>
      <c r="S145" s="139">
        <v>0</v>
      </c>
      <c r="T145" s="124">
        <v>0</v>
      </c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17"/>
      <c r="AH145" s="24"/>
      <c r="AI145" s="25"/>
      <c r="AJ145" s="25"/>
    </row>
    <row r="146" spans="1:36" x14ac:dyDescent="0.3">
      <c r="A146" s="63">
        <v>140</v>
      </c>
      <c r="B146" s="102" t="s">
        <v>3520</v>
      </c>
      <c r="C146" s="102" t="s">
        <v>3521</v>
      </c>
      <c r="D146" s="64" t="s">
        <v>119</v>
      </c>
      <c r="E146" s="24" t="s">
        <v>3905</v>
      </c>
      <c r="F146" s="38" t="s">
        <v>4049</v>
      </c>
      <c r="G146" s="110">
        <v>2</v>
      </c>
      <c r="H146" s="38" t="s">
        <v>4050</v>
      </c>
      <c r="I146" s="106"/>
      <c r="J146" s="128" t="s">
        <v>3908</v>
      </c>
      <c r="K146" s="136" t="s">
        <v>4055</v>
      </c>
      <c r="L146" s="136"/>
      <c r="M146" s="136"/>
      <c r="N146" s="136"/>
      <c r="O146" s="136"/>
      <c r="P146" s="123">
        <v>463</v>
      </c>
      <c r="Q146" s="123">
        <v>82</v>
      </c>
      <c r="R146" s="130"/>
      <c r="S146" s="139">
        <v>0</v>
      </c>
      <c r="T146" s="124">
        <v>0</v>
      </c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17"/>
      <c r="AH146" s="24"/>
      <c r="AI146" s="25"/>
      <c r="AJ146" s="25"/>
    </row>
    <row r="147" spans="1:36" x14ac:dyDescent="0.3">
      <c r="A147" s="63">
        <v>141</v>
      </c>
      <c r="B147" s="102" t="s">
        <v>3520</v>
      </c>
      <c r="C147" s="102" t="s">
        <v>3521</v>
      </c>
      <c r="D147" s="64" t="s">
        <v>119</v>
      </c>
      <c r="E147" s="24" t="s">
        <v>3905</v>
      </c>
      <c r="F147" s="38" t="s">
        <v>4049</v>
      </c>
      <c r="G147" s="110">
        <v>2</v>
      </c>
      <c r="H147" s="38" t="s">
        <v>4050</v>
      </c>
      <c r="I147" s="106"/>
      <c r="J147" s="128" t="s">
        <v>3908</v>
      </c>
      <c r="K147" s="136" t="s">
        <v>4056</v>
      </c>
      <c r="L147" s="136"/>
      <c r="M147" s="136"/>
      <c r="N147" s="136"/>
      <c r="O147" s="136"/>
      <c r="P147" s="123">
        <f>293+20</f>
        <v>313</v>
      </c>
      <c r="Q147" s="123">
        <f>57+3</f>
        <v>60</v>
      </c>
      <c r="R147" s="130"/>
      <c r="S147" s="139">
        <v>0</v>
      </c>
      <c r="T147" s="124">
        <v>0</v>
      </c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17"/>
      <c r="AH147" s="24"/>
      <c r="AI147" s="25"/>
      <c r="AJ147" s="25"/>
    </row>
    <row r="148" spans="1:36" x14ac:dyDescent="0.3">
      <c r="A148" s="63">
        <v>142</v>
      </c>
      <c r="B148" s="102" t="s">
        <v>3520</v>
      </c>
      <c r="C148" s="102" t="s">
        <v>3521</v>
      </c>
      <c r="D148" s="64" t="s">
        <v>119</v>
      </c>
      <c r="E148" s="24" t="s">
        <v>3905</v>
      </c>
      <c r="F148" s="38" t="s">
        <v>4049</v>
      </c>
      <c r="G148" s="110">
        <v>2</v>
      </c>
      <c r="H148" s="38" t="s">
        <v>4050</v>
      </c>
      <c r="I148" s="106"/>
      <c r="J148" s="128" t="s">
        <v>3908</v>
      </c>
      <c r="K148" s="136" t="s">
        <v>4057</v>
      </c>
      <c r="L148" s="136"/>
      <c r="M148" s="136"/>
      <c r="N148" s="136"/>
      <c r="O148" s="136"/>
      <c r="P148" s="123">
        <v>569</v>
      </c>
      <c r="Q148" s="123">
        <v>120</v>
      </c>
      <c r="R148" s="130"/>
      <c r="S148" s="139">
        <v>0</v>
      </c>
      <c r="T148" s="124">
        <v>0</v>
      </c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17"/>
      <c r="AH148" s="24"/>
      <c r="AI148" s="25"/>
      <c r="AJ148" s="25"/>
    </row>
    <row r="149" spans="1:36" x14ac:dyDescent="0.3">
      <c r="A149" s="63">
        <v>143</v>
      </c>
      <c r="B149" s="102" t="s">
        <v>3520</v>
      </c>
      <c r="C149" s="102" t="s">
        <v>3521</v>
      </c>
      <c r="D149" s="64" t="s">
        <v>119</v>
      </c>
      <c r="E149" s="24" t="s">
        <v>3905</v>
      </c>
      <c r="F149" s="38" t="s">
        <v>4049</v>
      </c>
      <c r="G149" s="110">
        <v>2</v>
      </c>
      <c r="H149" s="38" t="s">
        <v>4050</v>
      </c>
      <c r="I149" s="106"/>
      <c r="J149" s="128" t="s">
        <v>3908</v>
      </c>
      <c r="K149" s="136" t="s">
        <v>4058</v>
      </c>
      <c r="L149" s="136"/>
      <c r="M149" s="136"/>
      <c r="N149" s="136"/>
      <c r="O149" s="136"/>
      <c r="P149" s="123">
        <v>312</v>
      </c>
      <c r="Q149" s="123">
        <v>65</v>
      </c>
      <c r="R149" s="130"/>
      <c r="S149" s="139">
        <v>0</v>
      </c>
      <c r="T149" s="124">
        <v>0</v>
      </c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17"/>
      <c r="AH149" s="24"/>
      <c r="AI149" s="25"/>
      <c r="AJ149" s="25"/>
    </row>
    <row r="150" spans="1:36" x14ac:dyDescent="0.3">
      <c r="A150" s="63">
        <v>144</v>
      </c>
      <c r="B150" s="102" t="s">
        <v>3520</v>
      </c>
      <c r="C150" s="102" t="s">
        <v>3521</v>
      </c>
      <c r="D150" s="64" t="s">
        <v>119</v>
      </c>
      <c r="E150" s="24" t="s">
        <v>3905</v>
      </c>
      <c r="F150" s="38" t="s">
        <v>4049</v>
      </c>
      <c r="G150" s="110">
        <v>2</v>
      </c>
      <c r="H150" s="38" t="s">
        <v>4050</v>
      </c>
      <c r="I150" s="106"/>
      <c r="J150" s="128" t="s">
        <v>3908</v>
      </c>
      <c r="K150" s="136" t="s">
        <v>4059</v>
      </c>
      <c r="L150" s="136"/>
      <c r="M150" s="136"/>
      <c r="N150" s="136"/>
      <c r="O150" s="136"/>
      <c r="P150" s="123">
        <f>381+10</f>
        <v>391</v>
      </c>
      <c r="Q150" s="123">
        <f>72+5</f>
        <v>77</v>
      </c>
      <c r="R150" s="130"/>
      <c r="S150" s="139">
        <v>0</v>
      </c>
      <c r="T150" s="124">
        <v>0</v>
      </c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17"/>
      <c r="AH150" s="24"/>
      <c r="AI150" s="25"/>
      <c r="AJ150" s="25"/>
    </row>
    <row r="151" spans="1:36" x14ac:dyDescent="0.3">
      <c r="A151" s="63">
        <v>145</v>
      </c>
      <c r="B151" s="102" t="s">
        <v>3520</v>
      </c>
      <c r="C151" s="102" t="s">
        <v>3521</v>
      </c>
      <c r="D151" s="64" t="s">
        <v>119</v>
      </c>
      <c r="E151" s="24" t="s">
        <v>3905</v>
      </c>
      <c r="F151" s="38" t="s">
        <v>4049</v>
      </c>
      <c r="G151" s="110">
        <v>2</v>
      </c>
      <c r="H151" s="38" t="s">
        <v>4050</v>
      </c>
      <c r="I151" s="106"/>
      <c r="J151" s="128" t="s">
        <v>3908</v>
      </c>
      <c r="K151" s="136" t="s">
        <v>4060</v>
      </c>
      <c r="L151" s="136"/>
      <c r="M151" s="136"/>
      <c r="N151" s="136"/>
      <c r="O151" s="136"/>
      <c r="P151" s="123">
        <v>362</v>
      </c>
      <c r="Q151" s="123">
        <v>66</v>
      </c>
      <c r="R151" s="130"/>
      <c r="S151" s="139">
        <v>0</v>
      </c>
      <c r="T151" s="124">
        <v>0</v>
      </c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17"/>
      <c r="AH151" s="24"/>
      <c r="AI151" s="25"/>
      <c r="AJ151" s="25"/>
    </row>
    <row r="152" spans="1:36" x14ac:dyDescent="0.3">
      <c r="A152" s="63">
        <v>146</v>
      </c>
      <c r="B152" s="102" t="s">
        <v>3520</v>
      </c>
      <c r="C152" s="102" t="s">
        <v>3521</v>
      </c>
      <c r="D152" s="64" t="s">
        <v>119</v>
      </c>
      <c r="E152" s="24" t="s">
        <v>3905</v>
      </c>
      <c r="F152" s="38" t="s">
        <v>4049</v>
      </c>
      <c r="G152" s="110">
        <v>2</v>
      </c>
      <c r="H152" s="38" t="s">
        <v>4050</v>
      </c>
      <c r="I152" s="106"/>
      <c r="J152" s="128" t="s">
        <v>3908</v>
      </c>
      <c r="K152" s="136" t="s">
        <v>4061</v>
      </c>
      <c r="L152" s="136"/>
      <c r="M152" s="136"/>
      <c r="N152" s="136"/>
      <c r="O152" s="136"/>
      <c r="P152" s="123">
        <v>540</v>
      </c>
      <c r="Q152" s="123">
        <v>104</v>
      </c>
      <c r="R152" s="130"/>
      <c r="S152" s="139">
        <v>0</v>
      </c>
      <c r="T152" s="124">
        <v>0</v>
      </c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17"/>
      <c r="AH152" s="24"/>
      <c r="AI152" s="25"/>
      <c r="AJ152" s="25"/>
    </row>
    <row r="153" spans="1:36" x14ac:dyDescent="0.3">
      <c r="A153" s="63">
        <v>147</v>
      </c>
      <c r="B153" s="102" t="s">
        <v>3520</v>
      </c>
      <c r="C153" s="102" t="s">
        <v>3521</v>
      </c>
      <c r="D153" s="64" t="s">
        <v>119</v>
      </c>
      <c r="E153" s="24" t="s">
        <v>3905</v>
      </c>
      <c r="F153" s="38" t="s">
        <v>4049</v>
      </c>
      <c r="G153" s="110">
        <v>2</v>
      </c>
      <c r="H153" s="38" t="s">
        <v>4050</v>
      </c>
      <c r="I153" s="106"/>
      <c r="J153" s="128" t="s">
        <v>3908</v>
      </c>
      <c r="K153" s="136" t="s">
        <v>4062</v>
      </c>
      <c r="L153" s="136"/>
      <c r="M153" s="136"/>
      <c r="N153" s="136"/>
      <c r="O153" s="136"/>
      <c r="P153" s="123">
        <f>616+5</f>
        <v>621</v>
      </c>
      <c r="Q153" s="123">
        <f>116+2</f>
        <v>118</v>
      </c>
      <c r="R153" s="130"/>
      <c r="S153" s="139">
        <v>0</v>
      </c>
      <c r="T153" s="124">
        <v>0</v>
      </c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17"/>
      <c r="AH153" s="24"/>
      <c r="AI153" s="25"/>
      <c r="AJ153" s="25"/>
    </row>
    <row r="154" spans="1:36" x14ac:dyDescent="0.3">
      <c r="A154" s="63">
        <v>148</v>
      </c>
      <c r="B154" s="102" t="s">
        <v>3520</v>
      </c>
      <c r="C154" s="102" t="s">
        <v>3521</v>
      </c>
      <c r="D154" s="64" t="s">
        <v>119</v>
      </c>
      <c r="E154" s="24" t="s">
        <v>3905</v>
      </c>
      <c r="F154" s="38" t="s">
        <v>4049</v>
      </c>
      <c r="G154" s="108">
        <v>3</v>
      </c>
      <c r="H154" s="38" t="s">
        <v>4050</v>
      </c>
      <c r="I154" s="106"/>
      <c r="J154" s="128" t="s">
        <v>3908</v>
      </c>
      <c r="K154" s="136" t="s">
        <v>4063</v>
      </c>
      <c r="L154" s="136"/>
      <c r="M154" s="136"/>
      <c r="N154" s="136"/>
      <c r="O154" s="136"/>
      <c r="P154" s="123">
        <f>403+60</f>
        <v>463</v>
      </c>
      <c r="Q154" s="123">
        <f>81+20</f>
        <v>101</v>
      </c>
      <c r="R154" s="130"/>
      <c r="S154" s="139">
        <v>0</v>
      </c>
      <c r="T154" s="124">
        <v>0</v>
      </c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17"/>
      <c r="AH154" s="24"/>
      <c r="AI154" s="25"/>
      <c r="AJ154" s="25"/>
    </row>
    <row r="155" spans="1:36" x14ac:dyDescent="0.3">
      <c r="A155" s="63">
        <v>149</v>
      </c>
      <c r="B155" s="102" t="s">
        <v>3520</v>
      </c>
      <c r="C155" s="102" t="s">
        <v>3521</v>
      </c>
      <c r="D155" s="64" t="s">
        <v>119</v>
      </c>
      <c r="E155" s="24" t="s">
        <v>3905</v>
      </c>
      <c r="F155" s="38" t="s">
        <v>4049</v>
      </c>
      <c r="G155" s="108">
        <v>3</v>
      </c>
      <c r="H155" s="38" t="s">
        <v>4050</v>
      </c>
      <c r="I155" s="106"/>
      <c r="J155" s="128" t="s">
        <v>3908</v>
      </c>
      <c r="K155" s="136" t="s">
        <v>4064</v>
      </c>
      <c r="L155" s="136"/>
      <c r="M155" s="136"/>
      <c r="N155" s="136"/>
      <c r="O155" s="136"/>
      <c r="P155" s="123">
        <v>1799</v>
      </c>
      <c r="Q155" s="123">
        <v>356</v>
      </c>
      <c r="R155" s="130"/>
      <c r="S155" s="139">
        <v>0</v>
      </c>
      <c r="T155" s="124">
        <v>0</v>
      </c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17"/>
      <c r="AH155" s="24"/>
      <c r="AI155" s="25"/>
      <c r="AJ155" s="25"/>
    </row>
    <row r="156" spans="1:36" x14ac:dyDescent="0.3">
      <c r="A156" s="63">
        <v>150</v>
      </c>
      <c r="B156" s="102" t="s">
        <v>3520</v>
      </c>
      <c r="C156" s="102" t="s">
        <v>3521</v>
      </c>
      <c r="D156" s="64" t="s">
        <v>119</v>
      </c>
      <c r="E156" s="24" t="s">
        <v>3905</v>
      </c>
      <c r="F156" s="38" t="s">
        <v>4049</v>
      </c>
      <c r="G156" s="108">
        <v>3</v>
      </c>
      <c r="H156" s="38" t="s">
        <v>4050</v>
      </c>
      <c r="I156" s="106"/>
      <c r="J156" s="128" t="s">
        <v>3908</v>
      </c>
      <c r="K156" s="136" t="s">
        <v>4065</v>
      </c>
      <c r="L156" s="136"/>
      <c r="M156" s="136"/>
      <c r="N156" s="136"/>
      <c r="O156" s="136"/>
      <c r="P156" s="123">
        <v>255</v>
      </c>
      <c r="Q156" s="123">
        <v>52</v>
      </c>
      <c r="R156" s="130"/>
      <c r="S156" s="139">
        <v>0</v>
      </c>
      <c r="T156" s="124">
        <v>0</v>
      </c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17"/>
      <c r="AH156" s="24"/>
      <c r="AI156" s="25"/>
      <c r="AJ156" s="25"/>
    </row>
    <row r="157" spans="1:36" x14ac:dyDescent="0.3">
      <c r="A157" s="63">
        <v>151</v>
      </c>
      <c r="B157" s="102" t="s">
        <v>3520</v>
      </c>
      <c r="C157" s="102" t="s">
        <v>3521</v>
      </c>
      <c r="D157" s="64" t="s">
        <v>119</v>
      </c>
      <c r="E157" s="24" t="s">
        <v>3905</v>
      </c>
      <c r="F157" s="38" t="s">
        <v>4049</v>
      </c>
      <c r="G157" s="108">
        <v>3</v>
      </c>
      <c r="H157" s="38" t="s">
        <v>4050</v>
      </c>
      <c r="I157" s="106"/>
      <c r="J157" s="128" t="s">
        <v>3908</v>
      </c>
      <c r="K157" s="136" t="s">
        <v>4066</v>
      </c>
      <c r="L157" s="136"/>
      <c r="M157" s="136"/>
      <c r="N157" s="136"/>
      <c r="O157" s="136"/>
      <c r="P157" s="123">
        <f>492+40</f>
        <v>532</v>
      </c>
      <c r="Q157" s="123">
        <f>91+10</f>
        <v>101</v>
      </c>
      <c r="R157" s="130"/>
      <c r="S157" s="139">
        <v>0</v>
      </c>
      <c r="T157" s="124">
        <v>0</v>
      </c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17"/>
      <c r="AH157" s="24"/>
      <c r="AI157" s="25"/>
      <c r="AJ157" s="25"/>
    </row>
    <row r="158" spans="1:36" x14ac:dyDescent="0.3">
      <c r="A158" s="63">
        <v>152</v>
      </c>
      <c r="B158" s="102" t="s">
        <v>3520</v>
      </c>
      <c r="C158" s="102" t="s">
        <v>3521</v>
      </c>
      <c r="D158" s="64" t="s">
        <v>119</v>
      </c>
      <c r="E158" s="24" t="s">
        <v>3905</v>
      </c>
      <c r="F158" s="38" t="s">
        <v>4049</v>
      </c>
      <c r="G158" s="108">
        <v>3</v>
      </c>
      <c r="H158" s="38" t="s">
        <v>4050</v>
      </c>
      <c r="I158" s="106"/>
      <c r="J158" s="128" t="s">
        <v>3908</v>
      </c>
      <c r="K158" s="136" t="s">
        <v>3972</v>
      </c>
      <c r="L158" s="136"/>
      <c r="M158" s="136"/>
      <c r="N158" s="136"/>
      <c r="O158" s="136"/>
      <c r="P158" s="123">
        <v>518</v>
      </c>
      <c r="Q158" s="123">
        <v>114</v>
      </c>
      <c r="R158" s="130"/>
      <c r="S158" s="139">
        <v>0</v>
      </c>
      <c r="T158" s="124">
        <v>0</v>
      </c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17"/>
      <c r="AH158" s="24"/>
      <c r="AI158" s="25"/>
      <c r="AJ158" s="25"/>
    </row>
    <row r="159" spans="1:36" x14ac:dyDescent="0.3">
      <c r="A159" s="63">
        <v>153</v>
      </c>
      <c r="B159" s="102" t="s">
        <v>3520</v>
      </c>
      <c r="C159" s="102" t="s">
        <v>3521</v>
      </c>
      <c r="D159" s="64" t="s">
        <v>119</v>
      </c>
      <c r="E159" s="24" t="s">
        <v>3905</v>
      </c>
      <c r="F159" s="38" t="s">
        <v>4049</v>
      </c>
      <c r="G159" s="108">
        <v>3</v>
      </c>
      <c r="H159" s="38" t="s">
        <v>4050</v>
      </c>
      <c r="I159" s="106"/>
      <c r="J159" s="128" t="s">
        <v>3908</v>
      </c>
      <c r="K159" s="136" t="s">
        <v>4067</v>
      </c>
      <c r="L159" s="136"/>
      <c r="M159" s="136"/>
      <c r="N159" s="136"/>
      <c r="O159" s="136"/>
      <c r="P159" s="123">
        <v>218</v>
      </c>
      <c r="Q159" s="123">
        <v>42</v>
      </c>
      <c r="R159" s="130"/>
      <c r="S159" s="139">
        <v>0</v>
      </c>
      <c r="T159" s="124">
        <v>0</v>
      </c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17"/>
      <c r="AH159" s="24"/>
      <c r="AI159" s="25"/>
      <c r="AJ159" s="25"/>
    </row>
    <row r="160" spans="1:36" x14ac:dyDescent="0.3">
      <c r="A160" s="63">
        <v>154</v>
      </c>
      <c r="B160" s="102" t="s">
        <v>3520</v>
      </c>
      <c r="C160" s="102" t="s">
        <v>3521</v>
      </c>
      <c r="D160" s="64" t="s">
        <v>119</v>
      </c>
      <c r="E160" s="24" t="s">
        <v>3905</v>
      </c>
      <c r="F160" s="38" t="s">
        <v>4049</v>
      </c>
      <c r="G160" s="137">
        <v>4</v>
      </c>
      <c r="H160" s="38" t="s">
        <v>4068</v>
      </c>
      <c r="I160" s="106"/>
      <c r="J160" s="128" t="s">
        <v>3908</v>
      </c>
      <c r="K160" s="136" t="s">
        <v>3637</v>
      </c>
      <c r="L160" s="136"/>
      <c r="M160" s="136"/>
      <c r="N160" s="136"/>
      <c r="O160" s="136"/>
      <c r="P160" s="123">
        <v>774</v>
      </c>
      <c r="Q160" s="123">
        <v>117</v>
      </c>
      <c r="R160" s="130"/>
      <c r="S160" s="139">
        <v>0</v>
      </c>
      <c r="T160" s="124">
        <v>0</v>
      </c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17"/>
      <c r="AH160" s="24"/>
      <c r="AI160" s="25"/>
      <c r="AJ160" s="25"/>
    </row>
    <row r="161" spans="1:36" x14ac:dyDescent="0.3">
      <c r="A161" s="63">
        <v>155</v>
      </c>
      <c r="B161" s="102" t="s">
        <v>3520</v>
      </c>
      <c r="C161" s="102" t="s">
        <v>3521</v>
      </c>
      <c r="D161" s="64" t="s">
        <v>119</v>
      </c>
      <c r="E161" s="24" t="s">
        <v>3905</v>
      </c>
      <c r="F161" s="38" t="s">
        <v>4049</v>
      </c>
      <c r="G161" s="137">
        <v>4</v>
      </c>
      <c r="H161" s="38" t="s">
        <v>4068</v>
      </c>
      <c r="I161" s="106"/>
      <c r="J161" s="128" t="s">
        <v>3908</v>
      </c>
      <c r="K161" s="136" t="s">
        <v>4069</v>
      </c>
      <c r="L161" s="136"/>
      <c r="M161" s="136"/>
      <c r="N161" s="136"/>
      <c r="O161" s="136"/>
      <c r="P161" s="123">
        <f>1490+10</f>
        <v>1500</v>
      </c>
      <c r="Q161" s="123">
        <f>450+7</f>
        <v>457</v>
      </c>
      <c r="R161" s="130"/>
      <c r="S161" s="139">
        <v>0</v>
      </c>
      <c r="T161" s="124">
        <v>0</v>
      </c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17"/>
      <c r="AH161" s="24"/>
      <c r="AI161" s="25"/>
      <c r="AJ161" s="25"/>
    </row>
    <row r="162" spans="1:36" x14ac:dyDescent="0.3">
      <c r="A162" s="63">
        <v>156</v>
      </c>
      <c r="B162" s="102" t="s">
        <v>3520</v>
      </c>
      <c r="C162" s="102" t="s">
        <v>3521</v>
      </c>
      <c r="D162" s="64" t="s">
        <v>119</v>
      </c>
      <c r="E162" s="24" t="s">
        <v>3905</v>
      </c>
      <c r="F162" s="38" t="s">
        <v>4049</v>
      </c>
      <c r="G162" s="137">
        <v>4</v>
      </c>
      <c r="H162" s="38" t="s">
        <v>4068</v>
      </c>
      <c r="I162" s="106"/>
      <c r="J162" s="128" t="s">
        <v>3908</v>
      </c>
      <c r="K162" s="136" t="s">
        <v>4070</v>
      </c>
      <c r="L162" s="136"/>
      <c r="M162" s="136"/>
      <c r="N162" s="136"/>
      <c r="O162" s="136"/>
      <c r="P162" s="123">
        <v>374</v>
      </c>
      <c r="Q162" s="123">
        <v>60</v>
      </c>
      <c r="R162" s="130"/>
      <c r="S162" s="139">
        <v>0</v>
      </c>
      <c r="T162" s="124">
        <v>0</v>
      </c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17"/>
      <c r="AH162" s="24"/>
      <c r="AI162" s="25"/>
      <c r="AJ162" s="25"/>
    </row>
    <row r="163" spans="1:36" x14ac:dyDescent="0.3">
      <c r="A163" s="63">
        <v>157</v>
      </c>
      <c r="B163" s="102" t="s">
        <v>3520</v>
      </c>
      <c r="C163" s="102" t="s">
        <v>3521</v>
      </c>
      <c r="D163" s="64" t="s">
        <v>119</v>
      </c>
      <c r="E163" s="24" t="s">
        <v>3905</v>
      </c>
      <c r="F163" s="38" t="s">
        <v>4049</v>
      </c>
      <c r="G163" s="108">
        <v>5</v>
      </c>
      <c r="H163" s="38" t="s">
        <v>4068</v>
      </c>
      <c r="I163" s="106"/>
      <c r="J163" s="128" t="s">
        <v>3908</v>
      </c>
      <c r="K163" s="132" t="s">
        <v>4071</v>
      </c>
      <c r="L163" s="132"/>
      <c r="M163" s="132"/>
      <c r="N163" s="132"/>
      <c r="O163" s="132"/>
      <c r="P163" s="123">
        <f>1461+21</f>
        <v>1482</v>
      </c>
      <c r="Q163" s="123">
        <f>300+7</f>
        <v>307</v>
      </c>
      <c r="R163" s="130"/>
      <c r="S163" s="139">
        <v>0</v>
      </c>
      <c r="T163" s="124">
        <v>0</v>
      </c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17"/>
      <c r="AH163" s="24"/>
      <c r="AI163" s="25"/>
      <c r="AJ163" s="25"/>
    </row>
    <row r="164" spans="1:36" x14ac:dyDescent="0.3">
      <c r="A164" s="63">
        <v>158</v>
      </c>
      <c r="B164" s="102" t="s">
        <v>3520</v>
      </c>
      <c r="C164" s="102" t="s">
        <v>3521</v>
      </c>
      <c r="D164" s="64" t="s">
        <v>119</v>
      </c>
      <c r="E164" s="24" t="s">
        <v>3905</v>
      </c>
      <c r="F164" s="38" t="s">
        <v>4049</v>
      </c>
      <c r="G164" s="108">
        <v>5</v>
      </c>
      <c r="H164" s="38" t="s">
        <v>4068</v>
      </c>
      <c r="I164" s="106"/>
      <c r="J164" s="128" t="s">
        <v>3908</v>
      </c>
      <c r="K164" s="132" t="s">
        <v>4072</v>
      </c>
      <c r="L164" s="132"/>
      <c r="M164" s="132"/>
      <c r="N164" s="132"/>
      <c r="O164" s="132"/>
      <c r="P164" s="123">
        <f>1479+10</f>
        <v>1489</v>
      </c>
      <c r="Q164" s="123">
        <f>300+5</f>
        <v>305</v>
      </c>
      <c r="R164" s="130"/>
      <c r="S164" s="139">
        <v>0</v>
      </c>
      <c r="T164" s="124">
        <v>0</v>
      </c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17"/>
      <c r="AH164" s="24"/>
      <c r="AI164" s="25"/>
      <c r="AJ164" s="25"/>
    </row>
    <row r="165" spans="1:36" x14ac:dyDescent="0.3">
      <c r="A165" s="63">
        <v>159</v>
      </c>
      <c r="B165" s="102" t="s">
        <v>3520</v>
      </c>
      <c r="C165" s="102" t="s">
        <v>3521</v>
      </c>
      <c r="D165" s="64" t="s">
        <v>119</v>
      </c>
      <c r="E165" s="24" t="s">
        <v>3905</v>
      </c>
      <c r="F165" s="38" t="s">
        <v>4049</v>
      </c>
      <c r="G165" s="108">
        <v>5</v>
      </c>
      <c r="H165" s="38" t="s">
        <v>4068</v>
      </c>
      <c r="I165" s="106"/>
      <c r="J165" s="128" t="s">
        <v>3908</v>
      </c>
      <c r="K165" s="136" t="s">
        <v>4073</v>
      </c>
      <c r="L165" s="136"/>
      <c r="M165" s="136"/>
      <c r="N165" s="136"/>
      <c r="O165" s="136"/>
      <c r="P165" s="123">
        <f>452+7</f>
        <v>459</v>
      </c>
      <c r="Q165" s="123">
        <f>96+3</f>
        <v>99</v>
      </c>
      <c r="R165" s="130"/>
      <c r="S165" s="139">
        <v>0</v>
      </c>
      <c r="T165" s="124">
        <v>0</v>
      </c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17"/>
      <c r="AH165" s="24"/>
      <c r="AI165" s="25"/>
      <c r="AJ165" s="25"/>
    </row>
    <row r="166" spans="1:36" x14ac:dyDescent="0.3">
      <c r="A166" s="63">
        <v>160</v>
      </c>
      <c r="B166" s="102" t="s">
        <v>3520</v>
      </c>
      <c r="C166" s="102" t="s">
        <v>3521</v>
      </c>
      <c r="D166" s="64" t="s">
        <v>119</v>
      </c>
      <c r="E166" s="24" t="s">
        <v>3905</v>
      </c>
      <c r="F166" s="38" t="s">
        <v>4049</v>
      </c>
      <c r="G166" s="108">
        <v>6</v>
      </c>
      <c r="H166" s="38" t="s">
        <v>4068</v>
      </c>
      <c r="I166" s="106"/>
      <c r="J166" s="128" t="s">
        <v>3908</v>
      </c>
      <c r="K166" s="136" t="s">
        <v>4074</v>
      </c>
      <c r="L166" s="136"/>
      <c r="M166" s="136"/>
      <c r="N166" s="136"/>
      <c r="O166" s="136"/>
      <c r="P166" s="123">
        <f>747+10</f>
        <v>757</v>
      </c>
      <c r="Q166" s="123">
        <f>296+4</f>
        <v>300</v>
      </c>
      <c r="R166" s="130"/>
      <c r="S166" s="139">
        <v>0</v>
      </c>
      <c r="T166" s="124">
        <v>0</v>
      </c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17"/>
      <c r="AH166" s="24"/>
      <c r="AI166" s="25"/>
      <c r="AJ166" s="25"/>
    </row>
    <row r="167" spans="1:36" x14ac:dyDescent="0.3">
      <c r="A167" s="63">
        <v>161</v>
      </c>
      <c r="B167" s="102" t="s">
        <v>3520</v>
      </c>
      <c r="C167" s="102" t="s">
        <v>3521</v>
      </c>
      <c r="D167" s="64" t="s">
        <v>119</v>
      </c>
      <c r="E167" s="24" t="s">
        <v>3905</v>
      </c>
      <c r="F167" s="38" t="s">
        <v>4049</v>
      </c>
      <c r="G167" s="108">
        <v>6</v>
      </c>
      <c r="H167" s="38" t="s">
        <v>4068</v>
      </c>
      <c r="I167" s="106"/>
      <c r="J167" s="128" t="s">
        <v>3908</v>
      </c>
      <c r="K167" s="136" t="s">
        <v>4075</v>
      </c>
      <c r="L167" s="136"/>
      <c r="M167" s="136"/>
      <c r="N167" s="136"/>
      <c r="O167" s="136"/>
      <c r="P167" s="123">
        <v>678</v>
      </c>
      <c r="Q167" s="123">
        <v>113</v>
      </c>
      <c r="R167" s="130"/>
      <c r="S167" s="139">
        <v>0</v>
      </c>
      <c r="T167" s="124">
        <v>0</v>
      </c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17"/>
      <c r="AH167" s="24"/>
      <c r="AI167" s="25"/>
      <c r="AJ167" s="25"/>
    </row>
    <row r="168" spans="1:36" x14ac:dyDescent="0.3">
      <c r="A168" s="63">
        <v>162</v>
      </c>
      <c r="B168" s="102" t="s">
        <v>3520</v>
      </c>
      <c r="C168" s="102" t="s">
        <v>3521</v>
      </c>
      <c r="D168" s="64" t="s">
        <v>119</v>
      </c>
      <c r="E168" s="24" t="s">
        <v>3905</v>
      </c>
      <c r="F168" s="38" t="s">
        <v>4049</v>
      </c>
      <c r="G168" s="108">
        <v>6</v>
      </c>
      <c r="H168" s="38" t="s">
        <v>4068</v>
      </c>
      <c r="I168" s="106"/>
      <c r="J168" s="128" t="s">
        <v>3908</v>
      </c>
      <c r="K168" s="136" t="s">
        <v>4076</v>
      </c>
      <c r="L168" s="136"/>
      <c r="M168" s="136"/>
      <c r="N168" s="136"/>
      <c r="O168" s="136"/>
      <c r="P168" s="123">
        <f>273+10</f>
        <v>283</v>
      </c>
      <c r="Q168" s="123">
        <f>62+3</f>
        <v>65</v>
      </c>
      <c r="R168" s="130"/>
      <c r="S168" s="139">
        <v>0</v>
      </c>
      <c r="T168" s="124">
        <v>0</v>
      </c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17"/>
      <c r="AH168" s="24"/>
      <c r="AI168" s="25"/>
      <c r="AJ168" s="25"/>
    </row>
    <row r="169" spans="1:36" x14ac:dyDescent="0.3">
      <c r="A169" s="63">
        <v>163</v>
      </c>
      <c r="B169" s="102" t="s">
        <v>3520</v>
      </c>
      <c r="C169" s="102" t="s">
        <v>3521</v>
      </c>
      <c r="D169" s="64" t="s">
        <v>119</v>
      </c>
      <c r="E169" s="24" t="s">
        <v>3905</v>
      </c>
      <c r="F169" s="38" t="s">
        <v>4049</v>
      </c>
      <c r="G169" s="108">
        <v>7</v>
      </c>
      <c r="H169" s="38" t="s">
        <v>4068</v>
      </c>
      <c r="I169" s="106"/>
      <c r="J169" s="128" t="s">
        <v>3908</v>
      </c>
      <c r="K169" s="136" t="s">
        <v>4077</v>
      </c>
      <c r="L169" s="136"/>
      <c r="M169" s="136"/>
      <c r="N169" s="136"/>
      <c r="O169" s="136"/>
      <c r="P169" s="123">
        <v>973</v>
      </c>
      <c r="Q169" s="123">
        <f>196+7</f>
        <v>203</v>
      </c>
      <c r="R169" s="130"/>
      <c r="S169" s="139">
        <v>0</v>
      </c>
      <c r="T169" s="124">
        <v>0</v>
      </c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17"/>
      <c r="AH169" s="24"/>
      <c r="AI169" s="25"/>
      <c r="AJ169" s="25"/>
    </row>
    <row r="170" spans="1:36" x14ac:dyDescent="0.3">
      <c r="A170" s="63">
        <v>164</v>
      </c>
      <c r="B170" s="102" t="s">
        <v>3520</v>
      </c>
      <c r="C170" s="102" t="s">
        <v>3521</v>
      </c>
      <c r="D170" s="64" t="s">
        <v>119</v>
      </c>
      <c r="E170" s="24" t="s">
        <v>3905</v>
      </c>
      <c r="F170" s="38" t="s">
        <v>4049</v>
      </c>
      <c r="G170" s="108">
        <v>7</v>
      </c>
      <c r="H170" s="38" t="s">
        <v>4068</v>
      </c>
      <c r="I170" s="106"/>
      <c r="J170" s="128" t="s">
        <v>3908</v>
      </c>
      <c r="K170" s="136" t="s">
        <v>4078</v>
      </c>
      <c r="L170" s="136"/>
      <c r="M170" s="136"/>
      <c r="N170" s="136"/>
      <c r="O170" s="136"/>
      <c r="P170" s="123">
        <v>1737</v>
      </c>
      <c r="Q170" s="123">
        <v>304</v>
      </c>
      <c r="R170" s="130"/>
      <c r="S170" s="139">
        <v>0</v>
      </c>
      <c r="T170" s="124">
        <v>0</v>
      </c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17"/>
      <c r="AH170" s="24"/>
      <c r="AI170" s="25"/>
      <c r="AJ170" s="25"/>
    </row>
    <row r="171" spans="1:36" x14ac:dyDescent="0.3">
      <c r="A171" s="63">
        <v>165</v>
      </c>
      <c r="B171" s="102" t="s">
        <v>3520</v>
      </c>
      <c r="C171" s="102" t="s">
        <v>3521</v>
      </c>
      <c r="D171" s="64" t="s">
        <v>119</v>
      </c>
      <c r="E171" s="24" t="s">
        <v>3905</v>
      </c>
      <c r="F171" s="38" t="s">
        <v>4049</v>
      </c>
      <c r="G171" s="108">
        <v>7</v>
      </c>
      <c r="H171" s="38" t="s">
        <v>4068</v>
      </c>
      <c r="I171" s="106"/>
      <c r="J171" s="128" t="s">
        <v>3908</v>
      </c>
      <c r="K171" s="136" t="s">
        <v>3896</v>
      </c>
      <c r="L171" s="136"/>
      <c r="M171" s="136"/>
      <c r="N171" s="136"/>
      <c r="O171" s="136"/>
      <c r="P171" s="123">
        <v>545</v>
      </c>
      <c r="Q171" s="123">
        <v>105</v>
      </c>
      <c r="R171" s="130"/>
      <c r="S171" s="139">
        <v>0</v>
      </c>
      <c r="T171" s="124">
        <v>0</v>
      </c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17"/>
      <c r="AH171" s="24"/>
      <c r="AI171" s="25"/>
      <c r="AJ171" s="25"/>
    </row>
    <row r="172" spans="1:36" x14ac:dyDescent="0.3">
      <c r="A172" s="63">
        <v>166</v>
      </c>
      <c r="B172" s="102" t="s">
        <v>3520</v>
      </c>
      <c r="C172" s="102" t="s">
        <v>3521</v>
      </c>
      <c r="D172" s="64" t="s">
        <v>119</v>
      </c>
      <c r="E172" s="24" t="s">
        <v>3905</v>
      </c>
      <c r="F172" s="38" t="s">
        <v>4049</v>
      </c>
      <c r="G172" s="120">
        <v>8</v>
      </c>
      <c r="H172" s="38" t="s">
        <v>4068</v>
      </c>
      <c r="I172" s="106"/>
      <c r="J172" s="128" t="s">
        <v>3908</v>
      </c>
      <c r="K172" s="132" t="s">
        <v>4079</v>
      </c>
      <c r="L172" s="132"/>
      <c r="M172" s="132"/>
      <c r="N172" s="132"/>
      <c r="O172" s="132"/>
      <c r="P172" s="123">
        <v>1201</v>
      </c>
      <c r="Q172" s="123">
        <v>251</v>
      </c>
      <c r="R172" s="130"/>
      <c r="S172" s="139">
        <v>0</v>
      </c>
      <c r="T172" s="124">
        <v>0</v>
      </c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17"/>
      <c r="AH172" s="24"/>
      <c r="AI172" s="25"/>
      <c r="AJ172" s="25"/>
    </row>
    <row r="173" spans="1:36" x14ac:dyDescent="0.3">
      <c r="A173" s="63">
        <v>167</v>
      </c>
      <c r="B173" s="102" t="s">
        <v>3520</v>
      </c>
      <c r="C173" s="102" t="s">
        <v>3521</v>
      </c>
      <c r="D173" s="64" t="s">
        <v>119</v>
      </c>
      <c r="E173" s="24" t="s">
        <v>3905</v>
      </c>
      <c r="F173" s="38" t="s">
        <v>4049</v>
      </c>
      <c r="G173" s="140">
        <v>8</v>
      </c>
      <c r="H173" s="38" t="s">
        <v>4068</v>
      </c>
      <c r="I173" s="106"/>
      <c r="J173" s="128" t="s">
        <v>3908</v>
      </c>
      <c r="K173" s="136" t="s">
        <v>4080</v>
      </c>
      <c r="L173" s="136"/>
      <c r="M173" s="136"/>
      <c r="N173" s="136"/>
      <c r="O173" s="136"/>
      <c r="P173" s="123">
        <v>570</v>
      </c>
      <c r="Q173" s="123">
        <v>100</v>
      </c>
      <c r="R173" s="130"/>
      <c r="S173" s="139">
        <v>0</v>
      </c>
      <c r="T173" s="124">
        <v>0</v>
      </c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17"/>
      <c r="AH173" s="24"/>
      <c r="AI173" s="25"/>
      <c r="AJ173" s="25"/>
    </row>
    <row r="174" spans="1:36" x14ac:dyDescent="0.3">
      <c r="A174" s="63">
        <v>168</v>
      </c>
      <c r="B174" s="102" t="s">
        <v>3520</v>
      </c>
      <c r="C174" s="102" t="s">
        <v>3521</v>
      </c>
      <c r="D174" s="64" t="s">
        <v>119</v>
      </c>
      <c r="E174" s="24" t="s">
        <v>3905</v>
      </c>
      <c r="F174" s="38" t="s">
        <v>4049</v>
      </c>
      <c r="G174" s="120">
        <v>8</v>
      </c>
      <c r="H174" s="38" t="s">
        <v>4068</v>
      </c>
      <c r="I174" s="106"/>
      <c r="J174" s="128" t="s">
        <v>3908</v>
      </c>
      <c r="K174" s="136" t="s">
        <v>4081</v>
      </c>
      <c r="L174" s="136"/>
      <c r="M174" s="136"/>
      <c r="N174" s="136"/>
      <c r="O174" s="136"/>
      <c r="P174" s="123">
        <v>996</v>
      </c>
      <c r="Q174" s="123">
        <v>225</v>
      </c>
      <c r="R174" s="130"/>
      <c r="S174" s="139">
        <v>0</v>
      </c>
      <c r="T174" s="124">
        <v>0</v>
      </c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17"/>
      <c r="AH174" s="24"/>
      <c r="AI174" s="25"/>
      <c r="AJ174" s="25"/>
    </row>
    <row r="175" spans="1:36" x14ac:dyDescent="0.3">
      <c r="A175" s="63">
        <v>169</v>
      </c>
      <c r="B175" s="102" t="s">
        <v>3520</v>
      </c>
      <c r="C175" s="102" t="s">
        <v>3521</v>
      </c>
      <c r="D175" s="64" t="s">
        <v>119</v>
      </c>
      <c r="E175" s="24" t="s">
        <v>3905</v>
      </c>
      <c r="F175" s="38" t="s">
        <v>4049</v>
      </c>
      <c r="G175" s="140">
        <v>8</v>
      </c>
      <c r="H175" s="38" t="s">
        <v>4068</v>
      </c>
      <c r="I175" s="106"/>
      <c r="J175" s="128" t="s">
        <v>3908</v>
      </c>
      <c r="K175" s="136" t="s">
        <v>4082</v>
      </c>
      <c r="L175" s="136"/>
      <c r="M175" s="136"/>
      <c r="N175" s="136"/>
      <c r="O175" s="136"/>
      <c r="P175" s="123">
        <v>426</v>
      </c>
      <c r="Q175" s="123">
        <v>70</v>
      </c>
      <c r="R175" s="130"/>
      <c r="S175" s="139">
        <v>0</v>
      </c>
      <c r="T175" s="124">
        <v>0</v>
      </c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17"/>
      <c r="AH175" s="24"/>
      <c r="AI175" s="25"/>
      <c r="AJ175" s="25"/>
    </row>
    <row r="176" spans="1:36" x14ac:dyDescent="0.3">
      <c r="A176" s="63">
        <v>170</v>
      </c>
      <c r="B176" s="102" t="s">
        <v>3520</v>
      </c>
      <c r="C176" s="102" t="s">
        <v>3521</v>
      </c>
      <c r="D176" s="64" t="s">
        <v>119</v>
      </c>
      <c r="E176" s="24" t="s">
        <v>3905</v>
      </c>
      <c r="F176" s="38" t="s">
        <v>4049</v>
      </c>
      <c r="G176" s="120">
        <v>8</v>
      </c>
      <c r="H176" s="38" t="s">
        <v>4068</v>
      </c>
      <c r="I176" s="106"/>
      <c r="J176" s="128" t="s">
        <v>3908</v>
      </c>
      <c r="K176" s="136" t="s">
        <v>4083</v>
      </c>
      <c r="L176" s="136"/>
      <c r="M176" s="136"/>
      <c r="N176" s="136"/>
      <c r="O176" s="136"/>
      <c r="P176" s="123">
        <v>387</v>
      </c>
      <c r="Q176" s="123">
        <v>80</v>
      </c>
      <c r="R176" s="130"/>
      <c r="S176" s="139">
        <v>0</v>
      </c>
      <c r="T176" s="124">
        <v>0</v>
      </c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17"/>
      <c r="AH176" s="24"/>
      <c r="AI176" s="25"/>
      <c r="AJ176" s="25"/>
    </row>
    <row r="177" spans="1:36" x14ac:dyDescent="0.3">
      <c r="A177" s="63">
        <v>171</v>
      </c>
      <c r="B177" s="102" t="s">
        <v>3520</v>
      </c>
      <c r="C177" s="102" t="s">
        <v>3521</v>
      </c>
      <c r="D177" s="64" t="s">
        <v>119</v>
      </c>
      <c r="E177" s="24" t="s">
        <v>3905</v>
      </c>
      <c r="F177" s="38" t="s">
        <v>4049</v>
      </c>
      <c r="G177" s="137">
        <v>9</v>
      </c>
      <c r="H177" s="38" t="s">
        <v>4068</v>
      </c>
      <c r="I177" s="106"/>
      <c r="J177" s="128" t="s">
        <v>3908</v>
      </c>
      <c r="K177" s="136" t="s">
        <v>4084</v>
      </c>
      <c r="L177" s="136"/>
      <c r="M177" s="136"/>
      <c r="N177" s="136"/>
      <c r="O177" s="136"/>
      <c r="P177" s="123">
        <f>1194+20</f>
        <v>1214</v>
      </c>
      <c r="Q177" s="123">
        <f>232+4</f>
        <v>236</v>
      </c>
      <c r="R177" s="130"/>
      <c r="S177" s="139">
        <v>0</v>
      </c>
      <c r="T177" s="124">
        <v>0</v>
      </c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17"/>
      <c r="AH177" s="24"/>
      <c r="AI177" s="25"/>
      <c r="AJ177" s="25"/>
    </row>
    <row r="178" spans="1:36" x14ac:dyDescent="0.3">
      <c r="A178" s="63">
        <v>172</v>
      </c>
      <c r="B178" s="102" t="s">
        <v>3520</v>
      </c>
      <c r="C178" s="102" t="s">
        <v>3521</v>
      </c>
      <c r="D178" s="64" t="s">
        <v>119</v>
      </c>
      <c r="E178" s="24" t="s">
        <v>3905</v>
      </c>
      <c r="F178" s="38" t="s">
        <v>4049</v>
      </c>
      <c r="G178" s="137">
        <v>9</v>
      </c>
      <c r="H178" s="38" t="s">
        <v>4068</v>
      </c>
      <c r="I178" s="106"/>
      <c r="J178" s="128" t="s">
        <v>3908</v>
      </c>
      <c r="K178" s="136" t="s">
        <v>4085</v>
      </c>
      <c r="L178" s="136"/>
      <c r="M178" s="136"/>
      <c r="N178" s="136"/>
      <c r="O178" s="136"/>
      <c r="P178" s="123">
        <f>728+10</f>
        <v>738</v>
      </c>
      <c r="Q178" s="123">
        <f>130+3</f>
        <v>133</v>
      </c>
      <c r="R178" s="130"/>
      <c r="S178" s="139">
        <v>0</v>
      </c>
      <c r="T178" s="124">
        <v>0</v>
      </c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17"/>
      <c r="AH178" s="24"/>
      <c r="AI178" s="25"/>
      <c r="AJ178" s="25"/>
    </row>
    <row r="179" spans="1:36" x14ac:dyDescent="0.3">
      <c r="A179" s="63">
        <v>173</v>
      </c>
      <c r="B179" s="102" t="s">
        <v>3520</v>
      </c>
      <c r="C179" s="102" t="s">
        <v>3521</v>
      </c>
      <c r="D179" s="64" t="s">
        <v>119</v>
      </c>
      <c r="E179" s="24" t="s">
        <v>3905</v>
      </c>
      <c r="F179" s="38" t="s">
        <v>4049</v>
      </c>
      <c r="G179" s="137">
        <v>9</v>
      </c>
      <c r="H179" s="38" t="s">
        <v>4068</v>
      </c>
      <c r="I179" s="106"/>
      <c r="J179" s="128" t="s">
        <v>3908</v>
      </c>
      <c r="K179" s="136" t="s">
        <v>4086</v>
      </c>
      <c r="L179" s="136"/>
      <c r="M179" s="136"/>
      <c r="N179" s="136"/>
      <c r="O179" s="136"/>
      <c r="P179" s="123">
        <v>264</v>
      </c>
      <c r="Q179" s="123">
        <v>55</v>
      </c>
      <c r="R179" s="130"/>
      <c r="S179" s="139">
        <v>0</v>
      </c>
      <c r="T179" s="124">
        <v>0</v>
      </c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17"/>
      <c r="AH179" s="24"/>
      <c r="AI179" s="25"/>
      <c r="AJ179" s="25"/>
    </row>
    <row r="180" spans="1:36" x14ac:dyDescent="0.3">
      <c r="A180" s="63">
        <v>174</v>
      </c>
      <c r="B180" s="102" t="s">
        <v>3520</v>
      </c>
      <c r="C180" s="102" t="s">
        <v>3521</v>
      </c>
      <c r="D180" s="64" t="s">
        <v>119</v>
      </c>
      <c r="E180" s="24" t="s">
        <v>3905</v>
      </c>
      <c r="F180" s="38" t="s">
        <v>4049</v>
      </c>
      <c r="G180" s="137">
        <v>9</v>
      </c>
      <c r="H180" s="38" t="s">
        <v>4068</v>
      </c>
      <c r="I180" s="106"/>
      <c r="J180" s="128" t="s">
        <v>3908</v>
      </c>
      <c r="K180" s="136" t="s">
        <v>4087</v>
      </c>
      <c r="L180" s="136"/>
      <c r="M180" s="136"/>
      <c r="N180" s="136"/>
      <c r="O180" s="136"/>
      <c r="P180" s="123">
        <f>527+20</f>
        <v>547</v>
      </c>
      <c r="Q180" s="123">
        <f>113+5</f>
        <v>118</v>
      </c>
      <c r="R180" s="130"/>
      <c r="S180" s="139">
        <v>0</v>
      </c>
      <c r="T180" s="124">
        <v>0</v>
      </c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17"/>
      <c r="AH180" s="24"/>
      <c r="AI180" s="25"/>
      <c r="AJ180" s="25"/>
    </row>
    <row r="181" spans="1:36" x14ac:dyDescent="0.3">
      <c r="A181" s="63">
        <v>175</v>
      </c>
      <c r="B181" s="102" t="s">
        <v>3520</v>
      </c>
      <c r="C181" s="102" t="s">
        <v>3521</v>
      </c>
      <c r="D181" s="64" t="s">
        <v>119</v>
      </c>
      <c r="E181" s="24" t="s">
        <v>3905</v>
      </c>
      <c r="F181" s="38" t="s">
        <v>4049</v>
      </c>
      <c r="G181" s="137">
        <v>9</v>
      </c>
      <c r="H181" s="38" t="s">
        <v>4068</v>
      </c>
      <c r="I181" s="106"/>
      <c r="J181" s="128" t="s">
        <v>3908</v>
      </c>
      <c r="K181" s="136" t="s">
        <v>4088</v>
      </c>
      <c r="L181" s="136"/>
      <c r="M181" s="136"/>
      <c r="N181" s="136"/>
      <c r="O181" s="136"/>
      <c r="P181" s="123">
        <f>607+10</f>
        <v>617</v>
      </c>
      <c r="Q181" s="123">
        <f>122+3</f>
        <v>125</v>
      </c>
      <c r="R181" s="130"/>
      <c r="S181" s="139">
        <v>0</v>
      </c>
      <c r="T181" s="124">
        <v>0</v>
      </c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17"/>
      <c r="AH181" s="24"/>
      <c r="AI181" s="25"/>
      <c r="AJ181" s="25"/>
    </row>
    <row r="182" spans="1:36" x14ac:dyDescent="0.3">
      <c r="A182" s="63">
        <v>176</v>
      </c>
      <c r="B182" s="102" t="s">
        <v>3520</v>
      </c>
      <c r="C182" s="102" t="s">
        <v>3521</v>
      </c>
      <c r="D182" s="64" t="s">
        <v>119</v>
      </c>
      <c r="E182" s="24" t="s">
        <v>3905</v>
      </c>
      <c r="F182" s="38" t="s">
        <v>4049</v>
      </c>
      <c r="G182" s="137">
        <v>9</v>
      </c>
      <c r="H182" s="38" t="s">
        <v>4068</v>
      </c>
      <c r="I182" s="106"/>
      <c r="J182" s="128" t="s">
        <v>3908</v>
      </c>
      <c r="K182" s="136" t="s">
        <v>4089</v>
      </c>
      <c r="L182" s="136"/>
      <c r="M182" s="136"/>
      <c r="N182" s="136"/>
      <c r="O182" s="136"/>
      <c r="P182" s="123">
        <v>351</v>
      </c>
      <c r="Q182" s="123">
        <v>78</v>
      </c>
      <c r="R182" s="130"/>
      <c r="S182" s="139">
        <v>0</v>
      </c>
      <c r="T182" s="124">
        <v>0</v>
      </c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17"/>
      <c r="AH182" s="24"/>
      <c r="AI182" s="25"/>
      <c r="AJ182" s="25"/>
    </row>
    <row r="183" spans="1:36" x14ac:dyDescent="0.3">
      <c r="A183" s="63">
        <v>177</v>
      </c>
      <c r="B183" s="102" t="s">
        <v>3520</v>
      </c>
      <c r="C183" s="102" t="s">
        <v>3521</v>
      </c>
      <c r="D183" s="64" t="s">
        <v>119</v>
      </c>
      <c r="E183" s="24" t="s">
        <v>3905</v>
      </c>
      <c r="F183" s="38" t="s">
        <v>4090</v>
      </c>
      <c r="G183" s="108">
        <v>1</v>
      </c>
      <c r="H183" s="38" t="s">
        <v>3987</v>
      </c>
      <c r="I183" s="106"/>
      <c r="J183" s="128" t="s">
        <v>3908</v>
      </c>
      <c r="K183" s="136" t="s">
        <v>3913</v>
      </c>
      <c r="L183" s="136"/>
      <c r="M183" s="136"/>
      <c r="N183" s="136"/>
      <c r="O183" s="136"/>
      <c r="P183" s="123">
        <v>2790</v>
      </c>
      <c r="Q183" s="123">
        <f>517+41</f>
        <v>558</v>
      </c>
      <c r="R183" s="130"/>
      <c r="S183" s="139">
        <v>0</v>
      </c>
      <c r="T183" s="124">
        <v>0</v>
      </c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17"/>
      <c r="AH183" s="24"/>
      <c r="AI183" s="25"/>
      <c r="AJ183" s="25"/>
    </row>
    <row r="184" spans="1:36" x14ac:dyDescent="0.3">
      <c r="A184" s="63">
        <v>178</v>
      </c>
      <c r="B184" s="102" t="s">
        <v>3520</v>
      </c>
      <c r="C184" s="102" t="s">
        <v>3521</v>
      </c>
      <c r="D184" s="64" t="s">
        <v>119</v>
      </c>
      <c r="E184" s="24" t="s">
        <v>3905</v>
      </c>
      <c r="F184" s="38" t="s">
        <v>4090</v>
      </c>
      <c r="G184" s="108">
        <v>1</v>
      </c>
      <c r="H184" s="38" t="s">
        <v>3987</v>
      </c>
      <c r="I184" s="106"/>
      <c r="J184" s="128" t="s">
        <v>3908</v>
      </c>
      <c r="K184" s="136" t="s">
        <v>4091</v>
      </c>
      <c r="L184" s="136"/>
      <c r="M184" s="136"/>
      <c r="N184" s="136"/>
      <c r="O184" s="136"/>
      <c r="P184" s="123">
        <v>215</v>
      </c>
      <c r="Q184" s="123">
        <v>40</v>
      </c>
      <c r="R184" s="130"/>
      <c r="S184" s="139">
        <v>0</v>
      </c>
      <c r="T184" s="124">
        <v>0</v>
      </c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17"/>
      <c r="AH184" s="24"/>
      <c r="AI184" s="25"/>
      <c r="AJ184" s="25"/>
    </row>
    <row r="185" spans="1:36" x14ac:dyDescent="0.3">
      <c r="A185" s="63">
        <v>179</v>
      </c>
      <c r="B185" s="102" t="s">
        <v>3520</v>
      </c>
      <c r="C185" s="102" t="s">
        <v>3521</v>
      </c>
      <c r="D185" s="64" t="s">
        <v>119</v>
      </c>
      <c r="E185" s="24" t="s">
        <v>3905</v>
      </c>
      <c r="F185" s="38" t="s">
        <v>4090</v>
      </c>
      <c r="G185" s="108">
        <v>1</v>
      </c>
      <c r="H185" s="38" t="s">
        <v>3987</v>
      </c>
      <c r="I185" s="106"/>
      <c r="J185" s="128" t="s">
        <v>3908</v>
      </c>
      <c r="K185" s="136" t="s">
        <v>4092</v>
      </c>
      <c r="L185" s="136"/>
      <c r="M185" s="136"/>
      <c r="N185" s="136"/>
      <c r="O185" s="136"/>
      <c r="P185" s="123">
        <v>508</v>
      </c>
      <c r="Q185" s="123">
        <v>104</v>
      </c>
      <c r="R185" s="130"/>
      <c r="S185" s="139">
        <v>0</v>
      </c>
      <c r="T185" s="124">
        <v>0</v>
      </c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17"/>
      <c r="AH185" s="24"/>
      <c r="AI185" s="25"/>
      <c r="AJ185" s="25"/>
    </row>
    <row r="186" spans="1:36" x14ac:dyDescent="0.3">
      <c r="A186" s="63">
        <v>180</v>
      </c>
      <c r="B186" s="102" t="s">
        <v>3520</v>
      </c>
      <c r="C186" s="102" t="s">
        <v>3521</v>
      </c>
      <c r="D186" s="64" t="s">
        <v>119</v>
      </c>
      <c r="E186" s="24" t="s">
        <v>3905</v>
      </c>
      <c r="F186" s="38" t="s">
        <v>4090</v>
      </c>
      <c r="G186" s="108">
        <v>2</v>
      </c>
      <c r="H186" s="38" t="s">
        <v>3987</v>
      </c>
      <c r="I186" s="106"/>
      <c r="J186" s="128" t="s">
        <v>3908</v>
      </c>
      <c r="K186" s="132" t="s">
        <v>3928</v>
      </c>
      <c r="L186" s="132"/>
      <c r="M186" s="132"/>
      <c r="N186" s="132"/>
      <c r="O186" s="132"/>
      <c r="P186" s="123">
        <v>3687</v>
      </c>
      <c r="Q186" s="123">
        <v>730</v>
      </c>
      <c r="R186" s="130"/>
      <c r="S186" s="139">
        <v>0</v>
      </c>
      <c r="T186" s="124">
        <v>0</v>
      </c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17"/>
      <c r="AH186" s="24"/>
      <c r="AI186" s="25"/>
      <c r="AJ186" s="25"/>
    </row>
    <row r="187" spans="1:36" x14ac:dyDescent="0.3">
      <c r="A187" s="63">
        <v>181</v>
      </c>
      <c r="B187" s="102" t="s">
        <v>3520</v>
      </c>
      <c r="C187" s="102" t="s">
        <v>3521</v>
      </c>
      <c r="D187" s="64" t="s">
        <v>119</v>
      </c>
      <c r="E187" s="24" t="s">
        <v>3905</v>
      </c>
      <c r="F187" s="38" t="s">
        <v>4090</v>
      </c>
      <c r="G187" s="108">
        <v>2</v>
      </c>
      <c r="H187" s="38" t="s">
        <v>3987</v>
      </c>
      <c r="I187" s="106"/>
      <c r="J187" s="128" t="s">
        <v>3908</v>
      </c>
      <c r="K187" s="136" t="s">
        <v>4093</v>
      </c>
      <c r="L187" s="136"/>
      <c r="M187" s="136"/>
      <c r="N187" s="136"/>
      <c r="O187" s="136"/>
      <c r="P187" s="123">
        <v>1395</v>
      </c>
      <c r="Q187" s="123">
        <v>258</v>
      </c>
      <c r="R187" s="130"/>
      <c r="S187" s="139">
        <v>0</v>
      </c>
      <c r="T187" s="124">
        <v>0</v>
      </c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17"/>
      <c r="AH187" s="24"/>
      <c r="AI187" s="25"/>
      <c r="AJ187" s="25"/>
    </row>
    <row r="188" spans="1:36" x14ac:dyDescent="0.3">
      <c r="A188" s="63">
        <v>182</v>
      </c>
      <c r="B188" s="102" t="s">
        <v>3520</v>
      </c>
      <c r="C188" s="102" t="s">
        <v>3521</v>
      </c>
      <c r="D188" s="64" t="s">
        <v>119</v>
      </c>
      <c r="E188" s="24" t="s">
        <v>3905</v>
      </c>
      <c r="F188" s="38" t="s">
        <v>4090</v>
      </c>
      <c r="G188" s="108">
        <v>3</v>
      </c>
      <c r="H188" s="38" t="s">
        <v>3987</v>
      </c>
      <c r="I188" s="106"/>
      <c r="J188" s="128" t="s">
        <v>3908</v>
      </c>
      <c r="K188" s="136" t="s">
        <v>4094</v>
      </c>
      <c r="L188" s="136"/>
      <c r="M188" s="136"/>
      <c r="N188" s="136"/>
      <c r="O188" s="136"/>
      <c r="P188" s="123">
        <f>547+9</f>
        <v>556</v>
      </c>
      <c r="Q188" s="123">
        <f>98+6</f>
        <v>104</v>
      </c>
      <c r="R188" s="130"/>
      <c r="S188" s="139">
        <v>0</v>
      </c>
      <c r="T188" s="124">
        <v>0</v>
      </c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17"/>
      <c r="AH188" s="24"/>
      <c r="AI188" s="25"/>
      <c r="AJ188" s="25"/>
    </row>
    <row r="189" spans="1:36" x14ac:dyDescent="0.3">
      <c r="A189" s="63">
        <v>183</v>
      </c>
      <c r="B189" s="102" t="s">
        <v>3520</v>
      </c>
      <c r="C189" s="102" t="s">
        <v>3521</v>
      </c>
      <c r="D189" s="64" t="s">
        <v>119</v>
      </c>
      <c r="E189" s="24" t="s">
        <v>3905</v>
      </c>
      <c r="F189" s="38" t="s">
        <v>4090</v>
      </c>
      <c r="G189" s="108">
        <v>3</v>
      </c>
      <c r="H189" s="38" t="s">
        <v>3987</v>
      </c>
      <c r="I189" s="106"/>
      <c r="J189" s="128" t="s">
        <v>3908</v>
      </c>
      <c r="K189" s="132" t="s">
        <v>4095</v>
      </c>
      <c r="L189" s="132"/>
      <c r="M189" s="132"/>
      <c r="N189" s="132"/>
      <c r="O189" s="132"/>
      <c r="P189" s="123">
        <v>2550</v>
      </c>
      <c r="Q189" s="123">
        <v>350</v>
      </c>
      <c r="R189" s="130"/>
      <c r="S189" s="139">
        <v>0</v>
      </c>
      <c r="T189" s="124">
        <v>0</v>
      </c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17"/>
      <c r="AH189" s="24"/>
      <c r="AI189" s="25"/>
      <c r="AJ189" s="25"/>
    </row>
    <row r="190" spans="1:36" x14ac:dyDescent="0.3">
      <c r="A190" s="63">
        <v>184</v>
      </c>
      <c r="B190" s="102" t="s">
        <v>3520</v>
      </c>
      <c r="C190" s="102" t="s">
        <v>3521</v>
      </c>
      <c r="D190" s="64" t="s">
        <v>119</v>
      </c>
      <c r="E190" s="24" t="s">
        <v>3905</v>
      </c>
      <c r="F190" s="38" t="s">
        <v>4090</v>
      </c>
      <c r="G190" s="108">
        <v>3</v>
      </c>
      <c r="H190" s="38" t="s">
        <v>3987</v>
      </c>
      <c r="I190" s="106"/>
      <c r="J190" s="128" t="s">
        <v>3908</v>
      </c>
      <c r="K190" s="136" t="s">
        <v>4096</v>
      </c>
      <c r="L190" s="136"/>
      <c r="M190" s="136"/>
      <c r="N190" s="136"/>
      <c r="O190" s="136"/>
      <c r="P190" s="123">
        <v>1710</v>
      </c>
      <c r="Q190" s="123">
        <v>310</v>
      </c>
      <c r="R190" s="130"/>
      <c r="S190" s="139">
        <v>0</v>
      </c>
      <c r="T190" s="124">
        <v>0</v>
      </c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17"/>
      <c r="AH190" s="24"/>
      <c r="AI190" s="25"/>
      <c r="AJ190" s="25"/>
    </row>
    <row r="191" spans="1:36" x14ac:dyDescent="0.3">
      <c r="A191" s="63">
        <v>185</v>
      </c>
      <c r="B191" s="102" t="s">
        <v>3520</v>
      </c>
      <c r="C191" s="102" t="s">
        <v>3521</v>
      </c>
      <c r="D191" s="64" t="s">
        <v>119</v>
      </c>
      <c r="E191" s="24" t="s">
        <v>3905</v>
      </c>
      <c r="F191" s="38" t="s">
        <v>4090</v>
      </c>
      <c r="G191" s="108">
        <v>4</v>
      </c>
      <c r="H191" s="38" t="s">
        <v>4097</v>
      </c>
      <c r="I191" s="106"/>
      <c r="J191" s="128" t="s">
        <v>3908</v>
      </c>
      <c r="K191" s="132" t="s">
        <v>4098</v>
      </c>
      <c r="L191" s="132"/>
      <c r="M191" s="132"/>
      <c r="N191" s="132"/>
      <c r="O191" s="132"/>
      <c r="P191" s="123">
        <f>2177+300</f>
        <v>2477</v>
      </c>
      <c r="Q191" s="123">
        <v>486</v>
      </c>
      <c r="R191" s="130"/>
      <c r="S191" s="139">
        <v>0</v>
      </c>
      <c r="T191" s="124">
        <v>0</v>
      </c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17"/>
      <c r="AH191" s="24"/>
      <c r="AI191" s="25"/>
      <c r="AJ191" s="25"/>
    </row>
    <row r="192" spans="1:36" x14ac:dyDescent="0.3">
      <c r="A192" s="63">
        <v>186</v>
      </c>
      <c r="B192" s="102" t="s">
        <v>3520</v>
      </c>
      <c r="C192" s="102" t="s">
        <v>3521</v>
      </c>
      <c r="D192" s="64" t="s">
        <v>119</v>
      </c>
      <c r="E192" s="24" t="s">
        <v>3905</v>
      </c>
      <c r="F192" s="38" t="s">
        <v>4090</v>
      </c>
      <c r="G192" s="108">
        <v>4</v>
      </c>
      <c r="H192" s="38" t="s">
        <v>4097</v>
      </c>
      <c r="I192" s="106"/>
      <c r="J192" s="128" t="s">
        <v>3908</v>
      </c>
      <c r="K192" s="136" t="s">
        <v>4099</v>
      </c>
      <c r="L192" s="136"/>
      <c r="M192" s="136"/>
      <c r="N192" s="136"/>
      <c r="O192" s="136"/>
      <c r="P192" s="123">
        <v>1419</v>
      </c>
      <c r="Q192" s="123">
        <v>330</v>
      </c>
      <c r="R192" s="130"/>
      <c r="S192" s="139">
        <v>0</v>
      </c>
      <c r="T192" s="124">
        <v>0</v>
      </c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17"/>
      <c r="AH192" s="24"/>
      <c r="AI192" s="25"/>
      <c r="AJ192" s="25"/>
    </row>
    <row r="193" spans="1:36" x14ac:dyDescent="0.3">
      <c r="A193" s="63">
        <v>187</v>
      </c>
      <c r="B193" s="102" t="s">
        <v>3520</v>
      </c>
      <c r="C193" s="102" t="s">
        <v>3521</v>
      </c>
      <c r="D193" s="64" t="s">
        <v>119</v>
      </c>
      <c r="E193" s="24" t="s">
        <v>3905</v>
      </c>
      <c r="F193" s="38" t="s">
        <v>4090</v>
      </c>
      <c r="G193" s="108">
        <v>4</v>
      </c>
      <c r="H193" s="38" t="s">
        <v>4097</v>
      </c>
      <c r="I193" s="106"/>
      <c r="J193" s="128" t="s">
        <v>3908</v>
      </c>
      <c r="K193" s="136" t="s">
        <v>4100</v>
      </c>
      <c r="L193" s="136"/>
      <c r="M193" s="136"/>
      <c r="N193" s="136"/>
      <c r="O193" s="136"/>
      <c r="P193" s="123">
        <v>1170</v>
      </c>
      <c r="Q193" s="123">
        <v>225</v>
      </c>
      <c r="R193" s="130"/>
      <c r="S193" s="139">
        <v>0</v>
      </c>
      <c r="T193" s="124">
        <v>0</v>
      </c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17"/>
      <c r="AH193" s="24"/>
      <c r="AI193" s="25"/>
      <c r="AJ193" s="25"/>
    </row>
    <row r="194" spans="1:36" x14ac:dyDescent="0.3">
      <c r="A194" s="63">
        <v>188</v>
      </c>
      <c r="B194" s="102" t="s">
        <v>3520</v>
      </c>
      <c r="C194" s="102" t="s">
        <v>3521</v>
      </c>
      <c r="D194" s="64" t="s">
        <v>119</v>
      </c>
      <c r="E194" s="24" t="s">
        <v>3905</v>
      </c>
      <c r="F194" s="38" t="s">
        <v>4090</v>
      </c>
      <c r="G194" s="108">
        <v>5</v>
      </c>
      <c r="H194" s="38" t="s">
        <v>4097</v>
      </c>
      <c r="I194" s="106"/>
      <c r="J194" s="128" t="s">
        <v>3908</v>
      </c>
      <c r="K194" s="136" t="s">
        <v>4101</v>
      </c>
      <c r="L194" s="136"/>
      <c r="M194" s="136"/>
      <c r="N194" s="136"/>
      <c r="O194" s="136"/>
      <c r="P194" s="123">
        <v>3377</v>
      </c>
      <c r="Q194" s="123">
        <f>621+42</f>
        <v>663</v>
      </c>
      <c r="R194" s="130"/>
      <c r="S194" s="139">
        <v>0</v>
      </c>
      <c r="T194" s="124">
        <v>0</v>
      </c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17"/>
      <c r="AH194" s="24"/>
      <c r="AI194" s="25"/>
      <c r="AJ194" s="25"/>
    </row>
    <row r="195" spans="1:36" x14ac:dyDescent="0.3">
      <c r="A195" s="63">
        <v>189</v>
      </c>
      <c r="B195" s="102" t="s">
        <v>3520</v>
      </c>
      <c r="C195" s="102" t="s">
        <v>3521</v>
      </c>
      <c r="D195" s="64" t="s">
        <v>119</v>
      </c>
      <c r="E195" s="24" t="s">
        <v>3905</v>
      </c>
      <c r="F195" s="38" t="s">
        <v>4090</v>
      </c>
      <c r="G195" s="108">
        <v>6</v>
      </c>
      <c r="H195" s="38" t="s">
        <v>4097</v>
      </c>
      <c r="I195" s="106"/>
      <c r="J195" s="128" t="s">
        <v>3908</v>
      </c>
      <c r="K195" s="132" t="s">
        <v>4102</v>
      </c>
      <c r="L195" s="132"/>
      <c r="M195" s="132"/>
      <c r="N195" s="132"/>
      <c r="O195" s="132"/>
      <c r="P195" s="123">
        <v>2648</v>
      </c>
      <c r="Q195" s="123">
        <v>542</v>
      </c>
      <c r="R195" s="130"/>
      <c r="S195" s="139">
        <v>0</v>
      </c>
      <c r="T195" s="124">
        <v>0</v>
      </c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17"/>
      <c r="AH195" s="24"/>
      <c r="AI195" s="25"/>
      <c r="AJ195" s="25"/>
    </row>
    <row r="196" spans="1:36" x14ac:dyDescent="0.3">
      <c r="A196" s="63">
        <v>190</v>
      </c>
      <c r="B196" s="102" t="s">
        <v>3520</v>
      </c>
      <c r="C196" s="102" t="s">
        <v>3521</v>
      </c>
      <c r="D196" s="64" t="s">
        <v>119</v>
      </c>
      <c r="E196" s="24" t="s">
        <v>3905</v>
      </c>
      <c r="F196" s="38" t="s">
        <v>4090</v>
      </c>
      <c r="G196" s="108">
        <v>6</v>
      </c>
      <c r="H196" s="38" t="s">
        <v>4097</v>
      </c>
      <c r="I196" s="106"/>
      <c r="J196" s="128" t="s">
        <v>3908</v>
      </c>
      <c r="K196" s="136" t="s">
        <v>4103</v>
      </c>
      <c r="L196" s="136"/>
      <c r="M196" s="136"/>
      <c r="N196" s="136"/>
      <c r="O196" s="136"/>
      <c r="P196" s="123">
        <v>1044</v>
      </c>
      <c r="Q196" s="123">
        <v>195</v>
      </c>
      <c r="R196" s="130"/>
      <c r="S196" s="139">
        <v>0</v>
      </c>
      <c r="T196" s="124">
        <v>0</v>
      </c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17"/>
      <c r="AH196" s="24"/>
      <c r="AI196" s="25"/>
      <c r="AJ196" s="25"/>
    </row>
    <row r="197" spans="1:36" x14ac:dyDescent="0.3">
      <c r="A197" s="63">
        <v>191</v>
      </c>
      <c r="B197" s="102" t="s">
        <v>3520</v>
      </c>
      <c r="C197" s="102" t="s">
        <v>3521</v>
      </c>
      <c r="D197" s="64" t="s">
        <v>119</v>
      </c>
      <c r="E197" s="24" t="s">
        <v>3905</v>
      </c>
      <c r="F197" s="38" t="s">
        <v>4090</v>
      </c>
      <c r="G197" s="108">
        <v>7</v>
      </c>
      <c r="H197" s="38" t="s">
        <v>4097</v>
      </c>
      <c r="I197" s="106"/>
      <c r="J197" s="128" t="s">
        <v>3908</v>
      </c>
      <c r="K197" s="136" t="s">
        <v>4104</v>
      </c>
      <c r="L197" s="136"/>
      <c r="M197" s="136"/>
      <c r="N197" s="136"/>
      <c r="O197" s="136"/>
      <c r="P197" s="123">
        <v>1506</v>
      </c>
      <c r="Q197" s="123">
        <v>297</v>
      </c>
      <c r="R197" s="130"/>
      <c r="S197" s="139">
        <v>0</v>
      </c>
      <c r="T197" s="124">
        <v>0</v>
      </c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17"/>
      <c r="AH197" s="24"/>
      <c r="AI197" s="25"/>
      <c r="AJ197" s="25"/>
    </row>
    <row r="198" spans="1:36" x14ac:dyDescent="0.3">
      <c r="A198" s="63">
        <v>192</v>
      </c>
      <c r="B198" s="102" t="s">
        <v>3520</v>
      </c>
      <c r="C198" s="102" t="s">
        <v>3521</v>
      </c>
      <c r="D198" s="64" t="s">
        <v>119</v>
      </c>
      <c r="E198" s="24" t="s">
        <v>3905</v>
      </c>
      <c r="F198" s="38" t="s">
        <v>4090</v>
      </c>
      <c r="G198" s="108">
        <v>7</v>
      </c>
      <c r="H198" s="38" t="s">
        <v>4097</v>
      </c>
      <c r="I198" s="106"/>
      <c r="J198" s="128" t="s">
        <v>3908</v>
      </c>
      <c r="K198" s="136" t="s">
        <v>4105</v>
      </c>
      <c r="L198" s="136"/>
      <c r="M198" s="136"/>
      <c r="N198" s="136"/>
      <c r="O198" s="136"/>
      <c r="P198" s="123">
        <v>1089</v>
      </c>
      <c r="Q198" s="123">
        <v>221</v>
      </c>
      <c r="R198" s="130"/>
      <c r="S198" s="139">
        <v>0</v>
      </c>
      <c r="T198" s="124">
        <v>0</v>
      </c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17"/>
      <c r="AH198" s="24"/>
      <c r="AI198" s="25"/>
      <c r="AJ198" s="25"/>
    </row>
    <row r="199" spans="1:36" x14ac:dyDescent="0.3">
      <c r="A199" s="63">
        <v>193</v>
      </c>
      <c r="B199" s="102" t="s">
        <v>3520</v>
      </c>
      <c r="C199" s="102" t="s">
        <v>3521</v>
      </c>
      <c r="D199" s="64" t="s">
        <v>119</v>
      </c>
      <c r="E199" s="24" t="s">
        <v>3905</v>
      </c>
      <c r="F199" s="38" t="s">
        <v>4090</v>
      </c>
      <c r="G199" s="108">
        <v>7</v>
      </c>
      <c r="H199" s="38" t="s">
        <v>4097</v>
      </c>
      <c r="I199" s="106"/>
      <c r="J199" s="128" t="s">
        <v>3908</v>
      </c>
      <c r="K199" s="136" t="s">
        <v>3896</v>
      </c>
      <c r="L199" s="136"/>
      <c r="M199" s="136"/>
      <c r="N199" s="136"/>
      <c r="O199" s="136"/>
      <c r="P199" s="123">
        <v>850</v>
      </c>
      <c r="Q199" s="123">
        <v>173</v>
      </c>
      <c r="R199" s="130"/>
      <c r="S199" s="139">
        <v>0</v>
      </c>
      <c r="T199" s="124">
        <v>0</v>
      </c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17"/>
      <c r="AH199" s="24"/>
      <c r="AI199" s="25"/>
      <c r="AJ199" s="25"/>
    </row>
    <row r="200" spans="1:36" x14ac:dyDescent="0.3">
      <c r="A200" s="63">
        <v>194</v>
      </c>
      <c r="B200" s="102" t="s">
        <v>3520</v>
      </c>
      <c r="C200" s="102" t="s">
        <v>3521</v>
      </c>
      <c r="D200" s="64" t="s">
        <v>119</v>
      </c>
      <c r="E200" s="24" t="s">
        <v>3905</v>
      </c>
      <c r="F200" s="38" t="s">
        <v>4090</v>
      </c>
      <c r="G200" s="108">
        <v>8</v>
      </c>
      <c r="H200" s="38" t="s">
        <v>4097</v>
      </c>
      <c r="I200" s="106"/>
      <c r="J200" s="128" t="s">
        <v>3908</v>
      </c>
      <c r="K200" s="132" t="s">
        <v>3722</v>
      </c>
      <c r="L200" s="132"/>
      <c r="M200" s="132"/>
      <c r="N200" s="132"/>
      <c r="O200" s="132"/>
      <c r="P200" s="123">
        <v>1359</v>
      </c>
      <c r="Q200" s="123">
        <v>276</v>
      </c>
      <c r="R200" s="130"/>
      <c r="S200" s="139">
        <v>0</v>
      </c>
      <c r="T200" s="124">
        <v>0</v>
      </c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17"/>
      <c r="AH200" s="24"/>
      <c r="AI200" s="25"/>
      <c r="AJ200" s="25"/>
    </row>
    <row r="201" spans="1:36" x14ac:dyDescent="0.3">
      <c r="A201" s="63">
        <v>195</v>
      </c>
      <c r="B201" s="102" t="s">
        <v>3520</v>
      </c>
      <c r="C201" s="102" t="s">
        <v>3521</v>
      </c>
      <c r="D201" s="64" t="s">
        <v>119</v>
      </c>
      <c r="E201" s="24" t="s">
        <v>3905</v>
      </c>
      <c r="F201" s="38" t="s">
        <v>4090</v>
      </c>
      <c r="G201" s="108">
        <v>8</v>
      </c>
      <c r="H201" s="38" t="s">
        <v>4097</v>
      </c>
      <c r="I201" s="106"/>
      <c r="J201" s="128" t="s">
        <v>3908</v>
      </c>
      <c r="K201" s="132" t="s">
        <v>4089</v>
      </c>
      <c r="L201" s="132"/>
      <c r="M201" s="132"/>
      <c r="N201" s="132"/>
      <c r="O201" s="132"/>
      <c r="P201" s="123">
        <f>2376+100</f>
        <v>2476</v>
      </c>
      <c r="Q201" s="123">
        <v>470</v>
      </c>
      <c r="R201" s="130"/>
      <c r="S201" s="139">
        <v>0</v>
      </c>
      <c r="T201" s="124">
        <v>0</v>
      </c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17"/>
      <c r="AH201" s="24"/>
      <c r="AI201" s="25"/>
      <c r="AJ201" s="25"/>
    </row>
    <row r="202" spans="1:36" x14ac:dyDescent="0.3">
      <c r="A202" s="63">
        <v>196</v>
      </c>
      <c r="B202" s="102" t="s">
        <v>3520</v>
      </c>
      <c r="C202" s="102" t="s">
        <v>3521</v>
      </c>
      <c r="D202" s="64" t="s">
        <v>119</v>
      </c>
      <c r="E202" s="24" t="s">
        <v>3905</v>
      </c>
      <c r="F202" s="38" t="s">
        <v>4090</v>
      </c>
      <c r="G202" s="108">
        <v>9</v>
      </c>
      <c r="H202" s="38" t="s">
        <v>4097</v>
      </c>
      <c r="I202" s="106"/>
      <c r="J202" s="128" t="s">
        <v>3908</v>
      </c>
      <c r="K202" s="136" t="s">
        <v>4106</v>
      </c>
      <c r="L202" s="136"/>
      <c r="M202" s="136"/>
      <c r="N202" s="136"/>
      <c r="O202" s="136"/>
      <c r="P202" s="123">
        <v>1006</v>
      </c>
      <c r="Q202" s="123">
        <f>186+15</f>
        <v>201</v>
      </c>
      <c r="R202" s="130"/>
      <c r="S202" s="139">
        <v>0</v>
      </c>
      <c r="T202" s="124">
        <v>0</v>
      </c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17"/>
      <c r="AH202" s="24"/>
      <c r="AI202" s="25"/>
      <c r="AJ202" s="25"/>
    </row>
    <row r="203" spans="1:36" x14ac:dyDescent="0.3">
      <c r="A203" s="63">
        <v>197</v>
      </c>
      <c r="B203" s="102" t="s">
        <v>3520</v>
      </c>
      <c r="C203" s="102" t="s">
        <v>3521</v>
      </c>
      <c r="D203" s="64" t="s">
        <v>119</v>
      </c>
      <c r="E203" s="24" t="s">
        <v>3905</v>
      </c>
      <c r="F203" s="38" t="s">
        <v>4090</v>
      </c>
      <c r="G203" s="108">
        <v>9</v>
      </c>
      <c r="H203" s="38" t="s">
        <v>4097</v>
      </c>
      <c r="I203" s="106"/>
      <c r="J203" s="128" t="s">
        <v>3908</v>
      </c>
      <c r="K203" s="132" t="s">
        <v>4107</v>
      </c>
      <c r="L203" s="132"/>
      <c r="M203" s="132"/>
      <c r="N203" s="132"/>
      <c r="O203" s="132"/>
      <c r="P203" s="123">
        <v>1178</v>
      </c>
      <c r="Q203" s="123">
        <v>256</v>
      </c>
      <c r="R203" s="130"/>
      <c r="S203" s="139">
        <v>0</v>
      </c>
      <c r="T203" s="124">
        <v>0</v>
      </c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17"/>
      <c r="AH203" s="24"/>
      <c r="AI203" s="25"/>
      <c r="AJ203" s="25"/>
    </row>
    <row r="204" spans="1:36" x14ac:dyDescent="0.3">
      <c r="A204" s="63">
        <v>198</v>
      </c>
      <c r="B204" s="102" t="s">
        <v>3520</v>
      </c>
      <c r="C204" s="102" t="s">
        <v>3521</v>
      </c>
      <c r="D204" s="64" t="s">
        <v>119</v>
      </c>
      <c r="E204" s="24" t="s">
        <v>3905</v>
      </c>
      <c r="F204" s="38" t="s">
        <v>4090</v>
      </c>
      <c r="G204" s="108">
        <v>9</v>
      </c>
      <c r="H204" s="38" t="s">
        <v>4097</v>
      </c>
      <c r="I204" s="106"/>
      <c r="J204" s="128" t="s">
        <v>3908</v>
      </c>
      <c r="K204" s="136" t="s">
        <v>4064</v>
      </c>
      <c r="L204" s="136"/>
      <c r="M204" s="136"/>
      <c r="N204" s="136"/>
      <c r="O204" s="136"/>
      <c r="P204" s="123">
        <v>1967</v>
      </c>
      <c r="Q204" s="123">
        <v>420</v>
      </c>
      <c r="R204" s="130"/>
      <c r="S204" s="139">
        <v>0</v>
      </c>
      <c r="T204" s="124">
        <v>0</v>
      </c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17"/>
      <c r="AH204" s="24"/>
      <c r="AI204" s="25"/>
      <c r="AJ204" s="25"/>
    </row>
    <row r="205" spans="1:36" x14ac:dyDescent="0.3">
      <c r="A205" s="63">
        <v>199</v>
      </c>
      <c r="B205" s="102" t="s">
        <v>3520</v>
      </c>
      <c r="C205" s="102" t="s">
        <v>3521</v>
      </c>
      <c r="D205" s="64" t="s">
        <v>119</v>
      </c>
      <c r="E205" s="24" t="s">
        <v>3905</v>
      </c>
      <c r="F205" s="38" t="s">
        <v>4108</v>
      </c>
      <c r="G205" s="108">
        <v>1</v>
      </c>
      <c r="H205" s="38" t="s">
        <v>4109</v>
      </c>
      <c r="I205" s="106"/>
      <c r="J205" s="128" t="s">
        <v>3908</v>
      </c>
      <c r="K205" s="136" t="s">
        <v>4110</v>
      </c>
      <c r="L205" s="136"/>
      <c r="M205" s="136"/>
      <c r="N205" s="136"/>
      <c r="O205" s="136"/>
      <c r="P205" s="123">
        <v>914</v>
      </c>
      <c r="Q205" s="123">
        <v>166</v>
      </c>
      <c r="R205" s="130"/>
      <c r="S205" s="139">
        <v>0</v>
      </c>
      <c r="T205" s="124">
        <v>0</v>
      </c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17"/>
      <c r="AH205" s="24"/>
      <c r="AI205" s="25"/>
      <c r="AJ205" s="25"/>
    </row>
    <row r="206" spans="1:36" x14ac:dyDescent="0.3">
      <c r="A206" s="63">
        <v>200</v>
      </c>
      <c r="B206" s="102" t="s">
        <v>3520</v>
      </c>
      <c r="C206" s="102" t="s">
        <v>3521</v>
      </c>
      <c r="D206" s="64" t="s">
        <v>119</v>
      </c>
      <c r="E206" s="24" t="s">
        <v>3905</v>
      </c>
      <c r="F206" s="38" t="s">
        <v>4108</v>
      </c>
      <c r="G206" s="108">
        <v>1</v>
      </c>
      <c r="H206" s="38" t="s">
        <v>4109</v>
      </c>
      <c r="I206" s="106"/>
      <c r="J206" s="128" t="s">
        <v>3908</v>
      </c>
      <c r="K206" s="136" t="s">
        <v>4111</v>
      </c>
      <c r="L206" s="136"/>
      <c r="M206" s="136"/>
      <c r="N206" s="136"/>
      <c r="O206" s="136"/>
      <c r="P206" s="123">
        <v>680</v>
      </c>
      <c r="Q206" s="123">
        <v>129</v>
      </c>
      <c r="R206" s="130"/>
      <c r="S206" s="139">
        <v>0</v>
      </c>
      <c r="T206" s="124">
        <v>0</v>
      </c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17"/>
      <c r="AH206" s="24"/>
      <c r="AI206" s="25"/>
      <c r="AJ206" s="25"/>
    </row>
    <row r="207" spans="1:36" x14ac:dyDescent="0.3">
      <c r="A207" s="63">
        <v>201</v>
      </c>
      <c r="B207" s="102" t="s">
        <v>3520</v>
      </c>
      <c r="C207" s="102" t="s">
        <v>3521</v>
      </c>
      <c r="D207" s="64" t="s">
        <v>119</v>
      </c>
      <c r="E207" s="24" t="s">
        <v>3905</v>
      </c>
      <c r="F207" s="38" t="s">
        <v>4108</v>
      </c>
      <c r="G207" s="108">
        <v>1</v>
      </c>
      <c r="H207" s="38" t="s">
        <v>4109</v>
      </c>
      <c r="I207" s="106"/>
      <c r="J207" s="128" t="s">
        <v>3908</v>
      </c>
      <c r="K207" s="136" t="s">
        <v>4112</v>
      </c>
      <c r="L207" s="136"/>
      <c r="M207" s="136"/>
      <c r="N207" s="136"/>
      <c r="O207" s="136"/>
      <c r="P207" s="123">
        <v>640</v>
      </c>
      <c r="Q207" s="123">
        <v>126</v>
      </c>
      <c r="R207" s="130"/>
      <c r="S207" s="139">
        <v>0</v>
      </c>
      <c r="T207" s="124">
        <v>0</v>
      </c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17"/>
      <c r="AH207" s="24"/>
      <c r="AI207" s="25"/>
      <c r="AJ207" s="25"/>
    </row>
    <row r="208" spans="1:36" x14ac:dyDescent="0.3">
      <c r="A208" s="63">
        <v>202</v>
      </c>
      <c r="B208" s="102" t="s">
        <v>3520</v>
      </c>
      <c r="C208" s="102" t="s">
        <v>3521</v>
      </c>
      <c r="D208" s="64" t="s">
        <v>119</v>
      </c>
      <c r="E208" s="24" t="s">
        <v>3905</v>
      </c>
      <c r="F208" s="38" t="s">
        <v>4108</v>
      </c>
      <c r="G208" s="108">
        <v>2</v>
      </c>
      <c r="H208" s="38" t="s">
        <v>4109</v>
      </c>
      <c r="I208" s="106"/>
      <c r="J208" s="128" t="s">
        <v>3908</v>
      </c>
      <c r="K208" s="136" t="s">
        <v>4113</v>
      </c>
      <c r="L208" s="136"/>
      <c r="M208" s="136"/>
      <c r="N208" s="136"/>
      <c r="O208" s="136"/>
      <c r="P208" s="123">
        <v>3027</v>
      </c>
      <c r="Q208" s="123">
        <v>628</v>
      </c>
      <c r="R208" s="130"/>
      <c r="S208" s="139">
        <v>0</v>
      </c>
      <c r="T208" s="124">
        <v>0</v>
      </c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17"/>
      <c r="AH208" s="24"/>
      <c r="AI208" s="25"/>
      <c r="AJ208" s="25"/>
    </row>
    <row r="209" spans="1:36" x14ac:dyDescent="0.3">
      <c r="A209" s="63">
        <v>203</v>
      </c>
      <c r="B209" s="102" t="s">
        <v>3520</v>
      </c>
      <c r="C209" s="102" t="s">
        <v>3521</v>
      </c>
      <c r="D209" s="64" t="s">
        <v>119</v>
      </c>
      <c r="E209" s="24" t="s">
        <v>3905</v>
      </c>
      <c r="F209" s="38" t="s">
        <v>4108</v>
      </c>
      <c r="G209" s="108">
        <v>2</v>
      </c>
      <c r="H209" s="38" t="s">
        <v>4109</v>
      </c>
      <c r="I209" s="106"/>
      <c r="J209" s="128" t="s">
        <v>3908</v>
      </c>
      <c r="K209" s="136" t="s">
        <v>3896</v>
      </c>
      <c r="L209" s="136"/>
      <c r="M209" s="136"/>
      <c r="N209" s="136"/>
      <c r="O209" s="136"/>
      <c r="P209" s="123">
        <f>193+20</f>
        <v>213</v>
      </c>
      <c r="Q209" s="123">
        <f>42+3</f>
        <v>45</v>
      </c>
      <c r="R209" s="130"/>
      <c r="S209" s="139">
        <v>0</v>
      </c>
      <c r="T209" s="124">
        <v>0</v>
      </c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17"/>
      <c r="AH209" s="24"/>
      <c r="AI209" s="25"/>
      <c r="AJ209" s="25"/>
    </row>
    <row r="210" spans="1:36" x14ac:dyDescent="0.3">
      <c r="A210" s="63">
        <v>204</v>
      </c>
      <c r="B210" s="102" t="s">
        <v>3520</v>
      </c>
      <c r="C210" s="102" t="s">
        <v>3521</v>
      </c>
      <c r="D210" s="64" t="s">
        <v>119</v>
      </c>
      <c r="E210" s="24" t="s">
        <v>3905</v>
      </c>
      <c r="F210" s="38" t="s">
        <v>4108</v>
      </c>
      <c r="G210" s="137">
        <v>3</v>
      </c>
      <c r="H210" s="38" t="s">
        <v>4109</v>
      </c>
      <c r="I210" s="106"/>
      <c r="J210" s="128" t="s">
        <v>3908</v>
      </c>
      <c r="K210" s="136" t="s">
        <v>4114</v>
      </c>
      <c r="L210" s="136"/>
      <c r="M210" s="136"/>
      <c r="N210" s="136"/>
      <c r="O210" s="136"/>
      <c r="P210" s="123">
        <f>1204+20</f>
        <v>1224</v>
      </c>
      <c r="Q210" s="123">
        <f>218+4</f>
        <v>222</v>
      </c>
      <c r="R210" s="130"/>
      <c r="S210" s="139">
        <v>0</v>
      </c>
      <c r="T210" s="124">
        <v>0</v>
      </c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17"/>
      <c r="AH210" s="24"/>
      <c r="AI210" s="25"/>
      <c r="AJ210" s="25"/>
    </row>
    <row r="211" spans="1:36" x14ac:dyDescent="0.3">
      <c r="A211" s="63">
        <v>205</v>
      </c>
      <c r="B211" s="102" t="s">
        <v>3520</v>
      </c>
      <c r="C211" s="102" t="s">
        <v>3521</v>
      </c>
      <c r="D211" s="64" t="s">
        <v>119</v>
      </c>
      <c r="E211" s="24" t="s">
        <v>3905</v>
      </c>
      <c r="F211" s="38" t="s">
        <v>4108</v>
      </c>
      <c r="G211" s="137">
        <v>3</v>
      </c>
      <c r="H211" s="38" t="s">
        <v>4109</v>
      </c>
      <c r="I211" s="106"/>
      <c r="J211" s="128" t="s">
        <v>3908</v>
      </c>
      <c r="K211" s="136" t="s">
        <v>4115</v>
      </c>
      <c r="L211" s="136"/>
      <c r="M211" s="136"/>
      <c r="N211" s="136"/>
      <c r="O211" s="136"/>
      <c r="P211" s="123">
        <v>433</v>
      </c>
      <c r="Q211" s="123">
        <v>83</v>
      </c>
      <c r="R211" s="130"/>
      <c r="S211" s="139">
        <v>0</v>
      </c>
      <c r="T211" s="124">
        <v>0</v>
      </c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17"/>
      <c r="AH211" s="24"/>
      <c r="AI211" s="25"/>
      <c r="AJ211" s="25"/>
    </row>
    <row r="212" spans="1:36" x14ac:dyDescent="0.3">
      <c r="A212" s="63">
        <v>206</v>
      </c>
      <c r="B212" s="102" t="s">
        <v>3520</v>
      </c>
      <c r="C212" s="102" t="s">
        <v>3521</v>
      </c>
      <c r="D212" s="64" t="s">
        <v>119</v>
      </c>
      <c r="E212" s="24" t="s">
        <v>3905</v>
      </c>
      <c r="F212" s="38" t="s">
        <v>4108</v>
      </c>
      <c r="G212" s="137">
        <v>4</v>
      </c>
      <c r="H212" s="38" t="s">
        <v>4109</v>
      </c>
      <c r="I212" s="106"/>
      <c r="J212" s="128" t="s">
        <v>3908</v>
      </c>
      <c r="K212" s="136" t="s">
        <v>4116</v>
      </c>
      <c r="L212" s="136"/>
      <c r="M212" s="136"/>
      <c r="N212" s="136"/>
      <c r="O212" s="136"/>
      <c r="P212" s="123">
        <f>1084+15</f>
        <v>1099</v>
      </c>
      <c r="Q212" s="123">
        <f>176+4</f>
        <v>180</v>
      </c>
      <c r="R212" s="130"/>
      <c r="S212" s="139">
        <v>0</v>
      </c>
      <c r="T212" s="124">
        <v>0</v>
      </c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17"/>
      <c r="AH212" s="24"/>
      <c r="AI212" s="25"/>
      <c r="AJ212" s="25"/>
    </row>
    <row r="213" spans="1:36" x14ac:dyDescent="0.3">
      <c r="A213" s="63">
        <v>207</v>
      </c>
      <c r="B213" s="102" t="s">
        <v>3520</v>
      </c>
      <c r="C213" s="102" t="s">
        <v>3521</v>
      </c>
      <c r="D213" s="64" t="s">
        <v>119</v>
      </c>
      <c r="E213" s="24" t="s">
        <v>3905</v>
      </c>
      <c r="F213" s="38" t="s">
        <v>4108</v>
      </c>
      <c r="G213" s="137">
        <v>4</v>
      </c>
      <c r="H213" s="38" t="s">
        <v>4109</v>
      </c>
      <c r="I213" s="106"/>
      <c r="J213" s="128" t="s">
        <v>3908</v>
      </c>
      <c r="K213" s="136" t="s">
        <v>4017</v>
      </c>
      <c r="L213" s="136"/>
      <c r="M213" s="136"/>
      <c r="N213" s="136"/>
      <c r="O213" s="136"/>
      <c r="P213" s="123">
        <v>680</v>
      </c>
      <c r="Q213" s="123">
        <v>129</v>
      </c>
      <c r="R213" s="130"/>
      <c r="S213" s="139">
        <v>0</v>
      </c>
      <c r="T213" s="124">
        <v>0</v>
      </c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17"/>
      <c r="AH213" s="24"/>
      <c r="AI213" s="25"/>
      <c r="AJ213" s="25"/>
    </row>
    <row r="214" spans="1:36" x14ac:dyDescent="0.3">
      <c r="A214" s="63">
        <v>208</v>
      </c>
      <c r="B214" s="102" t="s">
        <v>3520</v>
      </c>
      <c r="C214" s="102" t="s">
        <v>3521</v>
      </c>
      <c r="D214" s="64" t="s">
        <v>119</v>
      </c>
      <c r="E214" s="24" t="s">
        <v>3905</v>
      </c>
      <c r="F214" s="38" t="s">
        <v>4108</v>
      </c>
      <c r="G214" s="137">
        <v>4</v>
      </c>
      <c r="H214" s="38" t="s">
        <v>4109</v>
      </c>
      <c r="I214" s="106"/>
      <c r="J214" s="128" t="s">
        <v>3908</v>
      </c>
      <c r="K214" s="136" t="s">
        <v>4117</v>
      </c>
      <c r="L214" s="136"/>
      <c r="M214" s="136"/>
      <c r="N214" s="136"/>
      <c r="O214" s="136"/>
      <c r="P214" s="123">
        <v>525</v>
      </c>
      <c r="Q214" s="123">
        <v>110</v>
      </c>
      <c r="R214" s="130"/>
      <c r="S214" s="139">
        <v>0</v>
      </c>
      <c r="T214" s="124">
        <v>0</v>
      </c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17"/>
      <c r="AH214" s="24"/>
      <c r="AI214" s="25"/>
      <c r="AJ214" s="25"/>
    </row>
    <row r="215" spans="1:36" x14ac:dyDescent="0.3">
      <c r="A215" s="63">
        <v>209</v>
      </c>
      <c r="B215" s="102" t="s">
        <v>3520</v>
      </c>
      <c r="C215" s="102" t="s">
        <v>3521</v>
      </c>
      <c r="D215" s="64" t="s">
        <v>119</v>
      </c>
      <c r="E215" s="24" t="s">
        <v>3905</v>
      </c>
      <c r="F215" s="38" t="s">
        <v>4108</v>
      </c>
      <c r="G215" s="108">
        <v>5</v>
      </c>
      <c r="H215" s="38" t="s">
        <v>4118</v>
      </c>
      <c r="I215" s="106"/>
      <c r="J215" s="128" t="s">
        <v>3908</v>
      </c>
      <c r="K215" s="136" t="s">
        <v>4119</v>
      </c>
      <c r="L215" s="136"/>
      <c r="M215" s="136"/>
      <c r="N215" s="136"/>
      <c r="O215" s="136"/>
      <c r="P215" s="123">
        <f>153+25</f>
        <v>178</v>
      </c>
      <c r="Q215" s="123">
        <f>27+6</f>
        <v>33</v>
      </c>
      <c r="R215" s="130"/>
      <c r="S215" s="139">
        <v>0</v>
      </c>
      <c r="T215" s="124">
        <v>0</v>
      </c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17"/>
      <c r="AH215" s="24"/>
      <c r="AI215" s="25"/>
      <c r="AJ215" s="25"/>
    </row>
    <row r="216" spans="1:36" x14ac:dyDescent="0.3">
      <c r="A216" s="63">
        <v>210</v>
      </c>
      <c r="B216" s="102" t="s">
        <v>3520</v>
      </c>
      <c r="C216" s="102" t="s">
        <v>3521</v>
      </c>
      <c r="D216" s="64" t="s">
        <v>119</v>
      </c>
      <c r="E216" s="24" t="s">
        <v>3905</v>
      </c>
      <c r="F216" s="38" t="s">
        <v>4108</v>
      </c>
      <c r="G216" s="108">
        <v>5</v>
      </c>
      <c r="H216" s="38" t="s">
        <v>4118</v>
      </c>
      <c r="I216" s="106"/>
      <c r="J216" s="128" t="s">
        <v>3908</v>
      </c>
      <c r="K216" s="136" t="s">
        <v>4111</v>
      </c>
      <c r="L216" s="136"/>
      <c r="M216" s="136"/>
      <c r="N216" s="136"/>
      <c r="O216" s="136"/>
      <c r="P216" s="123">
        <f>680+20</f>
        <v>700</v>
      </c>
      <c r="Q216" s="123">
        <f>129+4</f>
        <v>133</v>
      </c>
      <c r="R216" s="130"/>
      <c r="S216" s="139">
        <v>0</v>
      </c>
      <c r="T216" s="124">
        <v>0</v>
      </c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17"/>
      <c r="AH216" s="24"/>
      <c r="AI216" s="25"/>
      <c r="AJ216" s="25"/>
    </row>
    <row r="217" spans="1:36" x14ac:dyDescent="0.3">
      <c r="A217" s="63">
        <v>211</v>
      </c>
      <c r="B217" s="102" t="s">
        <v>3520</v>
      </c>
      <c r="C217" s="102" t="s">
        <v>3521</v>
      </c>
      <c r="D217" s="64" t="s">
        <v>119</v>
      </c>
      <c r="E217" s="24" t="s">
        <v>3905</v>
      </c>
      <c r="F217" s="38" t="s">
        <v>4108</v>
      </c>
      <c r="G217" s="108">
        <v>5</v>
      </c>
      <c r="H217" s="38" t="s">
        <v>4118</v>
      </c>
      <c r="I217" s="106"/>
      <c r="J217" s="128" t="s">
        <v>3908</v>
      </c>
      <c r="K217" s="136" t="s">
        <v>4120</v>
      </c>
      <c r="L217" s="136"/>
      <c r="M217" s="136"/>
      <c r="N217" s="136"/>
      <c r="O217" s="136"/>
      <c r="P217" s="123">
        <v>2121</v>
      </c>
      <c r="Q217" s="123">
        <v>378</v>
      </c>
      <c r="R217" s="130"/>
      <c r="S217" s="139">
        <v>0</v>
      </c>
      <c r="T217" s="124">
        <v>0</v>
      </c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17"/>
      <c r="AH217" s="24"/>
      <c r="AI217" s="25"/>
      <c r="AJ217" s="25"/>
    </row>
    <row r="218" spans="1:36" x14ac:dyDescent="0.3">
      <c r="A218" s="63">
        <v>212</v>
      </c>
      <c r="B218" s="102" t="s">
        <v>3520</v>
      </c>
      <c r="C218" s="102" t="s">
        <v>3521</v>
      </c>
      <c r="D218" s="64" t="s">
        <v>119</v>
      </c>
      <c r="E218" s="24" t="s">
        <v>3905</v>
      </c>
      <c r="F218" s="38" t="s">
        <v>4108</v>
      </c>
      <c r="G218" s="108">
        <v>6</v>
      </c>
      <c r="H218" s="38" t="s">
        <v>4118</v>
      </c>
      <c r="I218" s="106"/>
      <c r="J218" s="128" t="s">
        <v>3908</v>
      </c>
      <c r="K218" s="136" t="s">
        <v>4121</v>
      </c>
      <c r="L218" s="136"/>
      <c r="M218" s="136"/>
      <c r="N218" s="136"/>
      <c r="O218" s="136"/>
      <c r="P218" s="123">
        <f>431+12</f>
        <v>443</v>
      </c>
      <c r="Q218" s="123">
        <f>83+4</f>
        <v>87</v>
      </c>
      <c r="R218" s="130"/>
      <c r="S218" s="139">
        <v>0</v>
      </c>
      <c r="T218" s="124">
        <v>0</v>
      </c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17"/>
      <c r="AH218" s="24"/>
      <c r="AI218" s="25"/>
      <c r="AJ218" s="25"/>
    </row>
    <row r="219" spans="1:36" x14ac:dyDescent="0.3">
      <c r="A219" s="63">
        <v>213</v>
      </c>
      <c r="B219" s="102" t="s">
        <v>3520</v>
      </c>
      <c r="C219" s="102" t="s">
        <v>3521</v>
      </c>
      <c r="D219" s="64" t="s">
        <v>119</v>
      </c>
      <c r="E219" s="24" t="s">
        <v>3905</v>
      </c>
      <c r="F219" s="38" t="s">
        <v>4108</v>
      </c>
      <c r="G219" s="108">
        <v>6</v>
      </c>
      <c r="H219" s="38" t="s">
        <v>4118</v>
      </c>
      <c r="I219" s="106"/>
      <c r="J219" s="128" t="s">
        <v>3908</v>
      </c>
      <c r="K219" s="136" t="s">
        <v>4122</v>
      </c>
      <c r="L219" s="136"/>
      <c r="M219" s="136"/>
      <c r="N219" s="136"/>
      <c r="O219" s="136"/>
      <c r="P219" s="123">
        <f>1335+25</f>
        <v>1360</v>
      </c>
      <c r="Q219" s="123">
        <f>262+8</f>
        <v>270</v>
      </c>
      <c r="R219" s="130"/>
      <c r="S219" s="139">
        <v>0</v>
      </c>
      <c r="T219" s="124">
        <v>0</v>
      </c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17"/>
      <c r="AH219" s="24"/>
      <c r="AI219" s="25"/>
      <c r="AJ219" s="25"/>
    </row>
    <row r="220" spans="1:36" x14ac:dyDescent="0.3">
      <c r="A220" s="63">
        <v>214</v>
      </c>
      <c r="B220" s="102" t="s">
        <v>3520</v>
      </c>
      <c r="C220" s="102" t="s">
        <v>3521</v>
      </c>
      <c r="D220" s="64" t="s">
        <v>119</v>
      </c>
      <c r="E220" s="24" t="s">
        <v>3905</v>
      </c>
      <c r="F220" s="38" t="s">
        <v>4108</v>
      </c>
      <c r="G220" s="108">
        <v>7</v>
      </c>
      <c r="H220" s="38" t="s">
        <v>4118</v>
      </c>
      <c r="I220" s="106"/>
      <c r="J220" s="128" t="s">
        <v>3908</v>
      </c>
      <c r="K220" s="136" t="s">
        <v>4123</v>
      </c>
      <c r="L220" s="136"/>
      <c r="M220" s="136"/>
      <c r="N220" s="136"/>
      <c r="O220" s="136"/>
      <c r="P220" s="123">
        <f>841+10</f>
        <v>851</v>
      </c>
      <c r="Q220" s="123">
        <f>171+4</f>
        <v>175</v>
      </c>
      <c r="R220" s="130"/>
      <c r="S220" s="139">
        <v>0</v>
      </c>
      <c r="T220" s="124">
        <v>0</v>
      </c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17"/>
      <c r="AH220" s="24"/>
      <c r="AI220" s="25"/>
      <c r="AJ220" s="25"/>
    </row>
    <row r="221" spans="1:36" x14ac:dyDescent="0.3">
      <c r="A221" s="63">
        <v>215</v>
      </c>
      <c r="B221" s="102" t="s">
        <v>3520</v>
      </c>
      <c r="C221" s="102" t="s">
        <v>3521</v>
      </c>
      <c r="D221" s="64" t="s">
        <v>119</v>
      </c>
      <c r="E221" s="24" t="s">
        <v>3905</v>
      </c>
      <c r="F221" s="38" t="s">
        <v>4108</v>
      </c>
      <c r="G221" s="108">
        <v>7</v>
      </c>
      <c r="H221" s="38" t="s">
        <v>4118</v>
      </c>
      <c r="I221" s="106"/>
      <c r="J221" s="128" t="s">
        <v>3908</v>
      </c>
      <c r="K221" s="136" t="s">
        <v>4124</v>
      </c>
      <c r="L221" s="136"/>
      <c r="M221" s="136"/>
      <c r="N221" s="136"/>
      <c r="O221" s="136"/>
      <c r="P221" s="123">
        <v>1485</v>
      </c>
      <c r="Q221" s="123">
        <v>201</v>
      </c>
      <c r="R221" s="130"/>
      <c r="S221" s="139">
        <v>0</v>
      </c>
      <c r="T221" s="124">
        <v>0</v>
      </c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17"/>
      <c r="AH221" s="24"/>
      <c r="AI221" s="25"/>
      <c r="AJ221" s="25"/>
    </row>
    <row r="222" spans="1:36" x14ac:dyDescent="0.3">
      <c r="A222" s="63">
        <v>216</v>
      </c>
      <c r="B222" s="102" t="s">
        <v>3520</v>
      </c>
      <c r="C222" s="102" t="s">
        <v>3521</v>
      </c>
      <c r="D222" s="64" t="s">
        <v>119</v>
      </c>
      <c r="E222" s="24" t="s">
        <v>3905</v>
      </c>
      <c r="F222" s="38" t="s">
        <v>4108</v>
      </c>
      <c r="G222" s="108">
        <v>7</v>
      </c>
      <c r="H222" s="38" t="s">
        <v>4118</v>
      </c>
      <c r="I222" s="106"/>
      <c r="J222" s="128" t="s">
        <v>3908</v>
      </c>
      <c r="K222" s="136" t="s">
        <v>4125</v>
      </c>
      <c r="L222" s="136"/>
      <c r="M222" s="136"/>
      <c r="N222" s="136"/>
      <c r="O222" s="136"/>
      <c r="P222" s="123">
        <f>273+20</f>
        <v>293</v>
      </c>
      <c r="Q222" s="123">
        <f>55+3</f>
        <v>58</v>
      </c>
      <c r="R222" s="130"/>
      <c r="S222" s="139">
        <v>0</v>
      </c>
      <c r="T222" s="124">
        <v>0</v>
      </c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17"/>
      <c r="AH222" s="24"/>
      <c r="AI222" s="25"/>
      <c r="AJ222" s="25"/>
    </row>
    <row r="223" spans="1:36" x14ac:dyDescent="0.3">
      <c r="A223" s="63">
        <v>217</v>
      </c>
      <c r="B223" s="102" t="s">
        <v>3520</v>
      </c>
      <c r="C223" s="102" t="s">
        <v>3521</v>
      </c>
      <c r="D223" s="64" t="s">
        <v>119</v>
      </c>
      <c r="E223" s="24" t="s">
        <v>3905</v>
      </c>
      <c r="F223" s="38" t="s">
        <v>4108</v>
      </c>
      <c r="G223" s="120">
        <v>8</v>
      </c>
      <c r="H223" s="38" t="s">
        <v>4118</v>
      </c>
      <c r="I223" s="106"/>
      <c r="J223" s="128" t="s">
        <v>3908</v>
      </c>
      <c r="K223" s="136" t="s">
        <v>4126</v>
      </c>
      <c r="L223" s="136"/>
      <c r="M223" s="136"/>
      <c r="N223" s="136"/>
      <c r="O223" s="136"/>
      <c r="P223" s="123">
        <v>559</v>
      </c>
      <c r="Q223" s="123">
        <v>99</v>
      </c>
      <c r="R223" s="130"/>
      <c r="S223" s="139">
        <v>0</v>
      </c>
      <c r="T223" s="124">
        <v>0</v>
      </c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17"/>
      <c r="AH223" s="24"/>
      <c r="AI223" s="25"/>
      <c r="AJ223" s="25"/>
    </row>
    <row r="224" spans="1:36" x14ac:dyDescent="0.3">
      <c r="A224" s="79">
        <v>218</v>
      </c>
      <c r="B224" s="148" t="s">
        <v>3520</v>
      </c>
      <c r="C224" s="148" t="s">
        <v>3521</v>
      </c>
      <c r="D224" s="80" t="s">
        <v>119</v>
      </c>
      <c r="E224" s="142" t="s">
        <v>3905</v>
      </c>
      <c r="F224" s="143" t="s">
        <v>4108</v>
      </c>
      <c r="G224" s="140">
        <v>8</v>
      </c>
      <c r="H224" s="143" t="s">
        <v>4118</v>
      </c>
      <c r="I224" s="147"/>
      <c r="J224" s="144" t="s">
        <v>3908</v>
      </c>
      <c r="K224" s="149" t="s">
        <v>4127</v>
      </c>
      <c r="L224" s="149"/>
      <c r="M224" s="149"/>
      <c r="N224" s="149"/>
      <c r="O224" s="149"/>
      <c r="P224" s="145">
        <v>1510</v>
      </c>
      <c r="Q224" s="145">
        <v>199</v>
      </c>
      <c r="R224" s="150"/>
      <c r="S224" s="151">
        <v>0</v>
      </c>
      <c r="T224" s="146">
        <v>0</v>
      </c>
      <c r="U224" s="143"/>
      <c r="V224" s="143"/>
      <c r="W224" s="143"/>
      <c r="X224" s="143"/>
      <c r="Y224" s="143"/>
      <c r="Z224" s="143"/>
      <c r="AA224" s="143"/>
      <c r="AB224" s="143"/>
      <c r="AC224" s="143"/>
      <c r="AD224" s="143"/>
      <c r="AE224" s="143"/>
      <c r="AF224" s="143"/>
      <c r="AG224" s="152"/>
      <c r="AH224" s="142"/>
      <c r="AI224" s="153"/>
      <c r="AJ224" s="153"/>
    </row>
    <row r="225" spans="1:36" x14ac:dyDescent="0.3">
      <c r="A225" s="82">
        <v>219</v>
      </c>
      <c r="B225" s="154" t="s">
        <v>3520</v>
      </c>
      <c r="C225" s="154" t="s">
        <v>3521</v>
      </c>
      <c r="D225" s="73" t="s">
        <v>119</v>
      </c>
      <c r="E225" s="24" t="s">
        <v>3905</v>
      </c>
      <c r="F225" s="38" t="s">
        <v>4108</v>
      </c>
      <c r="G225" s="108">
        <v>9</v>
      </c>
      <c r="H225" s="38" t="s">
        <v>4118</v>
      </c>
      <c r="I225" s="38"/>
      <c r="J225" s="123" t="s">
        <v>3908</v>
      </c>
      <c r="K225" s="132" t="s">
        <v>4128</v>
      </c>
      <c r="L225" s="132"/>
      <c r="M225" s="132"/>
      <c r="N225" s="132"/>
      <c r="O225" s="132"/>
      <c r="P225" s="123">
        <f>2108+25</f>
        <v>2133</v>
      </c>
      <c r="Q225" s="123">
        <f>499+7</f>
        <v>506</v>
      </c>
      <c r="R225" s="130"/>
      <c r="S225" s="112">
        <v>0</v>
      </c>
      <c r="T225" s="123">
        <v>0</v>
      </c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17"/>
      <c r="AH225" s="24"/>
      <c r="AI225" s="25"/>
      <c r="AJ225" s="25"/>
    </row>
  </sheetData>
  <mergeCells count="3">
    <mergeCell ref="G1:G2"/>
    <mergeCell ref="A5:D5"/>
    <mergeCell ref="U5:AF5"/>
  </mergeCells>
  <conditionalFormatting sqref="M7:M225">
    <cfRule type="duplicateValues" dxfId="3" priority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66"/>
  <sheetViews>
    <sheetView workbookViewId="0">
      <pane xSplit="12" ySplit="6" topLeftCell="Y7" activePane="bottomRight" state="frozen"/>
      <selection pane="topRight" activeCell="M1" sqref="M1"/>
      <selection pane="bottomLeft" activeCell="A6" sqref="A6"/>
      <selection pane="bottomRight" activeCell="U5" sqref="U5:AF5"/>
    </sheetView>
  </sheetViews>
  <sheetFormatPr defaultRowHeight="14.4" x14ac:dyDescent="0.3"/>
  <cols>
    <col min="1" max="1" width="4.109375" style="65" customWidth="1"/>
    <col min="2" max="2" width="11.6640625" style="65" customWidth="1"/>
    <col min="3" max="3" width="14.44140625" style="65" customWidth="1"/>
    <col min="4" max="4" width="12.21875" style="65" customWidth="1"/>
    <col min="5" max="5" width="17" style="65" customWidth="1"/>
    <col min="6" max="6" width="12.109375" style="65" customWidth="1"/>
    <col min="7" max="7" width="6.88671875" style="65" customWidth="1"/>
    <col min="8" max="8" width="19.6640625" style="4" customWidth="1"/>
    <col min="9" max="9" width="7.21875" style="4" customWidth="1"/>
    <col min="10" max="10" width="15.6640625" style="4" customWidth="1"/>
    <col min="11" max="11" width="23.44140625" style="4" customWidth="1"/>
    <col min="12" max="12" width="19.21875" style="4" customWidth="1"/>
    <col min="13" max="13" width="8.33203125" style="4" customWidth="1"/>
    <col min="14" max="14" width="9.6640625" style="4" customWidth="1"/>
    <col min="15" max="15" width="10.44140625" style="4" customWidth="1"/>
    <col min="16" max="17" width="8.6640625" style="4" customWidth="1"/>
    <col min="18" max="18" width="7.33203125" style="4" customWidth="1"/>
    <col min="19" max="19" width="7.44140625" style="4" customWidth="1"/>
    <col min="20" max="20" width="7.33203125" style="4" customWidth="1"/>
    <col min="21" max="32" width="4.77734375" style="4" customWidth="1"/>
    <col min="33" max="33" width="15" style="4" customWidth="1"/>
    <col min="34" max="16384" width="8.88671875" style="4"/>
  </cols>
  <sheetData>
    <row r="1" spans="1:36" s="13" customFormat="1" x14ac:dyDescent="0.3">
      <c r="A1" s="55"/>
      <c r="B1" s="55"/>
      <c r="C1" s="55"/>
      <c r="D1" s="55"/>
      <c r="E1" s="55"/>
      <c r="F1" s="55"/>
      <c r="G1" s="165" t="s">
        <v>23</v>
      </c>
      <c r="H1" s="46" t="s">
        <v>0</v>
      </c>
      <c r="I1" s="47">
        <f>COUNTIF(I7:I485,"SK(H)")</f>
        <v>0</v>
      </c>
      <c r="J1" s="46" t="s">
        <v>1</v>
      </c>
      <c r="K1" s="46">
        <f>COUNTA(J7:J501)</f>
        <v>0</v>
      </c>
      <c r="L1" s="9"/>
      <c r="M1" s="9"/>
      <c r="N1" s="9"/>
      <c r="O1" s="9"/>
      <c r="Z1" s="11"/>
      <c r="AA1" s="8"/>
      <c r="AB1" s="8"/>
      <c r="AC1" s="8"/>
      <c r="AD1" s="11"/>
      <c r="AE1" s="11"/>
      <c r="AF1" s="11" t="s">
        <v>2</v>
      </c>
      <c r="AG1" s="11"/>
      <c r="AH1" s="10"/>
      <c r="AI1" s="12"/>
      <c r="AJ1" s="8"/>
    </row>
    <row r="2" spans="1:36" s="13" customFormat="1" x14ac:dyDescent="0.3">
      <c r="A2" s="55"/>
      <c r="B2" s="55"/>
      <c r="C2" s="55"/>
      <c r="D2" s="56"/>
      <c r="E2" s="57"/>
      <c r="F2" s="57"/>
      <c r="G2" s="165"/>
      <c r="H2" s="46" t="s">
        <v>3</v>
      </c>
      <c r="I2" s="47">
        <f>COUNTIF(I7:I486,"SHW(H)")</f>
        <v>0</v>
      </c>
      <c r="J2" s="46" t="s">
        <v>5</v>
      </c>
      <c r="K2" s="46">
        <f>COUNTA(K7:K166)</f>
        <v>160</v>
      </c>
      <c r="L2" s="9"/>
      <c r="M2" s="9"/>
      <c r="N2" s="9"/>
      <c r="O2" s="9"/>
      <c r="Z2" s="11"/>
      <c r="AA2" s="8"/>
      <c r="AB2" s="8"/>
      <c r="AC2" s="8"/>
      <c r="AD2" s="11"/>
      <c r="AE2" s="11"/>
      <c r="AF2" s="11" t="s">
        <v>4</v>
      </c>
      <c r="AG2" s="11"/>
      <c r="AH2" s="10"/>
      <c r="AI2" s="8"/>
      <c r="AJ2" s="8"/>
    </row>
    <row r="3" spans="1:36" s="13" customFormat="1" x14ac:dyDescent="0.3">
      <c r="A3" s="55"/>
      <c r="B3" s="55"/>
      <c r="C3" s="55"/>
      <c r="D3" s="56"/>
      <c r="E3" s="57"/>
      <c r="F3" s="57"/>
      <c r="G3" s="162"/>
      <c r="H3" s="9"/>
      <c r="I3" s="164"/>
      <c r="J3" s="9"/>
      <c r="K3" s="9"/>
      <c r="L3" s="9"/>
      <c r="M3" s="9"/>
      <c r="N3" s="9"/>
      <c r="O3" s="9"/>
      <c r="Z3" s="11"/>
      <c r="AA3" s="8"/>
      <c r="AB3" s="8"/>
      <c r="AC3" s="8"/>
      <c r="AD3" s="11"/>
      <c r="AE3" s="11"/>
      <c r="AF3" s="11" t="s">
        <v>6</v>
      </c>
      <c r="AG3" s="11"/>
      <c r="AH3" s="10"/>
      <c r="AI3" s="8"/>
      <c r="AJ3" s="8"/>
    </row>
    <row r="4" spans="1:36" s="13" customFormat="1" x14ac:dyDescent="0.3">
      <c r="A4" s="55"/>
      <c r="B4" s="55"/>
      <c r="C4" s="55"/>
      <c r="D4" s="55"/>
      <c r="E4" s="58"/>
      <c r="F4" s="58"/>
      <c r="G4" s="55"/>
      <c r="H4" s="8"/>
      <c r="I4" s="8"/>
      <c r="K4" s="11"/>
      <c r="L4" s="11"/>
      <c r="M4" s="11"/>
      <c r="N4" s="11"/>
      <c r="O4" s="11"/>
      <c r="Z4" s="11"/>
      <c r="AA4" s="8"/>
      <c r="AB4" s="8"/>
      <c r="AC4" s="8"/>
      <c r="AD4" s="11"/>
      <c r="AE4" s="11"/>
      <c r="AG4" s="11"/>
      <c r="AH4" s="10"/>
    </row>
    <row r="5" spans="1:36" ht="19.8" customHeight="1" x14ac:dyDescent="0.3">
      <c r="A5" s="166" t="s">
        <v>7</v>
      </c>
      <c r="B5" s="166"/>
      <c r="C5" s="166"/>
      <c r="D5" s="166"/>
      <c r="E5" s="103" t="s">
        <v>4129</v>
      </c>
      <c r="F5" s="103"/>
      <c r="G5" s="103"/>
      <c r="H5" s="2"/>
      <c r="I5" s="1"/>
      <c r="J5" s="1"/>
      <c r="K5" s="15"/>
      <c r="L5" s="15"/>
      <c r="M5" s="15"/>
      <c r="N5" s="15"/>
      <c r="O5" s="15"/>
      <c r="P5" s="5"/>
      <c r="Q5" s="5"/>
      <c r="R5" s="5"/>
      <c r="S5" s="5"/>
      <c r="T5" s="1"/>
      <c r="U5" s="167" t="s">
        <v>4489</v>
      </c>
      <c r="V5" s="167"/>
      <c r="W5" s="167"/>
      <c r="X5" s="167"/>
      <c r="Y5" s="167"/>
      <c r="Z5" s="167"/>
      <c r="AA5" s="167"/>
      <c r="AB5" s="167"/>
      <c r="AC5" s="167"/>
      <c r="AD5" s="167"/>
      <c r="AE5" s="167"/>
      <c r="AF5" s="167"/>
      <c r="AG5" s="6"/>
      <c r="AH5" s="3"/>
      <c r="AI5" s="7"/>
      <c r="AJ5" s="7"/>
    </row>
    <row r="6" spans="1:36" s="14" customFormat="1" ht="84.6" customHeight="1" x14ac:dyDescent="0.3">
      <c r="A6" s="60" t="s">
        <v>8</v>
      </c>
      <c r="B6" s="61" t="s">
        <v>3518</v>
      </c>
      <c r="C6" s="61" t="s">
        <v>3519</v>
      </c>
      <c r="D6" s="61" t="s">
        <v>9</v>
      </c>
      <c r="E6" s="61" t="s">
        <v>10</v>
      </c>
      <c r="F6" s="61" t="s">
        <v>11</v>
      </c>
      <c r="G6" s="62" t="s">
        <v>3523</v>
      </c>
      <c r="H6" s="19" t="s">
        <v>12</v>
      </c>
      <c r="I6" s="19" t="s">
        <v>13</v>
      </c>
      <c r="J6" s="48" t="s">
        <v>14</v>
      </c>
      <c r="K6" s="53" t="s">
        <v>34</v>
      </c>
      <c r="L6" s="81" t="s">
        <v>35</v>
      </c>
      <c r="M6" s="53" t="s">
        <v>40</v>
      </c>
      <c r="N6" s="53" t="s">
        <v>36</v>
      </c>
      <c r="O6" s="53" t="s">
        <v>37</v>
      </c>
      <c r="P6" s="19" t="s">
        <v>15</v>
      </c>
      <c r="Q6" s="19" t="s">
        <v>3522</v>
      </c>
      <c r="R6" s="19" t="s">
        <v>33</v>
      </c>
      <c r="S6" s="19" t="s">
        <v>38</v>
      </c>
      <c r="T6" s="19" t="s">
        <v>39</v>
      </c>
      <c r="U6" s="44" t="s">
        <v>26</v>
      </c>
      <c r="V6" s="45" t="s">
        <v>27</v>
      </c>
      <c r="W6" s="45" t="s">
        <v>16</v>
      </c>
      <c r="X6" s="45" t="s">
        <v>17</v>
      </c>
      <c r="Y6" s="45" t="s">
        <v>18</v>
      </c>
      <c r="Z6" s="45" t="s">
        <v>19</v>
      </c>
      <c r="AA6" s="45" t="s">
        <v>20</v>
      </c>
      <c r="AB6" s="45" t="s">
        <v>28</v>
      </c>
      <c r="AC6" s="45" t="s">
        <v>29</v>
      </c>
      <c r="AD6" s="45" t="s">
        <v>30</v>
      </c>
      <c r="AE6" s="45" t="s">
        <v>31</v>
      </c>
      <c r="AF6" s="45" t="s">
        <v>32</v>
      </c>
      <c r="AG6" s="49" t="s">
        <v>25</v>
      </c>
      <c r="AH6" s="50" t="s">
        <v>24</v>
      </c>
      <c r="AI6" s="51" t="s">
        <v>21</v>
      </c>
      <c r="AJ6" s="52" t="s">
        <v>22</v>
      </c>
    </row>
    <row r="7" spans="1:36" x14ac:dyDescent="0.3">
      <c r="A7" s="63">
        <v>1</v>
      </c>
      <c r="B7" s="102" t="s">
        <v>3520</v>
      </c>
      <c r="C7" s="102" t="s">
        <v>3521</v>
      </c>
      <c r="D7" s="64" t="s">
        <v>119</v>
      </c>
      <c r="E7" s="155" t="s">
        <v>4129</v>
      </c>
      <c r="F7" s="155" t="s">
        <v>4130</v>
      </c>
      <c r="G7" s="156">
        <v>1</v>
      </c>
      <c r="H7" s="155" t="s">
        <v>4131</v>
      </c>
      <c r="I7" s="155"/>
      <c r="J7" s="155"/>
      <c r="K7" s="157" t="s">
        <v>4132</v>
      </c>
      <c r="L7" s="157"/>
      <c r="M7" s="157"/>
      <c r="N7" s="157"/>
      <c r="O7" s="157"/>
      <c r="P7" s="156">
        <v>3731</v>
      </c>
      <c r="Q7" s="156">
        <v>749</v>
      </c>
      <c r="R7" s="158"/>
      <c r="S7" s="159"/>
      <c r="T7" s="159"/>
      <c r="U7" s="159"/>
      <c r="V7" s="159"/>
      <c r="W7" s="159"/>
      <c r="X7" s="159"/>
      <c r="Y7" s="159"/>
      <c r="Z7" s="159"/>
      <c r="AA7" s="159"/>
      <c r="AB7" s="159"/>
      <c r="AC7" s="159"/>
      <c r="AD7" s="159"/>
      <c r="AE7" s="159"/>
      <c r="AF7" s="159"/>
      <c r="AG7" s="16"/>
      <c r="AH7" s="24"/>
      <c r="AI7" s="25"/>
      <c r="AJ7" s="25"/>
    </row>
    <row r="8" spans="1:36" x14ac:dyDescent="0.3">
      <c r="A8" s="63">
        <v>2</v>
      </c>
      <c r="B8" s="102" t="s">
        <v>3520</v>
      </c>
      <c r="C8" s="102" t="s">
        <v>3521</v>
      </c>
      <c r="D8" s="64" t="s">
        <v>119</v>
      </c>
      <c r="E8" s="155" t="s">
        <v>4129</v>
      </c>
      <c r="F8" s="155" t="s">
        <v>4130</v>
      </c>
      <c r="G8" s="156">
        <v>1</v>
      </c>
      <c r="H8" s="155" t="s">
        <v>4131</v>
      </c>
      <c r="I8" s="155"/>
      <c r="J8" s="160"/>
      <c r="K8" s="157" t="s">
        <v>3265</v>
      </c>
      <c r="L8" s="157"/>
      <c r="M8" s="157"/>
      <c r="N8" s="157"/>
      <c r="O8" s="157"/>
      <c r="P8" s="156">
        <v>1468</v>
      </c>
      <c r="Q8" s="156">
        <v>344</v>
      </c>
      <c r="R8" s="156"/>
      <c r="S8" s="161"/>
      <c r="T8" s="161"/>
      <c r="U8" s="161"/>
      <c r="V8" s="161"/>
      <c r="W8" s="161"/>
      <c r="X8" s="161"/>
      <c r="Y8" s="161"/>
      <c r="Z8" s="161"/>
      <c r="AA8" s="161"/>
      <c r="AB8" s="161"/>
      <c r="AC8" s="161"/>
      <c r="AD8" s="161"/>
      <c r="AE8" s="161"/>
      <c r="AF8" s="161"/>
      <c r="AG8" s="17"/>
      <c r="AH8" s="24"/>
      <c r="AI8" s="25"/>
      <c r="AJ8" s="25"/>
    </row>
    <row r="9" spans="1:36" x14ac:dyDescent="0.3">
      <c r="A9" s="63">
        <v>3</v>
      </c>
      <c r="B9" s="102" t="s">
        <v>3520</v>
      </c>
      <c r="C9" s="102" t="s">
        <v>3521</v>
      </c>
      <c r="D9" s="64" t="s">
        <v>119</v>
      </c>
      <c r="E9" s="155" t="s">
        <v>4129</v>
      </c>
      <c r="F9" s="155" t="s">
        <v>4130</v>
      </c>
      <c r="G9" s="156">
        <v>1</v>
      </c>
      <c r="H9" s="155" t="s">
        <v>4131</v>
      </c>
      <c r="I9" s="155"/>
      <c r="J9" s="160"/>
      <c r="K9" s="157" t="s">
        <v>3566</v>
      </c>
      <c r="L9" s="157"/>
      <c r="M9" s="157"/>
      <c r="N9" s="157"/>
      <c r="O9" s="157"/>
      <c r="P9" s="156">
        <v>3171</v>
      </c>
      <c r="Q9" s="156">
        <v>677</v>
      </c>
      <c r="R9" s="156"/>
      <c r="S9" s="161"/>
      <c r="T9" s="161"/>
      <c r="U9" s="161"/>
      <c r="V9" s="161"/>
      <c r="W9" s="161"/>
      <c r="X9" s="161"/>
      <c r="Y9" s="161"/>
      <c r="Z9" s="161"/>
      <c r="AA9" s="161"/>
      <c r="AB9" s="161"/>
      <c r="AC9" s="161"/>
      <c r="AD9" s="161"/>
      <c r="AE9" s="161"/>
      <c r="AF9" s="161"/>
      <c r="AG9" s="17"/>
      <c r="AH9" s="24"/>
      <c r="AI9" s="25"/>
      <c r="AJ9" s="25"/>
    </row>
    <row r="10" spans="1:36" x14ac:dyDescent="0.3">
      <c r="A10" s="63">
        <v>4</v>
      </c>
      <c r="B10" s="102" t="s">
        <v>3520</v>
      </c>
      <c r="C10" s="102" t="s">
        <v>3521</v>
      </c>
      <c r="D10" s="64" t="s">
        <v>119</v>
      </c>
      <c r="E10" s="155" t="s">
        <v>4129</v>
      </c>
      <c r="F10" s="155" t="s">
        <v>4130</v>
      </c>
      <c r="G10" s="156">
        <v>1</v>
      </c>
      <c r="H10" s="155" t="s">
        <v>4131</v>
      </c>
      <c r="I10" s="155"/>
      <c r="J10" s="160"/>
      <c r="K10" s="157" t="s">
        <v>4133</v>
      </c>
      <c r="L10" s="157"/>
      <c r="M10" s="157"/>
      <c r="N10" s="157"/>
      <c r="O10" s="157"/>
      <c r="P10" s="156">
        <v>1158</v>
      </c>
      <c r="Q10" s="156">
        <v>231</v>
      </c>
      <c r="R10" s="156"/>
      <c r="S10" s="161"/>
      <c r="T10" s="161"/>
      <c r="U10" s="161"/>
      <c r="V10" s="161"/>
      <c r="W10" s="161"/>
      <c r="X10" s="161"/>
      <c r="Y10" s="161"/>
      <c r="Z10" s="161"/>
      <c r="AA10" s="161"/>
      <c r="AB10" s="161"/>
      <c r="AC10" s="161"/>
      <c r="AD10" s="161"/>
      <c r="AE10" s="161"/>
      <c r="AF10" s="161"/>
      <c r="AG10" s="17"/>
      <c r="AH10" s="24"/>
      <c r="AI10" s="25"/>
      <c r="AJ10" s="25"/>
    </row>
    <row r="11" spans="1:36" x14ac:dyDescent="0.3">
      <c r="A11" s="63">
        <v>5</v>
      </c>
      <c r="B11" s="102" t="s">
        <v>3520</v>
      </c>
      <c r="C11" s="102" t="s">
        <v>3521</v>
      </c>
      <c r="D11" s="64" t="s">
        <v>119</v>
      </c>
      <c r="E11" s="155" t="s">
        <v>4129</v>
      </c>
      <c r="F11" s="155" t="s">
        <v>4130</v>
      </c>
      <c r="G11" s="156">
        <v>2</v>
      </c>
      <c r="H11" s="155" t="s">
        <v>4131</v>
      </c>
      <c r="I11" s="155"/>
      <c r="J11" s="160"/>
      <c r="K11" s="157" t="s">
        <v>4134</v>
      </c>
      <c r="L11" s="157"/>
      <c r="M11" s="157"/>
      <c r="N11" s="157"/>
      <c r="O11" s="157"/>
      <c r="P11" s="156">
        <v>5908</v>
      </c>
      <c r="Q11" s="156">
        <v>1334</v>
      </c>
      <c r="R11" s="156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1"/>
      <c r="AE11" s="161"/>
      <c r="AF11" s="161"/>
      <c r="AG11" s="16"/>
      <c r="AH11" s="24"/>
      <c r="AI11" s="25"/>
      <c r="AJ11" s="25"/>
    </row>
    <row r="12" spans="1:36" x14ac:dyDescent="0.3">
      <c r="A12" s="63">
        <v>6</v>
      </c>
      <c r="B12" s="102" t="s">
        <v>3520</v>
      </c>
      <c r="C12" s="102" t="s">
        <v>3521</v>
      </c>
      <c r="D12" s="64" t="s">
        <v>119</v>
      </c>
      <c r="E12" s="155" t="s">
        <v>4129</v>
      </c>
      <c r="F12" s="155" t="s">
        <v>4130</v>
      </c>
      <c r="G12" s="156">
        <v>2</v>
      </c>
      <c r="H12" s="160" t="s">
        <v>4135</v>
      </c>
      <c r="I12" s="160"/>
      <c r="J12" s="160"/>
      <c r="K12" s="157" t="s">
        <v>4130</v>
      </c>
      <c r="L12" s="157"/>
      <c r="M12" s="157"/>
      <c r="N12" s="157"/>
      <c r="O12" s="157"/>
      <c r="P12" s="156">
        <v>3694</v>
      </c>
      <c r="Q12" s="156">
        <v>883</v>
      </c>
      <c r="R12" s="156"/>
      <c r="S12" s="161"/>
      <c r="T12" s="161"/>
      <c r="U12" s="161"/>
      <c r="V12" s="161"/>
      <c r="W12" s="161"/>
      <c r="X12" s="161"/>
      <c r="Y12" s="161"/>
      <c r="Z12" s="161"/>
      <c r="AA12" s="161"/>
      <c r="AB12" s="161"/>
      <c r="AC12" s="161"/>
      <c r="AD12" s="161"/>
      <c r="AE12" s="161"/>
      <c r="AF12" s="161"/>
      <c r="AG12" s="17"/>
      <c r="AH12" s="24"/>
      <c r="AI12" s="25"/>
      <c r="AJ12" s="25"/>
    </row>
    <row r="13" spans="1:36" x14ac:dyDescent="0.3">
      <c r="A13" s="63">
        <v>7</v>
      </c>
      <c r="B13" s="102" t="s">
        <v>3520</v>
      </c>
      <c r="C13" s="102" t="s">
        <v>3521</v>
      </c>
      <c r="D13" s="64" t="s">
        <v>119</v>
      </c>
      <c r="E13" s="155" t="s">
        <v>4129</v>
      </c>
      <c r="F13" s="155" t="s">
        <v>4130</v>
      </c>
      <c r="G13" s="156">
        <v>2</v>
      </c>
      <c r="H13" s="160" t="s">
        <v>4135</v>
      </c>
      <c r="I13" s="160"/>
      <c r="J13" s="160"/>
      <c r="K13" s="157" t="s">
        <v>4136</v>
      </c>
      <c r="L13" s="157"/>
      <c r="M13" s="157"/>
      <c r="N13" s="157"/>
      <c r="O13" s="157"/>
      <c r="P13" s="156">
        <v>2100</v>
      </c>
      <c r="Q13" s="156">
        <v>441</v>
      </c>
      <c r="R13" s="156"/>
      <c r="S13" s="161"/>
      <c r="T13" s="161"/>
      <c r="U13" s="161"/>
      <c r="V13" s="161"/>
      <c r="W13" s="161"/>
      <c r="X13" s="161"/>
      <c r="Y13" s="161"/>
      <c r="Z13" s="161"/>
      <c r="AA13" s="161"/>
      <c r="AB13" s="161"/>
      <c r="AC13" s="161"/>
      <c r="AD13" s="161"/>
      <c r="AE13" s="161"/>
      <c r="AF13" s="161"/>
      <c r="AG13" s="17"/>
      <c r="AH13" s="24"/>
      <c r="AI13" s="25"/>
      <c r="AJ13" s="25"/>
    </row>
    <row r="14" spans="1:36" x14ac:dyDescent="0.3">
      <c r="A14" s="63">
        <v>8</v>
      </c>
      <c r="B14" s="102" t="s">
        <v>3520</v>
      </c>
      <c r="C14" s="102" t="s">
        <v>3521</v>
      </c>
      <c r="D14" s="64" t="s">
        <v>119</v>
      </c>
      <c r="E14" s="155" t="s">
        <v>4129</v>
      </c>
      <c r="F14" s="155" t="s">
        <v>4130</v>
      </c>
      <c r="G14" s="156">
        <v>3</v>
      </c>
      <c r="H14" s="160" t="s">
        <v>4135</v>
      </c>
      <c r="I14" s="160"/>
      <c r="J14" s="160"/>
      <c r="K14" s="157" t="s">
        <v>4137</v>
      </c>
      <c r="L14" s="157"/>
      <c r="M14" s="157"/>
      <c r="N14" s="157"/>
      <c r="O14" s="157"/>
      <c r="P14" s="156">
        <v>2481</v>
      </c>
      <c r="Q14" s="156">
        <v>500</v>
      </c>
      <c r="R14" s="156"/>
      <c r="S14" s="161"/>
      <c r="T14" s="161"/>
      <c r="U14" s="161"/>
      <c r="V14" s="161"/>
      <c r="W14" s="161"/>
      <c r="X14" s="161"/>
      <c r="Y14" s="161"/>
      <c r="Z14" s="161"/>
      <c r="AA14" s="161"/>
      <c r="AB14" s="161"/>
      <c r="AC14" s="161"/>
      <c r="AD14" s="161"/>
      <c r="AE14" s="161"/>
      <c r="AF14" s="161"/>
      <c r="AG14" s="16"/>
      <c r="AH14" s="24"/>
      <c r="AI14" s="25"/>
      <c r="AJ14" s="25"/>
    </row>
    <row r="15" spans="1:36" x14ac:dyDescent="0.3">
      <c r="A15" s="63">
        <v>9</v>
      </c>
      <c r="B15" s="102" t="s">
        <v>3520</v>
      </c>
      <c r="C15" s="102" t="s">
        <v>3521</v>
      </c>
      <c r="D15" s="64" t="s">
        <v>119</v>
      </c>
      <c r="E15" s="155" t="s">
        <v>4129</v>
      </c>
      <c r="F15" s="155" t="s">
        <v>4130</v>
      </c>
      <c r="G15" s="156">
        <v>3</v>
      </c>
      <c r="H15" s="160" t="s">
        <v>4135</v>
      </c>
      <c r="I15" s="160"/>
      <c r="J15" s="160"/>
      <c r="K15" s="157" t="s">
        <v>4138</v>
      </c>
      <c r="L15" s="157"/>
      <c r="M15" s="157"/>
      <c r="N15" s="157"/>
      <c r="O15" s="157"/>
      <c r="P15" s="156">
        <v>3217</v>
      </c>
      <c r="Q15" s="156">
        <v>647</v>
      </c>
      <c r="R15" s="156"/>
      <c r="S15" s="161"/>
      <c r="T15" s="161"/>
      <c r="U15" s="161"/>
      <c r="V15" s="161"/>
      <c r="W15" s="161"/>
      <c r="X15" s="161"/>
      <c r="Y15" s="161"/>
      <c r="Z15" s="161"/>
      <c r="AA15" s="161"/>
      <c r="AB15" s="161"/>
      <c r="AC15" s="161"/>
      <c r="AD15" s="161"/>
      <c r="AE15" s="161"/>
      <c r="AF15" s="161"/>
      <c r="AG15" s="17"/>
      <c r="AH15" s="24"/>
      <c r="AI15" s="25"/>
      <c r="AJ15" s="25"/>
    </row>
    <row r="16" spans="1:36" x14ac:dyDescent="0.3">
      <c r="A16" s="63">
        <v>10</v>
      </c>
      <c r="B16" s="102" t="s">
        <v>3520</v>
      </c>
      <c r="C16" s="102" t="s">
        <v>3521</v>
      </c>
      <c r="D16" s="64" t="s">
        <v>119</v>
      </c>
      <c r="E16" s="155" t="s">
        <v>4129</v>
      </c>
      <c r="F16" s="155" t="s">
        <v>4130</v>
      </c>
      <c r="G16" s="156">
        <v>3</v>
      </c>
      <c r="H16" s="160" t="s">
        <v>4135</v>
      </c>
      <c r="I16" s="160"/>
      <c r="J16" s="160"/>
      <c r="K16" s="157" t="s">
        <v>4139</v>
      </c>
      <c r="L16" s="157"/>
      <c r="M16" s="157"/>
      <c r="N16" s="157"/>
      <c r="O16" s="157"/>
      <c r="P16" s="156">
        <v>4860</v>
      </c>
      <c r="Q16" s="156">
        <v>1059</v>
      </c>
      <c r="R16" s="156"/>
      <c r="S16" s="161"/>
      <c r="T16" s="161"/>
      <c r="U16" s="161"/>
      <c r="V16" s="161"/>
      <c r="W16" s="161"/>
      <c r="X16" s="161"/>
      <c r="Y16" s="161"/>
      <c r="Z16" s="161"/>
      <c r="AA16" s="161"/>
      <c r="AB16" s="161"/>
      <c r="AC16" s="161"/>
      <c r="AD16" s="161"/>
      <c r="AE16" s="161"/>
      <c r="AF16" s="161"/>
      <c r="AG16" s="17"/>
      <c r="AH16" s="24"/>
      <c r="AI16" s="25"/>
      <c r="AJ16" s="25"/>
    </row>
    <row r="17" spans="1:36" x14ac:dyDescent="0.3">
      <c r="A17" s="63">
        <v>11</v>
      </c>
      <c r="B17" s="102" t="s">
        <v>3520</v>
      </c>
      <c r="C17" s="102" t="s">
        <v>3521</v>
      </c>
      <c r="D17" s="64" t="s">
        <v>119</v>
      </c>
      <c r="E17" s="155" t="s">
        <v>4129</v>
      </c>
      <c r="F17" s="155" t="s">
        <v>4130</v>
      </c>
      <c r="G17" s="156">
        <v>4</v>
      </c>
      <c r="H17" s="160" t="s">
        <v>4135</v>
      </c>
      <c r="I17" s="160"/>
      <c r="J17" s="160"/>
      <c r="K17" s="157" t="s">
        <v>4140</v>
      </c>
      <c r="L17" s="157"/>
      <c r="M17" s="157"/>
      <c r="N17" s="157"/>
      <c r="O17" s="157"/>
      <c r="P17" s="156">
        <v>1054</v>
      </c>
      <c r="Q17" s="156">
        <v>229</v>
      </c>
      <c r="R17" s="156"/>
      <c r="S17" s="161"/>
      <c r="T17" s="161"/>
      <c r="U17" s="161"/>
      <c r="V17" s="161"/>
      <c r="W17" s="161"/>
      <c r="X17" s="161"/>
      <c r="Y17" s="161"/>
      <c r="Z17" s="161"/>
      <c r="AA17" s="161"/>
      <c r="AB17" s="161"/>
      <c r="AC17" s="161"/>
      <c r="AD17" s="161"/>
      <c r="AE17" s="161"/>
      <c r="AF17" s="161"/>
      <c r="AG17" s="17"/>
      <c r="AH17" s="24"/>
      <c r="AI17" s="25"/>
      <c r="AJ17" s="25"/>
    </row>
    <row r="18" spans="1:36" x14ac:dyDescent="0.3">
      <c r="A18" s="63">
        <v>12</v>
      </c>
      <c r="B18" s="102" t="s">
        <v>3520</v>
      </c>
      <c r="C18" s="102" t="s">
        <v>3521</v>
      </c>
      <c r="D18" s="64" t="s">
        <v>119</v>
      </c>
      <c r="E18" s="155" t="s">
        <v>4129</v>
      </c>
      <c r="F18" s="155" t="s">
        <v>4130</v>
      </c>
      <c r="G18" s="156">
        <v>4</v>
      </c>
      <c r="H18" s="160" t="s">
        <v>4135</v>
      </c>
      <c r="I18" s="160"/>
      <c r="J18" s="160"/>
      <c r="K18" s="157" t="s">
        <v>4141</v>
      </c>
      <c r="L18" s="157"/>
      <c r="M18" s="157"/>
      <c r="N18" s="157"/>
      <c r="O18" s="157"/>
      <c r="P18" s="156">
        <v>1454</v>
      </c>
      <c r="Q18" s="156">
        <v>281</v>
      </c>
      <c r="R18" s="156"/>
      <c r="S18" s="161"/>
      <c r="T18" s="161"/>
      <c r="U18" s="161"/>
      <c r="V18" s="161"/>
      <c r="W18" s="161"/>
      <c r="X18" s="161"/>
      <c r="Y18" s="161"/>
      <c r="Z18" s="161"/>
      <c r="AA18" s="161"/>
      <c r="AB18" s="161"/>
      <c r="AC18" s="161"/>
      <c r="AD18" s="161"/>
      <c r="AE18" s="161"/>
      <c r="AF18" s="161"/>
      <c r="AG18" s="17"/>
      <c r="AH18" s="24"/>
      <c r="AI18" s="25"/>
      <c r="AJ18" s="25"/>
    </row>
    <row r="19" spans="1:36" x14ac:dyDescent="0.3">
      <c r="A19" s="63">
        <v>13</v>
      </c>
      <c r="B19" s="102" t="s">
        <v>3520</v>
      </c>
      <c r="C19" s="102" t="s">
        <v>3521</v>
      </c>
      <c r="D19" s="64" t="s">
        <v>119</v>
      </c>
      <c r="E19" s="155" t="s">
        <v>4129</v>
      </c>
      <c r="F19" s="155" t="s">
        <v>4130</v>
      </c>
      <c r="G19" s="156">
        <v>4</v>
      </c>
      <c r="H19" s="160" t="s">
        <v>4135</v>
      </c>
      <c r="I19" s="160"/>
      <c r="J19" s="160"/>
      <c r="K19" s="157" t="s">
        <v>4142</v>
      </c>
      <c r="L19" s="157"/>
      <c r="M19" s="157"/>
      <c r="N19" s="157"/>
      <c r="O19" s="157"/>
      <c r="P19" s="156">
        <v>2634</v>
      </c>
      <c r="Q19" s="156">
        <v>565</v>
      </c>
      <c r="R19" s="156"/>
      <c r="S19" s="161"/>
      <c r="T19" s="161"/>
      <c r="U19" s="161"/>
      <c r="V19" s="161"/>
      <c r="W19" s="161"/>
      <c r="X19" s="161"/>
      <c r="Y19" s="161"/>
      <c r="Z19" s="161"/>
      <c r="AA19" s="161"/>
      <c r="AB19" s="161"/>
      <c r="AC19" s="161"/>
      <c r="AD19" s="161"/>
      <c r="AE19" s="161"/>
      <c r="AF19" s="161"/>
      <c r="AG19" s="17"/>
      <c r="AH19" s="24"/>
      <c r="AI19" s="25"/>
      <c r="AJ19" s="25"/>
    </row>
    <row r="20" spans="1:36" x14ac:dyDescent="0.3">
      <c r="A20" s="63">
        <v>14</v>
      </c>
      <c r="B20" s="102" t="s">
        <v>3520</v>
      </c>
      <c r="C20" s="102" t="s">
        <v>3521</v>
      </c>
      <c r="D20" s="64" t="s">
        <v>119</v>
      </c>
      <c r="E20" s="155" t="s">
        <v>4129</v>
      </c>
      <c r="F20" s="155" t="s">
        <v>4130</v>
      </c>
      <c r="G20" s="156">
        <v>4</v>
      </c>
      <c r="H20" s="160" t="s">
        <v>4135</v>
      </c>
      <c r="I20" s="160"/>
      <c r="J20" s="160"/>
      <c r="K20" s="157" t="s">
        <v>4143</v>
      </c>
      <c r="L20" s="157"/>
      <c r="M20" s="157"/>
      <c r="N20" s="157"/>
      <c r="O20" s="157"/>
      <c r="P20" s="156">
        <v>889</v>
      </c>
      <c r="Q20" s="156">
        <v>179</v>
      </c>
      <c r="R20" s="156"/>
      <c r="S20" s="161"/>
      <c r="T20" s="161"/>
      <c r="U20" s="161"/>
      <c r="V20" s="161"/>
      <c r="W20" s="161"/>
      <c r="X20" s="161"/>
      <c r="Y20" s="161"/>
      <c r="Z20" s="161"/>
      <c r="AA20" s="161"/>
      <c r="AB20" s="161"/>
      <c r="AC20" s="161"/>
      <c r="AD20" s="161"/>
      <c r="AE20" s="161"/>
      <c r="AF20" s="161"/>
      <c r="AG20" s="17"/>
      <c r="AH20" s="24"/>
      <c r="AI20" s="25"/>
      <c r="AJ20" s="25"/>
    </row>
    <row r="21" spans="1:36" x14ac:dyDescent="0.3">
      <c r="A21" s="63">
        <v>15</v>
      </c>
      <c r="B21" s="102" t="s">
        <v>3520</v>
      </c>
      <c r="C21" s="102" t="s">
        <v>3521</v>
      </c>
      <c r="D21" s="64" t="s">
        <v>119</v>
      </c>
      <c r="E21" s="155" t="s">
        <v>4129</v>
      </c>
      <c r="F21" s="155" t="s">
        <v>4130</v>
      </c>
      <c r="G21" s="161">
        <v>3</v>
      </c>
      <c r="H21" s="160" t="s">
        <v>4144</v>
      </c>
      <c r="I21" s="160"/>
      <c r="J21" s="160"/>
      <c r="K21" s="157" t="s">
        <v>3536</v>
      </c>
      <c r="L21" s="157"/>
      <c r="M21" s="157"/>
      <c r="N21" s="157"/>
      <c r="O21" s="157"/>
      <c r="P21" s="156">
        <v>1286</v>
      </c>
      <c r="Q21" s="156">
        <v>272</v>
      </c>
      <c r="R21" s="156"/>
      <c r="S21" s="161"/>
      <c r="T21" s="161"/>
      <c r="U21" s="161"/>
      <c r="V21" s="161"/>
      <c r="W21" s="161"/>
      <c r="X21" s="161"/>
      <c r="Y21" s="161"/>
      <c r="Z21" s="161"/>
      <c r="AA21" s="161"/>
      <c r="AB21" s="161"/>
      <c r="AC21" s="161"/>
      <c r="AD21" s="161"/>
      <c r="AE21" s="161"/>
      <c r="AF21" s="161"/>
      <c r="AG21" s="17"/>
      <c r="AH21" s="24"/>
      <c r="AI21" s="25"/>
      <c r="AJ21" s="25"/>
    </row>
    <row r="22" spans="1:36" x14ac:dyDescent="0.3">
      <c r="A22" s="63">
        <v>16</v>
      </c>
      <c r="B22" s="102" t="s">
        <v>3520</v>
      </c>
      <c r="C22" s="102" t="s">
        <v>3521</v>
      </c>
      <c r="D22" s="64" t="s">
        <v>119</v>
      </c>
      <c r="E22" s="155" t="s">
        <v>4129</v>
      </c>
      <c r="F22" s="155" t="s">
        <v>4130</v>
      </c>
      <c r="G22" s="156">
        <v>5</v>
      </c>
      <c r="H22" s="160" t="s">
        <v>4144</v>
      </c>
      <c r="I22" s="160"/>
      <c r="J22" s="160"/>
      <c r="K22" s="157" t="s">
        <v>4145</v>
      </c>
      <c r="L22" s="157"/>
      <c r="M22" s="157"/>
      <c r="N22" s="157"/>
      <c r="O22" s="157"/>
      <c r="P22" s="156">
        <v>1888</v>
      </c>
      <c r="Q22" s="156">
        <v>410</v>
      </c>
      <c r="R22" s="156"/>
      <c r="S22" s="161"/>
      <c r="T22" s="161"/>
      <c r="U22" s="161"/>
      <c r="V22" s="161"/>
      <c r="W22" s="161"/>
      <c r="X22" s="161"/>
      <c r="Y22" s="161"/>
      <c r="Z22" s="161"/>
      <c r="AA22" s="161"/>
      <c r="AB22" s="161"/>
      <c r="AC22" s="161"/>
      <c r="AD22" s="161"/>
      <c r="AE22" s="161"/>
      <c r="AF22" s="161"/>
      <c r="AG22" s="17"/>
      <c r="AH22" s="24"/>
      <c r="AI22" s="25"/>
      <c r="AJ22" s="25"/>
    </row>
    <row r="23" spans="1:36" x14ac:dyDescent="0.3">
      <c r="A23" s="63">
        <v>17</v>
      </c>
      <c r="B23" s="102" t="s">
        <v>3520</v>
      </c>
      <c r="C23" s="102" t="s">
        <v>3521</v>
      </c>
      <c r="D23" s="64" t="s">
        <v>119</v>
      </c>
      <c r="E23" s="155" t="s">
        <v>4129</v>
      </c>
      <c r="F23" s="155" t="s">
        <v>4130</v>
      </c>
      <c r="G23" s="156">
        <v>5</v>
      </c>
      <c r="H23" s="160" t="s">
        <v>4144</v>
      </c>
      <c r="I23" s="160"/>
      <c r="J23" s="160"/>
      <c r="K23" s="157" t="s">
        <v>4146</v>
      </c>
      <c r="L23" s="157"/>
      <c r="M23" s="157"/>
      <c r="N23" s="157"/>
      <c r="O23" s="157"/>
      <c r="P23" s="156">
        <v>6317</v>
      </c>
      <c r="Q23" s="156">
        <v>1279</v>
      </c>
      <c r="R23" s="156"/>
      <c r="S23" s="161"/>
      <c r="T23" s="161"/>
      <c r="U23" s="161"/>
      <c r="V23" s="161"/>
      <c r="W23" s="161"/>
      <c r="X23" s="161"/>
      <c r="Y23" s="161"/>
      <c r="Z23" s="161"/>
      <c r="AA23" s="161"/>
      <c r="AB23" s="161"/>
      <c r="AC23" s="161"/>
      <c r="AD23" s="161"/>
      <c r="AE23" s="161"/>
      <c r="AF23" s="161"/>
      <c r="AG23" s="17"/>
      <c r="AH23" s="24"/>
      <c r="AI23" s="25"/>
      <c r="AJ23" s="25"/>
    </row>
    <row r="24" spans="1:36" x14ac:dyDescent="0.3">
      <c r="A24" s="63">
        <v>18</v>
      </c>
      <c r="B24" s="102" t="s">
        <v>3520</v>
      </c>
      <c r="C24" s="102" t="s">
        <v>3521</v>
      </c>
      <c r="D24" s="64" t="s">
        <v>119</v>
      </c>
      <c r="E24" s="155" t="s">
        <v>4129</v>
      </c>
      <c r="F24" s="155" t="s">
        <v>4130</v>
      </c>
      <c r="G24" s="156">
        <v>5</v>
      </c>
      <c r="H24" s="160" t="s">
        <v>4144</v>
      </c>
      <c r="I24" s="160"/>
      <c r="J24" s="160"/>
      <c r="K24" s="157" t="s">
        <v>4147</v>
      </c>
      <c r="L24" s="157"/>
      <c r="M24" s="157"/>
      <c r="N24" s="157"/>
      <c r="O24" s="157"/>
      <c r="P24" s="156">
        <v>5064</v>
      </c>
      <c r="Q24" s="156">
        <v>1058</v>
      </c>
      <c r="R24" s="156"/>
      <c r="S24" s="161"/>
      <c r="T24" s="161"/>
      <c r="U24" s="161"/>
      <c r="V24" s="161"/>
      <c r="W24" s="161"/>
      <c r="X24" s="161"/>
      <c r="Y24" s="161"/>
      <c r="Z24" s="161"/>
      <c r="AA24" s="161"/>
      <c r="AB24" s="161"/>
      <c r="AC24" s="161"/>
      <c r="AD24" s="161"/>
      <c r="AE24" s="161"/>
      <c r="AF24" s="161"/>
      <c r="AG24" s="17"/>
      <c r="AH24" s="24"/>
      <c r="AI24" s="25"/>
      <c r="AJ24" s="25"/>
    </row>
    <row r="25" spans="1:36" x14ac:dyDescent="0.3">
      <c r="A25" s="63">
        <v>19</v>
      </c>
      <c r="B25" s="102" t="s">
        <v>3520</v>
      </c>
      <c r="C25" s="102" t="s">
        <v>3521</v>
      </c>
      <c r="D25" s="64" t="s">
        <v>119</v>
      </c>
      <c r="E25" s="155" t="s">
        <v>4129</v>
      </c>
      <c r="F25" s="155" t="s">
        <v>4130</v>
      </c>
      <c r="G25" s="161">
        <v>6</v>
      </c>
      <c r="H25" s="160" t="s">
        <v>4148</v>
      </c>
      <c r="I25" s="160"/>
      <c r="J25" s="160"/>
      <c r="K25" s="157" t="s">
        <v>4149</v>
      </c>
      <c r="L25" s="157"/>
      <c r="M25" s="157"/>
      <c r="N25" s="157"/>
      <c r="O25" s="157"/>
      <c r="P25" s="156">
        <v>6995</v>
      </c>
      <c r="Q25" s="156">
        <v>1539</v>
      </c>
      <c r="R25" s="156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7"/>
      <c r="AH25" s="24"/>
      <c r="AI25" s="25"/>
      <c r="AJ25" s="25"/>
    </row>
    <row r="26" spans="1:36" x14ac:dyDescent="0.3">
      <c r="A26" s="63">
        <v>20</v>
      </c>
      <c r="B26" s="102" t="s">
        <v>3520</v>
      </c>
      <c r="C26" s="102" t="s">
        <v>3521</v>
      </c>
      <c r="D26" s="64" t="s">
        <v>119</v>
      </c>
      <c r="E26" s="155" t="s">
        <v>4129</v>
      </c>
      <c r="F26" s="155" t="s">
        <v>4130</v>
      </c>
      <c r="G26" s="161">
        <v>7</v>
      </c>
      <c r="H26" s="160" t="s">
        <v>4148</v>
      </c>
      <c r="I26" s="160"/>
      <c r="J26" s="160"/>
      <c r="K26" s="157" t="s">
        <v>4150</v>
      </c>
      <c r="L26" s="157"/>
      <c r="M26" s="157"/>
      <c r="N26" s="157"/>
      <c r="O26" s="157"/>
      <c r="P26" s="156">
        <v>4948</v>
      </c>
      <c r="Q26" s="156">
        <v>1090</v>
      </c>
      <c r="R26" s="156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7"/>
      <c r="AH26" s="24"/>
      <c r="AI26" s="25"/>
      <c r="AJ26" s="25"/>
    </row>
    <row r="27" spans="1:36" x14ac:dyDescent="0.3">
      <c r="A27" s="63">
        <v>21</v>
      </c>
      <c r="B27" s="102" t="s">
        <v>3520</v>
      </c>
      <c r="C27" s="102" t="s">
        <v>3521</v>
      </c>
      <c r="D27" s="64" t="s">
        <v>119</v>
      </c>
      <c r="E27" s="155" t="s">
        <v>4129</v>
      </c>
      <c r="F27" s="155" t="s">
        <v>4130</v>
      </c>
      <c r="G27" s="161">
        <v>8</v>
      </c>
      <c r="H27" s="160" t="s">
        <v>4151</v>
      </c>
      <c r="I27" s="160"/>
      <c r="J27" s="160"/>
      <c r="K27" s="157" t="s">
        <v>4152</v>
      </c>
      <c r="L27" s="157"/>
      <c r="M27" s="157"/>
      <c r="N27" s="157"/>
      <c r="O27" s="157"/>
      <c r="P27" s="156">
        <v>308</v>
      </c>
      <c r="Q27" s="156">
        <v>69</v>
      </c>
      <c r="R27" s="156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7"/>
      <c r="AH27" s="24"/>
      <c r="AI27" s="25"/>
      <c r="AJ27" s="25"/>
    </row>
    <row r="28" spans="1:36" x14ac:dyDescent="0.3">
      <c r="A28" s="63">
        <v>22</v>
      </c>
      <c r="B28" s="102" t="s">
        <v>3520</v>
      </c>
      <c r="C28" s="102" t="s">
        <v>3521</v>
      </c>
      <c r="D28" s="64" t="s">
        <v>119</v>
      </c>
      <c r="E28" s="155" t="s">
        <v>4129</v>
      </c>
      <c r="F28" s="155" t="s">
        <v>4130</v>
      </c>
      <c r="G28" s="161">
        <v>8</v>
      </c>
      <c r="H28" s="160" t="s">
        <v>4151</v>
      </c>
      <c r="I28" s="160"/>
      <c r="J28" s="160"/>
      <c r="K28" s="157" t="s">
        <v>4153</v>
      </c>
      <c r="L28" s="157"/>
      <c r="M28" s="157"/>
      <c r="N28" s="157"/>
      <c r="O28" s="157"/>
      <c r="P28" s="156">
        <v>1876</v>
      </c>
      <c r="Q28" s="156">
        <v>407</v>
      </c>
      <c r="R28" s="156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7"/>
      <c r="AH28" s="24"/>
      <c r="AI28" s="25"/>
      <c r="AJ28" s="25"/>
    </row>
    <row r="29" spans="1:36" x14ac:dyDescent="0.3">
      <c r="A29" s="63">
        <v>23</v>
      </c>
      <c r="B29" s="102" t="s">
        <v>3520</v>
      </c>
      <c r="C29" s="102" t="s">
        <v>3521</v>
      </c>
      <c r="D29" s="64" t="s">
        <v>119</v>
      </c>
      <c r="E29" s="155" t="s">
        <v>4129</v>
      </c>
      <c r="F29" s="155" t="s">
        <v>4130</v>
      </c>
      <c r="G29" s="161">
        <v>9</v>
      </c>
      <c r="H29" s="160" t="s">
        <v>4151</v>
      </c>
      <c r="I29" s="160"/>
      <c r="J29" s="160"/>
      <c r="K29" s="157" t="s">
        <v>4154</v>
      </c>
      <c r="L29" s="157"/>
      <c r="M29" s="157"/>
      <c r="N29" s="157"/>
      <c r="O29" s="157"/>
      <c r="P29" s="156">
        <v>698</v>
      </c>
      <c r="Q29" s="156">
        <v>145</v>
      </c>
      <c r="R29" s="156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7"/>
      <c r="AH29" s="24"/>
      <c r="AI29" s="25"/>
      <c r="AJ29" s="25"/>
    </row>
    <row r="30" spans="1:36" x14ac:dyDescent="0.3">
      <c r="A30" s="63">
        <v>24</v>
      </c>
      <c r="B30" s="102" t="s">
        <v>3520</v>
      </c>
      <c r="C30" s="102" t="s">
        <v>3521</v>
      </c>
      <c r="D30" s="64" t="s">
        <v>119</v>
      </c>
      <c r="E30" s="155" t="s">
        <v>4129</v>
      </c>
      <c r="F30" s="155" t="s">
        <v>4130</v>
      </c>
      <c r="G30" s="161">
        <v>9</v>
      </c>
      <c r="H30" s="160" t="s">
        <v>4151</v>
      </c>
      <c r="I30" s="160"/>
      <c r="J30" s="160"/>
      <c r="K30" s="157" t="s">
        <v>4155</v>
      </c>
      <c r="L30" s="157"/>
      <c r="M30" s="157"/>
      <c r="N30" s="157"/>
      <c r="O30" s="157"/>
      <c r="P30" s="156">
        <v>7440</v>
      </c>
      <c r="Q30" s="156">
        <v>1129</v>
      </c>
      <c r="R30" s="156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7"/>
      <c r="AH30" s="24"/>
      <c r="AI30" s="25"/>
      <c r="AJ30" s="25"/>
    </row>
    <row r="31" spans="1:36" x14ac:dyDescent="0.3">
      <c r="A31" s="63">
        <v>25</v>
      </c>
      <c r="B31" s="102" t="s">
        <v>3520</v>
      </c>
      <c r="C31" s="102" t="s">
        <v>3521</v>
      </c>
      <c r="D31" s="64" t="s">
        <v>119</v>
      </c>
      <c r="E31" s="155" t="s">
        <v>4129</v>
      </c>
      <c r="F31" s="155" t="s">
        <v>4130</v>
      </c>
      <c r="G31" s="161">
        <v>9</v>
      </c>
      <c r="H31" s="160" t="s">
        <v>4151</v>
      </c>
      <c r="I31" s="160"/>
      <c r="J31" s="160"/>
      <c r="K31" s="157" t="s">
        <v>4156</v>
      </c>
      <c r="L31" s="157"/>
      <c r="M31" s="157"/>
      <c r="N31" s="157"/>
      <c r="O31" s="157"/>
      <c r="P31" s="156">
        <v>1078</v>
      </c>
      <c r="Q31" s="156">
        <v>384</v>
      </c>
      <c r="R31" s="156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7"/>
      <c r="AH31" s="24"/>
      <c r="AI31" s="25"/>
      <c r="AJ31" s="25"/>
    </row>
    <row r="32" spans="1:36" x14ac:dyDescent="0.3">
      <c r="A32" s="63">
        <v>26</v>
      </c>
      <c r="B32" s="102" t="s">
        <v>3520</v>
      </c>
      <c r="C32" s="102" t="s">
        <v>3521</v>
      </c>
      <c r="D32" s="64" t="s">
        <v>119</v>
      </c>
      <c r="E32" s="155" t="s">
        <v>4129</v>
      </c>
      <c r="F32" s="160" t="s">
        <v>4157</v>
      </c>
      <c r="G32" s="161">
        <v>1</v>
      </c>
      <c r="H32" s="160" t="s">
        <v>4158</v>
      </c>
      <c r="I32" s="160"/>
      <c r="J32" s="160"/>
      <c r="K32" s="157" t="s">
        <v>4159</v>
      </c>
      <c r="L32" s="157"/>
      <c r="M32" s="157"/>
      <c r="N32" s="157"/>
      <c r="O32" s="157"/>
      <c r="P32" s="156">
        <v>3032</v>
      </c>
      <c r="Q32" s="156">
        <v>622</v>
      </c>
      <c r="R32" s="156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7"/>
      <c r="AH32" s="24"/>
      <c r="AI32" s="25"/>
      <c r="AJ32" s="25"/>
    </row>
    <row r="33" spans="1:36" x14ac:dyDescent="0.3">
      <c r="A33" s="63">
        <v>27</v>
      </c>
      <c r="B33" s="102" t="s">
        <v>3520</v>
      </c>
      <c r="C33" s="102" t="s">
        <v>3521</v>
      </c>
      <c r="D33" s="64" t="s">
        <v>119</v>
      </c>
      <c r="E33" s="155" t="s">
        <v>4129</v>
      </c>
      <c r="F33" s="160" t="s">
        <v>4157</v>
      </c>
      <c r="G33" s="161">
        <v>1</v>
      </c>
      <c r="H33" s="160" t="s">
        <v>4158</v>
      </c>
      <c r="I33" s="160"/>
      <c r="J33" s="160"/>
      <c r="K33" s="157" t="s">
        <v>4160</v>
      </c>
      <c r="L33" s="157"/>
      <c r="M33" s="157"/>
      <c r="N33" s="157"/>
      <c r="O33" s="157"/>
      <c r="P33" s="156">
        <v>1523</v>
      </c>
      <c r="Q33" s="156">
        <v>338</v>
      </c>
      <c r="R33" s="156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7"/>
      <c r="AH33" s="24"/>
      <c r="AI33" s="25"/>
      <c r="AJ33" s="25"/>
    </row>
    <row r="34" spans="1:36" x14ac:dyDescent="0.3">
      <c r="A34" s="63">
        <v>28</v>
      </c>
      <c r="B34" s="102" t="s">
        <v>3520</v>
      </c>
      <c r="C34" s="102" t="s">
        <v>3521</v>
      </c>
      <c r="D34" s="64" t="s">
        <v>119</v>
      </c>
      <c r="E34" s="155" t="s">
        <v>4129</v>
      </c>
      <c r="F34" s="160" t="s">
        <v>4157</v>
      </c>
      <c r="G34" s="161">
        <v>1</v>
      </c>
      <c r="H34" s="160" t="s">
        <v>4158</v>
      </c>
      <c r="I34" s="160"/>
      <c r="J34" s="160"/>
      <c r="K34" s="157" t="s">
        <v>4161</v>
      </c>
      <c r="L34" s="157"/>
      <c r="M34" s="157"/>
      <c r="N34" s="157"/>
      <c r="O34" s="157"/>
      <c r="P34" s="156">
        <v>1354</v>
      </c>
      <c r="Q34" s="156">
        <v>315</v>
      </c>
      <c r="R34" s="156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7"/>
      <c r="AH34" s="24"/>
      <c r="AI34" s="25"/>
      <c r="AJ34" s="25"/>
    </row>
    <row r="35" spans="1:36" x14ac:dyDescent="0.3">
      <c r="A35" s="63">
        <v>29</v>
      </c>
      <c r="B35" s="102" t="s">
        <v>3520</v>
      </c>
      <c r="C35" s="102" t="s">
        <v>3521</v>
      </c>
      <c r="D35" s="64" t="s">
        <v>119</v>
      </c>
      <c r="E35" s="155" t="s">
        <v>4129</v>
      </c>
      <c r="F35" s="160" t="s">
        <v>4157</v>
      </c>
      <c r="G35" s="161">
        <v>2</v>
      </c>
      <c r="H35" s="160" t="s">
        <v>4158</v>
      </c>
      <c r="I35" s="160"/>
      <c r="J35" s="160"/>
      <c r="K35" s="157" t="s">
        <v>4162</v>
      </c>
      <c r="L35" s="157"/>
      <c r="M35" s="157"/>
      <c r="N35" s="157"/>
      <c r="O35" s="157"/>
      <c r="P35" s="156">
        <v>5168</v>
      </c>
      <c r="Q35" s="156">
        <v>1271</v>
      </c>
      <c r="R35" s="156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7"/>
      <c r="AH35" s="24"/>
      <c r="AI35" s="29"/>
      <c r="AJ35" s="29"/>
    </row>
    <row r="36" spans="1:36" x14ac:dyDescent="0.3">
      <c r="A36" s="63">
        <v>30</v>
      </c>
      <c r="B36" s="102" t="s">
        <v>3520</v>
      </c>
      <c r="C36" s="102" t="s">
        <v>3521</v>
      </c>
      <c r="D36" s="64" t="s">
        <v>119</v>
      </c>
      <c r="E36" s="155" t="s">
        <v>4129</v>
      </c>
      <c r="F36" s="160" t="s">
        <v>4157</v>
      </c>
      <c r="G36" s="161">
        <v>4</v>
      </c>
      <c r="H36" s="160" t="s">
        <v>4163</v>
      </c>
      <c r="I36" s="160"/>
      <c r="J36" s="160"/>
      <c r="K36" s="157" t="s">
        <v>4164</v>
      </c>
      <c r="L36" s="157"/>
      <c r="M36" s="157"/>
      <c r="N36" s="157"/>
      <c r="O36" s="157"/>
      <c r="P36" s="156">
        <v>5955</v>
      </c>
      <c r="Q36" s="156">
        <v>1227</v>
      </c>
      <c r="R36" s="156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7"/>
      <c r="AH36" s="24"/>
      <c r="AI36" s="30"/>
      <c r="AJ36" s="30"/>
    </row>
    <row r="37" spans="1:36" x14ac:dyDescent="0.3">
      <c r="A37" s="63">
        <v>31</v>
      </c>
      <c r="B37" s="102" t="s">
        <v>3520</v>
      </c>
      <c r="C37" s="102" t="s">
        <v>3521</v>
      </c>
      <c r="D37" s="64" t="s">
        <v>119</v>
      </c>
      <c r="E37" s="155" t="s">
        <v>4129</v>
      </c>
      <c r="F37" s="160" t="s">
        <v>4157</v>
      </c>
      <c r="G37" s="161">
        <v>4</v>
      </c>
      <c r="H37" s="160" t="s">
        <v>4163</v>
      </c>
      <c r="I37" s="160"/>
      <c r="J37" s="160"/>
      <c r="K37" s="157" t="s">
        <v>4165</v>
      </c>
      <c r="L37" s="157"/>
      <c r="M37" s="157"/>
      <c r="N37" s="157"/>
      <c r="O37" s="157"/>
      <c r="P37" s="156">
        <v>692</v>
      </c>
      <c r="Q37" s="156">
        <v>140</v>
      </c>
      <c r="R37" s="156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7"/>
      <c r="AH37" s="24"/>
      <c r="AI37" s="31"/>
      <c r="AJ37" s="31"/>
    </row>
    <row r="38" spans="1:36" x14ac:dyDescent="0.3">
      <c r="A38" s="63">
        <v>32</v>
      </c>
      <c r="B38" s="102" t="s">
        <v>3520</v>
      </c>
      <c r="C38" s="102" t="s">
        <v>3521</v>
      </c>
      <c r="D38" s="64" t="s">
        <v>119</v>
      </c>
      <c r="E38" s="155" t="s">
        <v>4129</v>
      </c>
      <c r="F38" s="160" t="s">
        <v>4157</v>
      </c>
      <c r="G38" s="161">
        <v>5</v>
      </c>
      <c r="H38" s="160" t="s">
        <v>4163</v>
      </c>
      <c r="I38" s="160"/>
      <c r="J38" s="160"/>
      <c r="K38" s="157" t="s">
        <v>4166</v>
      </c>
      <c r="L38" s="157"/>
      <c r="M38" s="157"/>
      <c r="N38" s="157"/>
      <c r="O38" s="157"/>
      <c r="P38" s="156">
        <v>3918</v>
      </c>
      <c r="Q38" s="156">
        <v>812</v>
      </c>
      <c r="R38" s="156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7"/>
      <c r="AH38" s="24"/>
      <c r="AI38" s="31"/>
      <c r="AJ38" s="31"/>
    </row>
    <row r="39" spans="1:36" x14ac:dyDescent="0.3">
      <c r="A39" s="63">
        <v>33</v>
      </c>
      <c r="B39" s="102" t="s">
        <v>3520</v>
      </c>
      <c r="C39" s="102" t="s">
        <v>3521</v>
      </c>
      <c r="D39" s="64" t="s">
        <v>119</v>
      </c>
      <c r="E39" s="155" t="s">
        <v>4129</v>
      </c>
      <c r="F39" s="160" t="s">
        <v>4157</v>
      </c>
      <c r="G39" s="161">
        <v>3</v>
      </c>
      <c r="H39" s="160" t="s">
        <v>4167</v>
      </c>
      <c r="I39" s="160"/>
      <c r="J39" s="160"/>
      <c r="K39" s="157" t="s">
        <v>4168</v>
      </c>
      <c r="L39" s="157"/>
      <c r="M39" s="157"/>
      <c r="N39" s="157"/>
      <c r="O39" s="157"/>
      <c r="P39" s="156">
        <v>2733</v>
      </c>
      <c r="Q39" s="156">
        <v>578</v>
      </c>
      <c r="R39" s="156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7"/>
      <c r="AH39" s="24"/>
      <c r="AI39" s="29"/>
      <c r="AJ39" s="29"/>
    </row>
    <row r="40" spans="1:36" x14ac:dyDescent="0.3">
      <c r="A40" s="63">
        <v>34</v>
      </c>
      <c r="B40" s="102" t="s">
        <v>3520</v>
      </c>
      <c r="C40" s="102" t="s">
        <v>3521</v>
      </c>
      <c r="D40" s="64" t="s">
        <v>119</v>
      </c>
      <c r="E40" s="155" t="s">
        <v>4129</v>
      </c>
      <c r="F40" s="160" t="s">
        <v>4157</v>
      </c>
      <c r="G40" s="161">
        <v>3</v>
      </c>
      <c r="H40" s="160" t="s">
        <v>4167</v>
      </c>
      <c r="I40" s="160"/>
      <c r="J40" s="160"/>
      <c r="K40" s="157" t="s">
        <v>4169</v>
      </c>
      <c r="L40" s="157"/>
      <c r="M40" s="157"/>
      <c r="N40" s="157"/>
      <c r="O40" s="157"/>
      <c r="P40" s="156">
        <v>1791</v>
      </c>
      <c r="Q40" s="156">
        <v>367</v>
      </c>
      <c r="R40" s="156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7"/>
      <c r="AH40" s="24"/>
      <c r="AI40" s="29"/>
      <c r="AJ40" s="29"/>
    </row>
    <row r="41" spans="1:36" x14ac:dyDescent="0.3">
      <c r="A41" s="63">
        <v>35</v>
      </c>
      <c r="B41" s="102" t="s">
        <v>3520</v>
      </c>
      <c r="C41" s="102" t="s">
        <v>3521</v>
      </c>
      <c r="D41" s="64" t="s">
        <v>119</v>
      </c>
      <c r="E41" s="155" t="s">
        <v>4129</v>
      </c>
      <c r="F41" s="160" t="s">
        <v>4157</v>
      </c>
      <c r="G41" s="161">
        <v>3</v>
      </c>
      <c r="H41" s="160" t="s">
        <v>4167</v>
      </c>
      <c r="I41" s="160"/>
      <c r="J41" s="160"/>
      <c r="K41" s="157" t="s">
        <v>4170</v>
      </c>
      <c r="L41" s="157"/>
      <c r="M41" s="157"/>
      <c r="N41" s="157"/>
      <c r="O41" s="157"/>
      <c r="P41" s="156">
        <v>444</v>
      </c>
      <c r="Q41" s="156">
        <v>95</v>
      </c>
      <c r="R41" s="156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7"/>
      <c r="AH41" s="24"/>
      <c r="AI41" s="25"/>
      <c r="AJ41" s="25"/>
    </row>
    <row r="42" spans="1:36" x14ac:dyDescent="0.3">
      <c r="A42" s="63">
        <v>36</v>
      </c>
      <c r="B42" s="102" t="s">
        <v>3520</v>
      </c>
      <c r="C42" s="102" t="s">
        <v>3521</v>
      </c>
      <c r="D42" s="64" t="s">
        <v>119</v>
      </c>
      <c r="E42" s="155" t="s">
        <v>4129</v>
      </c>
      <c r="F42" s="160" t="s">
        <v>4157</v>
      </c>
      <c r="G42" s="161">
        <v>3</v>
      </c>
      <c r="H42" s="160" t="s">
        <v>4167</v>
      </c>
      <c r="I42" s="160"/>
      <c r="J42" s="160"/>
      <c r="K42" s="157" t="s">
        <v>4171</v>
      </c>
      <c r="L42" s="157"/>
      <c r="M42" s="157"/>
      <c r="N42" s="157"/>
      <c r="O42" s="157"/>
      <c r="P42" s="156">
        <v>3022</v>
      </c>
      <c r="Q42" s="156">
        <v>641</v>
      </c>
      <c r="R42" s="156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7"/>
      <c r="AH42" s="24"/>
      <c r="AI42" s="25"/>
      <c r="AJ42" s="25"/>
    </row>
    <row r="43" spans="1:36" x14ac:dyDescent="0.3">
      <c r="A43" s="63">
        <v>37</v>
      </c>
      <c r="B43" s="102" t="s">
        <v>3520</v>
      </c>
      <c r="C43" s="102" t="s">
        <v>3521</v>
      </c>
      <c r="D43" s="64" t="s">
        <v>119</v>
      </c>
      <c r="E43" s="155" t="s">
        <v>4129</v>
      </c>
      <c r="F43" s="160" t="s">
        <v>4157</v>
      </c>
      <c r="G43" s="161">
        <v>3</v>
      </c>
      <c r="H43" s="160" t="s">
        <v>4167</v>
      </c>
      <c r="I43" s="160"/>
      <c r="J43" s="160"/>
      <c r="K43" s="157" t="s">
        <v>4172</v>
      </c>
      <c r="L43" s="157"/>
      <c r="M43" s="157"/>
      <c r="N43" s="157"/>
      <c r="O43" s="157"/>
      <c r="P43" s="156">
        <v>324</v>
      </c>
      <c r="Q43" s="156">
        <v>75</v>
      </c>
      <c r="R43" s="156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7"/>
      <c r="AH43" s="24"/>
      <c r="AI43" s="25"/>
      <c r="AJ43" s="25"/>
    </row>
    <row r="44" spans="1:36" x14ac:dyDescent="0.3">
      <c r="A44" s="63">
        <v>38</v>
      </c>
      <c r="B44" s="102" t="s">
        <v>3520</v>
      </c>
      <c r="C44" s="102" t="s">
        <v>3521</v>
      </c>
      <c r="D44" s="64" t="s">
        <v>119</v>
      </c>
      <c r="E44" s="155" t="s">
        <v>4129</v>
      </c>
      <c r="F44" s="160" t="s">
        <v>4157</v>
      </c>
      <c r="G44" s="161">
        <v>5</v>
      </c>
      <c r="H44" s="160" t="s">
        <v>4167</v>
      </c>
      <c r="I44" s="160"/>
      <c r="J44" s="160"/>
      <c r="K44" s="157" t="s">
        <v>4173</v>
      </c>
      <c r="L44" s="157"/>
      <c r="M44" s="157"/>
      <c r="N44" s="157"/>
      <c r="O44" s="157"/>
      <c r="P44" s="156">
        <v>3438</v>
      </c>
      <c r="Q44" s="156">
        <v>725</v>
      </c>
      <c r="R44" s="156"/>
      <c r="S44" s="161"/>
      <c r="T44" s="161"/>
      <c r="U44" s="161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7"/>
      <c r="AH44" s="24"/>
      <c r="AI44" s="32"/>
      <c r="AJ44" s="32"/>
    </row>
    <row r="45" spans="1:36" x14ac:dyDescent="0.3">
      <c r="A45" s="63">
        <v>39</v>
      </c>
      <c r="B45" s="102" t="s">
        <v>3520</v>
      </c>
      <c r="C45" s="102" t="s">
        <v>3521</v>
      </c>
      <c r="D45" s="64" t="s">
        <v>119</v>
      </c>
      <c r="E45" s="155" t="s">
        <v>4129</v>
      </c>
      <c r="F45" s="160" t="s">
        <v>4157</v>
      </c>
      <c r="G45" s="161">
        <v>6</v>
      </c>
      <c r="H45" s="160" t="s">
        <v>4174</v>
      </c>
      <c r="I45" s="160"/>
      <c r="J45" s="160"/>
      <c r="K45" s="157" t="s">
        <v>4175</v>
      </c>
      <c r="L45" s="157"/>
      <c r="M45" s="157"/>
      <c r="N45" s="157"/>
      <c r="O45" s="157"/>
      <c r="P45" s="156">
        <v>5572</v>
      </c>
      <c r="Q45" s="156">
        <v>1173</v>
      </c>
      <c r="R45" s="156"/>
      <c r="S45" s="161"/>
      <c r="T45" s="161"/>
      <c r="U45" s="161"/>
      <c r="V45" s="161"/>
      <c r="W45" s="161"/>
      <c r="X45" s="161"/>
      <c r="Y45" s="161"/>
      <c r="Z45" s="161"/>
      <c r="AA45" s="161"/>
      <c r="AB45" s="161"/>
      <c r="AC45" s="161"/>
      <c r="AD45" s="161"/>
      <c r="AE45" s="161"/>
      <c r="AF45" s="161"/>
      <c r="AG45" s="17"/>
      <c r="AH45" s="24"/>
      <c r="AI45" s="33"/>
      <c r="AJ45" s="33"/>
    </row>
    <row r="46" spans="1:36" x14ac:dyDescent="0.3">
      <c r="A46" s="63">
        <v>40</v>
      </c>
      <c r="B46" s="102" t="s">
        <v>3520</v>
      </c>
      <c r="C46" s="102" t="s">
        <v>3521</v>
      </c>
      <c r="D46" s="64" t="s">
        <v>119</v>
      </c>
      <c r="E46" s="155" t="s">
        <v>4129</v>
      </c>
      <c r="F46" s="160" t="s">
        <v>4157</v>
      </c>
      <c r="G46" s="161">
        <v>6</v>
      </c>
      <c r="H46" s="160" t="s">
        <v>4174</v>
      </c>
      <c r="I46" s="160"/>
      <c r="J46" s="160"/>
      <c r="K46" s="157" t="s">
        <v>4176</v>
      </c>
      <c r="L46" s="157"/>
      <c r="M46" s="157"/>
      <c r="N46" s="157"/>
      <c r="O46" s="157"/>
      <c r="P46" s="156">
        <v>803</v>
      </c>
      <c r="Q46" s="156">
        <v>170</v>
      </c>
      <c r="R46" s="156"/>
      <c r="S46" s="161"/>
      <c r="T46" s="161"/>
      <c r="U46" s="161"/>
      <c r="V46" s="161"/>
      <c r="W46" s="161"/>
      <c r="X46" s="161"/>
      <c r="Y46" s="161"/>
      <c r="Z46" s="161"/>
      <c r="AA46" s="161"/>
      <c r="AB46" s="161"/>
      <c r="AC46" s="161"/>
      <c r="AD46" s="161"/>
      <c r="AE46" s="161"/>
      <c r="AF46" s="161"/>
      <c r="AG46" s="17"/>
      <c r="AH46" s="24"/>
      <c r="AI46" s="33"/>
      <c r="AJ46" s="33"/>
    </row>
    <row r="47" spans="1:36" x14ac:dyDescent="0.3">
      <c r="A47" s="63">
        <v>41</v>
      </c>
      <c r="B47" s="102" t="s">
        <v>3520</v>
      </c>
      <c r="C47" s="102" t="s">
        <v>3521</v>
      </c>
      <c r="D47" s="64" t="s">
        <v>119</v>
      </c>
      <c r="E47" s="155" t="s">
        <v>4129</v>
      </c>
      <c r="F47" s="160" t="s">
        <v>4157</v>
      </c>
      <c r="G47" s="161">
        <v>6</v>
      </c>
      <c r="H47" s="160" t="s">
        <v>4174</v>
      </c>
      <c r="I47" s="160"/>
      <c r="J47" s="160"/>
      <c r="K47" s="157" t="s">
        <v>4177</v>
      </c>
      <c r="L47" s="157"/>
      <c r="M47" s="157"/>
      <c r="N47" s="157"/>
      <c r="O47" s="157"/>
      <c r="P47" s="156">
        <v>2352</v>
      </c>
      <c r="Q47" s="156">
        <v>495</v>
      </c>
      <c r="R47" s="156"/>
      <c r="S47" s="161"/>
      <c r="T47" s="161"/>
      <c r="U47" s="161"/>
      <c r="V47" s="161"/>
      <c r="W47" s="161"/>
      <c r="X47" s="161"/>
      <c r="Y47" s="161"/>
      <c r="Z47" s="161"/>
      <c r="AA47" s="161"/>
      <c r="AB47" s="161"/>
      <c r="AC47" s="161"/>
      <c r="AD47" s="161"/>
      <c r="AE47" s="161"/>
      <c r="AF47" s="161"/>
      <c r="AG47" s="17"/>
      <c r="AH47" s="24"/>
      <c r="AI47" s="33"/>
      <c r="AJ47" s="33"/>
    </row>
    <row r="48" spans="1:36" x14ac:dyDescent="0.3">
      <c r="A48" s="63">
        <v>42</v>
      </c>
      <c r="B48" s="102" t="s">
        <v>3520</v>
      </c>
      <c r="C48" s="102" t="s">
        <v>3521</v>
      </c>
      <c r="D48" s="64" t="s">
        <v>119</v>
      </c>
      <c r="E48" s="155" t="s">
        <v>4129</v>
      </c>
      <c r="F48" s="160" t="s">
        <v>4157</v>
      </c>
      <c r="G48" s="161">
        <v>7</v>
      </c>
      <c r="H48" s="160" t="s">
        <v>4174</v>
      </c>
      <c r="I48" s="160"/>
      <c r="J48" s="160"/>
      <c r="K48" s="157" t="s">
        <v>4178</v>
      </c>
      <c r="L48" s="157"/>
      <c r="M48" s="157"/>
      <c r="N48" s="157"/>
      <c r="O48" s="157"/>
      <c r="P48" s="156">
        <v>2655</v>
      </c>
      <c r="Q48" s="156">
        <v>492</v>
      </c>
      <c r="R48" s="156"/>
      <c r="S48" s="161"/>
      <c r="T48" s="161"/>
      <c r="U48" s="161"/>
      <c r="V48" s="161"/>
      <c r="W48" s="161"/>
      <c r="X48" s="161"/>
      <c r="Y48" s="161"/>
      <c r="Z48" s="161"/>
      <c r="AA48" s="161"/>
      <c r="AB48" s="161"/>
      <c r="AC48" s="161"/>
      <c r="AD48" s="161"/>
      <c r="AE48" s="161"/>
      <c r="AF48" s="161"/>
      <c r="AG48" s="34"/>
      <c r="AH48" s="24"/>
      <c r="AI48" s="35"/>
      <c r="AJ48" s="35"/>
    </row>
    <row r="49" spans="1:36" x14ac:dyDescent="0.3">
      <c r="A49" s="63">
        <v>43</v>
      </c>
      <c r="B49" s="102" t="s">
        <v>3520</v>
      </c>
      <c r="C49" s="102" t="s">
        <v>3521</v>
      </c>
      <c r="D49" s="64" t="s">
        <v>119</v>
      </c>
      <c r="E49" s="155" t="s">
        <v>4129</v>
      </c>
      <c r="F49" s="160" t="s">
        <v>4157</v>
      </c>
      <c r="G49" s="161">
        <v>7</v>
      </c>
      <c r="H49" s="160" t="s">
        <v>4174</v>
      </c>
      <c r="I49" s="160"/>
      <c r="J49" s="160"/>
      <c r="K49" s="157" t="s">
        <v>4179</v>
      </c>
      <c r="L49" s="157"/>
      <c r="M49" s="157"/>
      <c r="N49" s="157"/>
      <c r="O49" s="157"/>
      <c r="P49" s="156">
        <v>2952</v>
      </c>
      <c r="Q49" s="156">
        <v>562</v>
      </c>
      <c r="R49" s="156"/>
      <c r="S49" s="161"/>
      <c r="T49" s="161"/>
      <c r="U49" s="161"/>
      <c r="V49" s="161"/>
      <c r="W49" s="161"/>
      <c r="X49" s="161"/>
      <c r="Y49" s="161"/>
      <c r="Z49" s="161"/>
      <c r="AA49" s="161"/>
      <c r="AB49" s="161"/>
      <c r="AC49" s="161"/>
      <c r="AD49" s="161"/>
      <c r="AE49" s="161"/>
      <c r="AF49" s="161"/>
      <c r="AG49" s="17"/>
      <c r="AH49" s="24"/>
      <c r="AI49" s="33"/>
      <c r="AJ49" s="33"/>
    </row>
    <row r="50" spans="1:36" x14ac:dyDescent="0.3">
      <c r="A50" s="63">
        <v>44</v>
      </c>
      <c r="B50" s="102" t="s">
        <v>3520</v>
      </c>
      <c r="C50" s="102" t="s">
        <v>3521</v>
      </c>
      <c r="D50" s="64" t="s">
        <v>119</v>
      </c>
      <c r="E50" s="155" t="s">
        <v>4129</v>
      </c>
      <c r="F50" s="160" t="s">
        <v>4157</v>
      </c>
      <c r="G50" s="161">
        <v>7</v>
      </c>
      <c r="H50" s="160" t="s">
        <v>4174</v>
      </c>
      <c r="I50" s="160"/>
      <c r="J50" s="160"/>
      <c r="K50" s="157" t="s">
        <v>4180</v>
      </c>
      <c r="L50" s="157"/>
      <c r="M50" s="157"/>
      <c r="N50" s="157"/>
      <c r="O50" s="157"/>
      <c r="P50" s="156">
        <v>2686</v>
      </c>
      <c r="Q50" s="156">
        <v>384</v>
      </c>
      <c r="R50" s="156"/>
      <c r="S50" s="161"/>
      <c r="T50" s="161"/>
      <c r="U50" s="161"/>
      <c r="V50" s="161"/>
      <c r="W50" s="161"/>
      <c r="X50" s="161"/>
      <c r="Y50" s="161"/>
      <c r="Z50" s="161"/>
      <c r="AA50" s="161"/>
      <c r="AB50" s="161"/>
      <c r="AC50" s="161"/>
      <c r="AD50" s="161"/>
      <c r="AE50" s="161"/>
      <c r="AF50" s="161"/>
      <c r="AG50" s="17"/>
      <c r="AH50" s="24"/>
      <c r="AI50" s="33"/>
      <c r="AJ50" s="33"/>
    </row>
    <row r="51" spans="1:36" x14ac:dyDescent="0.3">
      <c r="A51" s="63">
        <v>45</v>
      </c>
      <c r="B51" s="102" t="s">
        <v>3520</v>
      </c>
      <c r="C51" s="102" t="s">
        <v>3521</v>
      </c>
      <c r="D51" s="64" t="s">
        <v>119</v>
      </c>
      <c r="E51" s="155" t="s">
        <v>4129</v>
      </c>
      <c r="F51" s="160" t="s">
        <v>4157</v>
      </c>
      <c r="G51" s="161">
        <v>7</v>
      </c>
      <c r="H51" s="160" t="s">
        <v>4174</v>
      </c>
      <c r="I51" s="160"/>
      <c r="J51" s="160"/>
      <c r="K51" s="157" t="s">
        <v>4181</v>
      </c>
      <c r="L51" s="157"/>
      <c r="M51" s="157"/>
      <c r="N51" s="157"/>
      <c r="O51" s="157"/>
      <c r="P51" s="156">
        <v>791</v>
      </c>
      <c r="Q51" s="156">
        <v>168</v>
      </c>
      <c r="R51" s="156"/>
      <c r="S51" s="161"/>
      <c r="T51" s="161"/>
      <c r="U51" s="161"/>
      <c r="V51" s="161"/>
      <c r="W51" s="161"/>
      <c r="X51" s="161"/>
      <c r="Y51" s="161"/>
      <c r="Z51" s="161"/>
      <c r="AA51" s="161"/>
      <c r="AB51" s="161"/>
      <c r="AC51" s="161"/>
      <c r="AD51" s="161"/>
      <c r="AE51" s="161"/>
      <c r="AF51" s="161"/>
      <c r="AG51" s="17"/>
      <c r="AH51" s="24"/>
      <c r="AI51" s="25"/>
      <c r="AJ51" s="25"/>
    </row>
    <row r="52" spans="1:36" x14ac:dyDescent="0.3">
      <c r="A52" s="63">
        <v>46</v>
      </c>
      <c r="B52" s="102" t="s">
        <v>3520</v>
      </c>
      <c r="C52" s="102" t="s">
        <v>3521</v>
      </c>
      <c r="D52" s="64" t="s">
        <v>119</v>
      </c>
      <c r="E52" s="155" t="s">
        <v>4129</v>
      </c>
      <c r="F52" s="160" t="s">
        <v>4157</v>
      </c>
      <c r="G52" s="161">
        <v>7</v>
      </c>
      <c r="H52" s="160" t="s">
        <v>4174</v>
      </c>
      <c r="I52" s="160"/>
      <c r="J52" s="160"/>
      <c r="K52" s="157" t="s">
        <v>4182</v>
      </c>
      <c r="L52" s="157"/>
      <c r="M52" s="157"/>
      <c r="N52" s="157"/>
      <c r="O52" s="157"/>
      <c r="P52" s="156">
        <v>4064</v>
      </c>
      <c r="Q52" s="156">
        <v>807</v>
      </c>
      <c r="R52" s="156"/>
      <c r="S52" s="161"/>
      <c r="T52" s="161"/>
      <c r="U52" s="161"/>
      <c r="V52" s="161"/>
      <c r="W52" s="161"/>
      <c r="X52" s="161"/>
      <c r="Y52" s="161"/>
      <c r="Z52" s="161"/>
      <c r="AA52" s="161"/>
      <c r="AB52" s="161"/>
      <c r="AC52" s="161"/>
      <c r="AD52" s="161"/>
      <c r="AE52" s="161"/>
      <c r="AF52" s="161"/>
      <c r="AG52" s="17"/>
      <c r="AH52" s="24"/>
      <c r="AI52" s="25"/>
      <c r="AJ52" s="25"/>
    </row>
    <row r="53" spans="1:36" x14ac:dyDescent="0.3">
      <c r="A53" s="63">
        <v>47</v>
      </c>
      <c r="B53" s="102" t="s">
        <v>3520</v>
      </c>
      <c r="C53" s="102" t="s">
        <v>3521</v>
      </c>
      <c r="D53" s="64" t="s">
        <v>119</v>
      </c>
      <c r="E53" s="155" t="s">
        <v>4129</v>
      </c>
      <c r="F53" s="160" t="s">
        <v>4157</v>
      </c>
      <c r="G53" s="161">
        <v>8</v>
      </c>
      <c r="H53" s="160" t="s">
        <v>4183</v>
      </c>
      <c r="I53" s="160"/>
      <c r="J53" s="160"/>
      <c r="K53" s="157" t="s">
        <v>4184</v>
      </c>
      <c r="L53" s="157"/>
      <c r="M53" s="157"/>
      <c r="N53" s="157"/>
      <c r="O53" s="157"/>
      <c r="P53" s="156">
        <v>1538</v>
      </c>
      <c r="Q53" s="156">
        <v>284</v>
      </c>
      <c r="R53" s="156"/>
      <c r="S53" s="161"/>
      <c r="T53" s="161"/>
      <c r="U53" s="161"/>
      <c r="V53" s="161"/>
      <c r="W53" s="161"/>
      <c r="X53" s="161"/>
      <c r="Y53" s="161"/>
      <c r="Z53" s="161"/>
      <c r="AA53" s="161"/>
      <c r="AB53" s="161"/>
      <c r="AC53" s="161"/>
      <c r="AD53" s="161"/>
      <c r="AE53" s="161"/>
      <c r="AF53" s="161"/>
      <c r="AG53" s="17"/>
      <c r="AH53" s="24"/>
      <c r="AI53" s="25"/>
      <c r="AJ53" s="25"/>
    </row>
    <row r="54" spans="1:36" x14ac:dyDescent="0.3">
      <c r="A54" s="63">
        <v>48</v>
      </c>
      <c r="B54" s="102" t="s">
        <v>3520</v>
      </c>
      <c r="C54" s="102" t="s">
        <v>3521</v>
      </c>
      <c r="D54" s="64" t="s">
        <v>119</v>
      </c>
      <c r="E54" s="155" t="s">
        <v>4129</v>
      </c>
      <c r="F54" s="160" t="s">
        <v>4157</v>
      </c>
      <c r="G54" s="161">
        <v>8</v>
      </c>
      <c r="H54" s="160" t="s">
        <v>4183</v>
      </c>
      <c r="I54" s="160"/>
      <c r="J54" s="160"/>
      <c r="K54" s="157" t="s">
        <v>4185</v>
      </c>
      <c r="L54" s="157"/>
      <c r="M54" s="157"/>
      <c r="N54" s="157"/>
      <c r="O54" s="157"/>
      <c r="P54" s="156">
        <v>5674</v>
      </c>
      <c r="Q54" s="156">
        <v>1151</v>
      </c>
      <c r="R54" s="156"/>
      <c r="S54" s="161"/>
      <c r="T54" s="161"/>
      <c r="U54" s="161"/>
      <c r="V54" s="161"/>
      <c r="W54" s="161"/>
      <c r="X54" s="161"/>
      <c r="Y54" s="161"/>
      <c r="Z54" s="161"/>
      <c r="AA54" s="161"/>
      <c r="AB54" s="161"/>
      <c r="AC54" s="161"/>
      <c r="AD54" s="161"/>
      <c r="AE54" s="161"/>
      <c r="AF54" s="161"/>
      <c r="AG54" s="17"/>
      <c r="AH54" s="24"/>
      <c r="AI54" s="25"/>
      <c r="AJ54" s="25"/>
    </row>
    <row r="55" spans="1:36" x14ac:dyDescent="0.3">
      <c r="A55" s="63">
        <v>49</v>
      </c>
      <c r="B55" s="102" t="s">
        <v>3520</v>
      </c>
      <c r="C55" s="102" t="s">
        <v>3521</v>
      </c>
      <c r="D55" s="64" t="s">
        <v>119</v>
      </c>
      <c r="E55" s="155" t="s">
        <v>4129</v>
      </c>
      <c r="F55" s="160" t="s">
        <v>4157</v>
      </c>
      <c r="G55" s="161">
        <v>9</v>
      </c>
      <c r="H55" s="160" t="s">
        <v>4183</v>
      </c>
      <c r="I55" s="160"/>
      <c r="J55" s="160"/>
      <c r="K55" s="157" t="s">
        <v>4186</v>
      </c>
      <c r="L55" s="157"/>
      <c r="M55" s="157"/>
      <c r="N55" s="157"/>
      <c r="O55" s="157"/>
      <c r="P55" s="156">
        <v>1484</v>
      </c>
      <c r="Q55" s="156">
        <v>305</v>
      </c>
      <c r="R55" s="156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  <c r="AF55" s="161"/>
      <c r="AG55" s="17"/>
      <c r="AH55" s="24"/>
      <c r="AI55" s="25"/>
      <c r="AJ55" s="25"/>
    </row>
    <row r="56" spans="1:36" x14ac:dyDescent="0.3">
      <c r="A56" s="63">
        <v>50</v>
      </c>
      <c r="B56" s="102" t="s">
        <v>3520</v>
      </c>
      <c r="C56" s="102" t="s">
        <v>3521</v>
      </c>
      <c r="D56" s="64" t="s">
        <v>119</v>
      </c>
      <c r="E56" s="155" t="s">
        <v>4129</v>
      </c>
      <c r="F56" s="160" t="s">
        <v>4157</v>
      </c>
      <c r="G56" s="161">
        <v>9</v>
      </c>
      <c r="H56" s="160" t="s">
        <v>4183</v>
      </c>
      <c r="I56" s="160"/>
      <c r="J56" s="160"/>
      <c r="K56" s="157" t="s">
        <v>4147</v>
      </c>
      <c r="L56" s="157"/>
      <c r="M56" s="157"/>
      <c r="N56" s="157"/>
      <c r="O56" s="157"/>
      <c r="P56" s="156">
        <v>1270</v>
      </c>
      <c r="Q56" s="156">
        <v>223</v>
      </c>
      <c r="R56" s="156"/>
      <c r="S56" s="161"/>
      <c r="T56" s="161"/>
      <c r="U56" s="161"/>
      <c r="V56" s="161"/>
      <c r="W56" s="161"/>
      <c r="X56" s="161"/>
      <c r="Y56" s="161"/>
      <c r="Z56" s="161"/>
      <c r="AA56" s="161"/>
      <c r="AB56" s="161"/>
      <c r="AC56" s="161"/>
      <c r="AD56" s="161"/>
      <c r="AE56" s="161"/>
      <c r="AF56" s="161"/>
      <c r="AG56" s="17"/>
      <c r="AH56" s="24"/>
      <c r="AI56" s="25"/>
      <c r="AJ56" s="25"/>
    </row>
    <row r="57" spans="1:36" x14ac:dyDescent="0.3">
      <c r="A57" s="63">
        <v>51</v>
      </c>
      <c r="B57" s="102" t="s">
        <v>3520</v>
      </c>
      <c r="C57" s="102" t="s">
        <v>3521</v>
      </c>
      <c r="D57" s="64" t="s">
        <v>119</v>
      </c>
      <c r="E57" s="155" t="s">
        <v>4129</v>
      </c>
      <c r="F57" s="160" t="s">
        <v>4157</v>
      </c>
      <c r="G57" s="161">
        <v>9</v>
      </c>
      <c r="H57" s="160" t="s">
        <v>4183</v>
      </c>
      <c r="I57" s="160"/>
      <c r="J57" s="160"/>
      <c r="K57" s="157" t="s">
        <v>4187</v>
      </c>
      <c r="L57" s="157"/>
      <c r="M57" s="157"/>
      <c r="N57" s="157"/>
      <c r="O57" s="157"/>
      <c r="P57" s="156">
        <v>2917</v>
      </c>
      <c r="Q57" s="156">
        <v>569</v>
      </c>
      <c r="R57" s="156"/>
      <c r="S57" s="161"/>
      <c r="T57" s="161"/>
      <c r="U57" s="161"/>
      <c r="V57" s="161"/>
      <c r="W57" s="161"/>
      <c r="X57" s="161"/>
      <c r="Y57" s="161"/>
      <c r="Z57" s="161"/>
      <c r="AA57" s="161"/>
      <c r="AB57" s="161"/>
      <c r="AC57" s="161"/>
      <c r="AD57" s="161"/>
      <c r="AE57" s="161"/>
      <c r="AF57" s="161"/>
      <c r="AG57" s="17"/>
      <c r="AH57" s="24"/>
      <c r="AI57" s="25"/>
      <c r="AJ57" s="25"/>
    </row>
    <row r="58" spans="1:36" x14ac:dyDescent="0.3">
      <c r="A58" s="63">
        <v>52</v>
      </c>
      <c r="B58" s="102" t="s">
        <v>3520</v>
      </c>
      <c r="C58" s="102" t="s">
        <v>3521</v>
      </c>
      <c r="D58" s="64" t="s">
        <v>119</v>
      </c>
      <c r="E58" s="155" t="s">
        <v>4129</v>
      </c>
      <c r="F58" s="160" t="s">
        <v>4157</v>
      </c>
      <c r="G58" s="161">
        <v>9</v>
      </c>
      <c r="H58" s="160" t="s">
        <v>4183</v>
      </c>
      <c r="I58" s="160"/>
      <c r="J58" s="160"/>
      <c r="K58" s="157" t="s">
        <v>4188</v>
      </c>
      <c r="L58" s="157"/>
      <c r="M58" s="157"/>
      <c r="N58" s="157"/>
      <c r="O58" s="157"/>
      <c r="P58" s="156">
        <v>1389</v>
      </c>
      <c r="Q58" s="156">
        <v>305</v>
      </c>
      <c r="R58" s="156"/>
      <c r="S58" s="161"/>
      <c r="T58" s="161"/>
      <c r="U58" s="161"/>
      <c r="V58" s="161"/>
      <c r="W58" s="161"/>
      <c r="X58" s="161"/>
      <c r="Y58" s="161"/>
      <c r="Z58" s="161"/>
      <c r="AA58" s="161"/>
      <c r="AB58" s="161"/>
      <c r="AC58" s="161"/>
      <c r="AD58" s="161"/>
      <c r="AE58" s="161"/>
      <c r="AF58" s="161"/>
      <c r="AG58" s="17"/>
      <c r="AH58" s="24"/>
      <c r="AI58" s="25"/>
      <c r="AJ58" s="25"/>
    </row>
    <row r="59" spans="1:36" x14ac:dyDescent="0.3">
      <c r="A59" s="63">
        <v>53</v>
      </c>
      <c r="B59" s="102" t="s">
        <v>3520</v>
      </c>
      <c r="C59" s="102" t="s">
        <v>3521</v>
      </c>
      <c r="D59" s="64" t="s">
        <v>119</v>
      </c>
      <c r="E59" s="155" t="s">
        <v>4129</v>
      </c>
      <c r="F59" s="160" t="s">
        <v>4189</v>
      </c>
      <c r="G59" s="161">
        <v>1</v>
      </c>
      <c r="H59" s="160" t="s">
        <v>4190</v>
      </c>
      <c r="I59" s="160"/>
      <c r="J59" s="160"/>
      <c r="K59" s="157" t="s">
        <v>4191</v>
      </c>
      <c r="L59" s="157"/>
      <c r="M59" s="157"/>
      <c r="N59" s="157"/>
      <c r="O59" s="157"/>
      <c r="P59" s="156">
        <v>2866</v>
      </c>
      <c r="Q59" s="156">
        <v>646</v>
      </c>
      <c r="R59" s="156"/>
      <c r="S59" s="161"/>
      <c r="T59" s="161"/>
      <c r="U59" s="161"/>
      <c r="V59" s="161"/>
      <c r="W59" s="161"/>
      <c r="X59" s="161"/>
      <c r="Y59" s="161"/>
      <c r="Z59" s="161"/>
      <c r="AA59" s="161"/>
      <c r="AB59" s="161"/>
      <c r="AC59" s="161"/>
      <c r="AD59" s="161"/>
      <c r="AE59" s="161"/>
      <c r="AF59" s="161"/>
      <c r="AG59" s="17"/>
      <c r="AH59" s="24"/>
      <c r="AI59" s="25"/>
      <c r="AJ59" s="25"/>
    </row>
    <row r="60" spans="1:36" x14ac:dyDescent="0.3">
      <c r="A60" s="63">
        <v>54</v>
      </c>
      <c r="B60" s="102" t="s">
        <v>3520</v>
      </c>
      <c r="C60" s="102" t="s">
        <v>3521</v>
      </c>
      <c r="D60" s="64" t="s">
        <v>119</v>
      </c>
      <c r="E60" s="155" t="s">
        <v>4129</v>
      </c>
      <c r="F60" s="160" t="s">
        <v>4189</v>
      </c>
      <c r="G60" s="161">
        <v>2</v>
      </c>
      <c r="H60" s="160" t="s">
        <v>4190</v>
      </c>
      <c r="I60" s="160"/>
      <c r="J60" s="160"/>
      <c r="K60" s="157" t="s">
        <v>4192</v>
      </c>
      <c r="L60" s="157"/>
      <c r="M60" s="157"/>
      <c r="N60" s="157"/>
      <c r="O60" s="157"/>
      <c r="P60" s="156">
        <v>4518</v>
      </c>
      <c r="Q60" s="156">
        <v>1010</v>
      </c>
      <c r="R60" s="156"/>
      <c r="S60" s="161"/>
      <c r="T60" s="161"/>
      <c r="U60" s="161"/>
      <c r="V60" s="161"/>
      <c r="W60" s="161"/>
      <c r="X60" s="161"/>
      <c r="Y60" s="161"/>
      <c r="Z60" s="161"/>
      <c r="AA60" s="161"/>
      <c r="AB60" s="161"/>
      <c r="AC60" s="161"/>
      <c r="AD60" s="161"/>
      <c r="AE60" s="161"/>
      <c r="AF60" s="161"/>
      <c r="AG60" s="17"/>
      <c r="AH60" s="24"/>
      <c r="AI60" s="25"/>
      <c r="AJ60" s="25"/>
    </row>
    <row r="61" spans="1:36" x14ac:dyDescent="0.3">
      <c r="A61" s="63">
        <v>55</v>
      </c>
      <c r="B61" s="102" t="s">
        <v>3520</v>
      </c>
      <c r="C61" s="102" t="s">
        <v>3521</v>
      </c>
      <c r="D61" s="64" t="s">
        <v>119</v>
      </c>
      <c r="E61" s="155" t="s">
        <v>4129</v>
      </c>
      <c r="F61" s="160" t="s">
        <v>4189</v>
      </c>
      <c r="G61" s="161">
        <v>3</v>
      </c>
      <c r="H61" s="160" t="s">
        <v>4190</v>
      </c>
      <c r="I61" s="160"/>
      <c r="J61" s="160"/>
      <c r="K61" s="157" t="s">
        <v>4193</v>
      </c>
      <c r="L61" s="157"/>
      <c r="M61" s="157"/>
      <c r="N61" s="157"/>
      <c r="O61" s="157"/>
      <c r="P61" s="156">
        <v>820</v>
      </c>
      <c r="Q61" s="156">
        <v>182</v>
      </c>
      <c r="R61" s="156"/>
      <c r="S61" s="161"/>
      <c r="T61" s="161"/>
      <c r="U61" s="161"/>
      <c r="V61" s="161"/>
      <c r="W61" s="161"/>
      <c r="X61" s="161"/>
      <c r="Y61" s="161"/>
      <c r="Z61" s="161"/>
      <c r="AA61" s="161"/>
      <c r="AB61" s="161"/>
      <c r="AC61" s="161"/>
      <c r="AD61" s="161"/>
      <c r="AE61" s="161"/>
      <c r="AF61" s="161"/>
      <c r="AG61" s="17"/>
      <c r="AH61" s="24"/>
      <c r="AI61" s="25"/>
      <c r="AJ61" s="25"/>
    </row>
    <row r="62" spans="1:36" x14ac:dyDescent="0.3">
      <c r="A62" s="63">
        <v>56</v>
      </c>
      <c r="B62" s="102" t="s">
        <v>3520</v>
      </c>
      <c r="C62" s="102" t="s">
        <v>3521</v>
      </c>
      <c r="D62" s="64" t="s">
        <v>119</v>
      </c>
      <c r="E62" s="155" t="s">
        <v>4129</v>
      </c>
      <c r="F62" s="160" t="s">
        <v>4189</v>
      </c>
      <c r="G62" s="161">
        <v>3</v>
      </c>
      <c r="H62" s="160" t="s">
        <v>4190</v>
      </c>
      <c r="I62" s="160"/>
      <c r="J62" s="160"/>
      <c r="K62" s="157" t="s">
        <v>4194</v>
      </c>
      <c r="L62" s="157"/>
      <c r="M62" s="157"/>
      <c r="N62" s="157"/>
      <c r="O62" s="157"/>
      <c r="P62" s="156">
        <v>1689</v>
      </c>
      <c r="Q62" s="156">
        <v>387</v>
      </c>
      <c r="R62" s="156"/>
      <c r="S62" s="161"/>
      <c r="T62" s="161"/>
      <c r="U62" s="161"/>
      <c r="V62" s="161"/>
      <c r="W62" s="161"/>
      <c r="X62" s="161"/>
      <c r="Y62" s="161"/>
      <c r="Z62" s="161"/>
      <c r="AA62" s="161"/>
      <c r="AB62" s="161"/>
      <c r="AC62" s="161"/>
      <c r="AD62" s="161"/>
      <c r="AE62" s="161"/>
      <c r="AF62" s="161"/>
      <c r="AG62" s="17"/>
      <c r="AH62" s="24"/>
      <c r="AI62" s="25"/>
      <c r="AJ62" s="25"/>
    </row>
    <row r="63" spans="1:36" x14ac:dyDescent="0.3">
      <c r="A63" s="63">
        <v>57</v>
      </c>
      <c r="B63" s="102" t="s">
        <v>3520</v>
      </c>
      <c r="C63" s="102" t="s">
        <v>3521</v>
      </c>
      <c r="D63" s="64" t="s">
        <v>119</v>
      </c>
      <c r="E63" s="155" t="s">
        <v>4129</v>
      </c>
      <c r="F63" s="160" t="s">
        <v>4189</v>
      </c>
      <c r="G63" s="161">
        <v>4</v>
      </c>
      <c r="H63" s="160" t="s">
        <v>4190</v>
      </c>
      <c r="I63" s="160"/>
      <c r="J63" s="160"/>
      <c r="K63" s="157" t="s">
        <v>4195</v>
      </c>
      <c r="L63" s="157"/>
      <c r="M63" s="157"/>
      <c r="N63" s="157"/>
      <c r="O63" s="157"/>
      <c r="P63" s="156">
        <v>1392</v>
      </c>
      <c r="Q63" s="156">
        <v>299</v>
      </c>
      <c r="R63" s="156"/>
      <c r="S63" s="161"/>
      <c r="T63" s="161"/>
      <c r="U63" s="161"/>
      <c r="V63" s="161"/>
      <c r="W63" s="161"/>
      <c r="X63" s="161"/>
      <c r="Y63" s="161"/>
      <c r="Z63" s="161"/>
      <c r="AA63" s="161"/>
      <c r="AB63" s="161"/>
      <c r="AC63" s="161"/>
      <c r="AD63" s="161"/>
      <c r="AE63" s="161"/>
      <c r="AF63" s="161"/>
      <c r="AG63" s="17"/>
      <c r="AH63" s="24"/>
      <c r="AI63" s="25"/>
      <c r="AJ63" s="25"/>
    </row>
    <row r="64" spans="1:36" x14ac:dyDescent="0.3">
      <c r="A64" s="63">
        <v>58</v>
      </c>
      <c r="B64" s="102" t="s">
        <v>3520</v>
      </c>
      <c r="C64" s="102" t="s">
        <v>3521</v>
      </c>
      <c r="D64" s="64" t="s">
        <v>119</v>
      </c>
      <c r="E64" s="155" t="s">
        <v>4129</v>
      </c>
      <c r="F64" s="160" t="s">
        <v>4189</v>
      </c>
      <c r="G64" s="161">
        <v>4</v>
      </c>
      <c r="H64" s="160" t="s">
        <v>4190</v>
      </c>
      <c r="I64" s="160"/>
      <c r="J64" s="160"/>
      <c r="K64" s="157" t="s">
        <v>4196</v>
      </c>
      <c r="L64" s="157"/>
      <c r="M64" s="157"/>
      <c r="N64" s="157"/>
      <c r="O64" s="157"/>
      <c r="P64" s="156">
        <v>570</v>
      </c>
      <c r="Q64" s="156">
        <v>121</v>
      </c>
      <c r="R64" s="156"/>
      <c r="S64" s="161"/>
      <c r="T64" s="161"/>
      <c r="U64" s="161"/>
      <c r="V64" s="161"/>
      <c r="W64" s="161"/>
      <c r="X64" s="161"/>
      <c r="Y64" s="161"/>
      <c r="Z64" s="161"/>
      <c r="AA64" s="161"/>
      <c r="AB64" s="161"/>
      <c r="AC64" s="161"/>
      <c r="AD64" s="161"/>
      <c r="AE64" s="161"/>
      <c r="AF64" s="161"/>
      <c r="AG64" s="17"/>
      <c r="AH64" s="24"/>
      <c r="AI64" s="25"/>
      <c r="AJ64" s="25"/>
    </row>
    <row r="65" spans="1:36" x14ac:dyDescent="0.3">
      <c r="A65" s="63">
        <v>59</v>
      </c>
      <c r="B65" s="102" t="s">
        <v>3520</v>
      </c>
      <c r="C65" s="102" t="s">
        <v>3521</v>
      </c>
      <c r="D65" s="64" t="s">
        <v>119</v>
      </c>
      <c r="E65" s="155" t="s">
        <v>4129</v>
      </c>
      <c r="F65" s="160" t="s">
        <v>4189</v>
      </c>
      <c r="G65" s="161">
        <v>5</v>
      </c>
      <c r="H65" s="160" t="s">
        <v>4190</v>
      </c>
      <c r="I65" s="160"/>
      <c r="J65" s="160"/>
      <c r="K65" s="157" t="s">
        <v>4197</v>
      </c>
      <c r="L65" s="157"/>
      <c r="M65" s="157"/>
      <c r="N65" s="157"/>
      <c r="O65" s="157"/>
      <c r="P65" s="156">
        <v>2281</v>
      </c>
      <c r="Q65" s="156">
        <v>451</v>
      </c>
      <c r="R65" s="156"/>
      <c r="S65" s="161"/>
      <c r="T65" s="161"/>
      <c r="U65" s="161"/>
      <c r="V65" s="161"/>
      <c r="W65" s="161"/>
      <c r="X65" s="161"/>
      <c r="Y65" s="161"/>
      <c r="Z65" s="161"/>
      <c r="AA65" s="161"/>
      <c r="AB65" s="161"/>
      <c r="AC65" s="161"/>
      <c r="AD65" s="161"/>
      <c r="AE65" s="161"/>
      <c r="AF65" s="161"/>
      <c r="AG65" s="17"/>
      <c r="AH65" s="24"/>
      <c r="AI65" s="25"/>
      <c r="AJ65" s="25"/>
    </row>
    <row r="66" spans="1:36" x14ac:dyDescent="0.3">
      <c r="A66" s="63">
        <v>60</v>
      </c>
      <c r="B66" s="102" t="s">
        <v>3520</v>
      </c>
      <c r="C66" s="102" t="s">
        <v>3521</v>
      </c>
      <c r="D66" s="64" t="s">
        <v>119</v>
      </c>
      <c r="E66" s="155" t="s">
        <v>4129</v>
      </c>
      <c r="F66" s="160" t="s">
        <v>4189</v>
      </c>
      <c r="G66" s="161">
        <v>5</v>
      </c>
      <c r="H66" s="160" t="s">
        <v>4190</v>
      </c>
      <c r="I66" s="160"/>
      <c r="J66" s="160"/>
      <c r="K66" s="157" t="s">
        <v>4198</v>
      </c>
      <c r="L66" s="157"/>
      <c r="M66" s="157"/>
      <c r="N66" s="157"/>
      <c r="O66" s="157"/>
      <c r="P66" s="156">
        <v>575</v>
      </c>
      <c r="Q66" s="156">
        <v>200</v>
      </c>
      <c r="R66" s="156"/>
      <c r="S66" s="161"/>
      <c r="T66" s="161"/>
      <c r="U66" s="161"/>
      <c r="V66" s="161"/>
      <c r="W66" s="161"/>
      <c r="X66" s="161"/>
      <c r="Y66" s="161"/>
      <c r="Z66" s="161"/>
      <c r="AA66" s="161"/>
      <c r="AB66" s="161"/>
      <c r="AC66" s="161"/>
      <c r="AD66" s="161"/>
      <c r="AE66" s="161"/>
      <c r="AF66" s="161"/>
      <c r="AG66" s="17"/>
      <c r="AH66" s="24"/>
      <c r="AI66" s="25"/>
      <c r="AJ66" s="25"/>
    </row>
    <row r="67" spans="1:36" x14ac:dyDescent="0.3">
      <c r="A67" s="63">
        <v>61</v>
      </c>
      <c r="B67" s="102" t="s">
        <v>3520</v>
      </c>
      <c r="C67" s="102" t="s">
        <v>3521</v>
      </c>
      <c r="D67" s="64" t="s">
        <v>119</v>
      </c>
      <c r="E67" s="155" t="s">
        <v>4129</v>
      </c>
      <c r="F67" s="160" t="s">
        <v>4189</v>
      </c>
      <c r="G67" s="161">
        <v>6</v>
      </c>
      <c r="H67" s="160" t="s">
        <v>4190</v>
      </c>
      <c r="I67" s="160"/>
      <c r="J67" s="160"/>
      <c r="K67" s="157" t="s">
        <v>4199</v>
      </c>
      <c r="L67" s="157"/>
      <c r="M67" s="157"/>
      <c r="N67" s="157"/>
      <c r="O67" s="157"/>
      <c r="P67" s="156">
        <v>2802</v>
      </c>
      <c r="Q67" s="156">
        <v>604</v>
      </c>
      <c r="R67" s="156"/>
      <c r="S67" s="161"/>
      <c r="T67" s="161"/>
      <c r="U67" s="161"/>
      <c r="V67" s="161"/>
      <c r="W67" s="161"/>
      <c r="X67" s="161"/>
      <c r="Y67" s="161"/>
      <c r="Z67" s="161"/>
      <c r="AA67" s="161"/>
      <c r="AB67" s="161"/>
      <c r="AC67" s="161"/>
      <c r="AD67" s="161"/>
      <c r="AE67" s="161"/>
      <c r="AF67" s="161"/>
      <c r="AG67" s="17"/>
      <c r="AH67" s="24"/>
      <c r="AI67" s="25"/>
      <c r="AJ67" s="25"/>
    </row>
    <row r="68" spans="1:36" x14ac:dyDescent="0.3">
      <c r="A68" s="63">
        <v>62</v>
      </c>
      <c r="B68" s="102" t="s">
        <v>3520</v>
      </c>
      <c r="C68" s="102" t="s">
        <v>3521</v>
      </c>
      <c r="D68" s="64" t="s">
        <v>119</v>
      </c>
      <c r="E68" s="155" t="s">
        <v>4129</v>
      </c>
      <c r="F68" s="160" t="s">
        <v>4189</v>
      </c>
      <c r="G68" s="161">
        <v>7</v>
      </c>
      <c r="H68" s="160" t="s">
        <v>4190</v>
      </c>
      <c r="I68" s="160"/>
      <c r="J68" s="160"/>
      <c r="K68" s="157" t="s">
        <v>4200</v>
      </c>
      <c r="L68" s="157"/>
      <c r="M68" s="157"/>
      <c r="N68" s="157"/>
      <c r="O68" s="157"/>
      <c r="P68" s="156">
        <v>2741</v>
      </c>
      <c r="Q68" s="156">
        <v>577</v>
      </c>
      <c r="R68" s="156"/>
      <c r="S68" s="161"/>
      <c r="T68" s="161"/>
      <c r="U68" s="161"/>
      <c r="V68" s="161"/>
      <c r="W68" s="161"/>
      <c r="X68" s="161"/>
      <c r="Y68" s="161"/>
      <c r="Z68" s="161"/>
      <c r="AA68" s="161"/>
      <c r="AB68" s="161"/>
      <c r="AC68" s="161"/>
      <c r="AD68" s="161"/>
      <c r="AE68" s="161"/>
      <c r="AF68" s="161"/>
      <c r="AG68" s="17"/>
      <c r="AH68" s="24"/>
      <c r="AI68" s="25"/>
      <c r="AJ68" s="25"/>
    </row>
    <row r="69" spans="1:36" x14ac:dyDescent="0.3">
      <c r="A69" s="63">
        <v>63</v>
      </c>
      <c r="B69" s="102" t="s">
        <v>3520</v>
      </c>
      <c r="C69" s="102" t="s">
        <v>3521</v>
      </c>
      <c r="D69" s="64" t="s">
        <v>119</v>
      </c>
      <c r="E69" s="155" t="s">
        <v>4129</v>
      </c>
      <c r="F69" s="160" t="s">
        <v>4189</v>
      </c>
      <c r="G69" s="161">
        <v>7</v>
      </c>
      <c r="H69" s="160" t="s">
        <v>4190</v>
      </c>
      <c r="I69" s="160"/>
      <c r="J69" s="160"/>
      <c r="K69" s="157" t="s">
        <v>4201</v>
      </c>
      <c r="L69" s="157"/>
      <c r="M69" s="157"/>
      <c r="N69" s="157"/>
      <c r="O69" s="157"/>
      <c r="P69" s="156">
        <v>982</v>
      </c>
      <c r="Q69" s="156">
        <v>223</v>
      </c>
      <c r="R69" s="156"/>
      <c r="S69" s="161"/>
      <c r="T69" s="161"/>
      <c r="U69" s="161"/>
      <c r="V69" s="161"/>
      <c r="W69" s="161"/>
      <c r="X69" s="161"/>
      <c r="Y69" s="161"/>
      <c r="Z69" s="161"/>
      <c r="AA69" s="161"/>
      <c r="AB69" s="161"/>
      <c r="AC69" s="161"/>
      <c r="AD69" s="161"/>
      <c r="AE69" s="161"/>
      <c r="AF69" s="161"/>
      <c r="AG69" s="17"/>
      <c r="AH69" s="24"/>
      <c r="AI69" s="25"/>
      <c r="AJ69" s="25"/>
    </row>
    <row r="70" spans="1:36" x14ac:dyDescent="0.3">
      <c r="A70" s="63">
        <v>64</v>
      </c>
      <c r="B70" s="102" t="s">
        <v>3520</v>
      </c>
      <c r="C70" s="102" t="s">
        <v>3521</v>
      </c>
      <c r="D70" s="64" t="s">
        <v>119</v>
      </c>
      <c r="E70" s="155" t="s">
        <v>4129</v>
      </c>
      <c r="F70" s="160" t="s">
        <v>4189</v>
      </c>
      <c r="G70" s="161">
        <v>8</v>
      </c>
      <c r="H70" s="160" t="s">
        <v>4190</v>
      </c>
      <c r="I70" s="160"/>
      <c r="J70" s="160"/>
      <c r="K70" s="157" t="s">
        <v>4170</v>
      </c>
      <c r="L70" s="157"/>
      <c r="M70" s="157"/>
      <c r="N70" s="157"/>
      <c r="O70" s="157"/>
      <c r="P70" s="156">
        <v>539</v>
      </c>
      <c r="Q70" s="156">
        <v>176</v>
      </c>
      <c r="R70" s="156"/>
      <c r="S70" s="161"/>
      <c r="T70" s="161"/>
      <c r="U70" s="161"/>
      <c r="V70" s="161"/>
      <c r="W70" s="161"/>
      <c r="X70" s="161"/>
      <c r="Y70" s="161"/>
      <c r="Z70" s="161"/>
      <c r="AA70" s="161"/>
      <c r="AB70" s="161"/>
      <c r="AC70" s="161"/>
      <c r="AD70" s="161"/>
      <c r="AE70" s="161"/>
      <c r="AF70" s="161"/>
      <c r="AG70" s="17"/>
      <c r="AH70" s="24"/>
      <c r="AI70" s="25"/>
      <c r="AJ70" s="25"/>
    </row>
    <row r="71" spans="1:36" x14ac:dyDescent="0.3">
      <c r="A71" s="63">
        <v>65</v>
      </c>
      <c r="B71" s="102" t="s">
        <v>3520</v>
      </c>
      <c r="C71" s="102" t="s">
        <v>3521</v>
      </c>
      <c r="D71" s="64" t="s">
        <v>119</v>
      </c>
      <c r="E71" s="155" t="s">
        <v>4129</v>
      </c>
      <c r="F71" s="160" t="s">
        <v>4189</v>
      </c>
      <c r="G71" s="161">
        <v>8</v>
      </c>
      <c r="H71" s="160" t="s">
        <v>4190</v>
      </c>
      <c r="I71" s="160"/>
      <c r="J71" s="160"/>
      <c r="K71" s="157" t="s">
        <v>4202</v>
      </c>
      <c r="L71" s="157"/>
      <c r="M71" s="157"/>
      <c r="N71" s="157"/>
      <c r="O71" s="157"/>
      <c r="P71" s="156">
        <v>1350</v>
      </c>
      <c r="Q71" s="156">
        <v>335</v>
      </c>
      <c r="R71" s="156"/>
      <c r="S71" s="161"/>
      <c r="T71" s="161"/>
      <c r="U71" s="161"/>
      <c r="V71" s="161"/>
      <c r="W71" s="161"/>
      <c r="X71" s="161"/>
      <c r="Y71" s="161"/>
      <c r="Z71" s="161"/>
      <c r="AA71" s="161"/>
      <c r="AB71" s="161"/>
      <c r="AC71" s="161"/>
      <c r="AD71" s="161"/>
      <c r="AE71" s="161"/>
      <c r="AF71" s="161"/>
      <c r="AG71" s="17"/>
      <c r="AH71" s="24"/>
      <c r="AI71" s="25"/>
      <c r="AJ71" s="25"/>
    </row>
    <row r="72" spans="1:36" x14ac:dyDescent="0.3">
      <c r="A72" s="63">
        <v>66</v>
      </c>
      <c r="B72" s="102" t="s">
        <v>3520</v>
      </c>
      <c r="C72" s="102" t="s">
        <v>3521</v>
      </c>
      <c r="D72" s="64" t="s">
        <v>119</v>
      </c>
      <c r="E72" s="155" t="s">
        <v>4129</v>
      </c>
      <c r="F72" s="160" t="s">
        <v>4189</v>
      </c>
      <c r="G72" s="161">
        <v>9</v>
      </c>
      <c r="H72" s="160" t="s">
        <v>4190</v>
      </c>
      <c r="I72" s="160"/>
      <c r="J72" s="160"/>
      <c r="K72" s="157" t="s">
        <v>4203</v>
      </c>
      <c r="L72" s="157"/>
      <c r="M72" s="157"/>
      <c r="N72" s="157"/>
      <c r="O72" s="157"/>
      <c r="P72" s="156">
        <v>473</v>
      </c>
      <c r="Q72" s="156">
        <v>179</v>
      </c>
      <c r="R72" s="156"/>
      <c r="S72" s="161"/>
      <c r="T72" s="161"/>
      <c r="U72" s="161"/>
      <c r="V72" s="161"/>
      <c r="W72" s="161"/>
      <c r="X72" s="161"/>
      <c r="Y72" s="161"/>
      <c r="Z72" s="161"/>
      <c r="AA72" s="161"/>
      <c r="AB72" s="161"/>
      <c r="AC72" s="161"/>
      <c r="AD72" s="161"/>
      <c r="AE72" s="161"/>
      <c r="AF72" s="161"/>
      <c r="AG72" s="17"/>
      <c r="AH72" s="24"/>
      <c r="AI72" s="25"/>
      <c r="AJ72" s="25"/>
    </row>
    <row r="73" spans="1:36" x14ac:dyDescent="0.3">
      <c r="A73" s="63">
        <v>67</v>
      </c>
      <c r="B73" s="102" t="s">
        <v>3520</v>
      </c>
      <c r="C73" s="102" t="s">
        <v>3521</v>
      </c>
      <c r="D73" s="64" t="s">
        <v>119</v>
      </c>
      <c r="E73" s="155" t="s">
        <v>4129</v>
      </c>
      <c r="F73" s="160" t="s">
        <v>4189</v>
      </c>
      <c r="G73" s="161">
        <v>9</v>
      </c>
      <c r="H73" s="160" t="s">
        <v>4190</v>
      </c>
      <c r="I73" s="160"/>
      <c r="J73" s="160"/>
      <c r="K73" s="157" t="s">
        <v>4204</v>
      </c>
      <c r="L73" s="157"/>
      <c r="M73" s="157"/>
      <c r="N73" s="157"/>
      <c r="O73" s="157"/>
      <c r="P73" s="156">
        <v>1263</v>
      </c>
      <c r="Q73" s="156">
        <v>295</v>
      </c>
      <c r="R73" s="156"/>
      <c r="S73" s="161"/>
      <c r="T73" s="161"/>
      <c r="U73" s="161"/>
      <c r="V73" s="161"/>
      <c r="W73" s="161"/>
      <c r="X73" s="161"/>
      <c r="Y73" s="161"/>
      <c r="Z73" s="161"/>
      <c r="AA73" s="161"/>
      <c r="AB73" s="161"/>
      <c r="AC73" s="161"/>
      <c r="AD73" s="161"/>
      <c r="AE73" s="161"/>
      <c r="AF73" s="161"/>
      <c r="AG73" s="17"/>
      <c r="AH73" s="24"/>
      <c r="AI73" s="25"/>
      <c r="AJ73" s="25"/>
    </row>
    <row r="74" spans="1:36" x14ac:dyDescent="0.3">
      <c r="A74" s="63">
        <v>68</v>
      </c>
      <c r="B74" s="102" t="s">
        <v>3520</v>
      </c>
      <c r="C74" s="102" t="s">
        <v>3521</v>
      </c>
      <c r="D74" s="64" t="s">
        <v>119</v>
      </c>
      <c r="E74" s="155" t="s">
        <v>4129</v>
      </c>
      <c r="F74" s="160" t="s">
        <v>4189</v>
      </c>
      <c r="G74" s="161">
        <v>9</v>
      </c>
      <c r="H74" s="160" t="s">
        <v>4190</v>
      </c>
      <c r="I74" s="160"/>
      <c r="J74" s="160"/>
      <c r="K74" s="157" t="s">
        <v>4205</v>
      </c>
      <c r="L74" s="157"/>
      <c r="M74" s="157"/>
      <c r="N74" s="157"/>
      <c r="O74" s="157"/>
      <c r="P74" s="156">
        <v>2012</v>
      </c>
      <c r="Q74" s="156">
        <v>488</v>
      </c>
      <c r="R74" s="156"/>
      <c r="S74" s="161"/>
      <c r="T74" s="161"/>
      <c r="U74" s="161"/>
      <c r="V74" s="161"/>
      <c r="W74" s="161"/>
      <c r="X74" s="161"/>
      <c r="Y74" s="161"/>
      <c r="Z74" s="161"/>
      <c r="AA74" s="161"/>
      <c r="AB74" s="161"/>
      <c r="AC74" s="161"/>
      <c r="AD74" s="161"/>
      <c r="AE74" s="161"/>
      <c r="AF74" s="161"/>
      <c r="AG74" s="17"/>
      <c r="AH74" s="24"/>
      <c r="AI74" s="25"/>
      <c r="AJ74" s="25"/>
    </row>
    <row r="75" spans="1:36" x14ac:dyDescent="0.3">
      <c r="A75" s="63">
        <v>69</v>
      </c>
      <c r="B75" s="102" t="s">
        <v>3520</v>
      </c>
      <c r="C75" s="102" t="s">
        <v>3521</v>
      </c>
      <c r="D75" s="64" t="s">
        <v>119</v>
      </c>
      <c r="E75" s="155" t="s">
        <v>4129</v>
      </c>
      <c r="F75" s="160" t="s">
        <v>4206</v>
      </c>
      <c r="G75" s="161"/>
      <c r="H75" s="160" t="s">
        <v>4207</v>
      </c>
      <c r="I75" s="160"/>
      <c r="J75" s="160"/>
      <c r="K75" s="157" t="s">
        <v>4208</v>
      </c>
      <c r="L75" s="157"/>
      <c r="M75" s="157"/>
      <c r="N75" s="157"/>
      <c r="O75" s="157"/>
      <c r="P75" s="156">
        <v>2266</v>
      </c>
      <c r="Q75" s="156">
        <v>495</v>
      </c>
      <c r="R75" s="156"/>
      <c r="S75" s="161"/>
      <c r="T75" s="161"/>
      <c r="U75" s="161"/>
      <c r="V75" s="161"/>
      <c r="W75" s="161"/>
      <c r="X75" s="161"/>
      <c r="Y75" s="161"/>
      <c r="Z75" s="161"/>
      <c r="AA75" s="161"/>
      <c r="AB75" s="161"/>
      <c r="AC75" s="161"/>
      <c r="AD75" s="161"/>
      <c r="AE75" s="161"/>
      <c r="AF75" s="161"/>
      <c r="AG75" s="17"/>
      <c r="AH75" s="24"/>
      <c r="AI75" s="25"/>
      <c r="AJ75" s="25"/>
    </row>
    <row r="76" spans="1:36" x14ac:dyDescent="0.3">
      <c r="A76" s="63">
        <v>70</v>
      </c>
      <c r="B76" s="102" t="s">
        <v>3520</v>
      </c>
      <c r="C76" s="102" t="s">
        <v>3521</v>
      </c>
      <c r="D76" s="64" t="s">
        <v>119</v>
      </c>
      <c r="E76" s="155" t="s">
        <v>4129</v>
      </c>
      <c r="F76" s="160" t="s">
        <v>4206</v>
      </c>
      <c r="G76" s="161">
        <v>1</v>
      </c>
      <c r="H76" s="160" t="s">
        <v>4207</v>
      </c>
      <c r="I76" s="160"/>
      <c r="J76" s="160"/>
      <c r="K76" s="157" t="s">
        <v>4209</v>
      </c>
      <c r="L76" s="157"/>
      <c r="M76" s="157"/>
      <c r="N76" s="157"/>
      <c r="O76" s="157"/>
      <c r="P76" s="156">
        <v>2808</v>
      </c>
      <c r="Q76" s="156">
        <v>567</v>
      </c>
      <c r="R76" s="156"/>
      <c r="S76" s="161"/>
      <c r="T76" s="161"/>
      <c r="U76" s="161"/>
      <c r="V76" s="161"/>
      <c r="W76" s="161"/>
      <c r="X76" s="161"/>
      <c r="Y76" s="161"/>
      <c r="Z76" s="161"/>
      <c r="AA76" s="161"/>
      <c r="AB76" s="161"/>
      <c r="AC76" s="161"/>
      <c r="AD76" s="161"/>
      <c r="AE76" s="161"/>
      <c r="AF76" s="161"/>
      <c r="AG76" s="17"/>
      <c r="AH76" s="24"/>
      <c r="AI76" s="25"/>
      <c r="AJ76" s="25"/>
    </row>
    <row r="77" spans="1:36" x14ac:dyDescent="0.3">
      <c r="A77" s="63">
        <v>71</v>
      </c>
      <c r="B77" s="102" t="s">
        <v>3520</v>
      </c>
      <c r="C77" s="102" t="s">
        <v>3521</v>
      </c>
      <c r="D77" s="64" t="s">
        <v>119</v>
      </c>
      <c r="E77" s="155" t="s">
        <v>4129</v>
      </c>
      <c r="F77" s="160" t="s">
        <v>4206</v>
      </c>
      <c r="G77" s="161">
        <v>1</v>
      </c>
      <c r="H77" s="160" t="s">
        <v>4207</v>
      </c>
      <c r="I77" s="160"/>
      <c r="J77" s="160"/>
      <c r="K77" s="157" t="s">
        <v>4210</v>
      </c>
      <c r="L77" s="157"/>
      <c r="M77" s="157"/>
      <c r="N77" s="157"/>
      <c r="O77" s="157"/>
      <c r="P77" s="156">
        <v>936</v>
      </c>
      <c r="Q77" s="156">
        <v>220</v>
      </c>
      <c r="R77" s="156"/>
      <c r="S77" s="161"/>
      <c r="T77" s="161"/>
      <c r="U77" s="161"/>
      <c r="V77" s="161"/>
      <c r="W77" s="161"/>
      <c r="X77" s="161"/>
      <c r="Y77" s="161"/>
      <c r="Z77" s="161"/>
      <c r="AA77" s="161"/>
      <c r="AB77" s="161"/>
      <c r="AC77" s="161"/>
      <c r="AD77" s="161"/>
      <c r="AE77" s="161"/>
      <c r="AF77" s="161"/>
      <c r="AG77" s="17"/>
      <c r="AH77" s="24"/>
      <c r="AI77" s="25"/>
      <c r="AJ77" s="25"/>
    </row>
    <row r="78" spans="1:36" x14ac:dyDescent="0.3">
      <c r="A78" s="63">
        <v>72</v>
      </c>
      <c r="B78" s="102" t="s">
        <v>3520</v>
      </c>
      <c r="C78" s="102" t="s">
        <v>3521</v>
      </c>
      <c r="D78" s="64" t="s">
        <v>119</v>
      </c>
      <c r="E78" s="155" t="s">
        <v>4129</v>
      </c>
      <c r="F78" s="160" t="s">
        <v>4206</v>
      </c>
      <c r="G78" s="161">
        <v>2</v>
      </c>
      <c r="H78" s="160" t="s">
        <v>4207</v>
      </c>
      <c r="I78" s="160"/>
      <c r="J78" s="160"/>
      <c r="K78" s="157" t="s">
        <v>4211</v>
      </c>
      <c r="L78" s="157"/>
      <c r="M78" s="157"/>
      <c r="N78" s="157"/>
      <c r="O78" s="157"/>
      <c r="P78" s="156">
        <v>802</v>
      </c>
      <c r="Q78" s="156">
        <v>177</v>
      </c>
      <c r="R78" s="156"/>
      <c r="S78" s="161"/>
      <c r="T78" s="161"/>
      <c r="U78" s="161"/>
      <c r="V78" s="161"/>
      <c r="W78" s="161"/>
      <c r="X78" s="161"/>
      <c r="Y78" s="161"/>
      <c r="Z78" s="161"/>
      <c r="AA78" s="161"/>
      <c r="AB78" s="161"/>
      <c r="AC78" s="161"/>
      <c r="AD78" s="161"/>
      <c r="AE78" s="161"/>
      <c r="AF78" s="161"/>
      <c r="AG78" s="17"/>
      <c r="AH78" s="24"/>
      <c r="AI78" s="25"/>
      <c r="AJ78" s="25"/>
    </row>
    <row r="79" spans="1:36" x14ac:dyDescent="0.3">
      <c r="A79" s="63">
        <v>73</v>
      </c>
      <c r="B79" s="102" t="s">
        <v>3520</v>
      </c>
      <c r="C79" s="102" t="s">
        <v>3521</v>
      </c>
      <c r="D79" s="64" t="s">
        <v>119</v>
      </c>
      <c r="E79" s="155" t="s">
        <v>4129</v>
      </c>
      <c r="F79" s="160" t="s">
        <v>4206</v>
      </c>
      <c r="G79" s="161">
        <v>2</v>
      </c>
      <c r="H79" s="160" t="s">
        <v>4207</v>
      </c>
      <c r="I79" s="160"/>
      <c r="J79" s="160"/>
      <c r="K79" s="157" t="s">
        <v>4212</v>
      </c>
      <c r="L79" s="157"/>
      <c r="M79" s="157"/>
      <c r="N79" s="157"/>
      <c r="O79" s="157"/>
      <c r="P79" s="156">
        <v>2261</v>
      </c>
      <c r="Q79" s="156">
        <v>420</v>
      </c>
      <c r="R79" s="156"/>
      <c r="S79" s="161"/>
      <c r="T79" s="161"/>
      <c r="U79" s="161"/>
      <c r="V79" s="161"/>
      <c r="W79" s="161"/>
      <c r="X79" s="161"/>
      <c r="Y79" s="161"/>
      <c r="Z79" s="161"/>
      <c r="AA79" s="161"/>
      <c r="AB79" s="161"/>
      <c r="AC79" s="161"/>
      <c r="AD79" s="161"/>
      <c r="AE79" s="161"/>
      <c r="AF79" s="161"/>
      <c r="AG79" s="17"/>
      <c r="AH79" s="24"/>
      <c r="AI79" s="25"/>
      <c r="AJ79" s="25"/>
    </row>
    <row r="80" spans="1:36" x14ac:dyDescent="0.3">
      <c r="A80" s="63">
        <v>74</v>
      </c>
      <c r="B80" s="102" t="s">
        <v>3520</v>
      </c>
      <c r="C80" s="102" t="s">
        <v>3521</v>
      </c>
      <c r="D80" s="64" t="s">
        <v>119</v>
      </c>
      <c r="E80" s="155" t="s">
        <v>4129</v>
      </c>
      <c r="F80" s="160" t="s">
        <v>4206</v>
      </c>
      <c r="G80" s="161">
        <v>2</v>
      </c>
      <c r="H80" s="160" t="s">
        <v>4207</v>
      </c>
      <c r="I80" s="160"/>
      <c r="J80" s="160"/>
      <c r="K80" s="157" t="s">
        <v>4213</v>
      </c>
      <c r="L80" s="157"/>
      <c r="M80" s="157"/>
      <c r="N80" s="157"/>
      <c r="O80" s="157"/>
      <c r="P80" s="156">
        <v>2380</v>
      </c>
      <c r="Q80" s="156">
        <v>500</v>
      </c>
      <c r="R80" s="156"/>
      <c r="S80" s="161"/>
      <c r="T80" s="161"/>
      <c r="U80" s="161"/>
      <c r="V80" s="161"/>
      <c r="W80" s="161"/>
      <c r="X80" s="161"/>
      <c r="Y80" s="161"/>
      <c r="Z80" s="161"/>
      <c r="AA80" s="161"/>
      <c r="AB80" s="161"/>
      <c r="AC80" s="161"/>
      <c r="AD80" s="161"/>
      <c r="AE80" s="161"/>
      <c r="AF80" s="161"/>
      <c r="AG80" s="17"/>
      <c r="AH80" s="24"/>
      <c r="AI80" s="25"/>
      <c r="AJ80" s="25"/>
    </row>
    <row r="81" spans="1:36" x14ac:dyDescent="0.3">
      <c r="A81" s="63">
        <v>75</v>
      </c>
      <c r="B81" s="102" t="s">
        <v>3520</v>
      </c>
      <c r="C81" s="102" t="s">
        <v>3521</v>
      </c>
      <c r="D81" s="64" t="s">
        <v>119</v>
      </c>
      <c r="E81" s="155" t="s">
        <v>4129</v>
      </c>
      <c r="F81" s="160" t="s">
        <v>4206</v>
      </c>
      <c r="G81" s="161">
        <v>3</v>
      </c>
      <c r="H81" s="160" t="s">
        <v>4207</v>
      </c>
      <c r="I81" s="160"/>
      <c r="J81" s="160"/>
      <c r="K81" s="157" t="s">
        <v>4214</v>
      </c>
      <c r="L81" s="157"/>
      <c r="M81" s="157"/>
      <c r="N81" s="157"/>
      <c r="O81" s="157"/>
      <c r="P81" s="156">
        <v>3078</v>
      </c>
      <c r="Q81" s="156">
        <v>696</v>
      </c>
      <c r="R81" s="156"/>
      <c r="S81" s="161"/>
      <c r="T81" s="161"/>
      <c r="U81" s="161"/>
      <c r="V81" s="161"/>
      <c r="W81" s="161"/>
      <c r="X81" s="161"/>
      <c r="Y81" s="161"/>
      <c r="Z81" s="161"/>
      <c r="AA81" s="161"/>
      <c r="AB81" s="161"/>
      <c r="AC81" s="161"/>
      <c r="AD81" s="161"/>
      <c r="AE81" s="161"/>
      <c r="AF81" s="161"/>
      <c r="AG81" s="17"/>
      <c r="AH81" s="24"/>
      <c r="AI81" s="25"/>
      <c r="AJ81" s="25"/>
    </row>
    <row r="82" spans="1:36" x14ac:dyDescent="0.3">
      <c r="A82" s="63">
        <v>76</v>
      </c>
      <c r="B82" s="102" t="s">
        <v>3520</v>
      </c>
      <c r="C82" s="102" t="s">
        <v>3521</v>
      </c>
      <c r="D82" s="64" t="s">
        <v>119</v>
      </c>
      <c r="E82" s="155" t="s">
        <v>4129</v>
      </c>
      <c r="F82" s="160" t="s">
        <v>4206</v>
      </c>
      <c r="G82" s="161">
        <v>3</v>
      </c>
      <c r="H82" s="160" t="s">
        <v>4207</v>
      </c>
      <c r="I82" s="160"/>
      <c r="J82" s="160"/>
      <c r="K82" s="157" t="s">
        <v>4215</v>
      </c>
      <c r="L82" s="157"/>
      <c r="M82" s="157"/>
      <c r="N82" s="157"/>
      <c r="O82" s="157"/>
      <c r="P82" s="156">
        <v>3425</v>
      </c>
      <c r="Q82" s="156">
        <v>720</v>
      </c>
      <c r="R82" s="156"/>
      <c r="S82" s="161"/>
      <c r="T82" s="161"/>
      <c r="U82" s="161"/>
      <c r="V82" s="161"/>
      <c r="W82" s="161"/>
      <c r="X82" s="161"/>
      <c r="Y82" s="161"/>
      <c r="Z82" s="161"/>
      <c r="AA82" s="161"/>
      <c r="AB82" s="161"/>
      <c r="AC82" s="161"/>
      <c r="AD82" s="161"/>
      <c r="AE82" s="161"/>
      <c r="AF82" s="161"/>
      <c r="AG82" s="17"/>
      <c r="AH82" s="24"/>
      <c r="AI82" s="25"/>
      <c r="AJ82" s="25"/>
    </row>
    <row r="83" spans="1:36" x14ac:dyDescent="0.3">
      <c r="A83" s="63">
        <v>77</v>
      </c>
      <c r="B83" s="102" t="s">
        <v>3520</v>
      </c>
      <c r="C83" s="102" t="s">
        <v>3521</v>
      </c>
      <c r="D83" s="64" t="s">
        <v>119</v>
      </c>
      <c r="E83" s="155" t="s">
        <v>4129</v>
      </c>
      <c r="F83" s="160" t="s">
        <v>4206</v>
      </c>
      <c r="G83" s="161">
        <v>3</v>
      </c>
      <c r="H83" s="160" t="s">
        <v>4207</v>
      </c>
      <c r="I83" s="160"/>
      <c r="J83" s="160"/>
      <c r="K83" s="157" t="s">
        <v>4216</v>
      </c>
      <c r="L83" s="157"/>
      <c r="M83" s="157"/>
      <c r="N83" s="157"/>
      <c r="O83" s="157"/>
      <c r="P83" s="156">
        <v>1100</v>
      </c>
      <c r="Q83" s="156">
        <v>266</v>
      </c>
      <c r="R83" s="156"/>
      <c r="S83" s="161"/>
      <c r="T83" s="161"/>
      <c r="U83" s="161"/>
      <c r="V83" s="161"/>
      <c r="W83" s="161"/>
      <c r="X83" s="161"/>
      <c r="Y83" s="161"/>
      <c r="Z83" s="161"/>
      <c r="AA83" s="161"/>
      <c r="AB83" s="161"/>
      <c r="AC83" s="161"/>
      <c r="AD83" s="161"/>
      <c r="AE83" s="161"/>
      <c r="AF83" s="161"/>
      <c r="AG83" s="17"/>
      <c r="AH83" s="24"/>
      <c r="AI83" s="25"/>
      <c r="AJ83" s="25"/>
    </row>
    <row r="84" spans="1:36" x14ac:dyDescent="0.3">
      <c r="A84" s="63">
        <v>78</v>
      </c>
      <c r="B84" s="102" t="s">
        <v>3520</v>
      </c>
      <c r="C84" s="102" t="s">
        <v>3521</v>
      </c>
      <c r="D84" s="64" t="s">
        <v>119</v>
      </c>
      <c r="E84" s="155" t="s">
        <v>4129</v>
      </c>
      <c r="F84" s="160" t="s">
        <v>4206</v>
      </c>
      <c r="G84" s="161">
        <v>3</v>
      </c>
      <c r="H84" s="160" t="s">
        <v>4207</v>
      </c>
      <c r="I84" s="160"/>
      <c r="J84" s="160"/>
      <c r="K84" s="157" t="s">
        <v>4217</v>
      </c>
      <c r="L84" s="157"/>
      <c r="M84" s="157"/>
      <c r="N84" s="157"/>
      <c r="O84" s="157"/>
      <c r="P84" s="156">
        <v>912</v>
      </c>
      <c r="Q84" s="156">
        <v>240</v>
      </c>
      <c r="R84" s="156"/>
      <c r="S84" s="161"/>
      <c r="T84" s="161"/>
      <c r="U84" s="161"/>
      <c r="V84" s="161"/>
      <c r="W84" s="161"/>
      <c r="X84" s="161"/>
      <c r="Y84" s="161"/>
      <c r="Z84" s="161"/>
      <c r="AA84" s="161"/>
      <c r="AB84" s="161"/>
      <c r="AC84" s="161"/>
      <c r="AD84" s="161"/>
      <c r="AE84" s="161"/>
      <c r="AF84" s="161"/>
      <c r="AG84" s="17"/>
      <c r="AH84" s="24"/>
      <c r="AI84" s="25"/>
      <c r="AJ84" s="25"/>
    </row>
    <row r="85" spans="1:36" x14ac:dyDescent="0.3">
      <c r="A85" s="63">
        <v>79</v>
      </c>
      <c r="B85" s="102" t="s">
        <v>3520</v>
      </c>
      <c r="C85" s="102" t="s">
        <v>3521</v>
      </c>
      <c r="D85" s="64" t="s">
        <v>119</v>
      </c>
      <c r="E85" s="155" t="s">
        <v>4129</v>
      </c>
      <c r="F85" s="160" t="s">
        <v>4206</v>
      </c>
      <c r="G85" s="161">
        <v>4</v>
      </c>
      <c r="H85" s="160" t="s">
        <v>4207</v>
      </c>
      <c r="I85" s="160"/>
      <c r="J85" s="160"/>
      <c r="K85" s="157" t="s">
        <v>4218</v>
      </c>
      <c r="L85" s="157"/>
      <c r="M85" s="157"/>
      <c r="N85" s="157"/>
      <c r="O85" s="157"/>
      <c r="P85" s="156">
        <v>5819</v>
      </c>
      <c r="Q85" s="156">
        <v>1380</v>
      </c>
      <c r="R85" s="156"/>
      <c r="S85" s="161"/>
      <c r="T85" s="161"/>
      <c r="U85" s="161"/>
      <c r="V85" s="161"/>
      <c r="W85" s="161"/>
      <c r="X85" s="161"/>
      <c r="Y85" s="161"/>
      <c r="Z85" s="161"/>
      <c r="AA85" s="161"/>
      <c r="AB85" s="161"/>
      <c r="AC85" s="161"/>
      <c r="AD85" s="161"/>
      <c r="AE85" s="161"/>
      <c r="AF85" s="161"/>
      <c r="AG85" s="17"/>
      <c r="AH85" s="24"/>
      <c r="AI85" s="25"/>
      <c r="AJ85" s="25"/>
    </row>
    <row r="86" spans="1:36" x14ac:dyDescent="0.3">
      <c r="A86" s="63">
        <v>80</v>
      </c>
      <c r="B86" s="102" t="s">
        <v>3520</v>
      </c>
      <c r="C86" s="102" t="s">
        <v>3521</v>
      </c>
      <c r="D86" s="64" t="s">
        <v>119</v>
      </c>
      <c r="E86" s="155" t="s">
        <v>4129</v>
      </c>
      <c r="F86" s="160" t="s">
        <v>4206</v>
      </c>
      <c r="G86" s="161">
        <v>5</v>
      </c>
      <c r="H86" s="160" t="s">
        <v>4219</v>
      </c>
      <c r="I86" s="160"/>
      <c r="J86" s="160"/>
      <c r="K86" s="157" t="s">
        <v>4220</v>
      </c>
      <c r="L86" s="157"/>
      <c r="M86" s="157"/>
      <c r="N86" s="157"/>
      <c r="O86" s="157"/>
      <c r="P86" s="156">
        <v>1501</v>
      </c>
      <c r="Q86" s="156">
        <v>316</v>
      </c>
      <c r="R86" s="156"/>
      <c r="S86" s="161"/>
      <c r="T86" s="161"/>
      <c r="U86" s="161"/>
      <c r="V86" s="161"/>
      <c r="W86" s="161"/>
      <c r="X86" s="161"/>
      <c r="Y86" s="161"/>
      <c r="Z86" s="161"/>
      <c r="AA86" s="161"/>
      <c r="AB86" s="161"/>
      <c r="AC86" s="161"/>
      <c r="AD86" s="161"/>
      <c r="AE86" s="161"/>
      <c r="AF86" s="161"/>
      <c r="AG86" s="17"/>
      <c r="AH86" s="24"/>
      <c r="AI86" s="25"/>
      <c r="AJ86" s="25"/>
    </row>
    <row r="87" spans="1:36" x14ac:dyDescent="0.3">
      <c r="A87" s="63">
        <v>81</v>
      </c>
      <c r="B87" s="102" t="s">
        <v>3520</v>
      </c>
      <c r="C87" s="102" t="s">
        <v>3521</v>
      </c>
      <c r="D87" s="64" t="s">
        <v>119</v>
      </c>
      <c r="E87" s="155" t="s">
        <v>4129</v>
      </c>
      <c r="F87" s="160" t="s">
        <v>4206</v>
      </c>
      <c r="G87" s="161">
        <v>5</v>
      </c>
      <c r="H87" s="160" t="s">
        <v>4219</v>
      </c>
      <c r="I87" s="160"/>
      <c r="J87" s="160"/>
      <c r="K87" s="157" t="s">
        <v>4155</v>
      </c>
      <c r="L87" s="157"/>
      <c r="M87" s="157"/>
      <c r="N87" s="157"/>
      <c r="O87" s="157"/>
      <c r="P87" s="156">
        <v>4394</v>
      </c>
      <c r="Q87" s="156">
        <v>925</v>
      </c>
      <c r="R87" s="156"/>
      <c r="S87" s="161"/>
      <c r="T87" s="161"/>
      <c r="U87" s="161"/>
      <c r="V87" s="161"/>
      <c r="W87" s="161"/>
      <c r="X87" s="161"/>
      <c r="Y87" s="161"/>
      <c r="Z87" s="161"/>
      <c r="AA87" s="161"/>
      <c r="AB87" s="161"/>
      <c r="AC87" s="161"/>
      <c r="AD87" s="161"/>
      <c r="AE87" s="161"/>
      <c r="AF87" s="161"/>
      <c r="AG87" s="17"/>
      <c r="AH87" s="24"/>
      <c r="AI87" s="25"/>
      <c r="AJ87" s="25"/>
    </row>
    <row r="88" spans="1:36" x14ac:dyDescent="0.3">
      <c r="A88" s="63">
        <v>82</v>
      </c>
      <c r="B88" s="102" t="s">
        <v>3520</v>
      </c>
      <c r="C88" s="102" t="s">
        <v>3521</v>
      </c>
      <c r="D88" s="64" t="s">
        <v>119</v>
      </c>
      <c r="E88" s="155" t="s">
        <v>4129</v>
      </c>
      <c r="F88" s="160" t="s">
        <v>4206</v>
      </c>
      <c r="G88" s="161">
        <v>6</v>
      </c>
      <c r="H88" s="160" t="s">
        <v>4219</v>
      </c>
      <c r="I88" s="160"/>
      <c r="J88" s="160"/>
      <c r="K88" s="157" t="s">
        <v>4198</v>
      </c>
      <c r="L88" s="157"/>
      <c r="M88" s="157"/>
      <c r="N88" s="157"/>
      <c r="O88" s="157"/>
      <c r="P88" s="156">
        <v>3508</v>
      </c>
      <c r="Q88" s="156">
        <v>735</v>
      </c>
      <c r="R88" s="156"/>
      <c r="S88" s="161"/>
      <c r="T88" s="161"/>
      <c r="U88" s="161"/>
      <c r="V88" s="161"/>
      <c r="W88" s="161"/>
      <c r="X88" s="161"/>
      <c r="Y88" s="161"/>
      <c r="Z88" s="161"/>
      <c r="AA88" s="161"/>
      <c r="AB88" s="161"/>
      <c r="AC88" s="161"/>
      <c r="AD88" s="161"/>
      <c r="AE88" s="161"/>
      <c r="AF88" s="161"/>
      <c r="AG88" s="16"/>
      <c r="AH88" s="24"/>
      <c r="AI88" s="25"/>
      <c r="AJ88" s="25"/>
    </row>
    <row r="89" spans="1:36" x14ac:dyDescent="0.3">
      <c r="A89" s="63">
        <v>83</v>
      </c>
      <c r="B89" s="102" t="s">
        <v>3520</v>
      </c>
      <c r="C89" s="102" t="s">
        <v>3521</v>
      </c>
      <c r="D89" s="64" t="s">
        <v>119</v>
      </c>
      <c r="E89" s="155" t="s">
        <v>4129</v>
      </c>
      <c r="F89" s="160" t="s">
        <v>4206</v>
      </c>
      <c r="G89" s="161">
        <v>6</v>
      </c>
      <c r="H89" s="160" t="s">
        <v>4219</v>
      </c>
      <c r="I89" s="160"/>
      <c r="J89" s="160"/>
      <c r="K89" s="157" t="s">
        <v>4221</v>
      </c>
      <c r="L89" s="157"/>
      <c r="M89" s="157"/>
      <c r="N89" s="157"/>
      <c r="O89" s="157"/>
      <c r="P89" s="156">
        <v>8436</v>
      </c>
      <c r="Q89" s="156">
        <v>1020</v>
      </c>
      <c r="R89" s="156"/>
      <c r="S89" s="161"/>
      <c r="T89" s="161"/>
      <c r="U89" s="161"/>
      <c r="V89" s="161"/>
      <c r="W89" s="161"/>
      <c r="X89" s="161"/>
      <c r="Y89" s="161"/>
      <c r="Z89" s="161"/>
      <c r="AA89" s="161"/>
      <c r="AB89" s="161"/>
      <c r="AC89" s="161"/>
      <c r="AD89" s="161"/>
      <c r="AE89" s="161"/>
      <c r="AF89" s="161"/>
      <c r="AG89" s="17"/>
      <c r="AH89" s="24"/>
      <c r="AI89" s="25"/>
      <c r="AJ89" s="25"/>
    </row>
    <row r="90" spans="1:36" x14ac:dyDescent="0.3">
      <c r="A90" s="63">
        <v>84</v>
      </c>
      <c r="B90" s="102" t="s">
        <v>3520</v>
      </c>
      <c r="C90" s="102" t="s">
        <v>3521</v>
      </c>
      <c r="D90" s="64" t="s">
        <v>119</v>
      </c>
      <c r="E90" s="155" t="s">
        <v>4129</v>
      </c>
      <c r="F90" s="160" t="s">
        <v>4206</v>
      </c>
      <c r="G90" s="161">
        <v>7</v>
      </c>
      <c r="H90" s="160" t="s">
        <v>4219</v>
      </c>
      <c r="I90" s="160"/>
      <c r="J90" s="160"/>
      <c r="K90" s="157" t="s">
        <v>4222</v>
      </c>
      <c r="L90" s="157"/>
      <c r="M90" s="157"/>
      <c r="N90" s="157"/>
      <c r="O90" s="157"/>
      <c r="P90" s="156">
        <v>703</v>
      </c>
      <c r="Q90" s="156">
        <v>185</v>
      </c>
      <c r="R90" s="156"/>
      <c r="S90" s="161"/>
      <c r="T90" s="161"/>
      <c r="U90" s="161"/>
      <c r="V90" s="161"/>
      <c r="W90" s="161"/>
      <c r="X90" s="161"/>
      <c r="Y90" s="161"/>
      <c r="Z90" s="161"/>
      <c r="AA90" s="161"/>
      <c r="AB90" s="161"/>
      <c r="AC90" s="161"/>
      <c r="AD90" s="161"/>
      <c r="AE90" s="161"/>
      <c r="AF90" s="161"/>
      <c r="AG90" s="17"/>
      <c r="AH90" s="24"/>
      <c r="AI90" s="25"/>
      <c r="AJ90" s="25"/>
    </row>
    <row r="91" spans="1:36" x14ac:dyDescent="0.3">
      <c r="A91" s="63">
        <v>85</v>
      </c>
      <c r="B91" s="102" t="s">
        <v>3520</v>
      </c>
      <c r="C91" s="102" t="s">
        <v>3521</v>
      </c>
      <c r="D91" s="64" t="s">
        <v>119</v>
      </c>
      <c r="E91" s="155" t="s">
        <v>4129</v>
      </c>
      <c r="F91" s="160" t="s">
        <v>4206</v>
      </c>
      <c r="G91" s="161">
        <v>7</v>
      </c>
      <c r="H91" s="160" t="s">
        <v>4219</v>
      </c>
      <c r="I91" s="160"/>
      <c r="J91" s="160"/>
      <c r="K91" s="157" t="s">
        <v>4223</v>
      </c>
      <c r="L91" s="157"/>
      <c r="M91" s="157"/>
      <c r="N91" s="157"/>
      <c r="O91" s="157"/>
      <c r="P91" s="156">
        <v>1572</v>
      </c>
      <c r="Q91" s="156">
        <v>312</v>
      </c>
      <c r="R91" s="156"/>
      <c r="S91" s="161"/>
      <c r="T91" s="161"/>
      <c r="U91" s="161"/>
      <c r="V91" s="161"/>
      <c r="W91" s="161"/>
      <c r="X91" s="161"/>
      <c r="Y91" s="161"/>
      <c r="Z91" s="161"/>
      <c r="AA91" s="161"/>
      <c r="AB91" s="161"/>
      <c r="AC91" s="161"/>
      <c r="AD91" s="161"/>
      <c r="AE91" s="161"/>
      <c r="AF91" s="161"/>
      <c r="AG91" s="17"/>
      <c r="AH91" s="24"/>
      <c r="AI91" s="25"/>
      <c r="AJ91" s="25"/>
    </row>
    <row r="92" spans="1:36" x14ac:dyDescent="0.3">
      <c r="A92" s="63">
        <v>86</v>
      </c>
      <c r="B92" s="102" t="s">
        <v>3520</v>
      </c>
      <c r="C92" s="102" t="s">
        <v>3521</v>
      </c>
      <c r="D92" s="64" t="s">
        <v>119</v>
      </c>
      <c r="E92" s="155" t="s">
        <v>4129</v>
      </c>
      <c r="F92" s="160" t="s">
        <v>4206</v>
      </c>
      <c r="G92" s="161">
        <v>7</v>
      </c>
      <c r="H92" s="160" t="s">
        <v>4219</v>
      </c>
      <c r="I92" s="160"/>
      <c r="J92" s="160"/>
      <c r="K92" s="157" t="s">
        <v>4224</v>
      </c>
      <c r="L92" s="157"/>
      <c r="M92" s="157"/>
      <c r="N92" s="157"/>
      <c r="O92" s="157"/>
      <c r="P92" s="156">
        <v>1418</v>
      </c>
      <c r="Q92" s="156">
        <v>311</v>
      </c>
      <c r="R92" s="156"/>
      <c r="S92" s="161"/>
      <c r="T92" s="161"/>
      <c r="U92" s="161"/>
      <c r="V92" s="161"/>
      <c r="W92" s="161"/>
      <c r="X92" s="161"/>
      <c r="Y92" s="161"/>
      <c r="Z92" s="161"/>
      <c r="AA92" s="161"/>
      <c r="AB92" s="161"/>
      <c r="AC92" s="161"/>
      <c r="AD92" s="161"/>
      <c r="AE92" s="161"/>
      <c r="AF92" s="161"/>
      <c r="AG92" s="17"/>
      <c r="AH92" s="24"/>
      <c r="AI92" s="25"/>
      <c r="AJ92" s="25"/>
    </row>
    <row r="93" spans="1:36" x14ac:dyDescent="0.3">
      <c r="A93" s="63">
        <v>87</v>
      </c>
      <c r="B93" s="102" t="s">
        <v>3520</v>
      </c>
      <c r="C93" s="102" t="s">
        <v>3521</v>
      </c>
      <c r="D93" s="64" t="s">
        <v>119</v>
      </c>
      <c r="E93" s="155" t="s">
        <v>4129</v>
      </c>
      <c r="F93" s="160" t="s">
        <v>4206</v>
      </c>
      <c r="G93" s="161">
        <v>7</v>
      </c>
      <c r="H93" s="160" t="s">
        <v>4219</v>
      </c>
      <c r="I93" s="160"/>
      <c r="J93" s="160"/>
      <c r="K93" s="157" t="s">
        <v>4225</v>
      </c>
      <c r="L93" s="157"/>
      <c r="M93" s="157"/>
      <c r="N93" s="157"/>
      <c r="O93" s="157"/>
      <c r="P93" s="156">
        <v>2261</v>
      </c>
      <c r="Q93" s="156">
        <v>409</v>
      </c>
      <c r="R93" s="156"/>
      <c r="S93" s="161"/>
      <c r="T93" s="161"/>
      <c r="U93" s="161"/>
      <c r="V93" s="161"/>
      <c r="W93" s="161"/>
      <c r="X93" s="161"/>
      <c r="Y93" s="161"/>
      <c r="Z93" s="161"/>
      <c r="AA93" s="161"/>
      <c r="AB93" s="161"/>
      <c r="AC93" s="161"/>
      <c r="AD93" s="161"/>
      <c r="AE93" s="161"/>
      <c r="AF93" s="161"/>
      <c r="AG93" s="17"/>
      <c r="AH93" s="24"/>
      <c r="AI93" s="25"/>
      <c r="AJ93" s="25"/>
    </row>
    <row r="94" spans="1:36" x14ac:dyDescent="0.3">
      <c r="A94" s="63">
        <v>88</v>
      </c>
      <c r="B94" s="102" t="s">
        <v>3520</v>
      </c>
      <c r="C94" s="102" t="s">
        <v>3521</v>
      </c>
      <c r="D94" s="64" t="s">
        <v>119</v>
      </c>
      <c r="E94" s="155" t="s">
        <v>4129</v>
      </c>
      <c r="F94" s="160" t="s">
        <v>4206</v>
      </c>
      <c r="G94" s="161">
        <v>8</v>
      </c>
      <c r="H94" s="160" t="s">
        <v>4219</v>
      </c>
      <c r="I94" s="160"/>
      <c r="J94" s="160"/>
      <c r="K94" s="157" t="s">
        <v>4226</v>
      </c>
      <c r="L94" s="157"/>
      <c r="M94" s="157"/>
      <c r="N94" s="157"/>
      <c r="O94" s="157"/>
      <c r="P94" s="156">
        <v>2044</v>
      </c>
      <c r="Q94" s="156">
        <v>435</v>
      </c>
      <c r="R94" s="156"/>
      <c r="S94" s="161"/>
      <c r="T94" s="161"/>
      <c r="U94" s="161"/>
      <c r="V94" s="161"/>
      <c r="W94" s="161"/>
      <c r="X94" s="161"/>
      <c r="Y94" s="161"/>
      <c r="Z94" s="161"/>
      <c r="AA94" s="161"/>
      <c r="AB94" s="161"/>
      <c r="AC94" s="161"/>
      <c r="AD94" s="161"/>
      <c r="AE94" s="161"/>
      <c r="AF94" s="161"/>
      <c r="AG94" s="17"/>
      <c r="AH94" s="24"/>
      <c r="AI94" s="25"/>
      <c r="AJ94" s="25"/>
    </row>
    <row r="95" spans="1:36" x14ac:dyDescent="0.3">
      <c r="A95" s="63">
        <v>89</v>
      </c>
      <c r="B95" s="102" t="s">
        <v>3520</v>
      </c>
      <c r="C95" s="102" t="s">
        <v>3521</v>
      </c>
      <c r="D95" s="64" t="s">
        <v>119</v>
      </c>
      <c r="E95" s="155" t="s">
        <v>4129</v>
      </c>
      <c r="F95" s="160" t="s">
        <v>4206</v>
      </c>
      <c r="G95" s="161">
        <v>8</v>
      </c>
      <c r="H95" s="160" t="s">
        <v>4219</v>
      </c>
      <c r="I95" s="160"/>
      <c r="J95" s="160"/>
      <c r="K95" s="157" t="s">
        <v>4227</v>
      </c>
      <c r="L95" s="157"/>
      <c r="M95" s="157"/>
      <c r="N95" s="157"/>
      <c r="O95" s="157"/>
      <c r="P95" s="156">
        <v>1587</v>
      </c>
      <c r="Q95" s="156">
        <v>331</v>
      </c>
      <c r="R95" s="156"/>
      <c r="S95" s="161"/>
      <c r="T95" s="161"/>
      <c r="U95" s="161"/>
      <c r="V95" s="161"/>
      <c r="W95" s="161"/>
      <c r="X95" s="161"/>
      <c r="Y95" s="161"/>
      <c r="Z95" s="161"/>
      <c r="AA95" s="161"/>
      <c r="AB95" s="161"/>
      <c r="AC95" s="161"/>
      <c r="AD95" s="161"/>
      <c r="AE95" s="161"/>
      <c r="AF95" s="161"/>
      <c r="AG95" s="17"/>
      <c r="AH95" s="24"/>
      <c r="AI95" s="25"/>
      <c r="AJ95" s="25"/>
    </row>
    <row r="96" spans="1:36" x14ac:dyDescent="0.3">
      <c r="A96" s="63">
        <v>90</v>
      </c>
      <c r="B96" s="102" t="s">
        <v>3520</v>
      </c>
      <c r="C96" s="102" t="s">
        <v>3521</v>
      </c>
      <c r="D96" s="64" t="s">
        <v>119</v>
      </c>
      <c r="E96" s="155" t="s">
        <v>4129</v>
      </c>
      <c r="F96" s="160" t="s">
        <v>4206</v>
      </c>
      <c r="G96" s="161">
        <v>8</v>
      </c>
      <c r="H96" s="160" t="s">
        <v>4219</v>
      </c>
      <c r="I96" s="160"/>
      <c r="J96" s="160"/>
      <c r="K96" s="157" t="s">
        <v>4228</v>
      </c>
      <c r="L96" s="157"/>
      <c r="M96" s="157"/>
      <c r="N96" s="157"/>
      <c r="O96" s="157"/>
      <c r="P96" s="156">
        <v>1254</v>
      </c>
      <c r="Q96" s="156">
        <v>330</v>
      </c>
      <c r="R96" s="156"/>
      <c r="S96" s="161"/>
      <c r="T96" s="161"/>
      <c r="U96" s="161"/>
      <c r="V96" s="161"/>
      <c r="W96" s="161"/>
      <c r="X96" s="161"/>
      <c r="Y96" s="161"/>
      <c r="Z96" s="161"/>
      <c r="AA96" s="161"/>
      <c r="AB96" s="161"/>
      <c r="AC96" s="161"/>
      <c r="AD96" s="161"/>
      <c r="AE96" s="161"/>
      <c r="AF96" s="161"/>
      <c r="AG96" s="17"/>
      <c r="AH96" s="24"/>
      <c r="AI96" s="25"/>
      <c r="AJ96" s="25"/>
    </row>
    <row r="97" spans="1:36" x14ac:dyDescent="0.3">
      <c r="A97" s="63">
        <v>91</v>
      </c>
      <c r="B97" s="102" t="s">
        <v>3520</v>
      </c>
      <c r="C97" s="102" t="s">
        <v>3521</v>
      </c>
      <c r="D97" s="64" t="s">
        <v>119</v>
      </c>
      <c r="E97" s="155" t="s">
        <v>4129</v>
      </c>
      <c r="F97" s="160" t="s">
        <v>4206</v>
      </c>
      <c r="G97" s="161">
        <v>8</v>
      </c>
      <c r="H97" s="160" t="s">
        <v>4219</v>
      </c>
      <c r="I97" s="160"/>
      <c r="J97" s="160"/>
      <c r="K97" s="157" t="s">
        <v>4229</v>
      </c>
      <c r="L97" s="157"/>
      <c r="M97" s="157"/>
      <c r="N97" s="157"/>
      <c r="O97" s="157"/>
      <c r="P97" s="156">
        <v>463</v>
      </c>
      <c r="Q97" s="156">
        <v>105</v>
      </c>
      <c r="R97" s="156"/>
      <c r="S97" s="161"/>
      <c r="T97" s="161"/>
      <c r="U97" s="161"/>
      <c r="V97" s="161"/>
      <c r="W97" s="161"/>
      <c r="X97" s="161"/>
      <c r="Y97" s="161"/>
      <c r="Z97" s="161"/>
      <c r="AA97" s="161"/>
      <c r="AB97" s="161"/>
      <c r="AC97" s="161"/>
      <c r="AD97" s="161"/>
      <c r="AE97" s="161"/>
      <c r="AF97" s="161"/>
      <c r="AG97" s="17"/>
      <c r="AH97" s="24"/>
      <c r="AI97" s="25"/>
      <c r="AJ97" s="25"/>
    </row>
    <row r="98" spans="1:36" x14ac:dyDescent="0.3">
      <c r="A98" s="63">
        <v>92</v>
      </c>
      <c r="B98" s="102" t="s">
        <v>3520</v>
      </c>
      <c r="C98" s="102" t="s">
        <v>3521</v>
      </c>
      <c r="D98" s="64" t="s">
        <v>119</v>
      </c>
      <c r="E98" s="155" t="s">
        <v>4129</v>
      </c>
      <c r="F98" s="160" t="s">
        <v>4206</v>
      </c>
      <c r="G98" s="161">
        <v>9</v>
      </c>
      <c r="H98" s="160" t="s">
        <v>4219</v>
      </c>
      <c r="I98" s="160"/>
      <c r="J98" s="160"/>
      <c r="K98" s="157" t="s">
        <v>4132</v>
      </c>
      <c r="L98" s="157"/>
      <c r="M98" s="157"/>
      <c r="N98" s="157"/>
      <c r="O98" s="157"/>
      <c r="P98" s="156">
        <v>836</v>
      </c>
      <c r="Q98" s="156">
        <v>207</v>
      </c>
      <c r="R98" s="156"/>
      <c r="S98" s="161"/>
      <c r="T98" s="161"/>
      <c r="U98" s="161"/>
      <c r="V98" s="161"/>
      <c r="W98" s="161"/>
      <c r="X98" s="161"/>
      <c r="Y98" s="161"/>
      <c r="Z98" s="161"/>
      <c r="AA98" s="161"/>
      <c r="AB98" s="161"/>
      <c r="AC98" s="161"/>
      <c r="AD98" s="161"/>
      <c r="AE98" s="161"/>
      <c r="AF98" s="161"/>
      <c r="AG98" s="17"/>
      <c r="AH98" s="24"/>
      <c r="AI98" s="25"/>
      <c r="AJ98" s="25"/>
    </row>
    <row r="99" spans="1:36" x14ac:dyDescent="0.3">
      <c r="A99" s="63">
        <v>93</v>
      </c>
      <c r="B99" s="102" t="s">
        <v>3520</v>
      </c>
      <c r="C99" s="102" t="s">
        <v>3521</v>
      </c>
      <c r="D99" s="64" t="s">
        <v>119</v>
      </c>
      <c r="E99" s="155" t="s">
        <v>4129</v>
      </c>
      <c r="F99" s="160" t="s">
        <v>4206</v>
      </c>
      <c r="G99" s="161">
        <v>9</v>
      </c>
      <c r="H99" s="160" t="s">
        <v>4219</v>
      </c>
      <c r="I99" s="160"/>
      <c r="J99" s="160"/>
      <c r="K99" s="157" t="s">
        <v>4230</v>
      </c>
      <c r="L99" s="157"/>
      <c r="M99" s="157"/>
      <c r="N99" s="157"/>
      <c r="O99" s="157"/>
      <c r="P99" s="156">
        <v>770</v>
      </c>
      <c r="Q99" s="156">
        <v>155</v>
      </c>
      <c r="R99" s="156"/>
      <c r="S99" s="161"/>
      <c r="T99" s="161"/>
      <c r="U99" s="161"/>
      <c r="V99" s="161"/>
      <c r="W99" s="161"/>
      <c r="X99" s="161"/>
      <c r="Y99" s="161"/>
      <c r="Z99" s="161"/>
      <c r="AA99" s="161"/>
      <c r="AB99" s="161"/>
      <c r="AC99" s="161"/>
      <c r="AD99" s="161"/>
      <c r="AE99" s="161"/>
      <c r="AF99" s="161"/>
      <c r="AG99" s="17"/>
      <c r="AH99" s="24"/>
      <c r="AI99" s="25"/>
      <c r="AJ99" s="25"/>
    </row>
    <row r="100" spans="1:36" x14ac:dyDescent="0.3">
      <c r="A100" s="63">
        <v>94</v>
      </c>
      <c r="B100" s="102" t="s">
        <v>3520</v>
      </c>
      <c r="C100" s="102" t="s">
        <v>3521</v>
      </c>
      <c r="D100" s="64" t="s">
        <v>119</v>
      </c>
      <c r="E100" s="155" t="s">
        <v>4129</v>
      </c>
      <c r="F100" s="160" t="s">
        <v>4231</v>
      </c>
      <c r="G100" s="161">
        <v>1</v>
      </c>
      <c r="H100" s="160" t="s">
        <v>4232</v>
      </c>
      <c r="I100" s="160"/>
      <c r="J100" s="160"/>
      <c r="K100" s="157" t="s">
        <v>4233</v>
      </c>
      <c r="L100" s="157"/>
      <c r="M100" s="157"/>
      <c r="N100" s="157"/>
      <c r="O100" s="157"/>
      <c r="P100" s="156">
        <v>1014</v>
      </c>
      <c r="Q100" s="156">
        <v>350</v>
      </c>
      <c r="R100" s="156"/>
      <c r="S100" s="161"/>
      <c r="T100" s="161"/>
      <c r="U100" s="161"/>
      <c r="V100" s="161"/>
      <c r="W100" s="161"/>
      <c r="X100" s="161"/>
      <c r="Y100" s="161"/>
      <c r="Z100" s="161"/>
      <c r="AA100" s="161"/>
      <c r="AB100" s="161"/>
      <c r="AC100" s="161"/>
      <c r="AD100" s="161"/>
      <c r="AE100" s="161"/>
      <c r="AF100" s="161"/>
      <c r="AG100" s="17"/>
      <c r="AH100" s="24"/>
      <c r="AI100" s="25"/>
      <c r="AJ100" s="25"/>
    </row>
    <row r="101" spans="1:36" x14ac:dyDescent="0.3">
      <c r="A101" s="63">
        <v>95</v>
      </c>
      <c r="B101" s="102" t="s">
        <v>3520</v>
      </c>
      <c r="C101" s="102" t="s">
        <v>3521</v>
      </c>
      <c r="D101" s="64" t="s">
        <v>119</v>
      </c>
      <c r="E101" s="155" t="s">
        <v>4129</v>
      </c>
      <c r="F101" s="160" t="s">
        <v>4231</v>
      </c>
      <c r="G101" s="161">
        <v>1</v>
      </c>
      <c r="H101" s="160" t="s">
        <v>4232</v>
      </c>
      <c r="I101" s="160"/>
      <c r="J101" s="160"/>
      <c r="K101" s="157" t="s">
        <v>4234</v>
      </c>
      <c r="L101" s="157"/>
      <c r="M101" s="157"/>
      <c r="N101" s="157"/>
      <c r="O101" s="157"/>
      <c r="P101" s="156">
        <v>659</v>
      </c>
      <c r="Q101" s="156">
        <v>141</v>
      </c>
      <c r="R101" s="156"/>
      <c r="S101" s="161"/>
      <c r="T101" s="161"/>
      <c r="U101" s="161"/>
      <c r="V101" s="161"/>
      <c r="W101" s="161"/>
      <c r="X101" s="161"/>
      <c r="Y101" s="161"/>
      <c r="Z101" s="161"/>
      <c r="AA101" s="161"/>
      <c r="AB101" s="161"/>
      <c r="AC101" s="161"/>
      <c r="AD101" s="161"/>
      <c r="AE101" s="161"/>
      <c r="AF101" s="161"/>
      <c r="AG101" s="17"/>
      <c r="AH101" s="24"/>
      <c r="AI101" s="25"/>
      <c r="AJ101" s="25"/>
    </row>
    <row r="102" spans="1:36" x14ac:dyDescent="0.3">
      <c r="A102" s="63">
        <v>96</v>
      </c>
      <c r="B102" s="102" t="s">
        <v>3520</v>
      </c>
      <c r="C102" s="102" t="s">
        <v>3521</v>
      </c>
      <c r="D102" s="64" t="s">
        <v>119</v>
      </c>
      <c r="E102" s="155" t="s">
        <v>4129</v>
      </c>
      <c r="F102" s="160" t="s">
        <v>4231</v>
      </c>
      <c r="G102" s="161">
        <v>1</v>
      </c>
      <c r="H102" s="160" t="s">
        <v>4232</v>
      </c>
      <c r="I102" s="160"/>
      <c r="J102" s="160"/>
      <c r="K102" s="157" t="s">
        <v>4235</v>
      </c>
      <c r="L102" s="157"/>
      <c r="M102" s="157"/>
      <c r="N102" s="157"/>
      <c r="O102" s="157"/>
      <c r="P102" s="156">
        <v>1302</v>
      </c>
      <c r="Q102" s="156">
        <v>410</v>
      </c>
      <c r="R102" s="156"/>
      <c r="S102" s="161"/>
      <c r="T102" s="161"/>
      <c r="U102" s="161"/>
      <c r="V102" s="161"/>
      <c r="W102" s="161"/>
      <c r="X102" s="161"/>
      <c r="Y102" s="161"/>
      <c r="Z102" s="161"/>
      <c r="AA102" s="161"/>
      <c r="AB102" s="161"/>
      <c r="AC102" s="161"/>
      <c r="AD102" s="161"/>
      <c r="AE102" s="161"/>
      <c r="AF102" s="161"/>
      <c r="AG102" s="17"/>
      <c r="AH102" s="24"/>
      <c r="AI102" s="25"/>
      <c r="AJ102" s="25"/>
    </row>
    <row r="103" spans="1:36" x14ac:dyDescent="0.3">
      <c r="A103" s="63">
        <v>97</v>
      </c>
      <c r="B103" s="102" t="s">
        <v>3520</v>
      </c>
      <c r="C103" s="102" t="s">
        <v>3521</v>
      </c>
      <c r="D103" s="64" t="s">
        <v>119</v>
      </c>
      <c r="E103" s="155" t="s">
        <v>4129</v>
      </c>
      <c r="F103" s="160" t="s">
        <v>4231</v>
      </c>
      <c r="G103" s="161">
        <v>1</v>
      </c>
      <c r="H103" s="160" t="s">
        <v>4232</v>
      </c>
      <c r="I103" s="160"/>
      <c r="J103" s="160"/>
      <c r="K103" s="157" t="s">
        <v>4236</v>
      </c>
      <c r="L103" s="157"/>
      <c r="M103" s="157"/>
      <c r="N103" s="157"/>
      <c r="O103" s="157"/>
      <c r="P103" s="156">
        <v>1427</v>
      </c>
      <c r="Q103" s="156">
        <v>480</v>
      </c>
      <c r="R103" s="156"/>
      <c r="S103" s="161"/>
      <c r="T103" s="161"/>
      <c r="U103" s="161"/>
      <c r="V103" s="161"/>
      <c r="W103" s="161"/>
      <c r="X103" s="161"/>
      <c r="Y103" s="161"/>
      <c r="Z103" s="161"/>
      <c r="AA103" s="161"/>
      <c r="AB103" s="161"/>
      <c r="AC103" s="161"/>
      <c r="AD103" s="161"/>
      <c r="AE103" s="161"/>
      <c r="AF103" s="161"/>
      <c r="AG103" s="17"/>
      <c r="AH103" s="24"/>
      <c r="AI103" s="25"/>
      <c r="AJ103" s="25"/>
    </row>
    <row r="104" spans="1:36" x14ac:dyDescent="0.3">
      <c r="A104" s="63">
        <v>98</v>
      </c>
      <c r="B104" s="102" t="s">
        <v>3520</v>
      </c>
      <c r="C104" s="102" t="s">
        <v>3521</v>
      </c>
      <c r="D104" s="64" t="s">
        <v>119</v>
      </c>
      <c r="E104" s="155" t="s">
        <v>4129</v>
      </c>
      <c r="F104" s="160" t="s">
        <v>4231</v>
      </c>
      <c r="G104" s="161">
        <v>1</v>
      </c>
      <c r="H104" s="160" t="s">
        <v>4232</v>
      </c>
      <c r="I104" s="160"/>
      <c r="J104" s="160"/>
      <c r="K104" s="157" t="s">
        <v>4237</v>
      </c>
      <c r="L104" s="157"/>
      <c r="M104" s="157"/>
      <c r="N104" s="157"/>
      <c r="O104" s="157"/>
      <c r="P104" s="156">
        <v>323</v>
      </c>
      <c r="Q104" s="156">
        <v>87</v>
      </c>
      <c r="R104" s="156"/>
      <c r="S104" s="161"/>
      <c r="T104" s="161"/>
      <c r="U104" s="161"/>
      <c r="V104" s="161"/>
      <c r="W104" s="161"/>
      <c r="X104" s="161"/>
      <c r="Y104" s="161"/>
      <c r="Z104" s="161"/>
      <c r="AA104" s="161"/>
      <c r="AB104" s="161"/>
      <c r="AC104" s="161"/>
      <c r="AD104" s="161"/>
      <c r="AE104" s="161"/>
      <c r="AF104" s="161"/>
      <c r="AG104" s="17"/>
      <c r="AH104" s="24"/>
      <c r="AI104" s="25"/>
      <c r="AJ104" s="25"/>
    </row>
    <row r="105" spans="1:36" x14ac:dyDescent="0.3">
      <c r="A105" s="63">
        <v>99</v>
      </c>
      <c r="B105" s="102" t="s">
        <v>3520</v>
      </c>
      <c r="C105" s="102" t="s">
        <v>3521</v>
      </c>
      <c r="D105" s="64" t="s">
        <v>119</v>
      </c>
      <c r="E105" s="155" t="s">
        <v>4129</v>
      </c>
      <c r="F105" s="160" t="s">
        <v>4231</v>
      </c>
      <c r="G105" s="161">
        <v>1</v>
      </c>
      <c r="H105" s="160" t="s">
        <v>4232</v>
      </c>
      <c r="I105" s="160"/>
      <c r="J105" s="160"/>
      <c r="K105" s="157" t="s">
        <v>4238</v>
      </c>
      <c r="L105" s="157"/>
      <c r="M105" s="157"/>
      <c r="N105" s="157"/>
      <c r="O105" s="157"/>
      <c r="P105" s="156">
        <v>3477</v>
      </c>
      <c r="Q105" s="156">
        <v>987</v>
      </c>
      <c r="R105" s="156"/>
      <c r="S105" s="161"/>
      <c r="T105" s="161"/>
      <c r="U105" s="161"/>
      <c r="V105" s="161"/>
      <c r="W105" s="161"/>
      <c r="X105" s="161"/>
      <c r="Y105" s="161"/>
      <c r="Z105" s="161"/>
      <c r="AA105" s="161"/>
      <c r="AB105" s="161"/>
      <c r="AC105" s="161"/>
      <c r="AD105" s="161"/>
      <c r="AE105" s="161"/>
      <c r="AF105" s="161"/>
      <c r="AG105" s="17"/>
      <c r="AH105" s="24"/>
      <c r="AI105" s="25"/>
      <c r="AJ105" s="25"/>
    </row>
    <row r="106" spans="1:36" x14ac:dyDescent="0.3">
      <c r="A106" s="63">
        <v>100</v>
      </c>
      <c r="B106" s="102" t="s">
        <v>3520</v>
      </c>
      <c r="C106" s="102" t="s">
        <v>3521</v>
      </c>
      <c r="D106" s="64" t="s">
        <v>119</v>
      </c>
      <c r="E106" s="155" t="s">
        <v>4129</v>
      </c>
      <c r="F106" s="160" t="s">
        <v>4231</v>
      </c>
      <c r="G106" s="161">
        <v>1</v>
      </c>
      <c r="H106" s="160" t="s">
        <v>4232</v>
      </c>
      <c r="I106" s="160"/>
      <c r="J106" s="160"/>
      <c r="K106" s="157" t="s">
        <v>4239</v>
      </c>
      <c r="L106" s="157"/>
      <c r="M106" s="157"/>
      <c r="N106" s="157"/>
      <c r="O106" s="157"/>
      <c r="P106" s="156">
        <v>1059</v>
      </c>
      <c r="Q106" s="156">
        <v>285</v>
      </c>
      <c r="R106" s="156"/>
      <c r="S106" s="161"/>
      <c r="T106" s="161"/>
      <c r="U106" s="161"/>
      <c r="V106" s="161"/>
      <c r="W106" s="161"/>
      <c r="X106" s="161"/>
      <c r="Y106" s="161"/>
      <c r="Z106" s="161"/>
      <c r="AA106" s="161"/>
      <c r="AB106" s="161"/>
      <c r="AC106" s="161"/>
      <c r="AD106" s="161"/>
      <c r="AE106" s="161"/>
      <c r="AF106" s="161"/>
      <c r="AG106" s="17"/>
      <c r="AH106" s="24"/>
      <c r="AI106" s="25"/>
      <c r="AJ106" s="25"/>
    </row>
    <row r="107" spans="1:36" x14ac:dyDescent="0.3">
      <c r="A107" s="63">
        <v>101</v>
      </c>
      <c r="B107" s="102" t="s">
        <v>3520</v>
      </c>
      <c r="C107" s="102" t="s">
        <v>3521</v>
      </c>
      <c r="D107" s="64" t="s">
        <v>119</v>
      </c>
      <c r="E107" s="155" t="s">
        <v>4129</v>
      </c>
      <c r="F107" s="160" t="s">
        <v>4231</v>
      </c>
      <c r="G107" s="161">
        <v>2</v>
      </c>
      <c r="H107" s="160" t="s">
        <v>4232</v>
      </c>
      <c r="I107" s="160"/>
      <c r="J107" s="160"/>
      <c r="K107" s="157" t="s">
        <v>4240</v>
      </c>
      <c r="L107" s="157"/>
      <c r="M107" s="157"/>
      <c r="N107" s="157"/>
      <c r="O107" s="157"/>
      <c r="P107" s="156">
        <v>1831</v>
      </c>
      <c r="Q107" s="156">
        <v>677</v>
      </c>
      <c r="R107" s="156"/>
      <c r="S107" s="161"/>
      <c r="T107" s="161"/>
      <c r="U107" s="161"/>
      <c r="V107" s="161"/>
      <c r="W107" s="161"/>
      <c r="X107" s="161"/>
      <c r="Y107" s="161"/>
      <c r="Z107" s="161"/>
      <c r="AA107" s="161"/>
      <c r="AB107" s="161"/>
      <c r="AC107" s="161"/>
      <c r="AD107" s="161"/>
      <c r="AE107" s="161"/>
      <c r="AF107" s="161"/>
      <c r="AG107" s="17"/>
      <c r="AH107" s="24"/>
      <c r="AI107" s="25"/>
      <c r="AJ107" s="25"/>
    </row>
    <row r="108" spans="1:36" x14ac:dyDescent="0.3">
      <c r="A108" s="63">
        <v>102</v>
      </c>
      <c r="B108" s="102" t="s">
        <v>3520</v>
      </c>
      <c r="C108" s="102" t="s">
        <v>3521</v>
      </c>
      <c r="D108" s="64" t="s">
        <v>119</v>
      </c>
      <c r="E108" s="155" t="s">
        <v>4129</v>
      </c>
      <c r="F108" s="160" t="s">
        <v>4231</v>
      </c>
      <c r="G108" s="161">
        <v>2</v>
      </c>
      <c r="H108" s="160" t="s">
        <v>4232</v>
      </c>
      <c r="I108" s="160"/>
      <c r="J108" s="160"/>
      <c r="K108" s="157" t="s">
        <v>4241</v>
      </c>
      <c r="L108" s="157"/>
      <c r="M108" s="157"/>
      <c r="N108" s="157"/>
      <c r="O108" s="157"/>
      <c r="P108" s="156">
        <v>1600</v>
      </c>
      <c r="Q108" s="156">
        <v>510</v>
      </c>
      <c r="R108" s="156"/>
      <c r="S108" s="161"/>
      <c r="T108" s="161"/>
      <c r="U108" s="161"/>
      <c r="V108" s="161"/>
      <c r="W108" s="161"/>
      <c r="X108" s="161"/>
      <c r="Y108" s="161"/>
      <c r="Z108" s="161"/>
      <c r="AA108" s="161"/>
      <c r="AB108" s="161"/>
      <c r="AC108" s="161"/>
      <c r="AD108" s="161"/>
      <c r="AE108" s="161"/>
      <c r="AF108" s="161"/>
      <c r="AG108" s="17"/>
      <c r="AH108" s="24"/>
      <c r="AI108" s="25"/>
      <c r="AJ108" s="25"/>
    </row>
    <row r="109" spans="1:36" x14ac:dyDescent="0.3">
      <c r="A109" s="63">
        <v>103</v>
      </c>
      <c r="B109" s="102" t="s">
        <v>3520</v>
      </c>
      <c r="C109" s="102" t="s">
        <v>3521</v>
      </c>
      <c r="D109" s="64" t="s">
        <v>119</v>
      </c>
      <c r="E109" s="155" t="s">
        <v>4129</v>
      </c>
      <c r="F109" s="160" t="s">
        <v>4231</v>
      </c>
      <c r="G109" s="161">
        <v>2</v>
      </c>
      <c r="H109" s="160" t="s">
        <v>4232</v>
      </c>
      <c r="I109" s="160"/>
      <c r="J109" s="160"/>
      <c r="K109" s="157" t="s">
        <v>4242</v>
      </c>
      <c r="L109" s="157"/>
      <c r="M109" s="157"/>
      <c r="N109" s="157"/>
      <c r="O109" s="157"/>
      <c r="P109" s="156">
        <v>494</v>
      </c>
      <c r="Q109" s="156">
        <v>105</v>
      </c>
      <c r="R109" s="156"/>
      <c r="S109" s="161"/>
      <c r="T109" s="161"/>
      <c r="U109" s="161"/>
      <c r="V109" s="161"/>
      <c r="W109" s="161"/>
      <c r="X109" s="161"/>
      <c r="Y109" s="161"/>
      <c r="Z109" s="161"/>
      <c r="AA109" s="161"/>
      <c r="AB109" s="161"/>
      <c r="AC109" s="161"/>
      <c r="AD109" s="161"/>
      <c r="AE109" s="161"/>
      <c r="AF109" s="161"/>
      <c r="AG109" s="17"/>
      <c r="AH109" s="24"/>
      <c r="AI109" s="25"/>
      <c r="AJ109" s="25"/>
    </row>
    <row r="110" spans="1:36" x14ac:dyDescent="0.3">
      <c r="A110" s="63">
        <v>104</v>
      </c>
      <c r="B110" s="102" t="s">
        <v>3520</v>
      </c>
      <c r="C110" s="102" t="s">
        <v>3521</v>
      </c>
      <c r="D110" s="64" t="s">
        <v>119</v>
      </c>
      <c r="E110" s="155" t="s">
        <v>4129</v>
      </c>
      <c r="F110" s="160" t="s">
        <v>4231</v>
      </c>
      <c r="G110" s="161">
        <v>2</v>
      </c>
      <c r="H110" s="160" t="s">
        <v>4232</v>
      </c>
      <c r="I110" s="160"/>
      <c r="J110" s="160"/>
      <c r="K110" s="157" t="s">
        <v>4243</v>
      </c>
      <c r="L110" s="157"/>
      <c r="M110" s="157"/>
      <c r="N110" s="157"/>
      <c r="O110" s="157"/>
      <c r="P110" s="156">
        <v>1331</v>
      </c>
      <c r="Q110" s="156">
        <v>480</v>
      </c>
      <c r="R110" s="156"/>
      <c r="S110" s="161"/>
      <c r="T110" s="161"/>
      <c r="U110" s="161"/>
      <c r="V110" s="161"/>
      <c r="W110" s="161"/>
      <c r="X110" s="161"/>
      <c r="Y110" s="161"/>
      <c r="Z110" s="161"/>
      <c r="AA110" s="161"/>
      <c r="AB110" s="161"/>
      <c r="AC110" s="161"/>
      <c r="AD110" s="161"/>
      <c r="AE110" s="161"/>
      <c r="AF110" s="161"/>
      <c r="AG110" s="17"/>
      <c r="AH110" s="24"/>
      <c r="AI110" s="25"/>
      <c r="AJ110" s="25"/>
    </row>
    <row r="111" spans="1:36" x14ac:dyDescent="0.3">
      <c r="A111" s="63">
        <v>105</v>
      </c>
      <c r="B111" s="102" t="s">
        <v>3520</v>
      </c>
      <c r="C111" s="102" t="s">
        <v>3521</v>
      </c>
      <c r="D111" s="64" t="s">
        <v>119</v>
      </c>
      <c r="E111" s="155" t="s">
        <v>4129</v>
      </c>
      <c r="F111" s="160" t="s">
        <v>4231</v>
      </c>
      <c r="G111" s="161">
        <v>2</v>
      </c>
      <c r="H111" s="160" t="s">
        <v>4232</v>
      </c>
      <c r="I111" s="160"/>
      <c r="J111" s="160"/>
      <c r="K111" s="157" t="s">
        <v>4244</v>
      </c>
      <c r="L111" s="157"/>
      <c r="M111" s="157"/>
      <c r="N111" s="157"/>
      <c r="O111" s="157"/>
      <c r="P111" s="156">
        <v>1473</v>
      </c>
      <c r="Q111" s="156">
        <v>490</v>
      </c>
      <c r="R111" s="156"/>
      <c r="S111" s="161"/>
      <c r="T111" s="161"/>
      <c r="U111" s="161"/>
      <c r="V111" s="161"/>
      <c r="W111" s="161"/>
      <c r="X111" s="161"/>
      <c r="Y111" s="161"/>
      <c r="Z111" s="161"/>
      <c r="AA111" s="161"/>
      <c r="AB111" s="161"/>
      <c r="AC111" s="161"/>
      <c r="AD111" s="161"/>
      <c r="AE111" s="161"/>
      <c r="AF111" s="161"/>
      <c r="AG111" s="17"/>
      <c r="AH111" s="24"/>
      <c r="AI111" s="25"/>
      <c r="AJ111" s="25"/>
    </row>
    <row r="112" spans="1:36" x14ac:dyDescent="0.3">
      <c r="A112" s="63">
        <v>106</v>
      </c>
      <c r="B112" s="102" t="s">
        <v>3520</v>
      </c>
      <c r="C112" s="102" t="s">
        <v>3521</v>
      </c>
      <c r="D112" s="64" t="s">
        <v>119</v>
      </c>
      <c r="E112" s="155" t="s">
        <v>4129</v>
      </c>
      <c r="F112" s="160" t="s">
        <v>4231</v>
      </c>
      <c r="G112" s="161">
        <v>2</v>
      </c>
      <c r="H112" s="160" t="s">
        <v>4232</v>
      </c>
      <c r="I112" s="160"/>
      <c r="J112" s="160"/>
      <c r="K112" s="157" t="s">
        <v>4245</v>
      </c>
      <c r="L112" s="157"/>
      <c r="M112" s="157"/>
      <c r="N112" s="157"/>
      <c r="O112" s="157"/>
      <c r="P112" s="156">
        <v>2860</v>
      </c>
      <c r="Q112" s="156">
        <v>986</v>
      </c>
      <c r="R112" s="156"/>
      <c r="S112" s="161"/>
      <c r="T112" s="161"/>
      <c r="U112" s="161"/>
      <c r="V112" s="161"/>
      <c r="W112" s="161"/>
      <c r="X112" s="161"/>
      <c r="Y112" s="161"/>
      <c r="Z112" s="161"/>
      <c r="AA112" s="161"/>
      <c r="AB112" s="161"/>
      <c r="AC112" s="161"/>
      <c r="AD112" s="161"/>
      <c r="AE112" s="161"/>
      <c r="AF112" s="161"/>
      <c r="AG112" s="17"/>
      <c r="AH112" s="24"/>
      <c r="AI112" s="25"/>
      <c r="AJ112" s="25"/>
    </row>
    <row r="113" spans="1:36" x14ac:dyDescent="0.3">
      <c r="A113" s="63">
        <v>107</v>
      </c>
      <c r="B113" s="102" t="s">
        <v>3520</v>
      </c>
      <c r="C113" s="102" t="s">
        <v>3521</v>
      </c>
      <c r="D113" s="64" t="s">
        <v>119</v>
      </c>
      <c r="E113" s="155" t="s">
        <v>4129</v>
      </c>
      <c r="F113" s="160" t="s">
        <v>4231</v>
      </c>
      <c r="G113" s="161">
        <v>2</v>
      </c>
      <c r="H113" s="160" t="s">
        <v>4232</v>
      </c>
      <c r="I113" s="160"/>
      <c r="J113" s="160"/>
      <c r="K113" s="157" t="s">
        <v>4246</v>
      </c>
      <c r="L113" s="157"/>
      <c r="M113" s="157"/>
      <c r="N113" s="157"/>
      <c r="O113" s="157"/>
      <c r="P113" s="156">
        <v>352</v>
      </c>
      <c r="Q113" s="156">
        <v>92</v>
      </c>
      <c r="R113" s="156"/>
      <c r="S113" s="161"/>
      <c r="T113" s="161"/>
      <c r="U113" s="161"/>
      <c r="V113" s="161"/>
      <c r="W113" s="161"/>
      <c r="X113" s="161"/>
      <c r="Y113" s="161"/>
      <c r="Z113" s="161"/>
      <c r="AA113" s="161"/>
      <c r="AB113" s="161"/>
      <c r="AC113" s="161"/>
      <c r="AD113" s="161"/>
      <c r="AE113" s="161"/>
      <c r="AF113" s="161"/>
      <c r="AG113" s="17"/>
      <c r="AH113" s="24"/>
      <c r="AI113" s="25"/>
      <c r="AJ113" s="25"/>
    </row>
    <row r="114" spans="1:36" x14ac:dyDescent="0.3">
      <c r="A114" s="63">
        <v>108</v>
      </c>
      <c r="B114" s="102" t="s">
        <v>3520</v>
      </c>
      <c r="C114" s="102" t="s">
        <v>3521</v>
      </c>
      <c r="D114" s="64" t="s">
        <v>119</v>
      </c>
      <c r="E114" s="155" t="s">
        <v>4129</v>
      </c>
      <c r="F114" s="160" t="s">
        <v>4231</v>
      </c>
      <c r="G114" s="161">
        <v>2</v>
      </c>
      <c r="H114" s="160" t="s">
        <v>4232</v>
      </c>
      <c r="I114" s="160"/>
      <c r="J114" s="160"/>
      <c r="K114" s="157" t="s">
        <v>4247</v>
      </c>
      <c r="L114" s="157"/>
      <c r="M114" s="157"/>
      <c r="N114" s="157"/>
      <c r="O114" s="157"/>
      <c r="P114" s="156">
        <v>1006</v>
      </c>
      <c r="Q114" s="156">
        <v>390</v>
      </c>
      <c r="R114" s="156"/>
      <c r="S114" s="161"/>
      <c r="T114" s="161"/>
      <c r="U114" s="161"/>
      <c r="V114" s="161"/>
      <c r="W114" s="161"/>
      <c r="X114" s="161"/>
      <c r="Y114" s="161"/>
      <c r="Z114" s="161"/>
      <c r="AA114" s="161"/>
      <c r="AB114" s="161"/>
      <c r="AC114" s="161"/>
      <c r="AD114" s="161"/>
      <c r="AE114" s="161"/>
      <c r="AF114" s="161"/>
      <c r="AG114" s="17"/>
      <c r="AH114" s="24"/>
      <c r="AI114" s="25"/>
      <c r="AJ114" s="25"/>
    </row>
    <row r="115" spans="1:36" x14ac:dyDescent="0.3">
      <c r="A115" s="63">
        <v>109</v>
      </c>
      <c r="B115" s="102" t="s">
        <v>3520</v>
      </c>
      <c r="C115" s="102" t="s">
        <v>3521</v>
      </c>
      <c r="D115" s="64" t="s">
        <v>119</v>
      </c>
      <c r="E115" s="155" t="s">
        <v>4129</v>
      </c>
      <c r="F115" s="160" t="s">
        <v>4231</v>
      </c>
      <c r="G115" s="161">
        <v>4</v>
      </c>
      <c r="H115" s="160" t="s">
        <v>4232</v>
      </c>
      <c r="I115" s="160"/>
      <c r="J115" s="160"/>
      <c r="K115" s="157" t="s">
        <v>4248</v>
      </c>
      <c r="L115" s="157"/>
      <c r="M115" s="157"/>
      <c r="N115" s="157"/>
      <c r="O115" s="157"/>
      <c r="P115" s="156">
        <v>1848</v>
      </c>
      <c r="Q115" s="156">
        <v>412</v>
      </c>
      <c r="R115" s="156"/>
      <c r="S115" s="161"/>
      <c r="T115" s="161"/>
      <c r="U115" s="161"/>
      <c r="V115" s="161"/>
      <c r="W115" s="161"/>
      <c r="X115" s="161"/>
      <c r="Y115" s="161"/>
      <c r="Z115" s="161"/>
      <c r="AA115" s="161"/>
      <c r="AB115" s="161"/>
      <c r="AC115" s="161"/>
      <c r="AD115" s="161"/>
      <c r="AE115" s="161"/>
      <c r="AF115" s="161"/>
      <c r="AG115" s="17"/>
      <c r="AH115" s="24"/>
      <c r="AI115" s="25"/>
      <c r="AJ115" s="25"/>
    </row>
    <row r="116" spans="1:36" x14ac:dyDescent="0.3">
      <c r="A116" s="63">
        <v>110</v>
      </c>
      <c r="B116" s="102" t="s">
        <v>3520</v>
      </c>
      <c r="C116" s="102" t="s">
        <v>3521</v>
      </c>
      <c r="D116" s="64" t="s">
        <v>119</v>
      </c>
      <c r="E116" s="155" t="s">
        <v>4129</v>
      </c>
      <c r="F116" s="160" t="s">
        <v>4231</v>
      </c>
      <c r="G116" s="161">
        <v>4</v>
      </c>
      <c r="H116" s="160" t="s">
        <v>4232</v>
      </c>
      <c r="I116" s="160"/>
      <c r="J116" s="160"/>
      <c r="K116" s="157" t="s">
        <v>4249</v>
      </c>
      <c r="L116" s="157"/>
      <c r="M116" s="157"/>
      <c r="N116" s="157"/>
      <c r="O116" s="157"/>
      <c r="P116" s="156">
        <v>1525</v>
      </c>
      <c r="Q116" s="156">
        <v>331</v>
      </c>
      <c r="R116" s="156"/>
      <c r="S116" s="161"/>
      <c r="T116" s="161"/>
      <c r="U116" s="161"/>
      <c r="V116" s="161"/>
      <c r="W116" s="161"/>
      <c r="X116" s="161"/>
      <c r="Y116" s="161"/>
      <c r="Z116" s="161"/>
      <c r="AA116" s="161"/>
      <c r="AB116" s="161"/>
      <c r="AC116" s="161"/>
      <c r="AD116" s="161"/>
      <c r="AE116" s="161"/>
      <c r="AF116" s="161"/>
      <c r="AG116" s="17"/>
      <c r="AH116" s="24"/>
      <c r="AI116" s="25"/>
      <c r="AJ116" s="25"/>
    </row>
    <row r="117" spans="1:36" x14ac:dyDescent="0.3">
      <c r="A117" s="63">
        <v>111</v>
      </c>
      <c r="B117" s="102" t="s">
        <v>3520</v>
      </c>
      <c r="C117" s="102" t="s">
        <v>3521</v>
      </c>
      <c r="D117" s="64" t="s">
        <v>119</v>
      </c>
      <c r="E117" s="155" t="s">
        <v>4129</v>
      </c>
      <c r="F117" s="160" t="s">
        <v>4231</v>
      </c>
      <c r="G117" s="161">
        <v>4</v>
      </c>
      <c r="H117" s="160" t="s">
        <v>4232</v>
      </c>
      <c r="I117" s="160"/>
      <c r="J117" s="160"/>
      <c r="K117" s="157" t="s">
        <v>4172</v>
      </c>
      <c r="L117" s="157"/>
      <c r="M117" s="157"/>
      <c r="N117" s="157"/>
      <c r="O117" s="157"/>
      <c r="P117" s="156">
        <v>328</v>
      </c>
      <c r="Q117" s="156">
        <v>82</v>
      </c>
      <c r="R117" s="156"/>
      <c r="S117" s="161"/>
      <c r="T117" s="161"/>
      <c r="U117" s="161"/>
      <c r="V117" s="161"/>
      <c r="W117" s="161"/>
      <c r="X117" s="161"/>
      <c r="Y117" s="161"/>
      <c r="Z117" s="161"/>
      <c r="AA117" s="161"/>
      <c r="AB117" s="161"/>
      <c r="AC117" s="161"/>
      <c r="AD117" s="161"/>
      <c r="AE117" s="161"/>
      <c r="AF117" s="161"/>
      <c r="AG117" s="17"/>
      <c r="AH117" s="24"/>
      <c r="AI117" s="25"/>
      <c r="AJ117" s="25"/>
    </row>
    <row r="118" spans="1:36" x14ac:dyDescent="0.3">
      <c r="A118" s="63">
        <v>112</v>
      </c>
      <c r="B118" s="102" t="s">
        <v>3520</v>
      </c>
      <c r="C118" s="102" t="s">
        <v>3521</v>
      </c>
      <c r="D118" s="64" t="s">
        <v>119</v>
      </c>
      <c r="E118" s="155" t="s">
        <v>4129</v>
      </c>
      <c r="F118" s="160" t="s">
        <v>4231</v>
      </c>
      <c r="G118" s="161">
        <v>4</v>
      </c>
      <c r="H118" s="160" t="s">
        <v>4232</v>
      </c>
      <c r="I118" s="160"/>
      <c r="J118" s="160"/>
      <c r="K118" s="157" t="s">
        <v>4250</v>
      </c>
      <c r="L118" s="157"/>
      <c r="M118" s="157"/>
      <c r="N118" s="157"/>
      <c r="O118" s="157"/>
      <c r="P118" s="156">
        <v>1588</v>
      </c>
      <c r="Q118" s="156">
        <v>366</v>
      </c>
      <c r="R118" s="156"/>
      <c r="S118" s="161"/>
      <c r="T118" s="161"/>
      <c r="U118" s="161"/>
      <c r="V118" s="161"/>
      <c r="W118" s="161"/>
      <c r="X118" s="161"/>
      <c r="Y118" s="161"/>
      <c r="Z118" s="161"/>
      <c r="AA118" s="161"/>
      <c r="AB118" s="161"/>
      <c r="AC118" s="161"/>
      <c r="AD118" s="161"/>
      <c r="AE118" s="161"/>
      <c r="AF118" s="161"/>
      <c r="AG118" s="17"/>
      <c r="AH118" s="24"/>
      <c r="AI118" s="25"/>
      <c r="AJ118" s="25"/>
    </row>
    <row r="119" spans="1:36" x14ac:dyDescent="0.3">
      <c r="A119" s="63">
        <v>113</v>
      </c>
      <c r="B119" s="102" t="s">
        <v>3520</v>
      </c>
      <c r="C119" s="102" t="s">
        <v>3521</v>
      </c>
      <c r="D119" s="64" t="s">
        <v>119</v>
      </c>
      <c r="E119" s="155" t="s">
        <v>4129</v>
      </c>
      <c r="F119" s="160" t="s">
        <v>4231</v>
      </c>
      <c r="G119" s="161">
        <v>4</v>
      </c>
      <c r="H119" s="160" t="s">
        <v>4232</v>
      </c>
      <c r="I119" s="160"/>
      <c r="J119" s="160"/>
      <c r="K119" s="157" t="s">
        <v>4251</v>
      </c>
      <c r="L119" s="157"/>
      <c r="M119" s="157"/>
      <c r="N119" s="157"/>
      <c r="O119" s="157"/>
      <c r="P119" s="156">
        <v>472</v>
      </c>
      <c r="Q119" s="156">
        <v>129</v>
      </c>
      <c r="R119" s="156"/>
      <c r="S119" s="161"/>
      <c r="T119" s="161"/>
      <c r="U119" s="161"/>
      <c r="V119" s="161"/>
      <c r="W119" s="161"/>
      <c r="X119" s="161"/>
      <c r="Y119" s="161"/>
      <c r="Z119" s="161"/>
      <c r="AA119" s="161"/>
      <c r="AB119" s="161"/>
      <c r="AC119" s="161"/>
      <c r="AD119" s="161"/>
      <c r="AE119" s="161"/>
      <c r="AF119" s="161"/>
      <c r="AG119" s="17"/>
      <c r="AH119" s="24"/>
      <c r="AI119" s="25"/>
      <c r="AJ119" s="25"/>
    </row>
    <row r="120" spans="1:36" x14ac:dyDescent="0.3">
      <c r="A120" s="63">
        <v>114</v>
      </c>
      <c r="B120" s="102" t="s">
        <v>3520</v>
      </c>
      <c r="C120" s="102" t="s">
        <v>3521</v>
      </c>
      <c r="D120" s="64" t="s">
        <v>119</v>
      </c>
      <c r="E120" s="155" t="s">
        <v>4129</v>
      </c>
      <c r="F120" s="160" t="s">
        <v>4231</v>
      </c>
      <c r="G120" s="161">
        <v>5</v>
      </c>
      <c r="H120" s="160" t="s">
        <v>4232</v>
      </c>
      <c r="I120" s="160"/>
      <c r="J120" s="160"/>
      <c r="K120" s="157" t="s">
        <v>4252</v>
      </c>
      <c r="L120" s="157"/>
      <c r="M120" s="157"/>
      <c r="N120" s="157"/>
      <c r="O120" s="157"/>
      <c r="P120" s="156">
        <v>602</v>
      </c>
      <c r="Q120" s="156">
        <v>117</v>
      </c>
      <c r="R120" s="156"/>
      <c r="S120" s="161"/>
      <c r="T120" s="161"/>
      <c r="U120" s="161"/>
      <c r="V120" s="161"/>
      <c r="W120" s="161"/>
      <c r="X120" s="161"/>
      <c r="Y120" s="161"/>
      <c r="Z120" s="161"/>
      <c r="AA120" s="161"/>
      <c r="AB120" s="161"/>
      <c r="AC120" s="161"/>
      <c r="AD120" s="161"/>
      <c r="AE120" s="161"/>
      <c r="AF120" s="161"/>
      <c r="AG120" s="17"/>
      <c r="AH120" s="24"/>
      <c r="AI120" s="25"/>
      <c r="AJ120" s="25"/>
    </row>
    <row r="121" spans="1:36" x14ac:dyDescent="0.3">
      <c r="A121" s="63">
        <v>115</v>
      </c>
      <c r="B121" s="102" t="s">
        <v>3520</v>
      </c>
      <c r="C121" s="102" t="s">
        <v>3521</v>
      </c>
      <c r="D121" s="64" t="s">
        <v>119</v>
      </c>
      <c r="E121" s="155" t="s">
        <v>4129</v>
      </c>
      <c r="F121" s="160" t="s">
        <v>4231</v>
      </c>
      <c r="G121" s="161">
        <v>5</v>
      </c>
      <c r="H121" s="160" t="s">
        <v>4232</v>
      </c>
      <c r="I121" s="160"/>
      <c r="J121" s="160"/>
      <c r="K121" s="157" t="s">
        <v>4253</v>
      </c>
      <c r="L121" s="157"/>
      <c r="M121" s="157"/>
      <c r="N121" s="157"/>
      <c r="O121" s="157"/>
      <c r="P121" s="156">
        <v>589</v>
      </c>
      <c r="Q121" s="156">
        <v>126</v>
      </c>
      <c r="R121" s="156"/>
      <c r="S121" s="161"/>
      <c r="T121" s="161"/>
      <c r="U121" s="161"/>
      <c r="V121" s="161"/>
      <c r="W121" s="161"/>
      <c r="X121" s="161"/>
      <c r="Y121" s="161"/>
      <c r="Z121" s="161"/>
      <c r="AA121" s="161"/>
      <c r="AB121" s="161"/>
      <c r="AC121" s="161"/>
      <c r="AD121" s="161"/>
      <c r="AE121" s="161"/>
      <c r="AF121" s="161"/>
      <c r="AG121" s="17"/>
      <c r="AH121" s="24"/>
      <c r="AI121" s="25"/>
      <c r="AJ121" s="25"/>
    </row>
    <row r="122" spans="1:36" x14ac:dyDescent="0.3">
      <c r="A122" s="63">
        <v>116</v>
      </c>
      <c r="B122" s="102" t="s">
        <v>3520</v>
      </c>
      <c r="C122" s="102" t="s">
        <v>3521</v>
      </c>
      <c r="D122" s="64" t="s">
        <v>119</v>
      </c>
      <c r="E122" s="155" t="s">
        <v>4129</v>
      </c>
      <c r="F122" s="160" t="s">
        <v>4231</v>
      </c>
      <c r="G122" s="161">
        <v>5</v>
      </c>
      <c r="H122" s="160" t="s">
        <v>4232</v>
      </c>
      <c r="I122" s="160"/>
      <c r="J122" s="160"/>
      <c r="K122" s="157" t="s">
        <v>4254</v>
      </c>
      <c r="L122" s="157"/>
      <c r="M122" s="157"/>
      <c r="N122" s="157"/>
      <c r="O122" s="157"/>
      <c r="P122" s="156">
        <v>650</v>
      </c>
      <c r="Q122" s="156">
        <v>139</v>
      </c>
      <c r="R122" s="156"/>
      <c r="S122" s="161"/>
      <c r="T122" s="161"/>
      <c r="U122" s="161"/>
      <c r="V122" s="161"/>
      <c r="W122" s="161"/>
      <c r="X122" s="161"/>
      <c r="Y122" s="161"/>
      <c r="Z122" s="161"/>
      <c r="AA122" s="161"/>
      <c r="AB122" s="161"/>
      <c r="AC122" s="161"/>
      <c r="AD122" s="161"/>
      <c r="AE122" s="161"/>
      <c r="AF122" s="161"/>
      <c r="AG122" s="17"/>
      <c r="AH122" s="24"/>
      <c r="AI122" s="25"/>
      <c r="AJ122" s="25"/>
    </row>
    <row r="123" spans="1:36" x14ac:dyDescent="0.3">
      <c r="A123" s="63">
        <v>117</v>
      </c>
      <c r="B123" s="102" t="s">
        <v>3520</v>
      </c>
      <c r="C123" s="102" t="s">
        <v>3521</v>
      </c>
      <c r="D123" s="64" t="s">
        <v>119</v>
      </c>
      <c r="E123" s="155" t="s">
        <v>4129</v>
      </c>
      <c r="F123" s="160" t="s">
        <v>4231</v>
      </c>
      <c r="G123" s="161">
        <v>5</v>
      </c>
      <c r="H123" s="160" t="s">
        <v>4232</v>
      </c>
      <c r="I123" s="160"/>
      <c r="J123" s="160"/>
      <c r="K123" s="157" t="s">
        <v>4255</v>
      </c>
      <c r="L123" s="157"/>
      <c r="M123" s="157"/>
      <c r="N123" s="157"/>
      <c r="O123" s="157"/>
      <c r="P123" s="156">
        <v>1115</v>
      </c>
      <c r="Q123" s="156">
        <v>236</v>
      </c>
      <c r="R123" s="156"/>
      <c r="S123" s="161"/>
      <c r="T123" s="161"/>
      <c r="U123" s="161"/>
      <c r="V123" s="161"/>
      <c r="W123" s="161"/>
      <c r="X123" s="161"/>
      <c r="Y123" s="161"/>
      <c r="Z123" s="161"/>
      <c r="AA123" s="161"/>
      <c r="AB123" s="161"/>
      <c r="AC123" s="161"/>
      <c r="AD123" s="161"/>
      <c r="AE123" s="161"/>
      <c r="AF123" s="161"/>
      <c r="AG123" s="17"/>
      <c r="AH123" s="24"/>
      <c r="AI123" s="25"/>
      <c r="AJ123" s="25"/>
    </row>
    <row r="124" spans="1:36" x14ac:dyDescent="0.3">
      <c r="A124" s="63">
        <v>118</v>
      </c>
      <c r="B124" s="102" t="s">
        <v>3520</v>
      </c>
      <c r="C124" s="102" t="s">
        <v>3521</v>
      </c>
      <c r="D124" s="64" t="s">
        <v>119</v>
      </c>
      <c r="E124" s="155" t="s">
        <v>4129</v>
      </c>
      <c r="F124" s="160" t="s">
        <v>4231</v>
      </c>
      <c r="G124" s="161">
        <v>5</v>
      </c>
      <c r="H124" s="160" t="s">
        <v>4232</v>
      </c>
      <c r="I124" s="160"/>
      <c r="J124" s="160"/>
      <c r="K124" s="157" t="s">
        <v>4256</v>
      </c>
      <c r="L124" s="157"/>
      <c r="M124" s="157"/>
      <c r="N124" s="157"/>
      <c r="O124" s="157"/>
      <c r="P124" s="156">
        <v>2023</v>
      </c>
      <c r="Q124" s="156">
        <v>701</v>
      </c>
      <c r="R124" s="156"/>
      <c r="S124" s="161"/>
      <c r="T124" s="161"/>
      <c r="U124" s="161"/>
      <c r="V124" s="161"/>
      <c r="W124" s="161"/>
      <c r="X124" s="161"/>
      <c r="Y124" s="161"/>
      <c r="Z124" s="161"/>
      <c r="AA124" s="161"/>
      <c r="AB124" s="161"/>
      <c r="AC124" s="161"/>
      <c r="AD124" s="161"/>
      <c r="AE124" s="161"/>
      <c r="AF124" s="161"/>
      <c r="AG124" s="17"/>
      <c r="AH124" s="24"/>
      <c r="AI124" s="25"/>
      <c r="AJ124" s="25"/>
    </row>
    <row r="125" spans="1:36" x14ac:dyDescent="0.3">
      <c r="A125" s="63">
        <v>119</v>
      </c>
      <c r="B125" s="102" t="s">
        <v>3520</v>
      </c>
      <c r="C125" s="102" t="s">
        <v>3521</v>
      </c>
      <c r="D125" s="64" t="s">
        <v>119</v>
      </c>
      <c r="E125" s="155" t="s">
        <v>4129</v>
      </c>
      <c r="F125" s="160" t="s">
        <v>4231</v>
      </c>
      <c r="G125" s="161">
        <v>5</v>
      </c>
      <c r="H125" s="160" t="s">
        <v>4232</v>
      </c>
      <c r="I125" s="160"/>
      <c r="J125" s="160"/>
      <c r="K125" s="157" t="s">
        <v>4257</v>
      </c>
      <c r="L125" s="157"/>
      <c r="M125" s="157"/>
      <c r="N125" s="157"/>
      <c r="O125" s="157"/>
      <c r="P125" s="156">
        <v>1162</v>
      </c>
      <c r="Q125" s="156">
        <v>305</v>
      </c>
      <c r="R125" s="156"/>
      <c r="S125" s="161"/>
      <c r="T125" s="161"/>
      <c r="U125" s="161"/>
      <c r="V125" s="161"/>
      <c r="W125" s="161"/>
      <c r="X125" s="161"/>
      <c r="Y125" s="161"/>
      <c r="Z125" s="161"/>
      <c r="AA125" s="161"/>
      <c r="AB125" s="161"/>
      <c r="AC125" s="161"/>
      <c r="AD125" s="161"/>
      <c r="AE125" s="161"/>
      <c r="AF125" s="161"/>
      <c r="AG125" s="17"/>
      <c r="AH125" s="24"/>
      <c r="AI125" s="25"/>
      <c r="AJ125" s="25"/>
    </row>
    <row r="126" spans="1:36" x14ac:dyDescent="0.3">
      <c r="A126" s="63">
        <v>120</v>
      </c>
      <c r="B126" s="102" t="s">
        <v>3520</v>
      </c>
      <c r="C126" s="102" t="s">
        <v>3521</v>
      </c>
      <c r="D126" s="64" t="s">
        <v>119</v>
      </c>
      <c r="E126" s="155" t="s">
        <v>4129</v>
      </c>
      <c r="F126" s="160" t="s">
        <v>4231</v>
      </c>
      <c r="G126" s="161">
        <v>3</v>
      </c>
      <c r="H126" s="160" t="s">
        <v>4258</v>
      </c>
      <c r="I126" s="160"/>
      <c r="J126" s="160"/>
      <c r="K126" s="157" t="s">
        <v>4223</v>
      </c>
      <c r="L126" s="157"/>
      <c r="M126" s="157"/>
      <c r="N126" s="157"/>
      <c r="O126" s="157"/>
      <c r="P126" s="156">
        <v>2537</v>
      </c>
      <c r="Q126" s="156">
        <v>552</v>
      </c>
      <c r="R126" s="156"/>
      <c r="S126" s="161"/>
      <c r="T126" s="161"/>
      <c r="U126" s="161"/>
      <c r="V126" s="161"/>
      <c r="W126" s="161"/>
      <c r="X126" s="161"/>
      <c r="Y126" s="161"/>
      <c r="Z126" s="161"/>
      <c r="AA126" s="161"/>
      <c r="AB126" s="161"/>
      <c r="AC126" s="161"/>
      <c r="AD126" s="161"/>
      <c r="AE126" s="161"/>
      <c r="AF126" s="161"/>
      <c r="AG126" s="17"/>
      <c r="AH126" s="24"/>
      <c r="AI126" s="25"/>
      <c r="AJ126" s="25"/>
    </row>
    <row r="127" spans="1:36" x14ac:dyDescent="0.3">
      <c r="A127" s="63">
        <v>121</v>
      </c>
      <c r="B127" s="102" t="s">
        <v>3520</v>
      </c>
      <c r="C127" s="102" t="s">
        <v>3521</v>
      </c>
      <c r="D127" s="64" t="s">
        <v>119</v>
      </c>
      <c r="E127" s="155" t="s">
        <v>4129</v>
      </c>
      <c r="F127" s="160" t="s">
        <v>4231</v>
      </c>
      <c r="G127" s="161">
        <v>3</v>
      </c>
      <c r="H127" s="160" t="s">
        <v>4258</v>
      </c>
      <c r="I127" s="160"/>
      <c r="J127" s="160"/>
      <c r="K127" s="157" t="s">
        <v>4259</v>
      </c>
      <c r="L127" s="157"/>
      <c r="M127" s="157"/>
      <c r="N127" s="157"/>
      <c r="O127" s="157"/>
      <c r="P127" s="156">
        <v>2917</v>
      </c>
      <c r="Q127" s="156">
        <v>995</v>
      </c>
      <c r="R127" s="156"/>
      <c r="S127" s="161"/>
      <c r="T127" s="161"/>
      <c r="U127" s="161"/>
      <c r="V127" s="161"/>
      <c r="W127" s="161"/>
      <c r="X127" s="161"/>
      <c r="Y127" s="161"/>
      <c r="Z127" s="161"/>
      <c r="AA127" s="161"/>
      <c r="AB127" s="161"/>
      <c r="AC127" s="161"/>
      <c r="AD127" s="161"/>
      <c r="AE127" s="161"/>
      <c r="AF127" s="161"/>
      <c r="AG127" s="17"/>
      <c r="AH127" s="24"/>
      <c r="AI127" s="25"/>
      <c r="AJ127" s="25"/>
    </row>
    <row r="128" spans="1:36" x14ac:dyDescent="0.3">
      <c r="A128" s="63">
        <v>122</v>
      </c>
      <c r="B128" s="102" t="s">
        <v>3520</v>
      </c>
      <c r="C128" s="102" t="s">
        <v>3521</v>
      </c>
      <c r="D128" s="64" t="s">
        <v>119</v>
      </c>
      <c r="E128" s="155" t="s">
        <v>4129</v>
      </c>
      <c r="F128" s="160" t="s">
        <v>4231</v>
      </c>
      <c r="G128" s="161">
        <v>3</v>
      </c>
      <c r="H128" s="160" t="s">
        <v>4258</v>
      </c>
      <c r="I128" s="160"/>
      <c r="J128" s="160"/>
      <c r="K128" s="157" t="s">
        <v>4260</v>
      </c>
      <c r="L128" s="157"/>
      <c r="M128" s="157"/>
      <c r="N128" s="157"/>
      <c r="O128" s="157"/>
      <c r="P128" s="156">
        <v>2321</v>
      </c>
      <c r="Q128" s="156">
        <v>710</v>
      </c>
      <c r="R128" s="156"/>
      <c r="S128" s="161"/>
      <c r="T128" s="161"/>
      <c r="U128" s="161"/>
      <c r="V128" s="161"/>
      <c r="W128" s="161"/>
      <c r="X128" s="161"/>
      <c r="Y128" s="161"/>
      <c r="Z128" s="161"/>
      <c r="AA128" s="161"/>
      <c r="AB128" s="161"/>
      <c r="AC128" s="161"/>
      <c r="AD128" s="161"/>
      <c r="AE128" s="161"/>
      <c r="AF128" s="161"/>
      <c r="AG128" s="16"/>
      <c r="AH128" s="24"/>
      <c r="AI128" s="25"/>
      <c r="AJ128" s="25"/>
    </row>
    <row r="129" spans="1:36" x14ac:dyDescent="0.3">
      <c r="A129" s="63">
        <v>123</v>
      </c>
      <c r="B129" s="102" t="s">
        <v>3520</v>
      </c>
      <c r="C129" s="102" t="s">
        <v>3521</v>
      </c>
      <c r="D129" s="64" t="s">
        <v>119</v>
      </c>
      <c r="E129" s="155" t="s">
        <v>4129</v>
      </c>
      <c r="F129" s="160" t="s">
        <v>4231</v>
      </c>
      <c r="G129" s="161">
        <v>6</v>
      </c>
      <c r="H129" s="160" t="s">
        <v>4258</v>
      </c>
      <c r="I129" s="160"/>
      <c r="J129" s="160"/>
      <c r="K129" s="157" t="s">
        <v>4261</v>
      </c>
      <c r="L129" s="157"/>
      <c r="M129" s="157"/>
      <c r="N129" s="157"/>
      <c r="O129" s="157"/>
      <c r="P129" s="156">
        <v>2100</v>
      </c>
      <c r="Q129" s="156">
        <v>790</v>
      </c>
      <c r="R129" s="156"/>
      <c r="S129" s="161"/>
      <c r="T129" s="161"/>
      <c r="U129" s="161"/>
      <c r="V129" s="161"/>
      <c r="W129" s="161"/>
      <c r="X129" s="161"/>
      <c r="Y129" s="161"/>
      <c r="Z129" s="161"/>
      <c r="AA129" s="161"/>
      <c r="AB129" s="161"/>
      <c r="AC129" s="161"/>
      <c r="AD129" s="161"/>
      <c r="AE129" s="161"/>
      <c r="AF129" s="161"/>
      <c r="AG129" s="17"/>
      <c r="AH129" s="24"/>
      <c r="AI129" s="25"/>
      <c r="AJ129" s="25"/>
    </row>
    <row r="130" spans="1:36" x14ac:dyDescent="0.3">
      <c r="A130" s="63">
        <v>124</v>
      </c>
      <c r="B130" s="102" t="s">
        <v>3520</v>
      </c>
      <c r="C130" s="102" t="s">
        <v>3521</v>
      </c>
      <c r="D130" s="64" t="s">
        <v>119</v>
      </c>
      <c r="E130" s="155" t="s">
        <v>4129</v>
      </c>
      <c r="F130" s="160" t="s">
        <v>4231</v>
      </c>
      <c r="G130" s="161">
        <v>6</v>
      </c>
      <c r="H130" s="160" t="s">
        <v>4258</v>
      </c>
      <c r="I130" s="160"/>
      <c r="J130" s="160"/>
      <c r="K130" s="157" t="s">
        <v>4262</v>
      </c>
      <c r="L130" s="157"/>
      <c r="M130" s="157"/>
      <c r="N130" s="157"/>
      <c r="O130" s="157"/>
      <c r="P130" s="156">
        <v>1691</v>
      </c>
      <c r="Q130" s="156">
        <v>445</v>
      </c>
      <c r="R130" s="156"/>
      <c r="S130" s="161"/>
      <c r="T130" s="161"/>
      <c r="U130" s="161"/>
      <c r="V130" s="161"/>
      <c r="W130" s="161"/>
      <c r="X130" s="161"/>
      <c r="Y130" s="161"/>
      <c r="Z130" s="161"/>
      <c r="AA130" s="161"/>
      <c r="AB130" s="161"/>
      <c r="AC130" s="161"/>
      <c r="AD130" s="161"/>
      <c r="AE130" s="161"/>
      <c r="AF130" s="161"/>
      <c r="AG130" s="17"/>
      <c r="AH130" s="24"/>
      <c r="AI130" s="25"/>
      <c r="AJ130" s="25"/>
    </row>
    <row r="131" spans="1:36" x14ac:dyDescent="0.3">
      <c r="A131" s="63">
        <v>125</v>
      </c>
      <c r="B131" s="102" t="s">
        <v>3520</v>
      </c>
      <c r="C131" s="102" t="s">
        <v>3521</v>
      </c>
      <c r="D131" s="64" t="s">
        <v>119</v>
      </c>
      <c r="E131" s="155" t="s">
        <v>4129</v>
      </c>
      <c r="F131" s="160" t="s">
        <v>4231</v>
      </c>
      <c r="G131" s="161">
        <v>6</v>
      </c>
      <c r="H131" s="160" t="s">
        <v>4258</v>
      </c>
      <c r="I131" s="160"/>
      <c r="J131" s="160"/>
      <c r="K131" s="157" t="s">
        <v>4263</v>
      </c>
      <c r="L131" s="157"/>
      <c r="M131" s="157"/>
      <c r="N131" s="157"/>
      <c r="O131" s="157"/>
      <c r="P131" s="156">
        <v>2297</v>
      </c>
      <c r="Q131" s="156">
        <v>602</v>
      </c>
      <c r="R131" s="156"/>
      <c r="S131" s="161"/>
      <c r="T131" s="161"/>
      <c r="U131" s="161"/>
      <c r="V131" s="161"/>
      <c r="W131" s="161"/>
      <c r="X131" s="161"/>
      <c r="Y131" s="161"/>
      <c r="Z131" s="161"/>
      <c r="AA131" s="161"/>
      <c r="AB131" s="161"/>
      <c r="AC131" s="161"/>
      <c r="AD131" s="161"/>
      <c r="AE131" s="161"/>
      <c r="AF131" s="161"/>
      <c r="AG131" s="17"/>
      <c r="AH131" s="24"/>
      <c r="AI131" s="25"/>
      <c r="AJ131" s="25"/>
    </row>
    <row r="132" spans="1:36" x14ac:dyDescent="0.3">
      <c r="A132" s="63">
        <v>126</v>
      </c>
      <c r="B132" s="102" t="s">
        <v>3520</v>
      </c>
      <c r="C132" s="102" t="s">
        <v>3521</v>
      </c>
      <c r="D132" s="64" t="s">
        <v>119</v>
      </c>
      <c r="E132" s="155" t="s">
        <v>4129</v>
      </c>
      <c r="F132" s="160" t="s">
        <v>4231</v>
      </c>
      <c r="G132" s="161">
        <v>6</v>
      </c>
      <c r="H132" s="160" t="s">
        <v>4258</v>
      </c>
      <c r="I132" s="160"/>
      <c r="J132" s="160"/>
      <c r="K132" s="157" t="s">
        <v>4264</v>
      </c>
      <c r="L132" s="157"/>
      <c r="M132" s="157"/>
      <c r="N132" s="157"/>
      <c r="O132" s="157"/>
      <c r="P132" s="156">
        <v>1278</v>
      </c>
      <c r="Q132" s="156">
        <v>315</v>
      </c>
      <c r="R132" s="156"/>
      <c r="S132" s="161"/>
      <c r="T132" s="161"/>
      <c r="U132" s="161"/>
      <c r="V132" s="161"/>
      <c r="W132" s="161"/>
      <c r="X132" s="161"/>
      <c r="Y132" s="161"/>
      <c r="Z132" s="161"/>
      <c r="AA132" s="161"/>
      <c r="AB132" s="161"/>
      <c r="AC132" s="161"/>
      <c r="AD132" s="161"/>
      <c r="AE132" s="161"/>
      <c r="AF132" s="161"/>
      <c r="AG132" s="17"/>
      <c r="AH132" s="24"/>
      <c r="AI132" s="25"/>
      <c r="AJ132" s="25"/>
    </row>
    <row r="133" spans="1:36" x14ac:dyDescent="0.3">
      <c r="A133" s="63">
        <v>127</v>
      </c>
      <c r="B133" s="102" t="s">
        <v>3520</v>
      </c>
      <c r="C133" s="102" t="s">
        <v>3521</v>
      </c>
      <c r="D133" s="64" t="s">
        <v>119</v>
      </c>
      <c r="E133" s="155" t="s">
        <v>4129</v>
      </c>
      <c r="F133" s="160" t="s">
        <v>4231</v>
      </c>
      <c r="G133" s="161">
        <v>7</v>
      </c>
      <c r="H133" s="160" t="s">
        <v>4258</v>
      </c>
      <c r="I133" s="160"/>
      <c r="J133" s="160"/>
      <c r="K133" s="157" t="s">
        <v>4265</v>
      </c>
      <c r="L133" s="157"/>
      <c r="M133" s="157"/>
      <c r="N133" s="157"/>
      <c r="O133" s="157"/>
      <c r="P133" s="156">
        <v>925</v>
      </c>
      <c r="Q133" s="156">
        <v>243</v>
      </c>
      <c r="R133" s="156"/>
      <c r="S133" s="161"/>
      <c r="T133" s="161"/>
      <c r="U133" s="161"/>
      <c r="V133" s="161"/>
      <c r="W133" s="161"/>
      <c r="X133" s="161"/>
      <c r="Y133" s="161"/>
      <c r="Z133" s="161"/>
      <c r="AA133" s="161"/>
      <c r="AB133" s="161"/>
      <c r="AC133" s="161"/>
      <c r="AD133" s="161"/>
      <c r="AE133" s="161"/>
      <c r="AF133" s="161"/>
      <c r="AG133" s="17"/>
      <c r="AH133" s="24"/>
      <c r="AI133" s="25"/>
      <c r="AJ133" s="25"/>
    </row>
    <row r="134" spans="1:36" x14ac:dyDescent="0.3">
      <c r="A134" s="63">
        <v>128</v>
      </c>
      <c r="B134" s="102" t="s">
        <v>3520</v>
      </c>
      <c r="C134" s="102" t="s">
        <v>3521</v>
      </c>
      <c r="D134" s="64" t="s">
        <v>119</v>
      </c>
      <c r="E134" s="155" t="s">
        <v>4129</v>
      </c>
      <c r="F134" s="160" t="s">
        <v>4231</v>
      </c>
      <c r="G134" s="161">
        <v>7</v>
      </c>
      <c r="H134" s="160" t="s">
        <v>4258</v>
      </c>
      <c r="I134" s="160"/>
      <c r="J134" s="160"/>
      <c r="K134" s="157" t="s">
        <v>4266</v>
      </c>
      <c r="L134" s="157"/>
      <c r="M134" s="157"/>
      <c r="N134" s="157"/>
      <c r="O134" s="157"/>
      <c r="P134" s="156">
        <v>3225</v>
      </c>
      <c r="Q134" s="156">
        <v>886</v>
      </c>
      <c r="R134" s="156"/>
      <c r="S134" s="161"/>
      <c r="T134" s="161"/>
      <c r="U134" s="161"/>
      <c r="V134" s="161"/>
      <c r="W134" s="161"/>
      <c r="X134" s="161"/>
      <c r="Y134" s="161"/>
      <c r="Z134" s="161"/>
      <c r="AA134" s="161"/>
      <c r="AB134" s="161"/>
      <c r="AC134" s="161"/>
      <c r="AD134" s="161"/>
      <c r="AE134" s="161"/>
      <c r="AF134" s="161"/>
      <c r="AG134" s="17"/>
      <c r="AH134" s="24"/>
      <c r="AI134" s="25"/>
      <c r="AJ134" s="25"/>
    </row>
    <row r="135" spans="1:36" x14ac:dyDescent="0.3">
      <c r="A135" s="63">
        <v>129</v>
      </c>
      <c r="B135" s="102" t="s">
        <v>3520</v>
      </c>
      <c r="C135" s="102" t="s">
        <v>3521</v>
      </c>
      <c r="D135" s="64" t="s">
        <v>119</v>
      </c>
      <c r="E135" s="155" t="s">
        <v>4129</v>
      </c>
      <c r="F135" s="160" t="s">
        <v>4231</v>
      </c>
      <c r="G135" s="161">
        <v>7</v>
      </c>
      <c r="H135" s="160" t="s">
        <v>4258</v>
      </c>
      <c r="I135" s="160"/>
      <c r="J135" s="160"/>
      <c r="K135" s="157" t="s">
        <v>4267</v>
      </c>
      <c r="L135" s="157"/>
      <c r="M135" s="157"/>
      <c r="N135" s="157"/>
      <c r="O135" s="157"/>
      <c r="P135" s="156">
        <v>2246</v>
      </c>
      <c r="Q135" s="156">
        <v>603</v>
      </c>
      <c r="R135" s="156"/>
      <c r="S135" s="161"/>
      <c r="T135" s="161"/>
      <c r="U135" s="161"/>
      <c r="V135" s="161"/>
      <c r="W135" s="161"/>
      <c r="X135" s="161"/>
      <c r="Y135" s="161"/>
      <c r="Z135" s="161"/>
      <c r="AA135" s="161"/>
      <c r="AB135" s="161"/>
      <c r="AC135" s="161"/>
      <c r="AD135" s="161"/>
      <c r="AE135" s="161"/>
      <c r="AF135" s="161"/>
      <c r="AG135" s="17"/>
      <c r="AH135" s="24"/>
      <c r="AI135" s="25"/>
      <c r="AJ135" s="25"/>
    </row>
    <row r="136" spans="1:36" x14ac:dyDescent="0.3">
      <c r="A136" s="63">
        <v>130</v>
      </c>
      <c r="B136" s="102" t="s">
        <v>3520</v>
      </c>
      <c r="C136" s="102" t="s">
        <v>3521</v>
      </c>
      <c r="D136" s="64" t="s">
        <v>119</v>
      </c>
      <c r="E136" s="155" t="s">
        <v>4129</v>
      </c>
      <c r="F136" s="160" t="s">
        <v>4231</v>
      </c>
      <c r="G136" s="161">
        <v>8</v>
      </c>
      <c r="H136" s="160" t="s">
        <v>4258</v>
      </c>
      <c r="I136" s="160"/>
      <c r="J136" s="160"/>
      <c r="K136" s="157" t="s">
        <v>4176</v>
      </c>
      <c r="L136" s="157"/>
      <c r="M136" s="157"/>
      <c r="N136" s="157"/>
      <c r="O136" s="157"/>
      <c r="P136" s="156">
        <v>2458</v>
      </c>
      <c r="Q136" s="156">
        <v>646</v>
      </c>
      <c r="R136" s="156"/>
      <c r="S136" s="161"/>
      <c r="T136" s="161"/>
      <c r="U136" s="161"/>
      <c r="V136" s="161"/>
      <c r="W136" s="161"/>
      <c r="X136" s="161"/>
      <c r="Y136" s="161"/>
      <c r="Z136" s="161"/>
      <c r="AA136" s="161"/>
      <c r="AB136" s="161"/>
      <c r="AC136" s="161"/>
      <c r="AD136" s="161"/>
      <c r="AE136" s="161"/>
      <c r="AF136" s="161"/>
      <c r="AG136" s="17"/>
      <c r="AH136" s="24"/>
      <c r="AI136" s="25"/>
      <c r="AJ136" s="25"/>
    </row>
    <row r="137" spans="1:36" x14ac:dyDescent="0.3">
      <c r="A137" s="63">
        <v>131</v>
      </c>
      <c r="B137" s="102" t="s">
        <v>3520</v>
      </c>
      <c r="C137" s="102" t="s">
        <v>3521</v>
      </c>
      <c r="D137" s="64" t="s">
        <v>119</v>
      </c>
      <c r="E137" s="155" t="s">
        <v>4129</v>
      </c>
      <c r="F137" s="160" t="s">
        <v>4231</v>
      </c>
      <c r="G137" s="161">
        <v>8</v>
      </c>
      <c r="H137" s="160" t="s">
        <v>4258</v>
      </c>
      <c r="I137" s="160"/>
      <c r="J137" s="160"/>
      <c r="K137" s="157" t="s">
        <v>4268</v>
      </c>
      <c r="L137" s="157"/>
      <c r="M137" s="157"/>
      <c r="N137" s="157"/>
      <c r="O137" s="157"/>
      <c r="P137" s="156">
        <v>2255</v>
      </c>
      <c r="Q137" s="156">
        <v>593</v>
      </c>
      <c r="R137" s="156"/>
      <c r="S137" s="161"/>
      <c r="T137" s="161"/>
      <c r="U137" s="161"/>
      <c r="V137" s="161"/>
      <c r="W137" s="161"/>
      <c r="X137" s="161"/>
      <c r="Y137" s="161"/>
      <c r="Z137" s="161"/>
      <c r="AA137" s="161"/>
      <c r="AB137" s="161"/>
      <c r="AC137" s="161"/>
      <c r="AD137" s="161"/>
      <c r="AE137" s="161"/>
      <c r="AF137" s="161"/>
      <c r="AG137" s="17"/>
      <c r="AH137" s="24"/>
      <c r="AI137" s="25"/>
      <c r="AJ137" s="25"/>
    </row>
    <row r="138" spans="1:36" x14ac:dyDescent="0.3">
      <c r="A138" s="63">
        <v>132</v>
      </c>
      <c r="B138" s="102" t="s">
        <v>3520</v>
      </c>
      <c r="C138" s="102" t="s">
        <v>3521</v>
      </c>
      <c r="D138" s="64" t="s">
        <v>119</v>
      </c>
      <c r="E138" s="155" t="s">
        <v>4129</v>
      </c>
      <c r="F138" s="160" t="s">
        <v>4231</v>
      </c>
      <c r="G138" s="161">
        <v>8</v>
      </c>
      <c r="H138" s="160" t="s">
        <v>4258</v>
      </c>
      <c r="I138" s="160"/>
      <c r="J138" s="160"/>
      <c r="K138" s="157" t="s">
        <v>4269</v>
      </c>
      <c r="L138" s="157"/>
      <c r="M138" s="157"/>
      <c r="N138" s="157"/>
      <c r="O138" s="157"/>
      <c r="P138" s="156">
        <v>2760</v>
      </c>
      <c r="Q138" s="156">
        <v>711</v>
      </c>
      <c r="R138" s="156"/>
      <c r="S138" s="161"/>
      <c r="T138" s="161"/>
      <c r="U138" s="161"/>
      <c r="V138" s="161"/>
      <c r="W138" s="161"/>
      <c r="X138" s="161"/>
      <c r="Y138" s="161"/>
      <c r="Z138" s="161"/>
      <c r="AA138" s="161"/>
      <c r="AB138" s="161"/>
      <c r="AC138" s="161"/>
      <c r="AD138" s="161"/>
      <c r="AE138" s="161"/>
      <c r="AF138" s="161"/>
      <c r="AG138" s="17"/>
      <c r="AH138" s="24"/>
      <c r="AI138" s="25"/>
      <c r="AJ138" s="25"/>
    </row>
    <row r="139" spans="1:36" x14ac:dyDescent="0.3">
      <c r="A139" s="63">
        <v>133</v>
      </c>
      <c r="B139" s="102" t="s">
        <v>3520</v>
      </c>
      <c r="C139" s="102" t="s">
        <v>3521</v>
      </c>
      <c r="D139" s="64" t="s">
        <v>119</v>
      </c>
      <c r="E139" s="155" t="s">
        <v>4129</v>
      </c>
      <c r="F139" s="160" t="s">
        <v>4231</v>
      </c>
      <c r="G139" s="161">
        <v>8</v>
      </c>
      <c r="H139" s="160" t="s">
        <v>4258</v>
      </c>
      <c r="I139" s="160"/>
      <c r="J139" s="160"/>
      <c r="K139" s="157" t="s">
        <v>4270</v>
      </c>
      <c r="L139" s="157"/>
      <c r="M139" s="157"/>
      <c r="N139" s="157"/>
      <c r="O139" s="157"/>
      <c r="P139" s="156">
        <v>3356</v>
      </c>
      <c r="Q139" s="156">
        <v>883</v>
      </c>
      <c r="R139" s="156"/>
      <c r="S139" s="161"/>
      <c r="T139" s="161"/>
      <c r="U139" s="161"/>
      <c r="V139" s="161"/>
      <c r="W139" s="161"/>
      <c r="X139" s="161"/>
      <c r="Y139" s="161"/>
      <c r="Z139" s="161"/>
      <c r="AA139" s="161"/>
      <c r="AB139" s="161"/>
      <c r="AC139" s="161"/>
      <c r="AD139" s="161"/>
      <c r="AE139" s="161"/>
      <c r="AF139" s="161"/>
      <c r="AG139" s="17"/>
      <c r="AH139" s="24"/>
      <c r="AI139" s="25"/>
      <c r="AJ139" s="25"/>
    </row>
    <row r="140" spans="1:36" x14ac:dyDescent="0.3">
      <c r="A140" s="63">
        <v>134</v>
      </c>
      <c r="B140" s="102" t="s">
        <v>3520</v>
      </c>
      <c r="C140" s="102" t="s">
        <v>3521</v>
      </c>
      <c r="D140" s="64" t="s">
        <v>119</v>
      </c>
      <c r="E140" s="155" t="s">
        <v>4129</v>
      </c>
      <c r="F140" s="160" t="s">
        <v>4231</v>
      </c>
      <c r="G140" s="161">
        <v>8</v>
      </c>
      <c r="H140" s="160" t="s">
        <v>4258</v>
      </c>
      <c r="I140" s="160"/>
      <c r="J140" s="160"/>
      <c r="K140" s="157" t="s">
        <v>4271</v>
      </c>
      <c r="L140" s="157"/>
      <c r="M140" s="157"/>
      <c r="N140" s="157"/>
      <c r="O140" s="157"/>
      <c r="P140" s="156">
        <v>3139</v>
      </c>
      <c r="Q140" s="156">
        <v>806</v>
      </c>
      <c r="R140" s="156"/>
      <c r="S140" s="161"/>
      <c r="T140" s="161"/>
      <c r="U140" s="161"/>
      <c r="V140" s="161"/>
      <c r="W140" s="161"/>
      <c r="X140" s="161"/>
      <c r="Y140" s="161"/>
      <c r="Z140" s="161"/>
      <c r="AA140" s="161"/>
      <c r="AB140" s="161"/>
      <c r="AC140" s="161"/>
      <c r="AD140" s="161"/>
      <c r="AE140" s="161"/>
      <c r="AF140" s="161"/>
      <c r="AG140" s="17"/>
      <c r="AH140" s="24"/>
      <c r="AI140" s="25"/>
      <c r="AJ140" s="25"/>
    </row>
    <row r="141" spans="1:36" x14ac:dyDescent="0.3">
      <c r="A141" s="63">
        <v>135</v>
      </c>
      <c r="B141" s="102" t="s">
        <v>3520</v>
      </c>
      <c r="C141" s="102" t="s">
        <v>3521</v>
      </c>
      <c r="D141" s="64" t="s">
        <v>119</v>
      </c>
      <c r="E141" s="155" t="s">
        <v>4129</v>
      </c>
      <c r="F141" s="160" t="s">
        <v>4231</v>
      </c>
      <c r="G141" s="161">
        <v>8</v>
      </c>
      <c r="H141" s="160" t="s">
        <v>4258</v>
      </c>
      <c r="I141" s="160"/>
      <c r="J141" s="160"/>
      <c r="K141" s="157" t="s">
        <v>4198</v>
      </c>
      <c r="L141" s="157"/>
      <c r="M141" s="157"/>
      <c r="N141" s="157"/>
      <c r="O141" s="157"/>
      <c r="P141" s="156">
        <v>1300</v>
      </c>
      <c r="Q141" s="156">
        <v>236</v>
      </c>
      <c r="R141" s="156"/>
      <c r="S141" s="161"/>
      <c r="T141" s="161"/>
      <c r="U141" s="161"/>
      <c r="V141" s="161"/>
      <c r="W141" s="161"/>
      <c r="X141" s="161"/>
      <c r="Y141" s="161"/>
      <c r="Z141" s="161"/>
      <c r="AA141" s="161"/>
      <c r="AB141" s="161"/>
      <c r="AC141" s="161"/>
      <c r="AD141" s="161"/>
      <c r="AE141" s="161"/>
      <c r="AF141" s="161"/>
      <c r="AG141" s="17"/>
      <c r="AH141" s="24"/>
      <c r="AI141" s="25"/>
      <c r="AJ141" s="25"/>
    </row>
    <row r="142" spans="1:36" x14ac:dyDescent="0.3">
      <c r="A142" s="63">
        <v>136</v>
      </c>
      <c r="B142" s="102" t="s">
        <v>3520</v>
      </c>
      <c r="C142" s="102" t="s">
        <v>3521</v>
      </c>
      <c r="D142" s="64" t="s">
        <v>119</v>
      </c>
      <c r="E142" s="155" t="s">
        <v>4129</v>
      </c>
      <c r="F142" s="160" t="s">
        <v>4231</v>
      </c>
      <c r="G142" s="161">
        <v>9</v>
      </c>
      <c r="H142" s="160" t="s">
        <v>4258</v>
      </c>
      <c r="I142" s="160"/>
      <c r="J142" s="160"/>
      <c r="K142" s="157" t="s">
        <v>4272</v>
      </c>
      <c r="L142" s="157"/>
      <c r="M142" s="157"/>
      <c r="N142" s="157"/>
      <c r="O142" s="157"/>
      <c r="P142" s="156">
        <v>2097</v>
      </c>
      <c r="Q142" s="156">
        <v>396</v>
      </c>
      <c r="R142" s="156"/>
      <c r="S142" s="161"/>
      <c r="T142" s="161"/>
      <c r="U142" s="161"/>
      <c r="V142" s="161"/>
      <c r="W142" s="161"/>
      <c r="X142" s="161"/>
      <c r="Y142" s="161"/>
      <c r="Z142" s="161"/>
      <c r="AA142" s="161"/>
      <c r="AB142" s="161"/>
      <c r="AC142" s="161"/>
      <c r="AD142" s="161"/>
      <c r="AE142" s="161"/>
      <c r="AF142" s="161"/>
      <c r="AG142" s="17"/>
      <c r="AH142" s="24"/>
      <c r="AI142" s="25"/>
      <c r="AJ142" s="25"/>
    </row>
    <row r="143" spans="1:36" x14ac:dyDescent="0.3">
      <c r="A143" s="63">
        <v>137</v>
      </c>
      <c r="B143" s="102" t="s">
        <v>3520</v>
      </c>
      <c r="C143" s="102" t="s">
        <v>3521</v>
      </c>
      <c r="D143" s="64" t="s">
        <v>119</v>
      </c>
      <c r="E143" s="155" t="s">
        <v>4129</v>
      </c>
      <c r="F143" s="160" t="s">
        <v>4231</v>
      </c>
      <c r="G143" s="161">
        <v>9</v>
      </c>
      <c r="H143" s="160" t="s">
        <v>4258</v>
      </c>
      <c r="I143" s="160"/>
      <c r="J143" s="160"/>
      <c r="K143" s="157" t="s">
        <v>4273</v>
      </c>
      <c r="L143" s="157"/>
      <c r="M143" s="157"/>
      <c r="N143" s="157"/>
      <c r="O143" s="157"/>
      <c r="P143" s="156">
        <v>385</v>
      </c>
      <c r="Q143" s="156">
        <v>75</v>
      </c>
      <c r="R143" s="156"/>
      <c r="S143" s="161"/>
      <c r="T143" s="161"/>
      <c r="U143" s="161"/>
      <c r="V143" s="161"/>
      <c r="W143" s="161"/>
      <c r="X143" s="161"/>
      <c r="Y143" s="161"/>
      <c r="Z143" s="161"/>
      <c r="AA143" s="161"/>
      <c r="AB143" s="161"/>
      <c r="AC143" s="161"/>
      <c r="AD143" s="161"/>
      <c r="AE143" s="161"/>
      <c r="AF143" s="161"/>
      <c r="AG143" s="17"/>
      <c r="AH143" s="24"/>
      <c r="AI143" s="25"/>
      <c r="AJ143" s="25"/>
    </row>
    <row r="144" spans="1:36" x14ac:dyDescent="0.3">
      <c r="A144" s="63">
        <v>138</v>
      </c>
      <c r="B144" s="102" t="s">
        <v>3520</v>
      </c>
      <c r="C144" s="102" t="s">
        <v>3521</v>
      </c>
      <c r="D144" s="64" t="s">
        <v>119</v>
      </c>
      <c r="E144" s="155" t="s">
        <v>4129</v>
      </c>
      <c r="F144" s="160" t="s">
        <v>4231</v>
      </c>
      <c r="G144" s="161">
        <v>9</v>
      </c>
      <c r="H144" s="160" t="s">
        <v>4258</v>
      </c>
      <c r="I144" s="160"/>
      <c r="J144" s="160"/>
      <c r="K144" s="157" t="s">
        <v>4274</v>
      </c>
      <c r="L144" s="157"/>
      <c r="M144" s="157"/>
      <c r="N144" s="157"/>
      <c r="O144" s="157"/>
      <c r="P144" s="156">
        <v>2537</v>
      </c>
      <c r="Q144" s="156">
        <v>432</v>
      </c>
      <c r="R144" s="156"/>
      <c r="S144" s="161"/>
      <c r="T144" s="161"/>
      <c r="U144" s="161"/>
      <c r="V144" s="161"/>
      <c r="W144" s="161"/>
      <c r="X144" s="161"/>
      <c r="Y144" s="161"/>
      <c r="Z144" s="161"/>
      <c r="AA144" s="161"/>
      <c r="AB144" s="161"/>
      <c r="AC144" s="161"/>
      <c r="AD144" s="161"/>
      <c r="AE144" s="161"/>
      <c r="AF144" s="161"/>
      <c r="AG144" s="17"/>
      <c r="AH144" s="24"/>
      <c r="AI144" s="25"/>
      <c r="AJ144" s="25"/>
    </row>
    <row r="145" spans="1:36" x14ac:dyDescent="0.3">
      <c r="A145" s="63">
        <v>139</v>
      </c>
      <c r="B145" s="102" t="s">
        <v>3520</v>
      </c>
      <c r="C145" s="102" t="s">
        <v>3521</v>
      </c>
      <c r="D145" s="64" t="s">
        <v>119</v>
      </c>
      <c r="E145" s="155" t="s">
        <v>4129</v>
      </c>
      <c r="F145" s="160" t="s">
        <v>4231</v>
      </c>
      <c r="G145" s="161">
        <v>9</v>
      </c>
      <c r="H145" s="160" t="s">
        <v>4258</v>
      </c>
      <c r="I145" s="160"/>
      <c r="J145" s="160"/>
      <c r="K145" s="157" t="s">
        <v>4170</v>
      </c>
      <c r="L145" s="157"/>
      <c r="M145" s="157"/>
      <c r="N145" s="157"/>
      <c r="O145" s="157"/>
      <c r="P145" s="156">
        <v>1539</v>
      </c>
      <c r="Q145" s="156">
        <v>374</v>
      </c>
      <c r="R145" s="156"/>
      <c r="S145" s="161"/>
      <c r="T145" s="161"/>
      <c r="U145" s="161"/>
      <c r="V145" s="161"/>
      <c r="W145" s="161"/>
      <c r="X145" s="161"/>
      <c r="Y145" s="161"/>
      <c r="Z145" s="161"/>
      <c r="AA145" s="161"/>
      <c r="AB145" s="161"/>
      <c r="AC145" s="161"/>
      <c r="AD145" s="161"/>
      <c r="AE145" s="161"/>
      <c r="AF145" s="161"/>
      <c r="AG145" s="17"/>
      <c r="AH145" s="24"/>
      <c r="AI145" s="25"/>
      <c r="AJ145" s="25"/>
    </row>
    <row r="146" spans="1:36" x14ac:dyDescent="0.3">
      <c r="A146" s="63">
        <v>140</v>
      </c>
      <c r="B146" s="102" t="s">
        <v>3520</v>
      </c>
      <c r="C146" s="102" t="s">
        <v>3521</v>
      </c>
      <c r="D146" s="64" t="s">
        <v>119</v>
      </c>
      <c r="E146" s="155" t="s">
        <v>4129</v>
      </c>
      <c r="F146" s="160" t="s">
        <v>4234</v>
      </c>
      <c r="G146" s="161">
        <v>1</v>
      </c>
      <c r="H146" s="160" t="s">
        <v>4183</v>
      </c>
      <c r="I146" s="160"/>
      <c r="J146" s="160"/>
      <c r="K146" s="157" t="s">
        <v>4275</v>
      </c>
      <c r="L146" s="157"/>
      <c r="M146" s="157"/>
      <c r="N146" s="157"/>
      <c r="O146" s="157"/>
      <c r="P146" s="156">
        <v>3762</v>
      </c>
      <c r="Q146" s="156">
        <v>742</v>
      </c>
      <c r="R146" s="156"/>
      <c r="S146" s="161"/>
      <c r="T146" s="161"/>
      <c r="U146" s="161"/>
      <c r="V146" s="161"/>
      <c r="W146" s="161"/>
      <c r="X146" s="161"/>
      <c r="Y146" s="161"/>
      <c r="Z146" s="161"/>
      <c r="AA146" s="161"/>
      <c r="AB146" s="161"/>
      <c r="AC146" s="161"/>
      <c r="AD146" s="161"/>
      <c r="AE146" s="161"/>
      <c r="AF146" s="161"/>
      <c r="AG146" s="17"/>
      <c r="AH146" s="24"/>
      <c r="AI146" s="25"/>
      <c r="AJ146" s="25"/>
    </row>
    <row r="147" spans="1:36" x14ac:dyDescent="0.3">
      <c r="A147" s="63">
        <v>141</v>
      </c>
      <c r="B147" s="102" t="s">
        <v>3520</v>
      </c>
      <c r="C147" s="102" t="s">
        <v>3521</v>
      </c>
      <c r="D147" s="64" t="s">
        <v>119</v>
      </c>
      <c r="E147" s="155" t="s">
        <v>4129</v>
      </c>
      <c r="F147" s="160" t="s">
        <v>4234</v>
      </c>
      <c r="G147" s="161">
        <v>2</v>
      </c>
      <c r="H147" s="160" t="s">
        <v>4183</v>
      </c>
      <c r="I147" s="160"/>
      <c r="J147" s="160"/>
      <c r="K147" s="157" t="s">
        <v>4262</v>
      </c>
      <c r="L147" s="157"/>
      <c r="M147" s="157"/>
      <c r="N147" s="157"/>
      <c r="O147" s="157"/>
      <c r="P147" s="156">
        <v>3221</v>
      </c>
      <c r="Q147" s="156">
        <v>671</v>
      </c>
      <c r="R147" s="156"/>
      <c r="S147" s="161"/>
      <c r="T147" s="161"/>
      <c r="U147" s="161"/>
      <c r="V147" s="161"/>
      <c r="W147" s="161"/>
      <c r="X147" s="161"/>
      <c r="Y147" s="161"/>
      <c r="Z147" s="161"/>
      <c r="AA147" s="161"/>
      <c r="AB147" s="161"/>
      <c r="AC147" s="161"/>
      <c r="AD147" s="161"/>
      <c r="AE147" s="161"/>
      <c r="AF147" s="161"/>
      <c r="AG147" s="17"/>
      <c r="AH147" s="24"/>
      <c r="AI147" s="25"/>
      <c r="AJ147" s="25"/>
    </row>
    <row r="148" spans="1:36" x14ac:dyDescent="0.3">
      <c r="A148" s="63">
        <v>142</v>
      </c>
      <c r="B148" s="102" t="s">
        <v>3520</v>
      </c>
      <c r="C148" s="102" t="s">
        <v>3521</v>
      </c>
      <c r="D148" s="64" t="s">
        <v>119</v>
      </c>
      <c r="E148" s="155" t="s">
        <v>4129</v>
      </c>
      <c r="F148" s="160" t="s">
        <v>4234</v>
      </c>
      <c r="G148" s="161">
        <v>3</v>
      </c>
      <c r="H148" s="160" t="s">
        <v>4183</v>
      </c>
      <c r="I148" s="160"/>
      <c r="J148" s="160"/>
      <c r="K148" s="157" t="s">
        <v>4276</v>
      </c>
      <c r="L148" s="157"/>
      <c r="M148" s="157"/>
      <c r="N148" s="157"/>
      <c r="O148" s="157"/>
      <c r="P148" s="156">
        <v>5825</v>
      </c>
      <c r="Q148" s="156">
        <v>1114</v>
      </c>
      <c r="R148" s="156"/>
      <c r="S148" s="161"/>
      <c r="T148" s="161"/>
      <c r="U148" s="161"/>
      <c r="V148" s="161"/>
      <c r="W148" s="161"/>
      <c r="X148" s="161"/>
      <c r="Y148" s="161"/>
      <c r="Z148" s="161"/>
      <c r="AA148" s="161"/>
      <c r="AB148" s="161"/>
      <c r="AC148" s="161"/>
      <c r="AD148" s="161"/>
      <c r="AE148" s="161"/>
      <c r="AF148" s="161"/>
      <c r="AG148" s="17"/>
      <c r="AH148" s="24"/>
      <c r="AI148" s="25"/>
      <c r="AJ148" s="25"/>
    </row>
    <row r="149" spans="1:36" x14ac:dyDescent="0.3">
      <c r="A149" s="63">
        <v>143</v>
      </c>
      <c r="B149" s="102" t="s">
        <v>3520</v>
      </c>
      <c r="C149" s="102" t="s">
        <v>3521</v>
      </c>
      <c r="D149" s="64" t="s">
        <v>119</v>
      </c>
      <c r="E149" s="155" t="s">
        <v>4129</v>
      </c>
      <c r="F149" s="160" t="s">
        <v>4234</v>
      </c>
      <c r="G149" s="161">
        <v>4</v>
      </c>
      <c r="H149" s="160" t="s">
        <v>4183</v>
      </c>
      <c r="I149" s="160"/>
      <c r="J149" s="160"/>
      <c r="K149" s="157" t="s">
        <v>4277</v>
      </c>
      <c r="L149" s="157"/>
      <c r="M149" s="157"/>
      <c r="N149" s="157"/>
      <c r="O149" s="157"/>
      <c r="P149" s="156">
        <v>4038</v>
      </c>
      <c r="Q149" s="156">
        <v>817</v>
      </c>
      <c r="R149" s="156"/>
      <c r="S149" s="161"/>
      <c r="T149" s="161"/>
      <c r="U149" s="161"/>
      <c r="V149" s="161"/>
      <c r="W149" s="161"/>
      <c r="X149" s="161"/>
      <c r="Y149" s="161"/>
      <c r="Z149" s="161"/>
      <c r="AA149" s="161"/>
      <c r="AB149" s="161"/>
      <c r="AC149" s="161"/>
      <c r="AD149" s="161"/>
      <c r="AE149" s="161"/>
      <c r="AF149" s="161"/>
      <c r="AG149" s="17"/>
      <c r="AH149" s="24"/>
      <c r="AI149" s="25"/>
      <c r="AJ149" s="25"/>
    </row>
    <row r="150" spans="1:36" x14ac:dyDescent="0.3">
      <c r="A150" s="63">
        <v>144</v>
      </c>
      <c r="B150" s="102" t="s">
        <v>3520</v>
      </c>
      <c r="C150" s="102" t="s">
        <v>3521</v>
      </c>
      <c r="D150" s="64" t="s">
        <v>119</v>
      </c>
      <c r="E150" s="155" t="s">
        <v>4129</v>
      </c>
      <c r="F150" s="160" t="s">
        <v>4234</v>
      </c>
      <c r="G150" s="161">
        <v>5</v>
      </c>
      <c r="H150" s="160" t="s">
        <v>4183</v>
      </c>
      <c r="I150" s="160"/>
      <c r="J150" s="160"/>
      <c r="K150" s="157" t="s">
        <v>4278</v>
      </c>
      <c r="L150" s="157"/>
      <c r="M150" s="157"/>
      <c r="N150" s="157"/>
      <c r="O150" s="157"/>
      <c r="P150" s="156">
        <v>1464</v>
      </c>
      <c r="Q150" s="156">
        <v>437</v>
      </c>
      <c r="R150" s="156"/>
      <c r="S150" s="161"/>
      <c r="T150" s="161"/>
      <c r="U150" s="161"/>
      <c r="V150" s="161"/>
      <c r="W150" s="161"/>
      <c r="X150" s="161"/>
      <c r="Y150" s="161"/>
      <c r="Z150" s="161"/>
      <c r="AA150" s="161"/>
      <c r="AB150" s="161"/>
      <c r="AC150" s="161"/>
      <c r="AD150" s="161"/>
      <c r="AE150" s="161"/>
      <c r="AF150" s="161"/>
      <c r="AG150" s="17"/>
      <c r="AH150" s="24"/>
      <c r="AI150" s="25"/>
      <c r="AJ150" s="25"/>
    </row>
    <row r="151" spans="1:36" x14ac:dyDescent="0.3">
      <c r="A151" s="63">
        <v>145</v>
      </c>
      <c r="B151" s="102" t="s">
        <v>3520</v>
      </c>
      <c r="C151" s="102" t="s">
        <v>3521</v>
      </c>
      <c r="D151" s="64" t="s">
        <v>119</v>
      </c>
      <c r="E151" s="155" t="s">
        <v>4129</v>
      </c>
      <c r="F151" s="160" t="s">
        <v>4234</v>
      </c>
      <c r="G151" s="161">
        <v>6</v>
      </c>
      <c r="H151" s="160" t="s">
        <v>4207</v>
      </c>
      <c r="I151" s="160"/>
      <c r="J151" s="160"/>
      <c r="K151" s="157" t="s">
        <v>4279</v>
      </c>
      <c r="L151" s="157"/>
      <c r="M151" s="157"/>
      <c r="N151" s="157"/>
      <c r="O151" s="157"/>
      <c r="P151" s="156">
        <v>3327</v>
      </c>
      <c r="Q151" s="156">
        <v>764</v>
      </c>
      <c r="R151" s="156"/>
      <c r="S151" s="161"/>
      <c r="T151" s="161"/>
      <c r="U151" s="161"/>
      <c r="V151" s="161"/>
      <c r="W151" s="161"/>
      <c r="X151" s="161"/>
      <c r="Y151" s="161"/>
      <c r="Z151" s="161"/>
      <c r="AA151" s="161"/>
      <c r="AB151" s="161"/>
      <c r="AC151" s="161"/>
      <c r="AD151" s="161"/>
      <c r="AE151" s="161"/>
      <c r="AF151" s="161"/>
      <c r="AG151" s="17"/>
      <c r="AH151" s="24"/>
      <c r="AI151" s="25"/>
      <c r="AJ151" s="25"/>
    </row>
    <row r="152" spans="1:36" x14ac:dyDescent="0.3">
      <c r="A152" s="63">
        <v>146</v>
      </c>
      <c r="B152" s="102" t="s">
        <v>3520</v>
      </c>
      <c r="C152" s="102" t="s">
        <v>3521</v>
      </c>
      <c r="D152" s="64" t="s">
        <v>119</v>
      </c>
      <c r="E152" s="155" t="s">
        <v>4129</v>
      </c>
      <c r="F152" s="160" t="s">
        <v>4234</v>
      </c>
      <c r="G152" s="161">
        <v>7</v>
      </c>
      <c r="H152" s="160" t="s">
        <v>4207</v>
      </c>
      <c r="I152" s="160"/>
      <c r="J152" s="160"/>
      <c r="K152" s="157" t="s">
        <v>4222</v>
      </c>
      <c r="L152" s="157"/>
      <c r="M152" s="157"/>
      <c r="N152" s="157"/>
      <c r="O152" s="157"/>
      <c r="P152" s="156">
        <v>2372</v>
      </c>
      <c r="Q152" s="156">
        <v>485</v>
      </c>
      <c r="R152" s="156"/>
      <c r="S152" s="161"/>
      <c r="T152" s="161"/>
      <c r="U152" s="161"/>
      <c r="V152" s="161"/>
      <c r="W152" s="161"/>
      <c r="X152" s="161"/>
      <c r="Y152" s="161"/>
      <c r="Z152" s="161"/>
      <c r="AA152" s="161"/>
      <c r="AB152" s="161"/>
      <c r="AC152" s="161"/>
      <c r="AD152" s="161"/>
      <c r="AE152" s="161"/>
      <c r="AF152" s="161"/>
      <c r="AG152" s="17"/>
      <c r="AH152" s="24"/>
      <c r="AI152" s="25"/>
      <c r="AJ152" s="25"/>
    </row>
    <row r="153" spans="1:36" x14ac:dyDescent="0.3">
      <c r="A153" s="63">
        <v>147</v>
      </c>
      <c r="B153" s="102" t="s">
        <v>3520</v>
      </c>
      <c r="C153" s="102" t="s">
        <v>3521</v>
      </c>
      <c r="D153" s="64" t="s">
        <v>119</v>
      </c>
      <c r="E153" s="155" t="s">
        <v>4129</v>
      </c>
      <c r="F153" s="160" t="s">
        <v>4234</v>
      </c>
      <c r="G153" s="161">
        <v>7</v>
      </c>
      <c r="H153" s="160" t="s">
        <v>4207</v>
      </c>
      <c r="I153" s="160"/>
      <c r="J153" s="160"/>
      <c r="K153" s="157" t="s">
        <v>4280</v>
      </c>
      <c r="L153" s="157"/>
      <c r="M153" s="157"/>
      <c r="N153" s="157"/>
      <c r="O153" s="157"/>
      <c r="P153" s="156">
        <v>1270</v>
      </c>
      <c r="Q153" s="156">
        <v>295</v>
      </c>
      <c r="R153" s="156"/>
      <c r="S153" s="161"/>
      <c r="T153" s="161"/>
      <c r="U153" s="161"/>
      <c r="V153" s="161"/>
      <c r="W153" s="161"/>
      <c r="X153" s="161"/>
      <c r="Y153" s="161"/>
      <c r="Z153" s="161"/>
      <c r="AA153" s="161"/>
      <c r="AB153" s="161"/>
      <c r="AC153" s="161"/>
      <c r="AD153" s="161"/>
      <c r="AE153" s="161"/>
      <c r="AF153" s="161"/>
      <c r="AG153" s="17"/>
      <c r="AH153" s="24"/>
      <c r="AI153" s="25"/>
      <c r="AJ153" s="25"/>
    </row>
    <row r="154" spans="1:36" x14ac:dyDescent="0.3">
      <c r="A154" s="63">
        <v>148</v>
      </c>
      <c r="B154" s="102" t="s">
        <v>3520</v>
      </c>
      <c r="C154" s="102" t="s">
        <v>3521</v>
      </c>
      <c r="D154" s="64" t="s">
        <v>119</v>
      </c>
      <c r="E154" s="155" t="s">
        <v>4129</v>
      </c>
      <c r="F154" s="160" t="s">
        <v>4234</v>
      </c>
      <c r="G154" s="161">
        <v>7</v>
      </c>
      <c r="H154" s="160" t="s">
        <v>4207</v>
      </c>
      <c r="I154" s="160"/>
      <c r="J154" s="160"/>
      <c r="K154" s="157" t="s">
        <v>4281</v>
      </c>
      <c r="L154" s="157"/>
      <c r="M154" s="157"/>
      <c r="N154" s="157"/>
      <c r="O154" s="157"/>
      <c r="P154" s="156">
        <v>1871</v>
      </c>
      <c r="Q154" s="156">
        <v>390</v>
      </c>
      <c r="R154" s="156"/>
      <c r="S154" s="161"/>
      <c r="T154" s="161"/>
      <c r="U154" s="161"/>
      <c r="V154" s="161"/>
      <c r="W154" s="161"/>
      <c r="X154" s="161"/>
      <c r="Y154" s="161"/>
      <c r="Z154" s="161"/>
      <c r="AA154" s="161"/>
      <c r="AB154" s="161"/>
      <c r="AC154" s="161"/>
      <c r="AD154" s="161"/>
      <c r="AE154" s="161"/>
      <c r="AF154" s="161"/>
      <c r="AG154" s="17"/>
      <c r="AH154" s="24"/>
      <c r="AI154" s="25"/>
      <c r="AJ154" s="25"/>
    </row>
    <row r="155" spans="1:36" x14ac:dyDescent="0.3">
      <c r="A155" s="63">
        <v>149</v>
      </c>
      <c r="B155" s="102" t="s">
        <v>3520</v>
      </c>
      <c r="C155" s="102" t="s">
        <v>3521</v>
      </c>
      <c r="D155" s="64" t="s">
        <v>119</v>
      </c>
      <c r="E155" s="155" t="s">
        <v>4129</v>
      </c>
      <c r="F155" s="160" t="s">
        <v>4234</v>
      </c>
      <c r="G155" s="161">
        <v>8</v>
      </c>
      <c r="H155" s="160" t="s">
        <v>4207</v>
      </c>
      <c r="I155" s="160"/>
      <c r="J155" s="160"/>
      <c r="K155" s="157" t="s">
        <v>4282</v>
      </c>
      <c r="L155" s="157"/>
      <c r="M155" s="157"/>
      <c r="N155" s="157"/>
      <c r="O155" s="157"/>
      <c r="P155" s="156">
        <v>1897</v>
      </c>
      <c r="Q155" s="156">
        <v>375</v>
      </c>
      <c r="R155" s="156"/>
      <c r="S155" s="161"/>
      <c r="T155" s="161"/>
      <c r="U155" s="161"/>
      <c r="V155" s="161"/>
      <c r="W155" s="161"/>
      <c r="X155" s="161"/>
      <c r="Y155" s="161"/>
      <c r="Z155" s="161"/>
      <c r="AA155" s="161"/>
      <c r="AB155" s="161"/>
      <c r="AC155" s="161"/>
      <c r="AD155" s="161"/>
      <c r="AE155" s="161"/>
      <c r="AF155" s="161"/>
      <c r="AG155" s="17"/>
      <c r="AH155" s="24"/>
      <c r="AI155" s="25"/>
      <c r="AJ155" s="25"/>
    </row>
    <row r="156" spans="1:36" x14ac:dyDescent="0.3">
      <c r="A156" s="63">
        <v>150</v>
      </c>
      <c r="B156" s="102" t="s">
        <v>3520</v>
      </c>
      <c r="C156" s="102" t="s">
        <v>3521</v>
      </c>
      <c r="D156" s="64" t="s">
        <v>119</v>
      </c>
      <c r="E156" s="155" t="s">
        <v>4129</v>
      </c>
      <c r="F156" s="160" t="s">
        <v>4234</v>
      </c>
      <c r="G156" s="161">
        <v>8</v>
      </c>
      <c r="H156" s="160" t="s">
        <v>4207</v>
      </c>
      <c r="I156" s="160"/>
      <c r="J156" s="160"/>
      <c r="K156" s="157" t="s">
        <v>4283</v>
      </c>
      <c r="L156" s="157"/>
      <c r="M156" s="157"/>
      <c r="N156" s="157"/>
      <c r="O156" s="157"/>
      <c r="P156" s="156">
        <v>3030</v>
      </c>
      <c r="Q156" s="156">
        <v>605</v>
      </c>
      <c r="R156" s="156"/>
      <c r="S156" s="161"/>
      <c r="T156" s="161"/>
      <c r="U156" s="161"/>
      <c r="V156" s="161"/>
      <c r="W156" s="161"/>
      <c r="X156" s="161"/>
      <c r="Y156" s="161"/>
      <c r="Z156" s="161"/>
      <c r="AA156" s="161"/>
      <c r="AB156" s="161"/>
      <c r="AC156" s="161"/>
      <c r="AD156" s="161"/>
      <c r="AE156" s="161"/>
      <c r="AF156" s="161"/>
      <c r="AG156" s="17"/>
      <c r="AH156" s="24"/>
      <c r="AI156" s="25"/>
      <c r="AJ156" s="25"/>
    </row>
    <row r="157" spans="1:36" x14ac:dyDescent="0.3">
      <c r="A157" s="63">
        <v>151</v>
      </c>
      <c r="B157" s="102" t="s">
        <v>3520</v>
      </c>
      <c r="C157" s="102" t="s">
        <v>3521</v>
      </c>
      <c r="D157" s="64" t="s">
        <v>119</v>
      </c>
      <c r="E157" s="155" t="s">
        <v>4129</v>
      </c>
      <c r="F157" s="160" t="s">
        <v>4234</v>
      </c>
      <c r="G157" s="161">
        <v>9</v>
      </c>
      <c r="H157" s="160" t="s">
        <v>4207</v>
      </c>
      <c r="I157" s="160"/>
      <c r="J157" s="160"/>
      <c r="K157" s="157" t="s">
        <v>4284</v>
      </c>
      <c r="L157" s="157"/>
      <c r="M157" s="157"/>
      <c r="N157" s="157"/>
      <c r="O157" s="157"/>
      <c r="P157" s="156">
        <v>4519</v>
      </c>
      <c r="Q157" s="156">
        <v>930</v>
      </c>
      <c r="R157" s="156"/>
      <c r="S157" s="161"/>
      <c r="T157" s="161"/>
      <c r="U157" s="161"/>
      <c r="V157" s="161"/>
      <c r="W157" s="161"/>
      <c r="X157" s="161"/>
      <c r="Y157" s="161"/>
      <c r="Z157" s="161"/>
      <c r="AA157" s="161"/>
      <c r="AB157" s="161"/>
      <c r="AC157" s="161"/>
      <c r="AD157" s="161"/>
      <c r="AE157" s="161"/>
      <c r="AF157" s="161"/>
      <c r="AG157" s="17"/>
      <c r="AH157" s="24"/>
      <c r="AI157" s="25"/>
      <c r="AJ157" s="25"/>
    </row>
    <row r="158" spans="1:36" x14ac:dyDescent="0.3">
      <c r="A158" s="63">
        <v>152</v>
      </c>
      <c r="B158" s="102" t="s">
        <v>3520</v>
      </c>
      <c r="C158" s="102" t="s">
        <v>3521</v>
      </c>
      <c r="D158" s="64" t="s">
        <v>119</v>
      </c>
      <c r="E158" s="155" t="s">
        <v>4129</v>
      </c>
      <c r="F158" s="160" t="s">
        <v>4285</v>
      </c>
      <c r="G158" s="161">
        <v>1</v>
      </c>
      <c r="H158" s="160" t="s">
        <v>4286</v>
      </c>
      <c r="I158" s="160"/>
      <c r="J158" s="160"/>
      <c r="K158" s="157" t="s">
        <v>4287</v>
      </c>
      <c r="L158" s="157"/>
      <c r="M158" s="157"/>
      <c r="N158" s="157"/>
      <c r="O158" s="157"/>
      <c r="P158" s="156">
        <v>769</v>
      </c>
      <c r="Q158" s="156">
        <v>179</v>
      </c>
      <c r="R158" s="156"/>
      <c r="S158" s="161"/>
      <c r="T158" s="161"/>
      <c r="U158" s="161"/>
      <c r="V158" s="161"/>
      <c r="W158" s="161"/>
      <c r="X158" s="161"/>
      <c r="Y158" s="161"/>
      <c r="Z158" s="161"/>
      <c r="AA158" s="161"/>
      <c r="AB158" s="161"/>
      <c r="AC158" s="161"/>
      <c r="AD158" s="161"/>
      <c r="AE158" s="161"/>
      <c r="AF158" s="161"/>
      <c r="AG158" s="17"/>
      <c r="AH158" s="24"/>
      <c r="AI158" s="25"/>
      <c r="AJ158" s="25"/>
    </row>
    <row r="159" spans="1:36" x14ac:dyDescent="0.3">
      <c r="A159" s="63">
        <v>153</v>
      </c>
      <c r="B159" s="102" t="s">
        <v>3520</v>
      </c>
      <c r="C159" s="102" t="s">
        <v>3521</v>
      </c>
      <c r="D159" s="64" t="s">
        <v>119</v>
      </c>
      <c r="E159" s="155" t="s">
        <v>4129</v>
      </c>
      <c r="F159" s="160" t="s">
        <v>4285</v>
      </c>
      <c r="G159" s="161">
        <v>2</v>
      </c>
      <c r="H159" s="160" t="s">
        <v>4286</v>
      </c>
      <c r="I159" s="160"/>
      <c r="J159" s="160"/>
      <c r="K159" s="157" t="s">
        <v>4288</v>
      </c>
      <c r="L159" s="157"/>
      <c r="M159" s="157"/>
      <c r="N159" s="157"/>
      <c r="O159" s="157"/>
      <c r="P159" s="156">
        <v>693</v>
      </c>
      <c r="Q159" s="156">
        <v>181</v>
      </c>
      <c r="R159" s="156"/>
      <c r="S159" s="161"/>
      <c r="T159" s="161"/>
      <c r="U159" s="161"/>
      <c r="V159" s="161"/>
      <c r="W159" s="161"/>
      <c r="X159" s="161"/>
      <c r="Y159" s="161"/>
      <c r="Z159" s="161"/>
      <c r="AA159" s="161"/>
      <c r="AB159" s="161"/>
      <c r="AC159" s="161"/>
      <c r="AD159" s="161"/>
      <c r="AE159" s="161"/>
      <c r="AF159" s="161"/>
      <c r="AG159" s="17"/>
      <c r="AH159" s="24"/>
      <c r="AI159" s="25"/>
      <c r="AJ159" s="25"/>
    </row>
    <row r="160" spans="1:36" x14ac:dyDescent="0.3">
      <c r="A160" s="63">
        <v>154</v>
      </c>
      <c r="B160" s="102" t="s">
        <v>3520</v>
      </c>
      <c r="C160" s="102" t="s">
        <v>3521</v>
      </c>
      <c r="D160" s="64" t="s">
        <v>119</v>
      </c>
      <c r="E160" s="155" t="s">
        <v>4129</v>
      </c>
      <c r="F160" s="160" t="s">
        <v>4285</v>
      </c>
      <c r="G160" s="161">
        <v>3</v>
      </c>
      <c r="H160" s="160" t="s">
        <v>4286</v>
      </c>
      <c r="I160" s="160"/>
      <c r="J160" s="160"/>
      <c r="K160" s="157" t="s">
        <v>4198</v>
      </c>
      <c r="L160" s="157"/>
      <c r="M160" s="157"/>
      <c r="N160" s="157"/>
      <c r="O160" s="157"/>
      <c r="P160" s="156">
        <v>661</v>
      </c>
      <c r="Q160" s="156">
        <v>177</v>
      </c>
      <c r="R160" s="156"/>
      <c r="S160" s="161"/>
      <c r="T160" s="161"/>
      <c r="U160" s="161"/>
      <c r="V160" s="161"/>
      <c r="W160" s="161"/>
      <c r="X160" s="161"/>
      <c r="Y160" s="161"/>
      <c r="Z160" s="161"/>
      <c r="AA160" s="161"/>
      <c r="AB160" s="161"/>
      <c r="AC160" s="161"/>
      <c r="AD160" s="161"/>
      <c r="AE160" s="161"/>
      <c r="AF160" s="161"/>
      <c r="AG160" s="17"/>
      <c r="AH160" s="24"/>
      <c r="AI160" s="25"/>
      <c r="AJ160" s="25"/>
    </row>
    <row r="161" spans="1:36" x14ac:dyDescent="0.3">
      <c r="A161" s="63">
        <v>155</v>
      </c>
      <c r="B161" s="102" t="s">
        <v>3520</v>
      </c>
      <c r="C161" s="102" t="s">
        <v>3521</v>
      </c>
      <c r="D161" s="64" t="s">
        <v>119</v>
      </c>
      <c r="E161" s="155" t="s">
        <v>4129</v>
      </c>
      <c r="F161" s="160" t="s">
        <v>4285</v>
      </c>
      <c r="G161" s="161">
        <v>4</v>
      </c>
      <c r="H161" s="160" t="s">
        <v>4286</v>
      </c>
      <c r="I161" s="160"/>
      <c r="J161" s="160"/>
      <c r="K161" s="157" t="s">
        <v>4266</v>
      </c>
      <c r="L161" s="157"/>
      <c r="M161" s="157"/>
      <c r="N161" s="157"/>
      <c r="O161" s="157"/>
      <c r="P161" s="156">
        <v>1273</v>
      </c>
      <c r="Q161" s="156">
        <v>333</v>
      </c>
      <c r="R161" s="156"/>
      <c r="S161" s="161"/>
      <c r="T161" s="161"/>
      <c r="U161" s="161"/>
      <c r="V161" s="161"/>
      <c r="W161" s="161"/>
      <c r="X161" s="161"/>
      <c r="Y161" s="161"/>
      <c r="Z161" s="161"/>
      <c r="AA161" s="161"/>
      <c r="AB161" s="161"/>
      <c r="AC161" s="161"/>
      <c r="AD161" s="161"/>
      <c r="AE161" s="161"/>
      <c r="AF161" s="161"/>
      <c r="AG161" s="17"/>
      <c r="AH161" s="24"/>
      <c r="AI161" s="25"/>
      <c r="AJ161" s="25"/>
    </row>
    <row r="162" spans="1:36" x14ac:dyDescent="0.3">
      <c r="A162" s="63">
        <v>156</v>
      </c>
      <c r="B162" s="102" t="s">
        <v>3520</v>
      </c>
      <c r="C162" s="102" t="s">
        <v>3521</v>
      </c>
      <c r="D162" s="64" t="s">
        <v>119</v>
      </c>
      <c r="E162" s="155" t="s">
        <v>4129</v>
      </c>
      <c r="F162" s="160" t="s">
        <v>4285</v>
      </c>
      <c r="G162" s="161">
        <v>5</v>
      </c>
      <c r="H162" s="160" t="s">
        <v>4286</v>
      </c>
      <c r="I162" s="160"/>
      <c r="J162" s="160"/>
      <c r="K162" s="157" t="s">
        <v>4289</v>
      </c>
      <c r="L162" s="157"/>
      <c r="M162" s="157"/>
      <c r="N162" s="157"/>
      <c r="O162" s="157"/>
      <c r="P162" s="156">
        <v>836</v>
      </c>
      <c r="Q162" s="156">
        <v>219</v>
      </c>
      <c r="R162" s="156"/>
      <c r="S162" s="161"/>
      <c r="T162" s="161"/>
      <c r="U162" s="161"/>
      <c r="V162" s="161"/>
      <c r="W162" s="161"/>
      <c r="X162" s="161"/>
      <c r="Y162" s="161"/>
      <c r="Z162" s="161"/>
      <c r="AA162" s="161"/>
      <c r="AB162" s="161"/>
      <c r="AC162" s="161"/>
      <c r="AD162" s="161"/>
      <c r="AE162" s="161"/>
      <c r="AF162" s="161"/>
      <c r="AG162" s="17"/>
      <c r="AH162" s="24"/>
      <c r="AI162" s="25"/>
      <c r="AJ162" s="25"/>
    </row>
    <row r="163" spans="1:36" x14ac:dyDescent="0.3">
      <c r="A163" s="63">
        <v>157</v>
      </c>
      <c r="B163" s="102" t="s">
        <v>3520</v>
      </c>
      <c r="C163" s="102" t="s">
        <v>3521</v>
      </c>
      <c r="D163" s="64" t="s">
        <v>119</v>
      </c>
      <c r="E163" s="155" t="s">
        <v>4129</v>
      </c>
      <c r="F163" s="160" t="s">
        <v>4285</v>
      </c>
      <c r="G163" s="161">
        <v>6</v>
      </c>
      <c r="H163" s="160" t="s">
        <v>4286</v>
      </c>
      <c r="I163" s="160"/>
      <c r="J163" s="160"/>
      <c r="K163" s="157" t="s">
        <v>4290</v>
      </c>
      <c r="L163" s="157"/>
      <c r="M163" s="157"/>
      <c r="N163" s="157"/>
      <c r="O163" s="157"/>
      <c r="P163" s="156">
        <v>1530</v>
      </c>
      <c r="Q163" s="156">
        <v>402</v>
      </c>
      <c r="R163" s="156"/>
      <c r="S163" s="161"/>
      <c r="T163" s="161"/>
      <c r="U163" s="161"/>
      <c r="V163" s="161"/>
      <c r="W163" s="161"/>
      <c r="X163" s="161"/>
      <c r="Y163" s="161"/>
      <c r="Z163" s="161"/>
      <c r="AA163" s="161"/>
      <c r="AB163" s="161"/>
      <c r="AC163" s="161"/>
      <c r="AD163" s="161"/>
      <c r="AE163" s="161"/>
      <c r="AF163" s="161"/>
      <c r="AG163" s="17"/>
      <c r="AH163" s="24"/>
      <c r="AI163" s="25"/>
      <c r="AJ163" s="25"/>
    </row>
    <row r="164" spans="1:36" x14ac:dyDescent="0.3">
      <c r="A164" s="63">
        <v>158</v>
      </c>
      <c r="B164" s="102" t="s">
        <v>3520</v>
      </c>
      <c r="C164" s="102" t="s">
        <v>3521</v>
      </c>
      <c r="D164" s="64" t="s">
        <v>119</v>
      </c>
      <c r="E164" s="155" t="s">
        <v>4129</v>
      </c>
      <c r="F164" s="160" t="s">
        <v>4285</v>
      </c>
      <c r="G164" s="161">
        <v>7</v>
      </c>
      <c r="H164" s="160" t="s">
        <v>4286</v>
      </c>
      <c r="I164" s="160"/>
      <c r="J164" s="160"/>
      <c r="K164" s="157" t="s">
        <v>4291</v>
      </c>
      <c r="L164" s="157"/>
      <c r="M164" s="157"/>
      <c r="N164" s="157"/>
      <c r="O164" s="157"/>
      <c r="P164" s="156">
        <v>1065</v>
      </c>
      <c r="Q164" s="156">
        <v>282</v>
      </c>
      <c r="R164" s="156"/>
      <c r="S164" s="161"/>
      <c r="T164" s="161"/>
      <c r="U164" s="161"/>
      <c r="V164" s="161"/>
      <c r="W164" s="161"/>
      <c r="X164" s="161"/>
      <c r="Y164" s="161"/>
      <c r="Z164" s="161"/>
      <c r="AA164" s="161"/>
      <c r="AB164" s="161"/>
      <c r="AC164" s="161"/>
      <c r="AD164" s="161"/>
      <c r="AE164" s="161"/>
      <c r="AF164" s="161"/>
      <c r="AG164" s="17"/>
      <c r="AH164" s="24"/>
      <c r="AI164" s="25"/>
      <c r="AJ164" s="25"/>
    </row>
    <row r="165" spans="1:36" x14ac:dyDescent="0.3">
      <c r="A165" s="63">
        <v>159</v>
      </c>
      <c r="B165" s="102" t="s">
        <v>3520</v>
      </c>
      <c r="C165" s="102" t="s">
        <v>3521</v>
      </c>
      <c r="D165" s="64" t="s">
        <v>119</v>
      </c>
      <c r="E165" s="155" t="s">
        <v>4129</v>
      </c>
      <c r="F165" s="160" t="s">
        <v>4285</v>
      </c>
      <c r="G165" s="161">
        <v>8</v>
      </c>
      <c r="H165" s="160" t="s">
        <v>4286</v>
      </c>
      <c r="I165" s="160"/>
      <c r="J165" s="160"/>
      <c r="K165" s="157" t="s">
        <v>4176</v>
      </c>
      <c r="L165" s="157"/>
      <c r="M165" s="157"/>
      <c r="N165" s="157"/>
      <c r="O165" s="157"/>
      <c r="P165" s="156">
        <v>1258</v>
      </c>
      <c r="Q165" s="156">
        <v>331</v>
      </c>
      <c r="R165" s="156"/>
      <c r="S165" s="161"/>
      <c r="T165" s="161"/>
      <c r="U165" s="161"/>
      <c r="V165" s="161"/>
      <c r="W165" s="161"/>
      <c r="X165" s="161"/>
      <c r="Y165" s="161"/>
      <c r="Z165" s="161"/>
      <c r="AA165" s="161"/>
      <c r="AB165" s="161"/>
      <c r="AC165" s="161"/>
      <c r="AD165" s="161"/>
      <c r="AE165" s="161"/>
      <c r="AF165" s="161"/>
      <c r="AG165" s="17"/>
      <c r="AH165" s="24"/>
      <c r="AI165" s="25"/>
      <c r="AJ165" s="25"/>
    </row>
    <row r="166" spans="1:36" x14ac:dyDescent="0.3">
      <c r="A166" s="63">
        <v>160</v>
      </c>
      <c r="B166" s="102" t="s">
        <v>3520</v>
      </c>
      <c r="C166" s="102" t="s">
        <v>3521</v>
      </c>
      <c r="D166" s="64" t="s">
        <v>119</v>
      </c>
      <c r="E166" s="155" t="s">
        <v>4129</v>
      </c>
      <c r="F166" s="160" t="s">
        <v>4285</v>
      </c>
      <c r="G166" s="161">
        <v>9</v>
      </c>
      <c r="H166" s="160" t="s">
        <v>4286</v>
      </c>
      <c r="I166" s="160"/>
      <c r="J166" s="160"/>
      <c r="K166" s="157" t="s">
        <v>4292</v>
      </c>
      <c r="L166" s="157"/>
      <c r="M166" s="157"/>
      <c r="N166" s="157"/>
      <c r="O166" s="157"/>
      <c r="P166" s="156">
        <v>1526</v>
      </c>
      <c r="Q166" s="156">
        <v>404</v>
      </c>
      <c r="R166" s="156"/>
      <c r="S166" s="161"/>
      <c r="T166" s="161"/>
      <c r="U166" s="161"/>
      <c r="V166" s="161"/>
      <c r="W166" s="161"/>
      <c r="X166" s="161"/>
      <c r="Y166" s="161"/>
      <c r="Z166" s="161"/>
      <c r="AA166" s="161"/>
      <c r="AB166" s="161"/>
      <c r="AC166" s="161"/>
      <c r="AD166" s="161"/>
      <c r="AE166" s="161"/>
      <c r="AF166" s="161"/>
      <c r="AG166" s="17"/>
      <c r="AH166" s="24"/>
      <c r="AI166" s="25"/>
      <c r="AJ166" s="25"/>
    </row>
  </sheetData>
  <mergeCells count="3">
    <mergeCell ref="G1:G2"/>
    <mergeCell ref="A5:D5"/>
    <mergeCell ref="U5:AF5"/>
  </mergeCells>
  <conditionalFormatting sqref="M7:M166">
    <cfRule type="duplicateValues" dxfId="2" priority="4"/>
  </conditionalFormatting>
  <dataValidations count="1">
    <dataValidation type="list" allowBlank="1" showInputMessage="1" showErrorMessage="1" sqref="E7:E166">
      <formula1>INDIRECT($B7)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16"/>
  <sheetViews>
    <sheetView workbookViewId="0">
      <pane xSplit="12" ySplit="6" topLeftCell="M7" activePane="bottomRight" state="frozen"/>
      <selection pane="topRight" activeCell="M1" sqref="M1"/>
      <selection pane="bottomLeft" activeCell="A6" sqref="A6"/>
      <selection pane="bottomRight" activeCell="AG17" sqref="A1:XFD1048576"/>
    </sheetView>
  </sheetViews>
  <sheetFormatPr defaultRowHeight="14.4" x14ac:dyDescent="0.3"/>
  <cols>
    <col min="2" max="2" width="13.44140625" customWidth="1"/>
    <col min="3" max="3" width="12.21875" customWidth="1"/>
    <col min="4" max="4" width="13.88671875" customWidth="1"/>
    <col min="5" max="5" width="13.109375" customWidth="1"/>
    <col min="6" max="6" width="12" customWidth="1"/>
    <col min="8" max="8" width="20.6640625" customWidth="1"/>
    <col min="10" max="10" width="11.77734375" customWidth="1"/>
    <col min="11" max="11" width="25.33203125" customWidth="1"/>
    <col min="21" max="32" width="4.77734375" customWidth="1"/>
  </cols>
  <sheetData>
    <row r="1" spans="1:36" x14ac:dyDescent="0.3">
      <c r="A1" s="55"/>
      <c r="B1" s="55"/>
      <c r="C1" s="55"/>
      <c r="D1" s="55"/>
      <c r="E1" s="55"/>
      <c r="F1" s="55"/>
      <c r="G1" s="165" t="s">
        <v>23</v>
      </c>
      <c r="H1" s="46" t="s">
        <v>0</v>
      </c>
      <c r="I1" s="47">
        <f>COUNTIF(I7:I535,"SK(H)")</f>
        <v>0</v>
      </c>
      <c r="J1" s="46" t="s">
        <v>1</v>
      </c>
      <c r="K1" s="46">
        <f>COUNTA(J7:J551)</f>
        <v>0</v>
      </c>
      <c r="L1" s="9"/>
      <c r="M1" s="9"/>
      <c r="N1" s="9"/>
      <c r="O1" s="9"/>
      <c r="P1" s="13"/>
      <c r="Q1" s="13"/>
      <c r="R1" s="13"/>
      <c r="S1" s="13"/>
      <c r="T1" s="13"/>
      <c r="U1" s="13"/>
      <c r="V1" s="13"/>
      <c r="W1" s="13"/>
      <c r="X1" s="13"/>
      <c r="Y1" s="13"/>
      <c r="Z1" s="11"/>
      <c r="AA1" s="8"/>
      <c r="AB1" s="8"/>
      <c r="AC1" s="8"/>
      <c r="AD1" s="11"/>
      <c r="AE1" s="11"/>
      <c r="AF1" s="11" t="s">
        <v>2</v>
      </c>
      <c r="AG1" s="11"/>
      <c r="AH1" s="10"/>
      <c r="AI1" s="12"/>
      <c r="AJ1" s="8"/>
    </row>
    <row r="2" spans="1:36" x14ac:dyDescent="0.3">
      <c r="A2" s="55"/>
      <c r="B2" s="55"/>
      <c r="C2" s="55"/>
      <c r="D2" s="56"/>
      <c r="E2" s="57"/>
      <c r="F2" s="57"/>
      <c r="G2" s="165"/>
      <c r="H2" s="46" t="s">
        <v>3</v>
      </c>
      <c r="I2" s="47">
        <f>COUNTIF(I7:I536,"SHW(H)")</f>
        <v>0</v>
      </c>
      <c r="J2" s="46" t="s">
        <v>5</v>
      </c>
      <c r="K2" s="46">
        <f>COUNTA(K7:K216)</f>
        <v>210</v>
      </c>
      <c r="L2" s="9"/>
      <c r="M2" s="9"/>
      <c r="N2" s="9"/>
      <c r="O2" s="9"/>
      <c r="P2" s="13"/>
      <c r="Q2" s="13"/>
      <c r="R2" s="13"/>
      <c r="S2" s="13"/>
      <c r="T2" s="13"/>
      <c r="U2" s="13"/>
      <c r="V2" s="13"/>
      <c r="W2" s="13"/>
      <c r="X2" s="13"/>
      <c r="Y2" s="13"/>
      <c r="Z2" s="11"/>
      <c r="AA2" s="8"/>
      <c r="AB2" s="8"/>
      <c r="AC2" s="8"/>
      <c r="AD2" s="11"/>
      <c r="AE2" s="11"/>
      <c r="AF2" s="11" t="s">
        <v>4</v>
      </c>
      <c r="AG2" s="11"/>
      <c r="AH2" s="10"/>
      <c r="AI2" s="8"/>
      <c r="AJ2" s="8"/>
    </row>
    <row r="3" spans="1:36" x14ac:dyDescent="0.3">
      <c r="A3" s="55"/>
      <c r="B3" s="55"/>
      <c r="C3" s="55"/>
      <c r="D3" s="56"/>
      <c r="E3" s="57"/>
      <c r="F3" s="57"/>
      <c r="G3" s="162"/>
      <c r="H3" s="9"/>
      <c r="I3" s="164"/>
      <c r="J3" s="9"/>
      <c r="K3" s="9"/>
      <c r="L3" s="9"/>
      <c r="M3" s="9"/>
      <c r="N3" s="9"/>
      <c r="O3" s="9"/>
      <c r="P3" s="13"/>
      <c r="Q3" s="13"/>
      <c r="R3" s="13"/>
      <c r="S3" s="13"/>
      <c r="T3" s="13"/>
      <c r="U3" s="13"/>
      <c r="V3" s="13"/>
      <c r="W3" s="13"/>
      <c r="X3" s="13"/>
      <c r="Y3" s="13"/>
      <c r="Z3" s="11"/>
      <c r="AA3" s="8"/>
      <c r="AB3" s="8"/>
      <c r="AC3" s="8"/>
      <c r="AD3" s="11"/>
      <c r="AE3" s="11"/>
      <c r="AF3" s="11" t="s">
        <v>6</v>
      </c>
      <c r="AG3" s="11"/>
      <c r="AH3" s="10"/>
      <c r="AI3" s="8"/>
      <c r="AJ3" s="8"/>
    </row>
    <row r="4" spans="1:36" x14ac:dyDescent="0.3">
      <c r="A4" s="55"/>
      <c r="B4" s="55"/>
      <c r="C4" s="55"/>
      <c r="D4" s="55"/>
      <c r="E4" s="58"/>
      <c r="F4" s="58"/>
      <c r="G4" s="55"/>
      <c r="H4" s="8"/>
      <c r="I4" s="8"/>
      <c r="J4" s="13"/>
      <c r="K4" s="11"/>
      <c r="L4" s="11"/>
      <c r="M4" s="11"/>
      <c r="N4" s="11"/>
      <c r="O4" s="11"/>
      <c r="P4" s="13"/>
      <c r="Q4" s="13"/>
      <c r="R4" s="13"/>
      <c r="S4" s="13"/>
      <c r="T4" s="13"/>
      <c r="U4" s="13"/>
      <c r="V4" s="13"/>
      <c r="W4" s="13"/>
      <c r="X4" s="13"/>
      <c r="Y4" s="13"/>
      <c r="Z4" s="11"/>
      <c r="AA4" s="8"/>
      <c r="AB4" s="8"/>
      <c r="AC4" s="8"/>
      <c r="AD4" s="11"/>
      <c r="AE4" s="11"/>
      <c r="AG4" s="11"/>
      <c r="AH4" s="10"/>
      <c r="AI4" s="13"/>
      <c r="AJ4" s="13"/>
    </row>
    <row r="5" spans="1:36" x14ac:dyDescent="0.3">
      <c r="A5" s="166" t="s">
        <v>7</v>
      </c>
      <c r="B5" s="166"/>
      <c r="C5" s="166"/>
      <c r="D5" s="166"/>
      <c r="E5" s="105" t="s">
        <v>4293</v>
      </c>
      <c r="F5" s="105"/>
      <c r="G5" s="105"/>
      <c r="H5" s="2"/>
      <c r="I5" s="1"/>
      <c r="J5" s="1"/>
      <c r="K5" s="15"/>
      <c r="L5" s="15"/>
      <c r="M5" s="15"/>
      <c r="N5" s="15"/>
      <c r="O5" s="15"/>
      <c r="P5" s="5"/>
      <c r="Q5" s="5"/>
      <c r="R5" s="5"/>
      <c r="S5" s="5"/>
      <c r="T5" s="1"/>
      <c r="U5" s="169" t="s">
        <v>4489</v>
      </c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6"/>
      <c r="AH5" s="3"/>
      <c r="AI5" s="7"/>
      <c r="AJ5" s="7"/>
    </row>
    <row r="6" spans="1:36" ht="82.8" x14ac:dyDescent="0.3">
      <c r="A6" s="60" t="s">
        <v>8</v>
      </c>
      <c r="B6" s="61" t="s">
        <v>3518</v>
      </c>
      <c r="C6" s="61" t="s">
        <v>3519</v>
      </c>
      <c r="D6" s="61" t="s">
        <v>9</v>
      </c>
      <c r="E6" s="61" t="s">
        <v>10</v>
      </c>
      <c r="F6" s="61" t="s">
        <v>11</v>
      </c>
      <c r="G6" s="62" t="s">
        <v>3523</v>
      </c>
      <c r="H6" s="19" t="s">
        <v>12</v>
      </c>
      <c r="I6" s="19" t="s">
        <v>13</v>
      </c>
      <c r="J6" s="48" t="s">
        <v>14</v>
      </c>
      <c r="K6" s="53" t="s">
        <v>34</v>
      </c>
      <c r="L6" s="81" t="s">
        <v>35</v>
      </c>
      <c r="M6" s="53" t="s">
        <v>40</v>
      </c>
      <c r="N6" s="53" t="s">
        <v>36</v>
      </c>
      <c r="O6" s="53" t="s">
        <v>37</v>
      </c>
      <c r="P6" s="19" t="s">
        <v>15</v>
      </c>
      <c r="Q6" s="19" t="s">
        <v>3522</v>
      </c>
      <c r="R6" s="48" t="s">
        <v>33</v>
      </c>
      <c r="S6" s="81" t="s">
        <v>38</v>
      </c>
      <c r="T6" s="19" t="s">
        <v>39</v>
      </c>
      <c r="U6" s="44" t="s">
        <v>26</v>
      </c>
      <c r="V6" s="45" t="s">
        <v>27</v>
      </c>
      <c r="W6" s="45" t="s">
        <v>16</v>
      </c>
      <c r="X6" s="45" t="s">
        <v>17</v>
      </c>
      <c r="Y6" s="45" t="s">
        <v>18</v>
      </c>
      <c r="Z6" s="45" t="s">
        <v>19</v>
      </c>
      <c r="AA6" s="45" t="s">
        <v>20</v>
      </c>
      <c r="AB6" s="45" t="s">
        <v>28</v>
      </c>
      <c r="AC6" s="45" t="s">
        <v>29</v>
      </c>
      <c r="AD6" s="45" t="s">
        <v>30</v>
      </c>
      <c r="AE6" s="45" t="s">
        <v>31</v>
      </c>
      <c r="AF6" s="45" t="s">
        <v>32</v>
      </c>
      <c r="AG6" s="49" t="s">
        <v>25</v>
      </c>
      <c r="AH6" s="50" t="s">
        <v>24</v>
      </c>
      <c r="AI6" s="51" t="s">
        <v>21</v>
      </c>
      <c r="AJ6" s="52" t="s">
        <v>22</v>
      </c>
    </row>
    <row r="7" spans="1:36" x14ac:dyDescent="0.3">
      <c r="A7" s="63">
        <v>1</v>
      </c>
      <c r="B7" s="102" t="s">
        <v>3520</v>
      </c>
      <c r="C7" s="102" t="s">
        <v>3521</v>
      </c>
      <c r="D7" s="64" t="s">
        <v>119</v>
      </c>
      <c r="E7" s="24" t="s">
        <v>4293</v>
      </c>
      <c r="F7" s="106" t="s">
        <v>4195</v>
      </c>
      <c r="G7" s="127">
        <v>1</v>
      </c>
      <c r="H7" s="106" t="s">
        <v>4294</v>
      </c>
      <c r="I7" s="106"/>
      <c r="J7" s="128"/>
      <c r="K7" s="129" t="s">
        <v>3428</v>
      </c>
      <c r="L7" s="129"/>
      <c r="M7" s="129"/>
      <c r="N7" s="129"/>
      <c r="O7" s="129"/>
      <c r="P7" s="123">
        <v>6133</v>
      </c>
      <c r="Q7" s="123">
        <v>1028</v>
      </c>
      <c r="R7" s="130"/>
      <c r="S7" s="131"/>
      <c r="T7" s="124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6"/>
      <c r="AH7" s="24"/>
      <c r="AI7" s="25"/>
      <c r="AJ7" s="25"/>
    </row>
    <row r="8" spans="1:36" x14ac:dyDescent="0.3">
      <c r="A8" s="63">
        <v>2</v>
      </c>
      <c r="B8" s="102" t="s">
        <v>3520</v>
      </c>
      <c r="C8" s="102" t="s">
        <v>3521</v>
      </c>
      <c r="D8" s="64" t="s">
        <v>119</v>
      </c>
      <c r="E8" s="24" t="s">
        <v>4293</v>
      </c>
      <c r="F8" s="106" t="s">
        <v>4195</v>
      </c>
      <c r="G8" s="127">
        <v>1</v>
      </c>
      <c r="H8" s="106" t="s">
        <v>4294</v>
      </c>
      <c r="I8" s="106"/>
      <c r="J8" s="128"/>
      <c r="K8" s="129" t="s">
        <v>4295</v>
      </c>
      <c r="L8" s="129"/>
      <c r="M8" s="129"/>
      <c r="N8" s="129"/>
      <c r="O8" s="129"/>
      <c r="P8" s="123">
        <v>5130</v>
      </c>
      <c r="Q8" s="123">
        <v>869</v>
      </c>
      <c r="R8" s="130"/>
      <c r="S8" s="131"/>
      <c r="T8" s="124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17"/>
      <c r="AH8" s="24"/>
      <c r="AI8" s="25"/>
      <c r="AJ8" s="25"/>
    </row>
    <row r="9" spans="1:36" x14ac:dyDescent="0.3">
      <c r="A9" s="63">
        <v>3</v>
      </c>
      <c r="B9" s="102" t="s">
        <v>3520</v>
      </c>
      <c r="C9" s="102" t="s">
        <v>3521</v>
      </c>
      <c r="D9" s="64" t="s">
        <v>119</v>
      </c>
      <c r="E9" s="24" t="s">
        <v>4293</v>
      </c>
      <c r="F9" s="106" t="s">
        <v>4195</v>
      </c>
      <c r="G9" s="127">
        <v>2</v>
      </c>
      <c r="H9" s="106" t="s">
        <v>4294</v>
      </c>
      <c r="I9" s="106"/>
      <c r="J9" s="128"/>
      <c r="K9" s="132" t="s">
        <v>4296</v>
      </c>
      <c r="L9" s="132"/>
      <c r="M9" s="132"/>
      <c r="N9" s="132"/>
      <c r="O9" s="132"/>
      <c r="P9" s="123">
        <v>1343</v>
      </c>
      <c r="Q9" s="123">
        <v>215</v>
      </c>
      <c r="R9" s="130"/>
      <c r="S9" s="131"/>
      <c r="T9" s="124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17"/>
      <c r="AH9" s="24"/>
      <c r="AI9" s="25"/>
      <c r="AJ9" s="25"/>
    </row>
    <row r="10" spans="1:36" x14ac:dyDescent="0.3">
      <c r="A10" s="63">
        <v>4</v>
      </c>
      <c r="B10" s="102" t="s">
        <v>3520</v>
      </c>
      <c r="C10" s="102" t="s">
        <v>3521</v>
      </c>
      <c r="D10" s="64" t="s">
        <v>119</v>
      </c>
      <c r="E10" s="24" t="s">
        <v>4293</v>
      </c>
      <c r="F10" s="106" t="s">
        <v>4195</v>
      </c>
      <c r="G10" s="127">
        <v>2</v>
      </c>
      <c r="H10" s="106" t="s">
        <v>4294</v>
      </c>
      <c r="I10" s="106"/>
      <c r="J10" s="128"/>
      <c r="K10" s="129" t="s">
        <v>4297</v>
      </c>
      <c r="L10" s="129"/>
      <c r="M10" s="129"/>
      <c r="N10" s="129"/>
      <c r="O10" s="129"/>
      <c r="P10" s="123">
        <v>4334</v>
      </c>
      <c r="Q10" s="123">
        <v>712</v>
      </c>
      <c r="R10" s="130"/>
      <c r="S10" s="131"/>
      <c r="T10" s="124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17"/>
      <c r="AH10" s="24"/>
      <c r="AI10" s="25"/>
      <c r="AJ10" s="25"/>
    </row>
    <row r="11" spans="1:36" x14ac:dyDescent="0.3">
      <c r="A11" s="63">
        <v>5</v>
      </c>
      <c r="B11" s="102" t="s">
        <v>3520</v>
      </c>
      <c r="C11" s="102" t="s">
        <v>3521</v>
      </c>
      <c r="D11" s="64" t="s">
        <v>119</v>
      </c>
      <c r="E11" s="24" t="s">
        <v>4293</v>
      </c>
      <c r="F11" s="106" t="s">
        <v>4195</v>
      </c>
      <c r="G11" s="127">
        <v>2</v>
      </c>
      <c r="H11" s="106" t="s">
        <v>4294</v>
      </c>
      <c r="I11" s="106"/>
      <c r="J11" s="128"/>
      <c r="K11" s="132" t="s">
        <v>4298</v>
      </c>
      <c r="L11" s="132"/>
      <c r="M11" s="132"/>
      <c r="N11" s="132"/>
      <c r="O11" s="132"/>
      <c r="P11" s="123">
        <v>1823</v>
      </c>
      <c r="Q11" s="123">
        <v>348</v>
      </c>
      <c r="R11" s="130"/>
      <c r="S11" s="131"/>
      <c r="T11" s="124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16"/>
      <c r="AH11" s="24"/>
      <c r="AI11" s="25"/>
      <c r="AJ11" s="25"/>
    </row>
    <row r="12" spans="1:36" x14ac:dyDescent="0.3">
      <c r="A12" s="63">
        <v>6</v>
      </c>
      <c r="B12" s="102" t="s">
        <v>3520</v>
      </c>
      <c r="C12" s="102" t="s">
        <v>3521</v>
      </c>
      <c r="D12" s="64" t="s">
        <v>119</v>
      </c>
      <c r="E12" s="24" t="s">
        <v>4293</v>
      </c>
      <c r="F12" s="106" t="s">
        <v>4195</v>
      </c>
      <c r="G12" s="127">
        <v>3</v>
      </c>
      <c r="H12" s="106" t="s">
        <v>4294</v>
      </c>
      <c r="I12" s="106"/>
      <c r="J12" s="128"/>
      <c r="K12" s="129" t="s">
        <v>51</v>
      </c>
      <c r="L12" s="129"/>
      <c r="M12" s="129"/>
      <c r="N12" s="129"/>
      <c r="O12" s="129"/>
      <c r="P12" s="123">
        <v>2795</v>
      </c>
      <c r="Q12" s="123">
        <v>516</v>
      </c>
      <c r="R12" s="130"/>
      <c r="S12" s="131"/>
      <c r="T12" s="124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17"/>
      <c r="AH12" s="24"/>
      <c r="AI12" s="25"/>
      <c r="AJ12" s="25"/>
    </row>
    <row r="13" spans="1:36" x14ac:dyDescent="0.3">
      <c r="A13" s="63">
        <v>7</v>
      </c>
      <c r="B13" s="102" t="s">
        <v>3520</v>
      </c>
      <c r="C13" s="102" t="s">
        <v>3521</v>
      </c>
      <c r="D13" s="64" t="s">
        <v>119</v>
      </c>
      <c r="E13" s="24" t="s">
        <v>4293</v>
      </c>
      <c r="F13" s="106" t="s">
        <v>4195</v>
      </c>
      <c r="G13" s="133">
        <v>3</v>
      </c>
      <c r="H13" s="38" t="s">
        <v>4294</v>
      </c>
      <c r="I13" s="106"/>
      <c r="J13" s="128"/>
      <c r="K13" s="129" t="s">
        <v>4299</v>
      </c>
      <c r="L13" s="129"/>
      <c r="M13" s="129"/>
      <c r="N13" s="129"/>
      <c r="O13" s="129"/>
      <c r="P13" s="123">
        <v>4417</v>
      </c>
      <c r="Q13" s="123">
        <v>827</v>
      </c>
      <c r="R13" s="130"/>
      <c r="S13" s="131">
        <v>113</v>
      </c>
      <c r="T13" s="124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17"/>
      <c r="AH13" s="24"/>
      <c r="AI13" s="25"/>
      <c r="AJ13" s="25"/>
    </row>
    <row r="14" spans="1:36" x14ac:dyDescent="0.3">
      <c r="A14" s="63">
        <v>8</v>
      </c>
      <c r="B14" s="102" t="s">
        <v>3520</v>
      </c>
      <c r="C14" s="102" t="s">
        <v>3521</v>
      </c>
      <c r="D14" s="64" t="s">
        <v>119</v>
      </c>
      <c r="E14" s="24" t="s">
        <v>4293</v>
      </c>
      <c r="F14" s="106" t="s">
        <v>4195</v>
      </c>
      <c r="G14" s="133">
        <v>4</v>
      </c>
      <c r="H14" s="38" t="s">
        <v>4294</v>
      </c>
      <c r="I14" s="106"/>
      <c r="J14" s="128"/>
      <c r="K14" s="129" t="s">
        <v>4300</v>
      </c>
      <c r="L14" s="129"/>
      <c r="M14" s="129"/>
      <c r="N14" s="129"/>
      <c r="O14" s="129"/>
      <c r="P14" s="123">
        <v>721</v>
      </c>
      <c r="Q14" s="123">
        <v>121</v>
      </c>
      <c r="R14" s="130"/>
      <c r="S14" s="131"/>
      <c r="T14" s="124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16"/>
      <c r="AH14" s="24"/>
      <c r="AI14" s="25"/>
      <c r="AJ14" s="25"/>
    </row>
    <row r="15" spans="1:36" x14ac:dyDescent="0.3">
      <c r="A15" s="63">
        <v>9</v>
      </c>
      <c r="B15" s="102" t="s">
        <v>3520</v>
      </c>
      <c r="C15" s="102" t="s">
        <v>3521</v>
      </c>
      <c r="D15" s="64" t="s">
        <v>119</v>
      </c>
      <c r="E15" s="24" t="s">
        <v>4293</v>
      </c>
      <c r="F15" s="106" t="s">
        <v>4195</v>
      </c>
      <c r="G15" s="133">
        <v>4</v>
      </c>
      <c r="H15" s="38" t="s">
        <v>4294</v>
      </c>
      <c r="I15" s="106"/>
      <c r="J15" s="128"/>
      <c r="K15" s="132" t="s">
        <v>4301</v>
      </c>
      <c r="L15" s="129"/>
      <c r="M15" s="132"/>
      <c r="N15" s="132"/>
      <c r="O15" s="132"/>
      <c r="P15" s="123">
        <v>2207</v>
      </c>
      <c r="Q15" s="123">
        <v>416</v>
      </c>
      <c r="R15" s="130"/>
      <c r="S15" s="131"/>
      <c r="T15" s="124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17"/>
      <c r="AH15" s="24"/>
      <c r="AI15" s="25"/>
      <c r="AJ15" s="25"/>
    </row>
    <row r="16" spans="1:36" x14ac:dyDescent="0.3">
      <c r="A16" s="63">
        <v>10</v>
      </c>
      <c r="B16" s="102" t="s">
        <v>3520</v>
      </c>
      <c r="C16" s="102" t="s">
        <v>3521</v>
      </c>
      <c r="D16" s="64" t="s">
        <v>119</v>
      </c>
      <c r="E16" s="24" t="s">
        <v>4293</v>
      </c>
      <c r="F16" s="106" t="s">
        <v>4195</v>
      </c>
      <c r="G16" s="133">
        <v>4</v>
      </c>
      <c r="H16" s="38" t="s">
        <v>4294</v>
      </c>
      <c r="I16" s="106"/>
      <c r="J16" s="128"/>
      <c r="K16" s="129" t="s">
        <v>4302</v>
      </c>
      <c r="L16" s="129"/>
      <c r="M16" s="129"/>
      <c r="N16" s="129"/>
      <c r="O16" s="129"/>
      <c r="P16" s="123">
        <v>4987</v>
      </c>
      <c r="Q16" s="123">
        <v>984</v>
      </c>
      <c r="R16" s="130"/>
      <c r="S16" s="131"/>
      <c r="T16" s="124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17"/>
      <c r="AH16" s="24"/>
      <c r="AI16" s="25"/>
      <c r="AJ16" s="25"/>
    </row>
    <row r="17" spans="1:36" x14ac:dyDescent="0.3">
      <c r="A17" s="63">
        <v>11</v>
      </c>
      <c r="B17" s="102" t="s">
        <v>3520</v>
      </c>
      <c r="C17" s="102" t="s">
        <v>3521</v>
      </c>
      <c r="D17" s="64" t="s">
        <v>119</v>
      </c>
      <c r="E17" s="24" t="s">
        <v>4293</v>
      </c>
      <c r="F17" s="106" t="s">
        <v>4195</v>
      </c>
      <c r="G17" s="133">
        <v>4</v>
      </c>
      <c r="H17" s="38" t="s">
        <v>4294</v>
      </c>
      <c r="I17" s="106"/>
      <c r="J17" s="128"/>
      <c r="K17" s="132" t="s">
        <v>4303</v>
      </c>
      <c r="L17" s="132"/>
      <c r="M17" s="132"/>
      <c r="N17" s="132"/>
      <c r="O17" s="132"/>
      <c r="P17" s="123">
        <v>2184</v>
      </c>
      <c r="Q17" s="123">
        <v>385</v>
      </c>
      <c r="R17" s="130"/>
      <c r="S17" s="131"/>
      <c r="T17" s="124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17"/>
      <c r="AH17" s="24"/>
      <c r="AI17" s="25"/>
      <c r="AJ17" s="25"/>
    </row>
    <row r="18" spans="1:36" x14ac:dyDescent="0.3">
      <c r="A18" s="63">
        <v>12</v>
      </c>
      <c r="B18" s="102" t="s">
        <v>3520</v>
      </c>
      <c r="C18" s="102" t="s">
        <v>3521</v>
      </c>
      <c r="D18" s="64" t="s">
        <v>119</v>
      </c>
      <c r="E18" s="24" t="s">
        <v>4293</v>
      </c>
      <c r="F18" s="106" t="s">
        <v>4195</v>
      </c>
      <c r="G18" s="133">
        <v>5</v>
      </c>
      <c r="H18" s="38" t="s">
        <v>4294</v>
      </c>
      <c r="I18" s="106"/>
      <c r="J18" s="128"/>
      <c r="K18" s="129" t="s">
        <v>4304</v>
      </c>
      <c r="L18" s="129"/>
      <c r="M18" s="129"/>
      <c r="N18" s="129"/>
      <c r="O18" s="129"/>
      <c r="P18" s="123">
        <v>624</v>
      </c>
      <c r="Q18" s="123">
        <v>111</v>
      </c>
      <c r="R18" s="130"/>
      <c r="S18" s="131"/>
      <c r="T18" s="124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17"/>
      <c r="AH18" s="24"/>
      <c r="AI18" s="25"/>
      <c r="AJ18" s="25"/>
    </row>
    <row r="19" spans="1:36" x14ac:dyDescent="0.3">
      <c r="A19" s="63">
        <v>13</v>
      </c>
      <c r="B19" s="102" t="s">
        <v>3520</v>
      </c>
      <c r="C19" s="102" t="s">
        <v>3521</v>
      </c>
      <c r="D19" s="64" t="s">
        <v>119</v>
      </c>
      <c r="E19" s="24" t="s">
        <v>4293</v>
      </c>
      <c r="F19" s="106" t="s">
        <v>4195</v>
      </c>
      <c r="G19" s="133">
        <v>5</v>
      </c>
      <c r="H19" s="38" t="s">
        <v>4294</v>
      </c>
      <c r="I19" s="106"/>
      <c r="J19" s="128"/>
      <c r="K19" s="132" t="s">
        <v>4305</v>
      </c>
      <c r="L19" s="132"/>
      <c r="M19" s="132"/>
      <c r="N19" s="132"/>
      <c r="O19" s="132"/>
      <c r="P19" s="123">
        <v>1773</v>
      </c>
      <c r="Q19" s="123">
        <v>422</v>
      </c>
      <c r="R19" s="130"/>
      <c r="S19" s="131"/>
      <c r="T19" s="124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17"/>
      <c r="AH19" s="24"/>
      <c r="AI19" s="25"/>
      <c r="AJ19" s="25"/>
    </row>
    <row r="20" spans="1:36" x14ac:dyDescent="0.3">
      <c r="A20" s="63">
        <v>14</v>
      </c>
      <c r="B20" s="102" t="s">
        <v>3520</v>
      </c>
      <c r="C20" s="102" t="s">
        <v>3521</v>
      </c>
      <c r="D20" s="64" t="s">
        <v>119</v>
      </c>
      <c r="E20" s="24" t="s">
        <v>4293</v>
      </c>
      <c r="F20" s="106" t="s">
        <v>4195</v>
      </c>
      <c r="G20" s="133">
        <v>5</v>
      </c>
      <c r="H20" s="38" t="s">
        <v>4294</v>
      </c>
      <c r="I20" s="106"/>
      <c r="J20" s="128"/>
      <c r="K20" s="129" t="s">
        <v>4306</v>
      </c>
      <c r="L20" s="129"/>
      <c r="M20" s="129"/>
      <c r="N20" s="129"/>
      <c r="O20" s="129"/>
      <c r="P20" s="123">
        <v>1277</v>
      </c>
      <c r="Q20" s="123">
        <v>228</v>
      </c>
      <c r="R20" s="130"/>
      <c r="S20" s="131"/>
      <c r="T20" s="124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17"/>
      <c r="AH20" s="24"/>
      <c r="AI20" s="25"/>
      <c r="AJ20" s="25"/>
    </row>
    <row r="21" spans="1:36" x14ac:dyDescent="0.3">
      <c r="A21" s="63">
        <v>15</v>
      </c>
      <c r="B21" s="102" t="s">
        <v>3520</v>
      </c>
      <c r="C21" s="102" t="s">
        <v>3521</v>
      </c>
      <c r="D21" s="64" t="s">
        <v>119</v>
      </c>
      <c r="E21" s="24" t="s">
        <v>4293</v>
      </c>
      <c r="F21" s="106" t="s">
        <v>4195</v>
      </c>
      <c r="G21" s="134">
        <v>5</v>
      </c>
      <c r="H21" s="106" t="s">
        <v>4294</v>
      </c>
      <c r="I21" s="106"/>
      <c r="J21" s="128"/>
      <c r="K21" s="129" t="s">
        <v>4307</v>
      </c>
      <c r="L21" s="129"/>
      <c r="M21" s="129"/>
      <c r="N21" s="129"/>
      <c r="O21" s="129"/>
      <c r="P21" s="123">
        <v>473</v>
      </c>
      <c r="Q21" s="123">
        <v>80</v>
      </c>
      <c r="R21" s="130"/>
      <c r="S21" s="131"/>
      <c r="T21" s="124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17"/>
      <c r="AH21" s="24"/>
      <c r="AI21" s="25"/>
      <c r="AJ21" s="25"/>
    </row>
    <row r="22" spans="1:36" x14ac:dyDescent="0.3">
      <c r="A22" s="63">
        <v>16</v>
      </c>
      <c r="B22" s="102" t="s">
        <v>3520</v>
      </c>
      <c r="C22" s="102" t="s">
        <v>3521</v>
      </c>
      <c r="D22" s="64" t="s">
        <v>119</v>
      </c>
      <c r="E22" s="24" t="s">
        <v>4293</v>
      </c>
      <c r="F22" s="106" t="s">
        <v>4195</v>
      </c>
      <c r="G22" s="134">
        <v>5</v>
      </c>
      <c r="H22" s="106" t="s">
        <v>4294</v>
      </c>
      <c r="I22" s="106"/>
      <c r="J22" s="128"/>
      <c r="K22" s="129" t="s">
        <v>4308</v>
      </c>
      <c r="L22" s="129"/>
      <c r="M22" s="129"/>
      <c r="N22" s="129"/>
      <c r="O22" s="129"/>
      <c r="P22" s="123">
        <v>680</v>
      </c>
      <c r="Q22" s="123">
        <v>142</v>
      </c>
      <c r="R22" s="130"/>
      <c r="S22" s="131"/>
      <c r="T22" s="124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17"/>
      <c r="AH22" s="24"/>
      <c r="AI22" s="25"/>
      <c r="AJ22" s="25"/>
    </row>
    <row r="23" spans="1:36" x14ac:dyDescent="0.3">
      <c r="A23" s="63">
        <v>17</v>
      </c>
      <c r="B23" s="102" t="s">
        <v>3520</v>
      </c>
      <c r="C23" s="102" t="s">
        <v>3521</v>
      </c>
      <c r="D23" s="64" t="s">
        <v>119</v>
      </c>
      <c r="E23" s="24" t="s">
        <v>4293</v>
      </c>
      <c r="F23" s="106" t="s">
        <v>4195</v>
      </c>
      <c r="G23" s="134">
        <v>5</v>
      </c>
      <c r="H23" s="106" t="s">
        <v>4294</v>
      </c>
      <c r="I23" s="106"/>
      <c r="J23" s="128"/>
      <c r="K23" s="129" t="s">
        <v>4309</v>
      </c>
      <c r="L23" s="129"/>
      <c r="M23" s="129"/>
      <c r="N23" s="129"/>
      <c r="O23" s="129"/>
      <c r="P23" s="123">
        <v>1715</v>
      </c>
      <c r="Q23" s="123">
        <v>343</v>
      </c>
      <c r="R23" s="130"/>
      <c r="S23" s="131"/>
      <c r="T23" s="124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17"/>
      <c r="AH23" s="24"/>
      <c r="AI23" s="25"/>
      <c r="AJ23" s="25"/>
    </row>
    <row r="24" spans="1:36" x14ac:dyDescent="0.3">
      <c r="A24" s="63">
        <v>18</v>
      </c>
      <c r="B24" s="102" t="s">
        <v>3520</v>
      </c>
      <c r="C24" s="102" t="s">
        <v>3521</v>
      </c>
      <c r="D24" s="64" t="s">
        <v>119</v>
      </c>
      <c r="E24" s="24" t="s">
        <v>4293</v>
      </c>
      <c r="F24" s="106" t="s">
        <v>4195</v>
      </c>
      <c r="G24" s="134">
        <v>5</v>
      </c>
      <c r="H24" s="106" t="s">
        <v>4294</v>
      </c>
      <c r="I24" s="106"/>
      <c r="J24" s="128"/>
      <c r="K24" s="129" t="s">
        <v>4310</v>
      </c>
      <c r="L24" s="129"/>
      <c r="M24" s="129"/>
      <c r="N24" s="129"/>
      <c r="O24" s="129"/>
      <c r="P24" s="123">
        <v>2662</v>
      </c>
      <c r="Q24" s="123">
        <v>429</v>
      </c>
      <c r="R24" s="130"/>
      <c r="S24" s="131"/>
      <c r="T24" s="124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17"/>
      <c r="AH24" s="24"/>
      <c r="AI24" s="25"/>
      <c r="AJ24" s="25"/>
    </row>
    <row r="25" spans="1:36" x14ac:dyDescent="0.3">
      <c r="A25" s="63">
        <v>19</v>
      </c>
      <c r="B25" s="102" t="s">
        <v>3520</v>
      </c>
      <c r="C25" s="102" t="s">
        <v>3521</v>
      </c>
      <c r="D25" s="64" t="s">
        <v>119</v>
      </c>
      <c r="E25" s="24" t="s">
        <v>4293</v>
      </c>
      <c r="F25" s="106" t="s">
        <v>4195</v>
      </c>
      <c r="G25" s="134">
        <v>5</v>
      </c>
      <c r="H25" s="106" t="s">
        <v>4294</v>
      </c>
      <c r="I25" s="106"/>
      <c r="J25" s="128"/>
      <c r="K25" s="129" t="s">
        <v>4311</v>
      </c>
      <c r="L25" s="129"/>
      <c r="M25" s="129"/>
      <c r="N25" s="129"/>
      <c r="O25" s="129"/>
      <c r="P25" s="123">
        <v>1680</v>
      </c>
      <c r="Q25" s="123">
        <v>318</v>
      </c>
      <c r="R25" s="130"/>
      <c r="S25" s="131"/>
      <c r="T25" s="124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17"/>
      <c r="AH25" s="24"/>
      <c r="AI25" s="25"/>
      <c r="AJ25" s="25"/>
    </row>
    <row r="26" spans="1:36" x14ac:dyDescent="0.3">
      <c r="A26" s="63">
        <v>20</v>
      </c>
      <c r="B26" s="102" t="s">
        <v>3520</v>
      </c>
      <c r="C26" s="102" t="s">
        <v>3521</v>
      </c>
      <c r="D26" s="64" t="s">
        <v>119</v>
      </c>
      <c r="E26" s="24" t="s">
        <v>4293</v>
      </c>
      <c r="F26" s="106" t="s">
        <v>4195</v>
      </c>
      <c r="G26" s="134">
        <v>6</v>
      </c>
      <c r="H26" s="38" t="s">
        <v>4312</v>
      </c>
      <c r="I26" s="106"/>
      <c r="J26" s="128"/>
      <c r="K26" s="129" t="s">
        <v>4313</v>
      </c>
      <c r="L26" s="129"/>
      <c r="M26" s="129"/>
      <c r="N26" s="129"/>
      <c r="O26" s="129"/>
      <c r="P26" s="123">
        <v>1590</v>
      </c>
      <c r="Q26" s="123">
        <v>265</v>
      </c>
      <c r="R26" s="130"/>
      <c r="S26" s="131"/>
      <c r="T26" s="124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17"/>
      <c r="AH26" s="24"/>
      <c r="AI26" s="25"/>
      <c r="AJ26" s="25"/>
    </row>
    <row r="27" spans="1:36" x14ac:dyDescent="0.3">
      <c r="A27" s="63">
        <v>21</v>
      </c>
      <c r="B27" s="102" t="s">
        <v>3520</v>
      </c>
      <c r="C27" s="102" t="s">
        <v>3521</v>
      </c>
      <c r="D27" s="64" t="s">
        <v>119</v>
      </c>
      <c r="E27" s="24" t="s">
        <v>4293</v>
      </c>
      <c r="F27" s="106" t="s">
        <v>4195</v>
      </c>
      <c r="G27" s="134">
        <v>6</v>
      </c>
      <c r="H27" s="38" t="s">
        <v>4312</v>
      </c>
      <c r="I27" s="106"/>
      <c r="J27" s="128"/>
      <c r="K27" s="129" t="s">
        <v>4314</v>
      </c>
      <c r="L27" s="129"/>
      <c r="M27" s="129"/>
      <c r="N27" s="129"/>
      <c r="O27" s="129"/>
      <c r="P27" s="123">
        <v>712</v>
      </c>
      <c r="Q27" s="123">
        <v>189</v>
      </c>
      <c r="R27" s="130"/>
      <c r="S27" s="131"/>
      <c r="T27" s="124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17"/>
      <c r="AH27" s="24"/>
      <c r="AI27" s="25"/>
      <c r="AJ27" s="25"/>
    </row>
    <row r="28" spans="1:36" x14ac:dyDescent="0.3">
      <c r="A28" s="63">
        <v>22</v>
      </c>
      <c r="B28" s="102" t="s">
        <v>3520</v>
      </c>
      <c r="C28" s="102" t="s">
        <v>3521</v>
      </c>
      <c r="D28" s="64" t="s">
        <v>119</v>
      </c>
      <c r="E28" s="24" t="s">
        <v>4293</v>
      </c>
      <c r="F28" s="106" t="s">
        <v>4195</v>
      </c>
      <c r="G28" s="134">
        <v>6</v>
      </c>
      <c r="H28" s="38" t="s">
        <v>4312</v>
      </c>
      <c r="I28" s="106"/>
      <c r="J28" s="128"/>
      <c r="K28" s="132" t="s">
        <v>4315</v>
      </c>
      <c r="L28" s="132"/>
      <c r="M28" s="132"/>
      <c r="N28" s="132"/>
      <c r="O28" s="132"/>
      <c r="P28" s="123">
        <v>930</v>
      </c>
      <c r="Q28" s="123">
        <v>186</v>
      </c>
      <c r="R28" s="130"/>
      <c r="S28" s="131">
        <v>134</v>
      </c>
      <c r="T28" s="124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17"/>
      <c r="AH28" s="24"/>
      <c r="AI28" s="25"/>
      <c r="AJ28" s="25"/>
    </row>
    <row r="29" spans="1:36" x14ac:dyDescent="0.3">
      <c r="A29" s="63">
        <v>23</v>
      </c>
      <c r="B29" s="102" t="s">
        <v>3520</v>
      </c>
      <c r="C29" s="102" t="s">
        <v>3521</v>
      </c>
      <c r="D29" s="64" t="s">
        <v>119</v>
      </c>
      <c r="E29" s="24" t="s">
        <v>4293</v>
      </c>
      <c r="F29" s="106" t="s">
        <v>4195</v>
      </c>
      <c r="G29" s="134">
        <v>6</v>
      </c>
      <c r="H29" s="38" t="s">
        <v>4312</v>
      </c>
      <c r="I29" s="106"/>
      <c r="J29" s="128"/>
      <c r="K29" s="129" t="s">
        <v>4316</v>
      </c>
      <c r="L29" s="129"/>
      <c r="M29" s="129"/>
      <c r="N29" s="129"/>
      <c r="O29" s="129"/>
      <c r="P29" s="123">
        <v>897</v>
      </c>
      <c r="Q29" s="123">
        <v>156</v>
      </c>
      <c r="R29" s="130"/>
      <c r="S29" s="131"/>
      <c r="T29" s="124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17"/>
      <c r="AH29" s="24"/>
      <c r="AI29" s="25"/>
      <c r="AJ29" s="25"/>
    </row>
    <row r="30" spans="1:36" x14ac:dyDescent="0.3">
      <c r="A30" s="63">
        <v>24</v>
      </c>
      <c r="B30" s="102" t="s">
        <v>3520</v>
      </c>
      <c r="C30" s="102" t="s">
        <v>3521</v>
      </c>
      <c r="D30" s="64" t="s">
        <v>119</v>
      </c>
      <c r="E30" s="24" t="s">
        <v>4293</v>
      </c>
      <c r="F30" s="106" t="s">
        <v>4195</v>
      </c>
      <c r="G30" s="134">
        <v>6</v>
      </c>
      <c r="H30" s="38" t="s">
        <v>4312</v>
      </c>
      <c r="I30" s="106"/>
      <c r="J30" s="128"/>
      <c r="K30" s="129" t="s">
        <v>4317</v>
      </c>
      <c r="L30" s="129"/>
      <c r="M30" s="129"/>
      <c r="N30" s="129"/>
      <c r="O30" s="129"/>
      <c r="P30" s="123">
        <v>420</v>
      </c>
      <c r="Q30" s="123">
        <v>70</v>
      </c>
      <c r="R30" s="130"/>
      <c r="S30" s="131"/>
      <c r="T30" s="124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17"/>
      <c r="AH30" s="24"/>
      <c r="AI30" s="25"/>
      <c r="AJ30" s="25"/>
    </row>
    <row r="31" spans="1:36" x14ac:dyDescent="0.3">
      <c r="A31" s="63">
        <v>25</v>
      </c>
      <c r="B31" s="102" t="s">
        <v>3520</v>
      </c>
      <c r="C31" s="102" t="s">
        <v>3521</v>
      </c>
      <c r="D31" s="64" t="s">
        <v>119</v>
      </c>
      <c r="E31" s="24" t="s">
        <v>4293</v>
      </c>
      <c r="F31" s="106" t="s">
        <v>4195</v>
      </c>
      <c r="G31" s="134">
        <v>7</v>
      </c>
      <c r="H31" s="38" t="s">
        <v>4312</v>
      </c>
      <c r="I31" s="106"/>
      <c r="J31" s="128"/>
      <c r="K31" s="132" t="s">
        <v>4318</v>
      </c>
      <c r="L31" s="132"/>
      <c r="M31" s="132"/>
      <c r="N31" s="132"/>
      <c r="O31" s="132"/>
      <c r="P31" s="123">
        <v>2835</v>
      </c>
      <c r="Q31" s="123">
        <v>405</v>
      </c>
      <c r="R31" s="130"/>
      <c r="S31" s="131"/>
      <c r="T31" s="124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17"/>
      <c r="AH31" s="24"/>
      <c r="AI31" s="25"/>
      <c r="AJ31" s="25"/>
    </row>
    <row r="32" spans="1:36" x14ac:dyDescent="0.3">
      <c r="A32" s="63">
        <v>26</v>
      </c>
      <c r="B32" s="102" t="s">
        <v>3520</v>
      </c>
      <c r="C32" s="102" t="s">
        <v>3521</v>
      </c>
      <c r="D32" s="64" t="s">
        <v>119</v>
      </c>
      <c r="E32" s="24" t="s">
        <v>4293</v>
      </c>
      <c r="F32" s="106" t="s">
        <v>4195</v>
      </c>
      <c r="G32" s="134">
        <v>7</v>
      </c>
      <c r="H32" s="38" t="s">
        <v>4312</v>
      </c>
      <c r="I32" s="106"/>
      <c r="J32" s="128"/>
      <c r="K32" s="132" t="s">
        <v>4319</v>
      </c>
      <c r="L32" s="132"/>
      <c r="M32" s="132"/>
      <c r="N32" s="132"/>
      <c r="O32" s="132"/>
      <c r="P32" s="123">
        <v>1620</v>
      </c>
      <c r="Q32" s="123">
        <v>270</v>
      </c>
      <c r="R32" s="130"/>
      <c r="S32" s="131"/>
      <c r="T32" s="124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17"/>
      <c r="AH32" s="24"/>
      <c r="AI32" s="25"/>
      <c r="AJ32" s="25"/>
    </row>
    <row r="33" spans="1:36" x14ac:dyDescent="0.3">
      <c r="A33" s="63">
        <v>27</v>
      </c>
      <c r="B33" s="102" t="s">
        <v>3520</v>
      </c>
      <c r="C33" s="102" t="s">
        <v>3521</v>
      </c>
      <c r="D33" s="64" t="s">
        <v>119</v>
      </c>
      <c r="E33" s="24" t="s">
        <v>4293</v>
      </c>
      <c r="F33" s="106" t="s">
        <v>4195</v>
      </c>
      <c r="G33" s="134">
        <v>8</v>
      </c>
      <c r="H33" s="38" t="s">
        <v>4312</v>
      </c>
      <c r="I33" s="106"/>
      <c r="J33" s="128"/>
      <c r="K33" s="129" t="s">
        <v>4320</v>
      </c>
      <c r="L33" s="129"/>
      <c r="M33" s="129"/>
      <c r="N33" s="129"/>
      <c r="O33" s="129"/>
      <c r="P33" s="123">
        <v>1380</v>
      </c>
      <c r="Q33" s="123">
        <v>230</v>
      </c>
      <c r="R33" s="130"/>
      <c r="S33" s="131"/>
      <c r="T33" s="124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17"/>
      <c r="AH33" s="24"/>
      <c r="AI33" s="25"/>
      <c r="AJ33" s="25"/>
    </row>
    <row r="34" spans="1:36" x14ac:dyDescent="0.3">
      <c r="A34" s="63">
        <v>28</v>
      </c>
      <c r="B34" s="102" t="s">
        <v>3520</v>
      </c>
      <c r="C34" s="102" t="s">
        <v>3521</v>
      </c>
      <c r="D34" s="64" t="s">
        <v>119</v>
      </c>
      <c r="E34" s="24" t="s">
        <v>4293</v>
      </c>
      <c r="F34" s="106" t="s">
        <v>4195</v>
      </c>
      <c r="G34" s="134">
        <v>8</v>
      </c>
      <c r="H34" s="38" t="s">
        <v>4312</v>
      </c>
      <c r="I34" s="106"/>
      <c r="J34" s="128"/>
      <c r="K34" s="132" t="s">
        <v>4321</v>
      </c>
      <c r="L34" s="132"/>
      <c r="M34" s="132"/>
      <c r="N34" s="132"/>
      <c r="O34" s="132"/>
      <c r="P34" s="123">
        <v>1620</v>
      </c>
      <c r="Q34" s="123">
        <v>236</v>
      </c>
      <c r="R34" s="130"/>
      <c r="S34" s="131"/>
      <c r="T34" s="124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17"/>
      <c r="AH34" s="24"/>
      <c r="AI34" s="25"/>
      <c r="AJ34" s="25"/>
    </row>
    <row r="35" spans="1:36" x14ac:dyDescent="0.3">
      <c r="A35" s="63">
        <v>29</v>
      </c>
      <c r="B35" s="102" t="s">
        <v>3520</v>
      </c>
      <c r="C35" s="102" t="s">
        <v>3521</v>
      </c>
      <c r="D35" s="64" t="s">
        <v>119</v>
      </c>
      <c r="E35" s="24" t="s">
        <v>4293</v>
      </c>
      <c r="F35" s="106" t="s">
        <v>4195</v>
      </c>
      <c r="G35" s="134">
        <v>8</v>
      </c>
      <c r="H35" s="38" t="s">
        <v>4312</v>
      </c>
      <c r="I35" s="106"/>
      <c r="J35" s="128"/>
      <c r="K35" s="132" t="s">
        <v>4322</v>
      </c>
      <c r="L35" s="132"/>
      <c r="M35" s="132"/>
      <c r="N35" s="132"/>
      <c r="O35" s="132"/>
      <c r="P35" s="123">
        <v>1782</v>
      </c>
      <c r="Q35" s="123">
        <v>297</v>
      </c>
      <c r="R35" s="130"/>
      <c r="S35" s="131"/>
      <c r="T35" s="124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17"/>
      <c r="AH35" s="24"/>
      <c r="AI35" s="29"/>
      <c r="AJ35" s="29"/>
    </row>
    <row r="36" spans="1:36" x14ac:dyDescent="0.3">
      <c r="A36" s="63">
        <v>30</v>
      </c>
      <c r="B36" s="102" t="s">
        <v>3520</v>
      </c>
      <c r="C36" s="102" t="s">
        <v>3521</v>
      </c>
      <c r="D36" s="64" t="s">
        <v>119</v>
      </c>
      <c r="E36" s="24" t="s">
        <v>4293</v>
      </c>
      <c r="F36" s="106" t="s">
        <v>4195</v>
      </c>
      <c r="G36" s="134">
        <v>8</v>
      </c>
      <c r="H36" s="38" t="s">
        <v>4312</v>
      </c>
      <c r="I36" s="106"/>
      <c r="J36" s="128"/>
      <c r="K36" s="132" t="s">
        <v>4323</v>
      </c>
      <c r="L36" s="132"/>
      <c r="M36" s="132"/>
      <c r="N36" s="132"/>
      <c r="O36" s="132"/>
      <c r="P36" s="123">
        <v>875</v>
      </c>
      <c r="Q36" s="123">
        <v>175</v>
      </c>
      <c r="R36" s="130"/>
      <c r="S36" s="131"/>
      <c r="T36" s="124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17"/>
      <c r="AH36" s="24"/>
      <c r="AI36" s="30"/>
      <c r="AJ36" s="30"/>
    </row>
    <row r="37" spans="1:36" x14ac:dyDescent="0.3">
      <c r="A37" s="63">
        <v>31</v>
      </c>
      <c r="B37" s="102" t="s">
        <v>3520</v>
      </c>
      <c r="C37" s="102" t="s">
        <v>3521</v>
      </c>
      <c r="D37" s="64" t="s">
        <v>119</v>
      </c>
      <c r="E37" s="24" t="s">
        <v>4293</v>
      </c>
      <c r="F37" s="106" t="s">
        <v>4195</v>
      </c>
      <c r="G37" s="133">
        <v>9</v>
      </c>
      <c r="H37" s="38" t="s">
        <v>4312</v>
      </c>
      <c r="I37" s="106"/>
      <c r="J37" s="128"/>
      <c r="K37" s="132" t="s">
        <v>4324</v>
      </c>
      <c r="L37" s="132"/>
      <c r="M37" s="132"/>
      <c r="N37" s="132"/>
      <c r="O37" s="132"/>
      <c r="P37" s="123">
        <v>2480</v>
      </c>
      <c r="Q37" s="123">
        <v>310</v>
      </c>
      <c r="R37" s="130"/>
      <c r="S37" s="131"/>
      <c r="T37" s="124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17"/>
      <c r="AH37" s="24"/>
      <c r="AI37" s="31"/>
      <c r="AJ37" s="31"/>
    </row>
    <row r="38" spans="1:36" x14ac:dyDescent="0.3">
      <c r="A38" s="63">
        <v>32</v>
      </c>
      <c r="B38" s="102" t="s">
        <v>3520</v>
      </c>
      <c r="C38" s="102" t="s">
        <v>3521</v>
      </c>
      <c r="D38" s="64" t="s">
        <v>119</v>
      </c>
      <c r="E38" s="24" t="s">
        <v>4293</v>
      </c>
      <c r="F38" s="106" t="s">
        <v>4195</v>
      </c>
      <c r="G38" s="133">
        <v>9</v>
      </c>
      <c r="H38" s="38" t="s">
        <v>4312</v>
      </c>
      <c r="I38" s="106"/>
      <c r="J38" s="128"/>
      <c r="K38" s="132" t="s">
        <v>4325</v>
      </c>
      <c r="L38" s="132"/>
      <c r="M38" s="132"/>
      <c r="N38" s="132"/>
      <c r="O38" s="132"/>
      <c r="P38" s="123">
        <v>1475</v>
      </c>
      <c r="Q38" s="123">
        <v>295</v>
      </c>
      <c r="R38" s="130"/>
      <c r="S38" s="131"/>
      <c r="T38" s="124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17"/>
      <c r="AH38" s="24"/>
      <c r="AI38" s="31"/>
      <c r="AJ38" s="31"/>
    </row>
    <row r="39" spans="1:36" x14ac:dyDescent="0.3">
      <c r="A39" s="63">
        <v>33</v>
      </c>
      <c r="B39" s="102" t="s">
        <v>3520</v>
      </c>
      <c r="C39" s="102" t="s">
        <v>3521</v>
      </c>
      <c r="D39" s="64" t="s">
        <v>119</v>
      </c>
      <c r="E39" s="24" t="s">
        <v>4293</v>
      </c>
      <c r="F39" s="106" t="s">
        <v>4195</v>
      </c>
      <c r="G39" s="133">
        <v>9</v>
      </c>
      <c r="H39" s="38" t="s">
        <v>4312</v>
      </c>
      <c r="I39" s="106"/>
      <c r="J39" s="128"/>
      <c r="K39" s="132" t="s">
        <v>4326</v>
      </c>
      <c r="L39" s="132"/>
      <c r="M39" s="132"/>
      <c r="N39" s="132"/>
      <c r="O39" s="132"/>
      <c r="P39" s="123">
        <v>2410</v>
      </c>
      <c r="Q39" s="123">
        <v>410</v>
      </c>
      <c r="R39" s="130"/>
      <c r="S39" s="131"/>
      <c r="T39" s="124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17"/>
      <c r="AH39" s="24"/>
      <c r="AI39" s="29"/>
      <c r="AJ39" s="29"/>
    </row>
    <row r="40" spans="1:36" x14ac:dyDescent="0.3">
      <c r="A40" s="63">
        <v>34</v>
      </c>
      <c r="B40" s="102" t="s">
        <v>3520</v>
      </c>
      <c r="C40" s="102" t="s">
        <v>3521</v>
      </c>
      <c r="D40" s="64" t="s">
        <v>119</v>
      </c>
      <c r="E40" s="24" t="s">
        <v>4293</v>
      </c>
      <c r="F40" s="106" t="s">
        <v>4195</v>
      </c>
      <c r="G40" s="133">
        <v>9</v>
      </c>
      <c r="H40" s="38" t="s">
        <v>4312</v>
      </c>
      <c r="I40" s="106"/>
      <c r="J40" s="128"/>
      <c r="K40" s="132" t="s">
        <v>4327</v>
      </c>
      <c r="L40" s="132"/>
      <c r="M40" s="132"/>
      <c r="N40" s="132"/>
      <c r="O40" s="132"/>
      <c r="P40" s="123">
        <v>300</v>
      </c>
      <c r="Q40" s="123">
        <v>75</v>
      </c>
      <c r="R40" s="130"/>
      <c r="S40" s="131"/>
      <c r="T40" s="124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17"/>
      <c r="AH40" s="24"/>
      <c r="AI40" s="29"/>
      <c r="AJ40" s="29"/>
    </row>
    <row r="41" spans="1:36" x14ac:dyDescent="0.3">
      <c r="A41" s="63">
        <v>35</v>
      </c>
      <c r="B41" s="102" t="s">
        <v>3520</v>
      </c>
      <c r="C41" s="102" t="s">
        <v>3521</v>
      </c>
      <c r="D41" s="64" t="s">
        <v>119</v>
      </c>
      <c r="E41" s="24" t="s">
        <v>4293</v>
      </c>
      <c r="F41" s="106" t="s">
        <v>4195</v>
      </c>
      <c r="G41" s="133">
        <v>9</v>
      </c>
      <c r="H41" s="38" t="s">
        <v>4312</v>
      </c>
      <c r="I41" s="106"/>
      <c r="J41" s="128"/>
      <c r="K41" s="132" t="s">
        <v>4328</v>
      </c>
      <c r="L41" s="132"/>
      <c r="M41" s="132"/>
      <c r="N41" s="132"/>
      <c r="O41" s="132"/>
      <c r="P41" s="123">
        <v>1890</v>
      </c>
      <c r="Q41" s="123">
        <v>210</v>
      </c>
      <c r="R41" s="130"/>
      <c r="S41" s="131"/>
      <c r="T41" s="124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17"/>
      <c r="AH41" s="24"/>
      <c r="AI41" s="25"/>
      <c r="AJ41" s="25"/>
    </row>
    <row r="42" spans="1:36" x14ac:dyDescent="0.3">
      <c r="A42" s="63">
        <v>36</v>
      </c>
      <c r="B42" s="102" t="s">
        <v>3520</v>
      </c>
      <c r="C42" s="102" t="s">
        <v>3521</v>
      </c>
      <c r="D42" s="64" t="s">
        <v>119</v>
      </c>
      <c r="E42" s="24" t="s">
        <v>4293</v>
      </c>
      <c r="F42" s="106" t="s">
        <v>4329</v>
      </c>
      <c r="G42" s="133">
        <v>1</v>
      </c>
      <c r="H42" s="38" t="s">
        <v>4330</v>
      </c>
      <c r="I42" s="106"/>
      <c r="J42" s="128"/>
      <c r="K42" s="132" t="s">
        <v>4331</v>
      </c>
      <c r="L42" s="132"/>
      <c r="M42" s="132"/>
      <c r="N42" s="132"/>
      <c r="O42" s="132"/>
      <c r="P42" s="123">
        <v>1592</v>
      </c>
      <c r="Q42" s="123">
        <v>275</v>
      </c>
      <c r="R42" s="130"/>
      <c r="S42" s="131"/>
      <c r="T42" s="124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17"/>
      <c r="AH42" s="24"/>
      <c r="AI42" s="25"/>
      <c r="AJ42" s="25"/>
    </row>
    <row r="43" spans="1:36" x14ac:dyDescent="0.3">
      <c r="A43" s="63">
        <v>37</v>
      </c>
      <c r="B43" s="102" t="s">
        <v>3520</v>
      </c>
      <c r="C43" s="102" t="s">
        <v>3521</v>
      </c>
      <c r="D43" s="64" t="s">
        <v>119</v>
      </c>
      <c r="E43" s="24" t="s">
        <v>4293</v>
      </c>
      <c r="F43" s="106" t="s">
        <v>4329</v>
      </c>
      <c r="G43" s="133">
        <v>1</v>
      </c>
      <c r="H43" s="38" t="s">
        <v>4330</v>
      </c>
      <c r="I43" s="106"/>
      <c r="J43" s="128"/>
      <c r="K43" s="132" t="s">
        <v>4332</v>
      </c>
      <c r="L43" s="132"/>
      <c r="M43" s="132"/>
      <c r="N43" s="132"/>
      <c r="O43" s="132"/>
      <c r="P43" s="123">
        <v>591</v>
      </c>
      <c r="Q43" s="123">
        <v>91</v>
      </c>
      <c r="R43" s="130"/>
      <c r="S43" s="131"/>
      <c r="T43" s="124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17"/>
      <c r="AH43" s="24"/>
      <c r="AI43" s="25"/>
      <c r="AJ43" s="25"/>
    </row>
    <row r="44" spans="1:36" x14ac:dyDescent="0.3">
      <c r="A44" s="63">
        <v>38</v>
      </c>
      <c r="B44" s="102" t="s">
        <v>3520</v>
      </c>
      <c r="C44" s="102" t="s">
        <v>3521</v>
      </c>
      <c r="D44" s="64" t="s">
        <v>119</v>
      </c>
      <c r="E44" s="24" t="s">
        <v>4293</v>
      </c>
      <c r="F44" s="106" t="s">
        <v>4329</v>
      </c>
      <c r="G44" s="134">
        <v>1</v>
      </c>
      <c r="H44" s="38" t="s">
        <v>4330</v>
      </c>
      <c r="I44" s="106"/>
      <c r="J44" s="128"/>
      <c r="K44" s="132" t="s">
        <v>4333</v>
      </c>
      <c r="L44" s="132"/>
      <c r="M44" s="132"/>
      <c r="N44" s="132"/>
      <c r="O44" s="132"/>
      <c r="P44" s="123">
        <v>292</v>
      </c>
      <c r="Q44" s="123">
        <v>65</v>
      </c>
      <c r="R44" s="130"/>
      <c r="S44" s="131"/>
      <c r="T44" s="124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17"/>
      <c r="AH44" s="24"/>
      <c r="AI44" s="32"/>
      <c r="AJ44" s="32"/>
    </row>
    <row r="45" spans="1:36" x14ac:dyDescent="0.3">
      <c r="A45" s="63">
        <v>39</v>
      </c>
      <c r="B45" s="102" t="s">
        <v>3520</v>
      </c>
      <c r="C45" s="102" t="s">
        <v>3521</v>
      </c>
      <c r="D45" s="64" t="s">
        <v>119</v>
      </c>
      <c r="E45" s="24" t="s">
        <v>4293</v>
      </c>
      <c r="F45" s="106" t="s">
        <v>4329</v>
      </c>
      <c r="G45" s="134">
        <v>1</v>
      </c>
      <c r="H45" s="38" t="s">
        <v>4330</v>
      </c>
      <c r="I45" s="106"/>
      <c r="J45" s="128"/>
      <c r="K45" s="132" t="s">
        <v>2857</v>
      </c>
      <c r="L45" s="132"/>
      <c r="M45" s="132"/>
      <c r="N45" s="132"/>
      <c r="O45" s="132"/>
      <c r="P45" s="123">
        <v>367</v>
      </c>
      <c r="Q45" s="123">
        <v>83</v>
      </c>
      <c r="R45" s="130"/>
      <c r="S45" s="135"/>
      <c r="T45" s="124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17"/>
      <c r="AH45" s="24"/>
      <c r="AI45" s="33"/>
      <c r="AJ45" s="33"/>
    </row>
    <row r="46" spans="1:36" x14ac:dyDescent="0.3">
      <c r="A46" s="63">
        <v>40</v>
      </c>
      <c r="B46" s="102" t="s">
        <v>3520</v>
      </c>
      <c r="C46" s="102" t="s">
        <v>3521</v>
      </c>
      <c r="D46" s="64" t="s">
        <v>119</v>
      </c>
      <c r="E46" s="24" t="s">
        <v>4293</v>
      </c>
      <c r="F46" s="106" t="s">
        <v>4329</v>
      </c>
      <c r="G46" s="134">
        <v>1</v>
      </c>
      <c r="H46" s="38" t="s">
        <v>4330</v>
      </c>
      <c r="I46" s="106"/>
      <c r="J46" s="128"/>
      <c r="K46" s="132" t="s">
        <v>4334</v>
      </c>
      <c r="L46" s="132"/>
      <c r="M46" s="132"/>
      <c r="N46" s="132"/>
      <c r="O46" s="132"/>
      <c r="P46" s="123">
        <v>2170</v>
      </c>
      <c r="Q46" s="123">
        <v>402</v>
      </c>
      <c r="R46" s="130"/>
      <c r="S46" s="135"/>
      <c r="T46" s="124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17"/>
      <c r="AH46" s="24"/>
      <c r="AI46" s="33"/>
      <c r="AJ46" s="33"/>
    </row>
    <row r="47" spans="1:36" x14ac:dyDescent="0.3">
      <c r="A47" s="63">
        <v>41</v>
      </c>
      <c r="B47" s="102" t="s">
        <v>3520</v>
      </c>
      <c r="C47" s="102" t="s">
        <v>3521</v>
      </c>
      <c r="D47" s="64" t="s">
        <v>119</v>
      </c>
      <c r="E47" s="24" t="s">
        <v>4293</v>
      </c>
      <c r="F47" s="106" t="s">
        <v>4329</v>
      </c>
      <c r="G47" s="134">
        <v>2</v>
      </c>
      <c r="H47" s="38" t="s">
        <v>4330</v>
      </c>
      <c r="I47" s="106"/>
      <c r="J47" s="128"/>
      <c r="K47" s="129" t="s">
        <v>4335</v>
      </c>
      <c r="L47" s="129"/>
      <c r="M47" s="129"/>
      <c r="N47" s="129"/>
      <c r="O47" s="129"/>
      <c r="P47" s="123">
        <v>1052</v>
      </c>
      <c r="Q47" s="123">
        <v>188</v>
      </c>
      <c r="R47" s="130"/>
      <c r="S47" s="135"/>
      <c r="T47" s="124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17"/>
      <c r="AH47" s="24"/>
      <c r="AI47" s="33"/>
      <c r="AJ47" s="33"/>
    </row>
    <row r="48" spans="1:36" x14ac:dyDescent="0.3">
      <c r="A48" s="63">
        <v>42</v>
      </c>
      <c r="B48" s="102" t="s">
        <v>3520</v>
      </c>
      <c r="C48" s="102" t="s">
        <v>3521</v>
      </c>
      <c r="D48" s="64" t="s">
        <v>119</v>
      </c>
      <c r="E48" s="24" t="s">
        <v>4293</v>
      </c>
      <c r="F48" s="106" t="s">
        <v>4329</v>
      </c>
      <c r="G48" s="134">
        <v>2</v>
      </c>
      <c r="H48" s="38" t="s">
        <v>4330</v>
      </c>
      <c r="I48" s="106"/>
      <c r="J48" s="128"/>
      <c r="K48" s="132" t="s">
        <v>4336</v>
      </c>
      <c r="L48" s="132"/>
      <c r="M48" s="132"/>
      <c r="N48" s="132"/>
      <c r="O48" s="132"/>
      <c r="P48" s="123">
        <v>768</v>
      </c>
      <c r="Q48" s="123">
        <v>167</v>
      </c>
      <c r="R48" s="130"/>
      <c r="S48" s="135"/>
      <c r="T48" s="124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4"/>
      <c r="AH48" s="24"/>
      <c r="AI48" s="35"/>
      <c r="AJ48" s="35"/>
    </row>
    <row r="49" spans="1:36" x14ac:dyDescent="0.3">
      <c r="A49" s="63">
        <v>43</v>
      </c>
      <c r="B49" s="102" t="s">
        <v>3520</v>
      </c>
      <c r="C49" s="102" t="s">
        <v>3521</v>
      </c>
      <c r="D49" s="64" t="s">
        <v>119</v>
      </c>
      <c r="E49" s="24" t="s">
        <v>4293</v>
      </c>
      <c r="F49" s="106" t="s">
        <v>4329</v>
      </c>
      <c r="G49" s="134">
        <v>2</v>
      </c>
      <c r="H49" s="38" t="s">
        <v>4330</v>
      </c>
      <c r="I49" s="106"/>
      <c r="J49" s="128"/>
      <c r="K49" s="136" t="s">
        <v>51</v>
      </c>
      <c r="L49" s="136"/>
      <c r="M49" s="136"/>
      <c r="N49" s="136"/>
      <c r="O49" s="136"/>
      <c r="P49" s="123">
        <v>952</v>
      </c>
      <c r="Q49" s="123">
        <v>166</v>
      </c>
      <c r="R49" s="130"/>
      <c r="S49" s="135"/>
      <c r="T49" s="124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17"/>
      <c r="AH49" s="24"/>
      <c r="AI49" s="33"/>
      <c r="AJ49" s="33"/>
    </row>
    <row r="50" spans="1:36" x14ac:dyDescent="0.3">
      <c r="A50" s="63">
        <v>44</v>
      </c>
      <c r="B50" s="102" t="s">
        <v>3520</v>
      </c>
      <c r="C50" s="102" t="s">
        <v>3521</v>
      </c>
      <c r="D50" s="64" t="s">
        <v>119</v>
      </c>
      <c r="E50" s="24" t="s">
        <v>4293</v>
      </c>
      <c r="F50" s="38" t="s">
        <v>4329</v>
      </c>
      <c r="G50" s="108">
        <v>2</v>
      </c>
      <c r="H50" s="38" t="s">
        <v>4330</v>
      </c>
      <c r="I50" s="106"/>
      <c r="J50" s="128"/>
      <c r="K50" s="132" t="s">
        <v>4337</v>
      </c>
      <c r="L50" s="132"/>
      <c r="M50" s="132"/>
      <c r="N50" s="132"/>
      <c r="O50" s="132"/>
      <c r="P50" s="123">
        <v>356</v>
      </c>
      <c r="Q50" s="123">
        <v>83</v>
      </c>
      <c r="R50" s="130"/>
      <c r="S50" s="135"/>
      <c r="T50" s="123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17"/>
      <c r="AH50" s="24"/>
      <c r="AI50" s="33"/>
      <c r="AJ50" s="33"/>
    </row>
    <row r="51" spans="1:36" x14ac:dyDescent="0.3">
      <c r="A51" s="63">
        <v>45</v>
      </c>
      <c r="B51" s="102" t="s">
        <v>3520</v>
      </c>
      <c r="C51" s="102" t="s">
        <v>3521</v>
      </c>
      <c r="D51" s="64" t="s">
        <v>119</v>
      </c>
      <c r="E51" s="24" t="s">
        <v>4293</v>
      </c>
      <c r="F51" s="38" t="s">
        <v>4329</v>
      </c>
      <c r="G51" s="108">
        <v>3</v>
      </c>
      <c r="H51" s="38" t="s">
        <v>4330</v>
      </c>
      <c r="I51" s="106"/>
      <c r="J51" s="128"/>
      <c r="K51" s="136" t="s">
        <v>4338</v>
      </c>
      <c r="L51" s="136"/>
      <c r="M51" s="136"/>
      <c r="N51" s="136"/>
      <c r="O51" s="136"/>
      <c r="P51" s="123">
        <v>597</v>
      </c>
      <c r="Q51" s="123">
        <v>139</v>
      </c>
      <c r="R51" s="130"/>
      <c r="S51" s="135"/>
      <c r="T51" s="124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17"/>
      <c r="AH51" s="24"/>
      <c r="AI51" s="25"/>
      <c r="AJ51" s="25"/>
    </row>
    <row r="52" spans="1:36" x14ac:dyDescent="0.3">
      <c r="A52" s="63">
        <v>46</v>
      </c>
      <c r="B52" s="102" t="s">
        <v>3520</v>
      </c>
      <c r="C52" s="102" t="s">
        <v>3521</v>
      </c>
      <c r="D52" s="64" t="s">
        <v>119</v>
      </c>
      <c r="E52" s="24" t="s">
        <v>4293</v>
      </c>
      <c r="F52" s="38" t="s">
        <v>4329</v>
      </c>
      <c r="G52" s="108">
        <v>3</v>
      </c>
      <c r="H52" s="38" t="s">
        <v>4330</v>
      </c>
      <c r="I52" s="106"/>
      <c r="J52" s="128"/>
      <c r="K52" s="132" t="s">
        <v>116</v>
      </c>
      <c r="L52" s="132"/>
      <c r="M52" s="132"/>
      <c r="N52" s="132"/>
      <c r="O52" s="132"/>
      <c r="P52" s="123">
        <v>386</v>
      </c>
      <c r="Q52" s="123">
        <v>93</v>
      </c>
      <c r="R52" s="130"/>
      <c r="S52" s="135"/>
      <c r="T52" s="123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17"/>
      <c r="AH52" s="24"/>
      <c r="AI52" s="25"/>
      <c r="AJ52" s="25"/>
    </row>
    <row r="53" spans="1:36" x14ac:dyDescent="0.3">
      <c r="A53" s="63">
        <v>47</v>
      </c>
      <c r="B53" s="102" t="s">
        <v>3520</v>
      </c>
      <c r="C53" s="102" t="s">
        <v>3521</v>
      </c>
      <c r="D53" s="64" t="s">
        <v>119</v>
      </c>
      <c r="E53" s="24" t="s">
        <v>4293</v>
      </c>
      <c r="F53" s="38" t="s">
        <v>4329</v>
      </c>
      <c r="G53" s="108">
        <v>4</v>
      </c>
      <c r="H53" s="38" t="s">
        <v>4330</v>
      </c>
      <c r="I53" s="106"/>
      <c r="J53" s="128"/>
      <c r="K53" s="132" t="s">
        <v>4339</v>
      </c>
      <c r="L53" s="132"/>
      <c r="M53" s="132"/>
      <c r="N53" s="132"/>
      <c r="O53" s="132"/>
      <c r="P53" s="123">
        <v>1197</v>
      </c>
      <c r="Q53" s="123">
        <v>266</v>
      </c>
      <c r="R53" s="130"/>
      <c r="S53" s="135">
        <v>3</v>
      </c>
      <c r="T53" s="124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17"/>
      <c r="AH53" s="24"/>
      <c r="AI53" s="25"/>
      <c r="AJ53" s="25"/>
    </row>
    <row r="54" spans="1:36" x14ac:dyDescent="0.3">
      <c r="A54" s="63">
        <v>48</v>
      </c>
      <c r="B54" s="102" t="s">
        <v>3520</v>
      </c>
      <c r="C54" s="102" t="s">
        <v>3521</v>
      </c>
      <c r="D54" s="64" t="s">
        <v>119</v>
      </c>
      <c r="E54" s="24" t="s">
        <v>4293</v>
      </c>
      <c r="F54" s="38" t="s">
        <v>4329</v>
      </c>
      <c r="G54" s="108">
        <v>4</v>
      </c>
      <c r="H54" s="38" t="s">
        <v>4330</v>
      </c>
      <c r="I54" s="106"/>
      <c r="J54" s="128"/>
      <c r="K54" s="132" t="s">
        <v>4340</v>
      </c>
      <c r="L54" s="132"/>
      <c r="M54" s="132"/>
      <c r="N54" s="132"/>
      <c r="O54" s="132"/>
      <c r="P54" s="123">
        <v>2987</v>
      </c>
      <c r="Q54" s="123">
        <v>532</v>
      </c>
      <c r="R54" s="130"/>
      <c r="S54" s="135"/>
      <c r="T54" s="123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17"/>
      <c r="AH54" s="24"/>
      <c r="AI54" s="25"/>
      <c r="AJ54" s="25"/>
    </row>
    <row r="55" spans="1:36" x14ac:dyDescent="0.3">
      <c r="A55" s="63">
        <v>49</v>
      </c>
      <c r="B55" s="102" t="s">
        <v>3520</v>
      </c>
      <c r="C55" s="102" t="s">
        <v>3521</v>
      </c>
      <c r="D55" s="64" t="s">
        <v>119</v>
      </c>
      <c r="E55" s="24" t="s">
        <v>4293</v>
      </c>
      <c r="F55" s="38" t="s">
        <v>4329</v>
      </c>
      <c r="G55" s="108">
        <v>4</v>
      </c>
      <c r="H55" s="38" t="s">
        <v>4330</v>
      </c>
      <c r="I55" s="106"/>
      <c r="J55" s="128"/>
      <c r="K55" s="132" t="s">
        <v>4341</v>
      </c>
      <c r="L55" s="132"/>
      <c r="M55" s="132"/>
      <c r="N55" s="132"/>
      <c r="O55" s="132"/>
      <c r="P55" s="123">
        <v>391</v>
      </c>
      <c r="Q55" s="123">
        <v>87</v>
      </c>
      <c r="R55" s="130"/>
      <c r="S55" s="135"/>
      <c r="T55" s="124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17"/>
      <c r="AH55" s="24"/>
      <c r="AI55" s="25"/>
      <c r="AJ55" s="25"/>
    </row>
    <row r="56" spans="1:36" x14ac:dyDescent="0.3">
      <c r="A56" s="63">
        <v>50</v>
      </c>
      <c r="B56" s="102" t="s">
        <v>3520</v>
      </c>
      <c r="C56" s="102" t="s">
        <v>3521</v>
      </c>
      <c r="D56" s="64" t="s">
        <v>119</v>
      </c>
      <c r="E56" s="24" t="s">
        <v>4293</v>
      </c>
      <c r="F56" s="38" t="s">
        <v>4329</v>
      </c>
      <c r="G56" s="108">
        <v>4</v>
      </c>
      <c r="H56" s="38" t="s">
        <v>4330</v>
      </c>
      <c r="I56" s="106"/>
      <c r="J56" s="128"/>
      <c r="K56" s="132" t="s">
        <v>4342</v>
      </c>
      <c r="L56" s="132"/>
      <c r="M56" s="132"/>
      <c r="N56" s="132"/>
      <c r="O56" s="132"/>
      <c r="P56" s="123">
        <v>937</v>
      </c>
      <c r="Q56" s="123">
        <v>223</v>
      </c>
      <c r="R56" s="130"/>
      <c r="S56" s="135"/>
      <c r="T56" s="123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17"/>
      <c r="AH56" s="24"/>
      <c r="AI56" s="25"/>
      <c r="AJ56" s="25"/>
    </row>
    <row r="57" spans="1:36" x14ac:dyDescent="0.3">
      <c r="A57" s="63">
        <v>51</v>
      </c>
      <c r="B57" s="102" t="s">
        <v>3520</v>
      </c>
      <c r="C57" s="102" t="s">
        <v>3521</v>
      </c>
      <c r="D57" s="64" t="s">
        <v>119</v>
      </c>
      <c r="E57" s="24" t="s">
        <v>4293</v>
      </c>
      <c r="F57" s="38" t="s">
        <v>4329</v>
      </c>
      <c r="G57" s="108">
        <v>4</v>
      </c>
      <c r="H57" s="38" t="s">
        <v>4330</v>
      </c>
      <c r="I57" s="106"/>
      <c r="J57" s="128"/>
      <c r="K57" s="132" t="s">
        <v>4343</v>
      </c>
      <c r="L57" s="132"/>
      <c r="M57" s="132"/>
      <c r="N57" s="132"/>
      <c r="O57" s="132"/>
      <c r="P57" s="123">
        <v>760</v>
      </c>
      <c r="Q57" s="123">
        <v>145</v>
      </c>
      <c r="R57" s="130"/>
      <c r="S57" s="135"/>
      <c r="T57" s="123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17"/>
      <c r="AH57" s="24"/>
      <c r="AI57" s="25"/>
      <c r="AJ57" s="25"/>
    </row>
    <row r="58" spans="1:36" x14ac:dyDescent="0.3">
      <c r="A58" s="63">
        <v>52</v>
      </c>
      <c r="B58" s="102" t="s">
        <v>3520</v>
      </c>
      <c r="C58" s="102" t="s">
        <v>3521</v>
      </c>
      <c r="D58" s="64" t="s">
        <v>119</v>
      </c>
      <c r="E58" s="24" t="s">
        <v>4293</v>
      </c>
      <c r="F58" s="38" t="s">
        <v>4329</v>
      </c>
      <c r="G58" s="108">
        <v>4</v>
      </c>
      <c r="H58" s="38" t="s">
        <v>4330</v>
      </c>
      <c r="I58" s="106"/>
      <c r="J58" s="128"/>
      <c r="K58" s="132" t="s">
        <v>4344</v>
      </c>
      <c r="L58" s="132"/>
      <c r="M58" s="132"/>
      <c r="N58" s="132"/>
      <c r="O58" s="132"/>
      <c r="P58" s="123">
        <v>1204</v>
      </c>
      <c r="Q58" s="123">
        <v>215</v>
      </c>
      <c r="R58" s="130"/>
      <c r="S58" s="135"/>
      <c r="T58" s="123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17"/>
      <c r="AH58" s="24"/>
      <c r="AI58" s="25"/>
      <c r="AJ58" s="25"/>
    </row>
    <row r="59" spans="1:36" x14ac:dyDescent="0.3">
      <c r="A59" s="63">
        <v>53</v>
      </c>
      <c r="B59" s="102" t="s">
        <v>3520</v>
      </c>
      <c r="C59" s="102" t="s">
        <v>3521</v>
      </c>
      <c r="D59" s="64" t="s">
        <v>119</v>
      </c>
      <c r="E59" s="24" t="s">
        <v>4293</v>
      </c>
      <c r="F59" s="38" t="s">
        <v>4329</v>
      </c>
      <c r="G59" s="108">
        <v>5</v>
      </c>
      <c r="H59" s="38" t="s">
        <v>4330</v>
      </c>
      <c r="I59" s="106"/>
      <c r="J59" s="128"/>
      <c r="K59" s="132" t="s">
        <v>4345</v>
      </c>
      <c r="L59" s="132"/>
      <c r="M59" s="132"/>
      <c r="N59" s="132"/>
      <c r="O59" s="132"/>
      <c r="P59" s="123">
        <v>1202</v>
      </c>
      <c r="Q59" s="123">
        <v>212</v>
      </c>
      <c r="R59" s="130"/>
      <c r="S59" s="135"/>
      <c r="T59" s="124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17"/>
      <c r="AH59" s="24"/>
      <c r="AI59" s="25"/>
      <c r="AJ59" s="25"/>
    </row>
    <row r="60" spans="1:36" x14ac:dyDescent="0.3">
      <c r="A60" s="63">
        <v>54</v>
      </c>
      <c r="B60" s="102" t="s">
        <v>3520</v>
      </c>
      <c r="C60" s="102" t="s">
        <v>3521</v>
      </c>
      <c r="D60" s="64" t="s">
        <v>119</v>
      </c>
      <c r="E60" s="24" t="s">
        <v>4293</v>
      </c>
      <c r="F60" s="38" t="s">
        <v>4329</v>
      </c>
      <c r="G60" s="108">
        <v>5</v>
      </c>
      <c r="H60" s="38" t="s">
        <v>4330</v>
      </c>
      <c r="I60" s="106"/>
      <c r="J60" s="128"/>
      <c r="K60" s="136" t="s">
        <v>4346</v>
      </c>
      <c r="L60" s="136"/>
      <c r="M60" s="136"/>
      <c r="N60" s="136"/>
      <c r="O60" s="136"/>
      <c r="P60" s="123">
        <v>842</v>
      </c>
      <c r="Q60" s="123">
        <v>154</v>
      </c>
      <c r="R60" s="130"/>
      <c r="S60" s="135"/>
      <c r="T60" s="123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17"/>
      <c r="AH60" s="24"/>
      <c r="AI60" s="25"/>
      <c r="AJ60" s="25"/>
    </row>
    <row r="61" spans="1:36" x14ac:dyDescent="0.3">
      <c r="A61" s="63">
        <v>55</v>
      </c>
      <c r="B61" s="102" t="s">
        <v>3520</v>
      </c>
      <c r="C61" s="102" t="s">
        <v>3521</v>
      </c>
      <c r="D61" s="64" t="s">
        <v>119</v>
      </c>
      <c r="E61" s="24" t="s">
        <v>4293</v>
      </c>
      <c r="F61" s="38" t="s">
        <v>4329</v>
      </c>
      <c r="G61" s="108">
        <v>5</v>
      </c>
      <c r="H61" s="38" t="s">
        <v>4330</v>
      </c>
      <c r="I61" s="106"/>
      <c r="J61" s="128"/>
      <c r="K61" s="132" t="s">
        <v>4347</v>
      </c>
      <c r="L61" s="132"/>
      <c r="M61" s="132"/>
      <c r="N61" s="132"/>
      <c r="O61" s="132"/>
      <c r="P61" s="123">
        <v>531</v>
      </c>
      <c r="Q61" s="123">
        <v>117</v>
      </c>
      <c r="R61" s="130"/>
      <c r="S61" s="135"/>
      <c r="T61" s="124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17"/>
      <c r="AH61" s="24"/>
      <c r="AI61" s="25"/>
      <c r="AJ61" s="25"/>
    </row>
    <row r="62" spans="1:36" x14ac:dyDescent="0.3">
      <c r="A62" s="63">
        <v>56</v>
      </c>
      <c r="B62" s="102" t="s">
        <v>3520</v>
      </c>
      <c r="C62" s="102" t="s">
        <v>3521</v>
      </c>
      <c r="D62" s="64" t="s">
        <v>119</v>
      </c>
      <c r="E62" s="24" t="s">
        <v>4293</v>
      </c>
      <c r="F62" s="38" t="s">
        <v>4329</v>
      </c>
      <c r="G62" s="108">
        <v>6</v>
      </c>
      <c r="H62" s="38" t="s">
        <v>4330</v>
      </c>
      <c r="I62" s="106"/>
      <c r="J62" s="128"/>
      <c r="K62" s="136" t="s">
        <v>4348</v>
      </c>
      <c r="L62" s="136"/>
      <c r="M62" s="136"/>
      <c r="N62" s="136"/>
      <c r="O62" s="136"/>
      <c r="P62" s="123">
        <v>2177</v>
      </c>
      <c r="Q62" s="123">
        <v>403</v>
      </c>
      <c r="R62" s="130"/>
      <c r="S62" s="135"/>
      <c r="T62" s="124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17"/>
      <c r="AH62" s="24"/>
      <c r="AI62" s="25"/>
      <c r="AJ62" s="25"/>
    </row>
    <row r="63" spans="1:36" x14ac:dyDescent="0.3">
      <c r="A63" s="63">
        <v>57</v>
      </c>
      <c r="B63" s="102" t="s">
        <v>3520</v>
      </c>
      <c r="C63" s="102" t="s">
        <v>3521</v>
      </c>
      <c r="D63" s="64" t="s">
        <v>119</v>
      </c>
      <c r="E63" s="24" t="s">
        <v>4293</v>
      </c>
      <c r="F63" s="38" t="s">
        <v>4329</v>
      </c>
      <c r="G63" s="137">
        <v>6</v>
      </c>
      <c r="H63" s="38" t="s">
        <v>4330</v>
      </c>
      <c r="I63" s="106"/>
      <c r="J63" s="128"/>
      <c r="K63" s="136" t="s">
        <v>4349</v>
      </c>
      <c r="L63" s="136"/>
      <c r="M63" s="136"/>
      <c r="N63" s="136"/>
      <c r="O63" s="136"/>
      <c r="P63" s="123">
        <v>313</v>
      </c>
      <c r="Q63" s="123">
        <v>73</v>
      </c>
      <c r="R63" s="130"/>
      <c r="S63" s="135"/>
      <c r="T63" s="124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17"/>
      <c r="AH63" s="24"/>
      <c r="AI63" s="25"/>
      <c r="AJ63" s="25"/>
    </row>
    <row r="64" spans="1:36" x14ac:dyDescent="0.3">
      <c r="A64" s="63">
        <v>58</v>
      </c>
      <c r="B64" s="102" t="s">
        <v>3520</v>
      </c>
      <c r="C64" s="102" t="s">
        <v>3521</v>
      </c>
      <c r="D64" s="64" t="s">
        <v>119</v>
      </c>
      <c r="E64" s="24" t="s">
        <v>4293</v>
      </c>
      <c r="F64" s="38" t="s">
        <v>4329</v>
      </c>
      <c r="G64" s="137">
        <v>6</v>
      </c>
      <c r="H64" s="38" t="s">
        <v>4330</v>
      </c>
      <c r="I64" s="106"/>
      <c r="J64" s="128"/>
      <c r="K64" s="136" t="s">
        <v>4234</v>
      </c>
      <c r="L64" s="136"/>
      <c r="M64" s="136"/>
      <c r="N64" s="136"/>
      <c r="O64" s="136"/>
      <c r="P64" s="123">
        <v>448</v>
      </c>
      <c r="Q64" s="123">
        <v>84</v>
      </c>
      <c r="R64" s="130"/>
      <c r="S64" s="135"/>
      <c r="T64" s="124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17"/>
      <c r="AH64" s="24"/>
      <c r="AI64" s="25"/>
      <c r="AJ64" s="25"/>
    </row>
    <row r="65" spans="1:36" x14ac:dyDescent="0.3">
      <c r="A65" s="63">
        <v>59</v>
      </c>
      <c r="B65" s="102" t="s">
        <v>3520</v>
      </c>
      <c r="C65" s="102" t="s">
        <v>3521</v>
      </c>
      <c r="D65" s="64" t="s">
        <v>119</v>
      </c>
      <c r="E65" s="24" t="s">
        <v>4293</v>
      </c>
      <c r="F65" s="38" t="s">
        <v>4329</v>
      </c>
      <c r="G65" s="137">
        <v>7</v>
      </c>
      <c r="H65" s="38" t="s">
        <v>4330</v>
      </c>
      <c r="I65" s="106"/>
      <c r="J65" s="128"/>
      <c r="K65" s="136" t="s">
        <v>4350</v>
      </c>
      <c r="L65" s="136"/>
      <c r="M65" s="136"/>
      <c r="N65" s="136"/>
      <c r="O65" s="136"/>
      <c r="P65" s="123">
        <v>2341</v>
      </c>
      <c r="Q65" s="123">
        <v>509</v>
      </c>
      <c r="R65" s="130"/>
      <c r="S65" s="135"/>
      <c r="T65" s="124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17"/>
      <c r="AH65" s="24"/>
      <c r="AI65" s="25"/>
      <c r="AJ65" s="25"/>
    </row>
    <row r="66" spans="1:36" x14ac:dyDescent="0.3">
      <c r="A66" s="63">
        <v>60</v>
      </c>
      <c r="B66" s="102" t="s">
        <v>3520</v>
      </c>
      <c r="C66" s="102" t="s">
        <v>3521</v>
      </c>
      <c r="D66" s="64" t="s">
        <v>119</v>
      </c>
      <c r="E66" s="24" t="s">
        <v>4293</v>
      </c>
      <c r="F66" s="38" t="s">
        <v>4329</v>
      </c>
      <c r="G66" s="138">
        <v>7</v>
      </c>
      <c r="H66" s="38" t="s">
        <v>4330</v>
      </c>
      <c r="I66" s="106"/>
      <c r="J66" s="128"/>
      <c r="K66" s="136" t="s">
        <v>116</v>
      </c>
      <c r="L66" s="136"/>
      <c r="M66" s="136"/>
      <c r="N66" s="136"/>
      <c r="O66" s="136"/>
      <c r="P66" s="123">
        <v>309</v>
      </c>
      <c r="Q66" s="123">
        <v>72</v>
      </c>
      <c r="R66" s="130"/>
      <c r="S66" s="135"/>
      <c r="T66" s="124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17"/>
      <c r="AH66" s="24"/>
      <c r="AI66" s="25"/>
      <c r="AJ66" s="25"/>
    </row>
    <row r="67" spans="1:36" x14ac:dyDescent="0.3">
      <c r="A67" s="63">
        <v>61</v>
      </c>
      <c r="B67" s="102" t="s">
        <v>3520</v>
      </c>
      <c r="C67" s="102" t="s">
        <v>3521</v>
      </c>
      <c r="D67" s="64" t="s">
        <v>119</v>
      </c>
      <c r="E67" s="24" t="s">
        <v>4293</v>
      </c>
      <c r="F67" s="38" t="s">
        <v>4329</v>
      </c>
      <c r="G67" s="108">
        <v>7</v>
      </c>
      <c r="H67" s="38" t="s">
        <v>4330</v>
      </c>
      <c r="I67" s="106"/>
      <c r="J67" s="128"/>
      <c r="K67" s="136" t="s">
        <v>4351</v>
      </c>
      <c r="L67" s="136"/>
      <c r="M67" s="136"/>
      <c r="N67" s="136"/>
      <c r="O67" s="136"/>
      <c r="P67" s="123">
        <v>1063</v>
      </c>
      <c r="Q67" s="123">
        <v>197</v>
      </c>
      <c r="R67" s="130"/>
      <c r="S67" s="135"/>
      <c r="T67" s="124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17"/>
      <c r="AH67" s="24"/>
      <c r="AI67" s="25"/>
      <c r="AJ67" s="25"/>
    </row>
    <row r="68" spans="1:36" x14ac:dyDescent="0.3">
      <c r="A68" s="63">
        <v>62</v>
      </c>
      <c r="B68" s="102" t="s">
        <v>3520</v>
      </c>
      <c r="C68" s="102" t="s">
        <v>3521</v>
      </c>
      <c r="D68" s="64" t="s">
        <v>119</v>
      </c>
      <c r="E68" s="24" t="s">
        <v>4293</v>
      </c>
      <c r="F68" s="38" t="s">
        <v>4329</v>
      </c>
      <c r="G68" s="108">
        <v>7</v>
      </c>
      <c r="H68" s="38" t="s">
        <v>4330</v>
      </c>
      <c r="I68" s="106"/>
      <c r="J68" s="128"/>
      <c r="K68" s="132" t="s">
        <v>4352</v>
      </c>
      <c r="L68" s="132"/>
      <c r="M68" s="132"/>
      <c r="N68" s="132"/>
      <c r="O68" s="132"/>
      <c r="P68" s="123">
        <v>1877</v>
      </c>
      <c r="Q68" s="123">
        <v>339</v>
      </c>
      <c r="R68" s="130"/>
      <c r="S68" s="135"/>
      <c r="T68" s="124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17"/>
      <c r="AH68" s="24"/>
      <c r="AI68" s="25"/>
      <c r="AJ68" s="25"/>
    </row>
    <row r="69" spans="1:36" x14ac:dyDescent="0.3">
      <c r="A69" s="63">
        <v>63</v>
      </c>
      <c r="B69" s="102" t="s">
        <v>3520</v>
      </c>
      <c r="C69" s="102" t="s">
        <v>3521</v>
      </c>
      <c r="D69" s="64" t="s">
        <v>119</v>
      </c>
      <c r="E69" s="24" t="s">
        <v>4293</v>
      </c>
      <c r="F69" s="38" t="s">
        <v>4329</v>
      </c>
      <c r="G69" s="108">
        <v>8</v>
      </c>
      <c r="H69" s="38" t="s">
        <v>4330</v>
      </c>
      <c r="I69" s="106"/>
      <c r="J69" s="128"/>
      <c r="K69" s="136" t="s">
        <v>4353</v>
      </c>
      <c r="L69" s="136"/>
      <c r="M69" s="136"/>
      <c r="N69" s="136"/>
      <c r="O69" s="136"/>
      <c r="P69" s="123">
        <v>1140</v>
      </c>
      <c r="Q69" s="123">
        <v>248</v>
      </c>
      <c r="R69" s="130"/>
      <c r="S69" s="135"/>
      <c r="T69" s="124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17"/>
      <c r="AH69" s="24"/>
      <c r="AI69" s="25"/>
      <c r="AJ69" s="25"/>
    </row>
    <row r="70" spans="1:36" x14ac:dyDescent="0.3">
      <c r="A70" s="63">
        <v>64</v>
      </c>
      <c r="B70" s="102" t="s">
        <v>3520</v>
      </c>
      <c r="C70" s="102" t="s">
        <v>3521</v>
      </c>
      <c r="D70" s="64" t="s">
        <v>119</v>
      </c>
      <c r="E70" s="24" t="s">
        <v>4293</v>
      </c>
      <c r="F70" s="38" t="s">
        <v>4329</v>
      </c>
      <c r="G70" s="137">
        <v>8</v>
      </c>
      <c r="H70" s="38" t="s">
        <v>4330</v>
      </c>
      <c r="I70" s="106"/>
      <c r="J70" s="128"/>
      <c r="K70" s="136" t="s">
        <v>4354</v>
      </c>
      <c r="L70" s="136"/>
      <c r="M70" s="136"/>
      <c r="N70" s="136"/>
      <c r="O70" s="136"/>
      <c r="P70" s="123">
        <v>1046</v>
      </c>
      <c r="Q70" s="123">
        <v>201</v>
      </c>
      <c r="R70" s="130"/>
      <c r="S70" s="135"/>
      <c r="T70" s="124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17"/>
      <c r="AH70" s="24"/>
      <c r="AI70" s="25"/>
      <c r="AJ70" s="25"/>
    </row>
    <row r="71" spans="1:36" x14ac:dyDescent="0.3">
      <c r="A71" s="63">
        <v>65</v>
      </c>
      <c r="B71" s="102" t="s">
        <v>3520</v>
      </c>
      <c r="C71" s="102" t="s">
        <v>3521</v>
      </c>
      <c r="D71" s="64" t="s">
        <v>119</v>
      </c>
      <c r="E71" s="24" t="s">
        <v>4293</v>
      </c>
      <c r="F71" s="38" t="s">
        <v>4329</v>
      </c>
      <c r="G71" s="120">
        <v>8</v>
      </c>
      <c r="H71" s="38" t="s">
        <v>4330</v>
      </c>
      <c r="I71" s="106"/>
      <c r="J71" s="128"/>
      <c r="K71" s="136" t="s">
        <v>4355</v>
      </c>
      <c r="L71" s="136"/>
      <c r="M71" s="136"/>
      <c r="N71" s="136"/>
      <c r="O71" s="136"/>
      <c r="P71" s="123">
        <v>2047</v>
      </c>
      <c r="Q71" s="123">
        <v>379</v>
      </c>
      <c r="R71" s="130"/>
      <c r="S71" s="135"/>
      <c r="T71" s="124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17"/>
      <c r="AH71" s="24"/>
      <c r="AI71" s="25"/>
      <c r="AJ71" s="25"/>
    </row>
    <row r="72" spans="1:36" x14ac:dyDescent="0.3">
      <c r="A72" s="63">
        <v>66</v>
      </c>
      <c r="B72" s="102" t="s">
        <v>3520</v>
      </c>
      <c r="C72" s="102" t="s">
        <v>3521</v>
      </c>
      <c r="D72" s="64" t="s">
        <v>119</v>
      </c>
      <c r="E72" s="24" t="s">
        <v>4293</v>
      </c>
      <c r="F72" s="38" t="s">
        <v>4329</v>
      </c>
      <c r="G72" s="108">
        <v>9</v>
      </c>
      <c r="H72" s="38" t="s">
        <v>4330</v>
      </c>
      <c r="I72" s="106"/>
      <c r="J72" s="128"/>
      <c r="K72" s="132" t="s">
        <v>4356</v>
      </c>
      <c r="L72" s="132"/>
      <c r="M72" s="132"/>
      <c r="N72" s="132"/>
      <c r="O72" s="132"/>
      <c r="P72" s="123">
        <v>1413</v>
      </c>
      <c r="Q72" s="123">
        <v>245</v>
      </c>
      <c r="R72" s="130"/>
      <c r="S72" s="135"/>
      <c r="T72" s="123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17"/>
      <c r="AH72" s="24"/>
      <c r="AI72" s="25"/>
      <c r="AJ72" s="25"/>
    </row>
    <row r="73" spans="1:36" x14ac:dyDescent="0.3">
      <c r="A73" s="63">
        <v>67</v>
      </c>
      <c r="B73" s="102" t="s">
        <v>3520</v>
      </c>
      <c r="C73" s="102" t="s">
        <v>3521</v>
      </c>
      <c r="D73" s="64" t="s">
        <v>119</v>
      </c>
      <c r="E73" s="24" t="s">
        <v>4293</v>
      </c>
      <c r="F73" s="38" t="s">
        <v>4329</v>
      </c>
      <c r="G73" s="108">
        <v>9</v>
      </c>
      <c r="H73" s="38" t="s">
        <v>4330</v>
      </c>
      <c r="I73" s="106"/>
      <c r="J73" s="128"/>
      <c r="K73" s="132" t="s">
        <v>4354</v>
      </c>
      <c r="L73" s="132"/>
      <c r="M73" s="132"/>
      <c r="N73" s="132"/>
      <c r="O73" s="132"/>
      <c r="P73" s="123">
        <v>1085</v>
      </c>
      <c r="Q73" s="123">
        <v>185</v>
      </c>
      <c r="R73" s="130"/>
      <c r="S73" s="135"/>
      <c r="T73" s="123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17"/>
      <c r="AH73" s="24"/>
      <c r="AI73" s="25"/>
      <c r="AJ73" s="25"/>
    </row>
    <row r="74" spans="1:36" x14ac:dyDescent="0.3">
      <c r="A74" s="63">
        <v>68</v>
      </c>
      <c r="B74" s="102" t="s">
        <v>3520</v>
      </c>
      <c r="C74" s="102" t="s">
        <v>3521</v>
      </c>
      <c r="D74" s="64" t="s">
        <v>119</v>
      </c>
      <c r="E74" s="24" t="s">
        <v>4293</v>
      </c>
      <c r="F74" s="38" t="s">
        <v>4329</v>
      </c>
      <c r="G74" s="108">
        <v>9</v>
      </c>
      <c r="H74" s="38" t="s">
        <v>4330</v>
      </c>
      <c r="I74" s="106"/>
      <c r="J74" s="128"/>
      <c r="K74" s="132" t="s">
        <v>4357</v>
      </c>
      <c r="L74" s="132"/>
      <c r="M74" s="132"/>
      <c r="N74" s="132"/>
      <c r="O74" s="132"/>
      <c r="P74" s="123">
        <v>1120</v>
      </c>
      <c r="Q74" s="123">
        <v>176</v>
      </c>
      <c r="R74" s="130"/>
      <c r="S74" s="135"/>
      <c r="T74" s="123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17"/>
      <c r="AH74" s="24"/>
      <c r="AI74" s="25"/>
      <c r="AJ74" s="25"/>
    </row>
    <row r="75" spans="1:36" x14ac:dyDescent="0.3">
      <c r="A75" s="63">
        <v>69</v>
      </c>
      <c r="B75" s="102" t="s">
        <v>3520</v>
      </c>
      <c r="C75" s="102" t="s">
        <v>3521</v>
      </c>
      <c r="D75" s="64" t="s">
        <v>119</v>
      </c>
      <c r="E75" s="24" t="s">
        <v>4293</v>
      </c>
      <c r="F75" s="38" t="s">
        <v>4329</v>
      </c>
      <c r="G75" s="108">
        <v>9</v>
      </c>
      <c r="H75" s="38" t="s">
        <v>4330</v>
      </c>
      <c r="I75" s="106"/>
      <c r="J75" s="128"/>
      <c r="K75" s="132" t="s">
        <v>4358</v>
      </c>
      <c r="L75" s="132"/>
      <c r="M75" s="132"/>
      <c r="N75" s="132"/>
      <c r="O75" s="132"/>
      <c r="P75" s="123">
        <v>396</v>
      </c>
      <c r="Q75" s="123">
        <v>62</v>
      </c>
      <c r="R75" s="130"/>
      <c r="S75" s="139"/>
      <c r="T75" s="124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17"/>
      <c r="AH75" s="24"/>
      <c r="AI75" s="25"/>
      <c r="AJ75" s="25"/>
    </row>
    <row r="76" spans="1:36" x14ac:dyDescent="0.3">
      <c r="A76" s="63">
        <v>70</v>
      </c>
      <c r="B76" s="102" t="s">
        <v>3520</v>
      </c>
      <c r="C76" s="102" t="s">
        <v>3521</v>
      </c>
      <c r="D76" s="64" t="s">
        <v>119</v>
      </c>
      <c r="E76" s="24" t="s">
        <v>4293</v>
      </c>
      <c r="F76" s="38" t="s">
        <v>4329</v>
      </c>
      <c r="G76" s="108">
        <v>9</v>
      </c>
      <c r="H76" s="38" t="s">
        <v>4330</v>
      </c>
      <c r="I76" s="106"/>
      <c r="J76" s="128"/>
      <c r="K76" s="132" t="s">
        <v>4359</v>
      </c>
      <c r="L76" s="132"/>
      <c r="M76" s="132"/>
      <c r="N76" s="132"/>
      <c r="O76" s="132"/>
      <c r="P76" s="123">
        <v>1162</v>
      </c>
      <c r="Q76" s="123">
        <v>200</v>
      </c>
      <c r="R76" s="130"/>
      <c r="S76" s="139"/>
      <c r="T76" s="124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17"/>
      <c r="AH76" s="24"/>
      <c r="AI76" s="25"/>
      <c r="AJ76" s="25"/>
    </row>
    <row r="77" spans="1:36" x14ac:dyDescent="0.3">
      <c r="A77" s="63">
        <v>71</v>
      </c>
      <c r="B77" s="102" t="s">
        <v>3520</v>
      </c>
      <c r="C77" s="102" t="s">
        <v>3521</v>
      </c>
      <c r="D77" s="64" t="s">
        <v>119</v>
      </c>
      <c r="E77" s="24" t="s">
        <v>4293</v>
      </c>
      <c r="F77" s="38" t="s">
        <v>4360</v>
      </c>
      <c r="G77" s="108">
        <v>1</v>
      </c>
      <c r="H77" s="38" t="s">
        <v>4361</v>
      </c>
      <c r="I77" s="106"/>
      <c r="J77" s="128"/>
      <c r="K77" s="132" t="s">
        <v>4362</v>
      </c>
      <c r="L77" s="132"/>
      <c r="M77" s="132"/>
      <c r="N77" s="132"/>
      <c r="O77" s="132"/>
      <c r="P77" s="123">
        <v>795</v>
      </c>
      <c r="Q77" s="123">
        <v>150</v>
      </c>
      <c r="R77" s="130"/>
      <c r="S77" s="139"/>
      <c r="T77" s="124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17"/>
      <c r="AH77" s="24"/>
      <c r="AI77" s="25"/>
      <c r="AJ77" s="25"/>
    </row>
    <row r="78" spans="1:36" x14ac:dyDescent="0.3">
      <c r="A78" s="63">
        <v>72</v>
      </c>
      <c r="B78" s="102" t="s">
        <v>3520</v>
      </c>
      <c r="C78" s="102" t="s">
        <v>3521</v>
      </c>
      <c r="D78" s="64" t="s">
        <v>119</v>
      </c>
      <c r="E78" s="24" t="s">
        <v>4293</v>
      </c>
      <c r="F78" s="38" t="s">
        <v>4360</v>
      </c>
      <c r="G78" s="108">
        <v>1</v>
      </c>
      <c r="H78" s="38" t="s">
        <v>4361</v>
      </c>
      <c r="I78" s="106"/>
      <c r="J78" s="128"/>
      <c r="K78" s="132" t="s">
        <v>4363</v>
      </c>
      <c r="L78" s="132"/>
      <c r="M78" s="132"/>
      <c r="N78" s="132"/>
      <c r="O78" s="132"/>
      <c r="P78" s="123">
        <v>110</v>
      </c>
      <c r="Q78" s="123">
        <v>30</v>
      </c>
      <c r="R78" s="130"/>
      <c r="S78" s="139"/>
      <c r="T78" s="124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17"/>
      <c r="AH78" s="24"/>
      <c r="AI78" s="25"/>
      <c r="AJ78" s="25"/>
    </row>
    <row r="79" spans="1:36" x14ac:dyDescent="0.3">
      <c r="A79" s="63">
        <v>73</v>
      </c>
      <c r="B79" s="102" t="s">
        <v>3520</v>
      </c>
      <c r="C79" s="102" t="s">
        <v>3521</v>
      </c>
      <c r="D79" s="64" t="s">
        <v>119</v>
      </c>
      <c r="E79" s="24" t="s">
        <v>4293</v>
      </c>
      <c r="F79" s="38" t="s">
        <v>4360</v>
      </c>
      <c r="G79" s="108">
        <v>1</v>
      </c>
      <c r="H79" s="38" t="s">
        <v>4361</v>
      </c>
      <c r="I79" s="106"/>
      <c r="J79" s="128"/>
      <c r="K79" s="132" t="s">
        <v>4364</v>
      </c>
      <c r="L79" s="132"/>
      <c r="M79" s="132"/>
      <c r="N79" s="132"/>
      <c r="O79" s="132"/>
      <c r="P79" s="123">
        <v>350</v>
      </c>
      <c r="Q79" s="123">
        <v>75</v>
      </c>
      <c r="R79" s="130"/>
      <c r="S79" s="139"/>
      <c r="T79" s="124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17"/>
      <c r="AH79" s="24"/>
      <c r="AI79" s="25"/>
      <c r="AJ79" s="25"/>
    </row>
    <row r="80" spans="1:36" x14ac:dyDescent="0.3">
      <c r="A80" s="63">
        <v>74</v>
      </c>
      <c r="B80" s="102" t="s">
        <v>3520</v>
      </c>
      <c r="C80" s="102" t="s">
        <v>3521</v>
      </c>
      <c r="D80" s="64" t="s">
        <v>119</v>
      </c>
      <c r="E80" s="24" t="s">
        <v>4293</v>
      </c>
      <c r="F80" s="38" t="s">
        <v>4360</v>
      </c>
      <c r="G80" s="108">
        <v>1</v>
      </c>
      <c r="H80" s="38" t="s">
        <v>4361</v>
      </c>
      <c r="I80" s="106"/>
      <c r="J80" s="128"/>
      <c r="K80" s="132" t="s">
        <v>4365</v>
      </c>
      <c r="L80" s="132"/>
      <c r="M80" s="132"/>
      <c r="N80" s="132"/>
      <c r="O80" s="132"/>
      <c r="P80" s="123">
        <v>478</v>
      </c>
      <c r="Q80" s="123">
        <v>74</v>
      </c>
      <c r="R80" s="130"/>
      <c r="S80" s="139"/>
      <c r="T80" s="124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17"/>
      <c r="AH80" s="24"/>
      <c r="AI80" s="25"/>
      <c r="AJ80" s="25"/>
    </row>
    <row r="81" spans="1:36" x14ac:dyDescent="0.3">
      <c r="A81" s="63">
        <v>75</v>
      </c>
      <c r="B81" s="102" t="s">
        <v>3520</v>
      </c>
      <c r="C81" s="102" t="s">
        <v>3521</v>
      </c>
      <c r="D81" s="64" t="s">
        <v>119</v>
      </c>
      <c r="E81" s="24" t="s">
        <v>4293</v>
      </c>
      <c r="F81" s="38" t="s">
        <v>4360</v>
      </c>
      <c r="G81" s="108">
        <v>1</v>
      </c>
      <c r="H81" s="38" t="s">
        <v>4361</v>
      </c>
      <c r="I81" s="106"/>
      <c r="J81" s="128"/>
      <c r="K81" s="132" t="s">
        <v>4366</v>
      </c>
      <c r="L81" s="132"/>
      <c r="M81" s="132"/>
      <c r="N81" s="132"/>
      <c r="O81" s="132"/>
      <c r="P81" s="123">
        <v>423</v>
      </c>
      <c r="Q81" s="123">
        <v>90</v>
      </c>
      <c r="R81" s="130"/>
      <c r="S81" s="135"/>
      <c r="T81" s="123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17"/>
      <c r="AH81" s="24"/>
      <c r="AI81" s="25"/>
      <c r="AJ81" s="25"/>
    </row>
    <row r="82" spans="1:36" x14ac:dyDescent="0.3">
      <c r="A82" s="63">
        <v>76</v>
      </c>
      <c r="B82" s="102" t="s">
        <v>3520</v>
      </c>
      <c r="C82" s="102" t="s">
        <v>3521</v>
      </c>
      <c r="D82" s="64" t="s">
        <v>119</v>
      </c>
      <c r="E82" s="24" t="s">
        <v>4293</v>
      </c>
      <c r="F82" s="38" t="s">
        <v>4360</v>
      </c>
      <c r="G82" s="108">
        <v>1</v>
      </c>
      <c r="H82" s="38" t="s">
        <v>4361</v>
      </c>
      <c r="I82" s="106"/>
      <c r="J82" s="128"/>
      <c r="K82" s="132" t="s">
        <v>4367</v>
      </c>
      <c r="L82" s="132"/>
      <c r="M82" s="132"/>
      <c r="N82" s="132"/>
      <c r="O82" s="132"/>
      <c r="P82" s="123">
        <v>150</v>
      </c>
      <c r="Q82" s="123">
        <v>40</v>
      </c>
      <c r="R82" s="130"/>
      <c r="S82" s="139"/>
      <c r="T82" s="124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17"/>
      <c r="AH82" s="24"/>
      <c r="AI82" s="25"/>
      <c r="AJ82" s="25"/>
    </row>
    <row r="83" spans="1:36" x14ac:dyDescent="0.3">
      <c r="A83" s="63">
        <v>77</v>
      </c>
      <c r="B83" s="102" t="s">
        <v>3520</v>
      </c>
      <c r="C83" s="102" t="s">
        <v>3521</v>
      </c>
      <c r="D83" s="64" t="s">
        <v>119</v>
      </c>
      <c r="E83" s="24" t="s">
        <v>4293</v>
      </c>
      <c r="F83" s="38" t="s">
        <v>4360</v>
      </c>
      <c r="G83" s="108">
        <v>1</v>
      </c>
      <c r="H83" s="38" t="s">
        <v>4361</v>
      </c>
      <c r="I83" s="106"/>
      <c r="J83" s="128"/>
      <c r="K83" s="132" t="s">
        <v>4368</v>
      </c>
      <c r="L83" s="132"/>
      <c r="M83" s="132"/>
      <c r="N83" s="132"/>
      <c r="O83" s="132"/>
      <c r="P83" s="123">
        <v>365</v>
      </c>
      <c r="Q83" s="123">
        <v>60</v>
      </c>
      <c r="R83" s="130"/>
      <c r="S83" s="139"/>
      <c r="T83" s="124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17"/>
      <c r="AH83" s="24"/>
      <c r="AI83" s="25"/>
      <c r="AJ83" s="25"/>
    </row>
    <row r="84" spans="1:36" x14ac:dyDescent="0.3">
      <c r="A84" s="63">
        <v>78</v>
      </c>
      <c r="B84" s="102" t="s">
        <v>3520</v>
      </c>
      <c r="C84" s="102" t="s">
        <v>3521</v>
      </c>
      <c r="D84" s="64" t="s">
        <v>119</v>
      </c>
      <c r="E84" s="24" t="s">
        <v>4293</v>
      </c>
      <c r="F84" s="38" t="s">
        <v>4360</v>
      </c>
      <c r="G84" s="108">
        <v>1</v>
      </c>
      <c r="H84" s="38" t="s">
        <v>4361</v>
      </c>
      <c r="I84" s="106"/>
      <c r="J84" s="128"/>
      <c r="K84" s="132" t="s">
        <v>4369</v>
      </c>
      <c r="L84" s="132"/>
      <c r="M84" s="132"/>
      <c r="N84" s="132"/>
      <c r="O84" s="132"/>
      <c r="P84" s="123">
        <v>536</v>
      </c>
      <c r="Q84" s="123">
        <v>95</v>
      </c>
      <c r="R84" s="130"/>
      <c r="S84" s="135"/>
      <c r="T84" s="123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17"/>
      <c r="AH84" s="24"/>
      <c r="AI84" s="25"/>
      <c r="AJ84" s="25"/>
    </row>
    <row r="85" spans="1:36" x14ac:dyDescent="0.3">
      <c r="A85" s="63">
        <v>79</v>
      </c>
      <c r="B85" s="102" t="s">
        <v>3520</v>
      </c>
      <c r="C85" s="102" t="s">
        <v>3521</v>
      </c>
      <c r="D85" s="64" t="s">
        <v>119</v>
      </c>
      <c r="E85" s="24" t="s">
        <v>4293</v>
      </c>
      <c r="F85" s="38" t="s">
        <v>4360</v>
      </c>
      <c r="G85" s="108">
        <v>1</v>
      </c>
      <c r="H85" s="38" t="s">
        <v>4361</v>
      </c>
      <c r="I85" s="106"/>
      <c r="J85" s="128"/>
      <c r="K85" s="132" t="s">
        <v>4370</v>
      </c>
      <c r="L85" s="132"/>
      <c r="M85" s="132"/>
      <c r="N85" s="132"/>
      <c r="O85" s="132"/>
      <c r="P85" s="123">
        <v>1855</v>
      </c>
      <c r="Q85" s="123">
        <v>350</v>
      </c>
      <c r="R85" s="130"/>
      <c r="S85" s="135">
        <v>3</v>
      </c>
      <c r="T85" s="123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17"/>
      <c r="AH85" s="24"/>
      <c r="AI85" s="25"/>
      <c r="AJ85" s="25"/>
    </row>
    <row r="86" spans="1:36" x14ac:dyDescent="0.3">
      <c r="A86" s="63">
        <v>80</v>
      </c>
      <c r="B86" s="102" t="s">
        <v>3520</v>
      </c>
      <c r="C86" s="102" t="s">
        <v>3521</v>
      </c>
      <c r="D86" s="64" t="s">
        <v>119</v>
      </c>
      <c r="E86" s="24" t="s">
        <v>4293</v>
      </c>
      <c r="F86" s="38" t="s">
        <v>4360</v>
      </c>
      <c r="G86" s="108">
        <v>2</v>
      </c>
      <c r="H86" s="38" t="s">
        <v>4361</v>
      </c>
      <c r="I86" s="106"/>
      <c r="J86" s="128"/>
      <c r="K86" s="132" t="s">
        <v>4371</v>
      </c>
      <c r="L86" s="132"/>
      <c r="M86" s="132"/>
      <c r="N86" s="132"/>
      <c r="O86" s="132"/>
      <c r="P86" s="123">
        <v>157</v>
      </c>
      <c r="Q86" s="123">
        <v>28</v>
      </c>
      <c r="R86" s="130"/>
      <c r="S86" s="135"/>
      <c r="T86" s="123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17"/>
      <c r="AH86" s="24"/>
      <c r="AI86" s="25"/>
      <c r="AJ86" s="25"/>
    </row>
    <row r="87" spans="1:36" x14ac:dyDescent="0.3">
      <c r="A87" s="63">
        <v>81</v>
      </c>
      <c r="B87" s="102" t="s">
        <v>3520</v>
      </c>
      <c r="C87" s="102" t="s">
        <v>3521</v>
      </c>
      <c r="D87" s="64" t="s">
        <v>119</v>
      </c>
      <c r="E87" s="24" t="s">
        <v>4293</v>
      </c>
      <c r="F87" s="38" t="s">
        <v>4360</v>
      </c>
      <c r="G87" s="108">
        <v>2</v>
      </c>
      <c r="H87" s="38" t="s">
        <v>4361</v>
      </c>
      <c r="I87" s="106"/>
      <c r="J87" s="128"/>
      <c r="K87" s="132" t="s">
        <v>4371</v>
      </c>
      <c r="L87" s="132"/>
      <c r="M87" s="132"/>
      <c r="N87" s="132"/>
      <c r="O87" s="132"/>
      <c r="P87" s="123">
        <v>208</v>
      </c>
      <c r="Q87" s="123">
        <v>35</v>
      </c>
      <c r="R87" s="130"/>
      <c r="S87" s="135"/>
      <c r="T87" s="123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17"/>
      <c r="AH87" s="24"/>
      <c r="AI87" s="25"/>
      <c r="AJ87" s="25"/>
    </row>
    <row r="88" spans="1:36" x14ac:dyDescent="0.3">
      <c r="A88" s="63">
        <v>82</v>
      </c>
      <c r="B88" s="102" t="s">
        <v>3520</v>
      </c>
      <c r="C88" s="102" t="s">
        <v>3521</v>
      </c>
      <c r="D88" s="64" t="s">
        <v>119</v>
      </c>
      <c r="E88" s="24" t="s">
        <v>4293</v>
      </c>
      <c r="F88" s="38" t="s">
        <v>4360</v>
      </c>
      <c r="G88" s="108">
        <v>2</v>
      </c>
      <c r="H88" s="38" t="s">
        <v>4361</v>
      </c>
      <c r="I88" s="106"/>
      <c r="J88" s="128"/>
      <c r="K88" s="132" t="s">
        <v>62</v>
      </c>
      <c r="L88" s="132"/>
      <c r="M88" s="132"/>
      <c r="N88" s="132"/>
      <c r="O88" s="132"/>
      <c r="P88" s="123">
        <v>734</v>
      </c>
      <c r="Q88" s="123">
        <v>153</v>
      </c>
      <c r="R88" s="130"/>
      <c r="S88" s="139"/>
      <c r="T88" s="124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16"/>
      <c r="AH88" s="24"/>
      <c r="AI88" s="25"/>
      <c r="AJ88" s="25"/>
    </row>
    <row r="89" spans="1:36" x14ac:dyDescent="0.3">
      <c r="A89" s="63">
        <v>83</v>
      </c>
      <c r="B89" s="102" t="s">
        <v>3520</v>
      </c>
      <c r="C89" s="102" t="s">
        <v>3521</v>
      </c>
      <c r="D89" s="64" t="s">
        <v>119</v>
      </c>
      <c r="E89" s="24" t="s">
        <v>4293</v>
      </c>
      <c r="F89" s="38" t="s">
        <v>4360</v>
      </c>
      <c r="G89" s="108">
        <v>2</v>
      </c>
      <c r="H89" s="38" t="s">
        <v>4361</v>
      </c>
      <c r="I89" s="106"/>
      <c r="J89" s="128"/>
      <c r="K89" s="132" t="s">
        <v>4372</v>
      </c>
      <c r="L89" s="132"/>
      <c r="M89" s="132"/>
      <c r="N89" s="132"/>
      <c r="O89" s="132"/>
      <c r="P89" s="123">
        <v>275</v>
      </c>
      <c r="Q89" s="123">
        <v>54</v>
      </c>
      <c r="R89" s="130"/>
      <c r="S89" s="139"/>
      <c r="T89" s="124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17"/>
      <c r="AH89" s="24"/>
      <c r="AI89" s="25"/>
      <c r="AJ89" s="25"/>
    </row>
    <row r="90" spans="1:36" x14ac:dyDescent="0.3">
      <c r="A90" s="63">
        <v>84</v>
      </c>
      <c r="B90" s="102" t="s">
        <v>3520</v>
      </c>
      <c r="C90" s="102" t="s">
        <v>3521</v>
      </c>
      <c r="D90" s="64" t="s">
        <v>119</v>
      </c>
      <c r="E90" s="24" t="s">
        <v>4293</v>
      </c>
      <c r="F90" s="38" t="s">
        <v>4360</v>
      </c>
      <c r="G90" s="108">
        <v>2</v>
      </c>
      <c r="H90" s="38" t="s">
        <v>4361</v>
      </c>
      <c r="I90" s="106"/>
      <c r="J90" s="128"/>
      <c r="K90" s="132" t="s">
        <v>4373</v>
      </c>
      <c r="L90" s="132"/>
      <c r="M90" s="132"/>
      <c r="N90" s="132"/>
      <c r="O90" s="132"/>
      <c r="P90" s="123">
        <v>901</v>
      </c>
      <c r="Q90" s="123">
        <v>184</v>
      </c>
      <c r="R90" s="130"/>
      <c r="S90" s="135"/>
      <c r="T90" s="123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17"/>
      <c r="AH90" s="24"/>
      <c r="AI90" s="25"/>
      <c r="AJ90" s="25"/>
    </row>
    <row r="91" spans="1:36" x14ac:dyDescent="0.3">
      <c r="A91" s="63">
        <v>85</v>
      </c>
      <c r="B91" s="102" t="s">
        <v>3520</v>
      </c>
      <c r="C91" s="102" t="s">
        <v>3521</v>
      </c>
      <c r="D91" s="64" t="s">
        <v>119</v>
      </c>
      <c r="E91" s="24" t="s">
        <v>4293</v>
      </c>
      <c r="F91" s="38" t="s">
        <v>4360</v>
      </c>
      <c r="G91" s="108">
        <v>2</v>
      </c>
      <c r="H91" s="38" t="s">
        <v>4361</v>
      </c>
      <c r="I91" s="106"/>
      <c r="J91" s="128"/>
      <c r="K91" s="132" t="s">
        <v>4374</v>
      </c>
      <c r="L91" s="132"/>
      <c r="M91" s="132"/>
      <c r="N91" s="132"/>
      <c r="O91" s="132"/>
      <c r="P91" s="123">
        <v>302</v>
      </c>
      <c r="Q91" s="123">
        <v>53</v>
      </c>
      <c r="R91" s="130"/>
      <c r="S91" s="135"/>
      <c r="T91" s="123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17"/>
      <c r="AH91" s="24"/>
      <c r="AI91" s="25"/>
      <c r="AJ91" s="25"/>
    </row>
    <row r="92" spans="1:36" x14ac:dyDescent="0.3">
      <c r="A92" s="63">
        <v>86</v>
      </c>
      <c r="B92" s="102" t="s">
        <v>3520</v>
      </c>
      <c r="C92" s="102" t="s">
        <v>3521</v>
      </c>
      <c r="D92" s="64" t="s">
        <v>119</v>
      </c>
      <c r="E92" s="24" t="s">
        <v>4293</v>
      </c>
      <c r="F92" s="38" t="s">
        <v>4360</v>
      </c>
      <c r="G92" s="120">
        <v>2</v>
      </c>
      <c r="H92" s="38" t="s">
        <v>4361</v>
      </c>
      <c r="I92" s="106"/>
      <c r="J92" s="128"/>
      <c r="K92" s="132" t="s">
        <v>4375</v>
      </c>
      <c r="L92" s="132"/>
      <c r="M92" s="132"/>
      <c r="N92" s="132"/>
      <c r="O92" s="132"/>
      <c r="P92" s="123">
        <v>248</v>
      </c>
      <c r="Q92" s="123">
        <v>46</v>
      </c>
      <c r="R92" s="130"/>
      <c r="S92" s="135"/>
      <c r="T92" s="123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17"/>
      <c r="AH92" s="24"/>
      <c r="AI92" s="25"/>
      <c r="AJ92" s="25"/>
    </row>
    <row r="93" spans="1:36" x14ac:dyDescent="0.3">
      <c r="A93" s="63">
        <v>87</v>
      </c>
      <c r="B93" s="102" t="s">
        <v>3520</v>
      </c>
      <c r="C93" s="102" t="s">
        <v>3521</v>
      </c>
      <c r="D93" s="64" t="s">
        <v>119</v>
      </c>
      <c r="E93" s="24" t="s">
        <v>4293</v>
      </c>
      <c r="F93" s="38" t="s">
        <v>4360</v>
      </c>
      <c r="G93" s="140">
        <v>2</v>
      </c>
      <c r="H93" s="38" t="s">
        <v>4361</v>
      </c>
      <c r="I93" s="106"/>
      <c r="J93" s="128"/>
      <c r="K93" s="132" t="s">
        <v>4376</v>
      </c>
      <c r="L93" s="132"/>
      <c r="M93" s="132"/>
      <c r="N93" s="132"/>
      <c r="O93" s="132"/>
      <c r="P93" s="123">
        <v>1462</v>
      </c>
      <c r="Q93" s="123">
        <v>276</v>
      </c>
      <c r="R93" s="130"/>
      <c r="S93" s="135"/>
      <c r="T93" s="123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17"/>
      <c r="AH93" s="24"/>
      <c r="AI93" s="25"/>
      <c r="AJ93" s="25"/>
    </row>
    <row r="94" spans="1:36" x14ac:dyDescent="0.3">
      <c r="A94" s="63">
        <v>88</v>
      </c>
      <c r="B94" s="102" t="s">
        <v>3520</v>
      </c>
      <c r="C94" s="102" t="s">
        <v>3521</v>
      </c>
      <c r="D94" s="64" t="s">
        <v>119</v>
      </c>
      <c r="E94" s="24" t="s">
        <v>4293</v>
      </c>
      <c r="F94" s="38" t="s">
        <v>4360</v>
      </c>
      <c r="G94" s="108">
        <v>2</v>
      </c>
      <c r="H94" s="38" t="s">
        <v>4361</v>
      </c>
      <c r="I94" s="106"/>
      <c r="J94" s="128"/>
      <c r="K94" s="132" t="s">
        <v>4377</v>
      </c>
      <c r="L94" s="132"/>
      <c r="M94" s="132"/>
      <c r="N94" s="132"/>
      <c r="O94" s="132"/>
      <c r="P94" s="123">
        <v>150</v>
      </c>
      <c r="Q94" s="123">
        <v>32</v>
      </c>
      <c r="R94" s="130"/>
      <c r="S94" s="135"/>
      <c r="T94" s="123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17"/>
      <c r="AH94" s="24"/>
      <c r="AI94" s="25"/>
      <c r="AJ94" s="25"/>
    </row>
    <row r="95" spans="1:36" x14ac:dyDescent="0.3">
      <c r="A95" s="63">
        <v>89</v>
      </c>
      <c r="B95" s="102" t="s">
        <v>3520</v>
      </c>
      <c r="C95" s="102" t="s">
        <v>3521</v>
      </c>
      <c r="D95" s="64" t="s">
        <v>119</v>
      </c>
      <c r="E95" s="24" t="s">
        <v>4293</v>
      </c>
      <c r="F95" s="38" t="s">
        <v>4360</v>
      </c>
      <c r="G95" s="140">
        <v>2</v>
      </c>
      <c r="H95" s="38" t="s">
        <v>4361</v>
      </c>
      <c r="I95" s="106"/>
      <c r="J95" s="128"/>
      <c r="K95" s="132" t="s">
        <v>4378</v>
      </c>
      <c r="L95" s="132"/>
      <c r="M95" s="132"/>
      <c r="N95" s="132"/>
      <c r="O95" s="132"/>
      <c r="P95" s="123">
        <v>357</v>
      </c>
      <c r="Q95" s="123">
        <v>60</v>
      </c>
      <c r="R95" s="130"/>
      <c r="S95" s="139"/>
      <c r="T95" s="124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17"/>
      <c r="AH95" s="24"/>
      <c r="AI95" s="25"/>
      <c r="AJ95" s="25"/>
    </row>
    <row r="96" spans="1:36" x14ac:dyDescent="0.3">
      <c r="A96" s="63">
        <v>90</v>
      </c>
      <c r="B96" s="102" t="s">
        <v>3520</v>
      </c>
      <c r="C96" s="102" t="s">
        <v>3521</v>
      </c>
      <c r="D96" s="64" t="s">
        <v>119</v>
      </c>
      <c r="E96" s="24" t="s">
        <v>4293</v>
      </c>
      <c r="F96" s="38" t="s">
        <v>4360</v>
      </c>
      <c r="G96" s="120">
        <v>2</v>
      </c>
      <c r="H96" s="38" t="s">
        <v>4361</v>
      </c>
      <c r="I96" s="106"/>
      <c r="J96" s="128"/>
      <c r="K96" s="132" t="s">
        <v>4379</v>
      </c>
      <c r="L96" s="132"/>
      <c r="M96" s="132"/>
      <c r="N96" s="132"/>
      <c r="O96" s="132"/>
      <c r="P96" s="123">
        <v>815</v>
      </c>
      <c r="Q96" s="123">
        <v>145</v>
      </c>
      <c r="R96" s="130"/>
      <c r="S96" s="139"/>
      <c r="T96" s="124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17"/>
      <c r="AH96" s="24"/>
      <c r="AI96" s="25"/>
      <c r="AJ96" s="25"/>
    </row>
    <row r="97" spans="1:36" x14ac:dyDescent="0.3">
      <c r="A97" s="63">
        <v>91</v>
      </c>
      <c r="B97" s="102" t="s">
        <v>3520</v>
      </c>
      <c r="C97" s="102" t="s">
        <v>3521</v>
      </c>
      <c r="D97" s="64" t="s">
        <v>119</v>
      </c>
      <c r="E97" s="24" t="s">
        <v>4293</v>
      </c>
      <c r="F97" s="38" t="s">
        <v>4360</v>
      </c>
      <c r="G97" s="140">
        <v>2</v>
      </c>
      <c r="H97" s="38" t="s">
        <v>4361</v>
      </c>
      <c r="I97" s="106"/>
      <c r="J97" s="128"/>
      <c r="K97" s="132" t="s">
        <v>4380</v>
      </c>
      <c r="L97" s="132"/>
      <c r="M97" s="132"/>
      <c r="N97" s="132"/>
      <c r="O97" s="132"/>
      <c r="P97" s="123">
        <v>449</v>
      </c>
      <c r="Q97" s="123">
        <v>80</v>
      </c>
      <c r="R97" s="130"/>
      <c r="S97" s="135"/>
      <c r="T97" s="123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17"/>
      <c r="AH97" s="24"/>
      <c r="AI97" s="25"/>
      <c r="AJ97" s="25"/>
    </row>
    <row r="98" spans="1:36" x14ac:dyDescent="0.3">
      <c r="A98" s="63">
        <v>92</v>
      </c>
      <c r="B98" s="102" t="s">
        <v>3520</v>
      </c>
      <c r="C98" s="102" t="s">
        <v>3521</v>
      </c>
      <c r="D98" s="64" t="s">
        <v>119</v>
      </c>
      <c r="E98" s="24" t="s">
        <v>4293</v>
      </c>
      <c r="F98" s="38" t="s">
        <v>4360</v>
      </c>
      <c r="G98" s="108">
        <v>2</v>
      </c>
      <c r="H98" s="38" t="s">
        <v>4361</v>
      </c>
      <c r="I98" s="106"/>
      <c r="J98" s="128"/>
      <c r="K98" s="132" t="s">
        <v>51</v>
      </c>
      <c r="L98" s="132"/>
      <c r="M98" s="132"/>
      <c r="N98" s="132"/>
      <c r="O98" s="132"/>
      <c r="P98" s="123">
        <v>455</v>
      </c>
      <c r="Q98" s="123">
        <v>75</v>
      </c>
      <c r="R98" s="130"/>
      <c r="S98" s="135"/>
      <c r="T98" s="123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17"/>
      <c r="AH98" s="24"/>
      <c r="AI98" s="25"/>
      <c r="AJ98" s="25"/>
    </row>
    <row r="99" spans="1:36" x14ac:dyDescent="0.3">
      <c r="A99" s="63">
        <v>93</v>
      </c>
      <c r="B99" s="102" t="s">
        <v>3520</v>
      </c>
      <c r="C99" s="102" t="s">
        <v>3521</v>
      </c>
      <c r="D99" s="64" t="s">
        <v>119</v>
      </c>
      <c r="E99" s="24" t="s">
        <v>4293</v>
      </c>
      <c r="F99" s="38" t="s">
        <v>4360</v>
      </c>
      <c r="G99" s="108">
        <v>2</v>
      </c>
      <c r="H99" s="38" t="s">
        <v>4361</v>
      </c>
      <c r="I99" s="106"/>
      <c r="J99" s="128"/>
      <c r="K99" s="132" t="s">
        <v>4381</v>
      </c>
      <c r="L99" s="132"/>
      <c r="M99" s="132"/>
      <c r="N99" s="132"/>
      <c r="O99" s="132"/>
      <c r="P99" s="123">
        <v>892</v>
      </c>
      <c r="Q99" s="123">
        <v>105</v>
      </c>
      <c r="R99" s="130"/>
      <c r="S99" s="139"/>
      <c r="T99" s="124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17"/>
      <c r="AH99" s="24"/>
      <c r="AI99" s="25"/>
      <c r="AJ99" s="25"/>
    </row>
    <row r="100" spans="1:36" x14ac:dyDescent="0.3">
      <c r="A100" s="63">
        <v>94</v>
      </c>
      <c r="B100" s="102" t="s">
        <v>3520</v>
      </c>
      <c r="C100" s="102" t="s">
        <v>3521</v>
      </c>
      <c r="D100" s="64" t="s">
        <v>119</v>
      </c>
      <c r="E100" s="24" t="s">
        <v>4293</v>
      </c>
      <c r="F100" s="38" t="s">
        <v>4360</v>
      </c>
      <c r="G100" s="108">
        <v>2</v>
      </c>
      <c r="H100" s="38" t="s">
        <v>4361</v>
      </c>
      <c r="I100" s="106"/>
      <c r="J100" s="128"/>
      <c r="K100" s="132" t="s">
        <v>4382</v>
      </c>
      <c r="L100" s="132"/>
      <c r="M100" s="132"/>
      <c r="N100" s="132"/>
      <c r="O100" s="132"/>
      <c r="P100" s="123">
        <v>257</v>
      </c>
      <c r="Q100" s="123">
        <v>45</v>
      </c>
      <c r="R100" s="130"/>
      <c r="S100" s="139"/>
      <c r="T100" s="124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17"/>
      <c r="AH100" s="24"/>
      <c r="AI100" s="25"/>
      <c r="AJ100" s="25"/>
    </row>
    <row r="101" spans="1:36" x14ac:dyDescent="0.3">
      <c r="A101" s="63">
        <v>95</v>
      </c>
      <c r="B101" s="102" t="s">
        <v>3520</v>
      </c>
      <c r="C101" s="102" t="s">
        <v>3521</v>
      </c>
      <c r="D101" s="64" t="s">
        <v>119</v>
      </c>
      <c r="E101" s="24" t="s">
        <v>4293</v>
      </c>
      <c r="F101" s="38" t="s">
        <v>4360</v>
      </c>
      <c r="G101" s="108">
        <v>3</v>
      </c>
      <c r="H101" s="38" t="s">
        <v>4361</v>
      </c>
      <c r="I101" s="106"/>
      <c r="J101" s="128"/>
      <c r="K101" s="132" t="s">
        <v>4383</v>
      </c>
      <c r="L101" s="132"/>
      <c r="M101" s="132"/>
      <c r="N101" s="132"/>
      <c r="O101" s="132"/>
      <c r="P101" s="123">
        <v>277</v>
      </c>
      <c r="Q101" s="123">
        <v>48</v>
      </c>
      <c r="R101" s="130"/>
      <c r="S101" s="139"/>
      <c r="T101" s="124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17"/>
      <c r="AH101" s="24"/>
      <c r="AI101" s="25"/>
      <c r="AJ101" s="25"/>
    </row>
    <row r="102" spans="1:36" x14ac:dyDescent="0.3">
      <c r="A102" s="63">
        <v>96</v>
      </c>
      <c r="B102" s="102" t="s">
        <v>3520</v>
      </c>
      <c r="C102" s="102" t="s">
        <v>3521</v>
      </c>
      <c r="D102" s="64" t="s">
        <v>119</v>
      </c>
      <c r="E102" s="24" t="s">
        <v>4293</v>
      </c>
      <c r="F102" s="38" t="s">
        <v>4360</v>
      </c>
      <c r="G102" s="108">
        <v>3</v>
      </c>
      <c r="H102" s="38" t="s">
        <v>4361</v>
      </c>
      <c r="I102" s="106"/>
      <c r="J102" s="128"/>
      <c r="K102" s="132" t="s">
        <v>4384</v>
      </c>
      <c r="L102" s="132"/>
      <c r="M102" s="132"/>
      <c r="N102" s="132"/>
      <c r="O102" s="132"/>
      <c r="P102" s="123">
        <v>1725</v>
      </c>
      <c r="Q102" s="123">
        <v>287</v>
      </c>
      <c r="R102" s="130"/>
      <c r="S102" s="135"/>
      <c r="T102" s="123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17"/>
      <c r="AH102" s="24"/>
      <c r="AI102" s="25"/>
      <c r="AJ102" s="25"/>
    </row>
    <row r="103" spans="1:36" x14ac:dyDescent="0.3">
      <c r="A103" s="63">
        <v>97</v>
      </c>
      <c r="B103" s="102" t="s">
        <v>3520</v>
      </c>
      <c r="C103" s="102" t="s">
        <v>3521</v>
      </c>
      <c r="D103" s="64" t="s">
        <v>119</v>
      </c>
      <c r="E103" s="24" t="s">
        <v>4293</v>
      </c>
      <c r="F103" s="38" t="s">
        <v>4360</v>
      </c>
      <c r="G103" s="108">
        <v>3</v>
      </c>
      <c r="H103" s="38" t="s">
        <v>4361</v>
      </c>
      <c r="I103" s="106"/>
      <c r="J103" s="128"/>
      <c r="K103" s="136" t="s">
        <v>4385</v>
      </c>
      <c r="L103" s="136"/>
      <c r="M103" s="136"/>
      <c r="N103" s="136"/>
      <c r="O103" s="136"/>
      <c r="P103" s="123">
        <v>912</v>
      </c>
      <c r="Q103" s="123">
        <v>190</v>
      </c>
      <c r="R103" s="130"/>
      <c r="S103" s="139"/>
      <c r="T103" s="124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17"/>
      <c r="AH103" s="24"/>
      <c r="AI103" s="25"/>
      <c r="AJ103" s="25"/>
    </row>
    <row r="104" spans="1:36" x14ac:dyDescent="0.3">
      <c r="A104" s="63">
        <v>98</v>
      </c>
      <c r="B104" s="102" t="s">
        <v>3520</v>
      </c>
      <c r="C104" s="102" t="s">
        <v>3521</v>
      </c>
      <c r="D104" s="64" t="s">
        <v>119</v>
      </c>
      <c r="E104" s="24" t="s">
        <v>4293</v>
      </c>
      <c r="F104" s="38" t="s">
        <v>4360</v>
      </c>
      <c r="G104" s="108">
        <v>3</v>
      </c>
      <c r="H104" s="38" t="s">
        <v>4361</v>
      </c>
      <c r="I104" s="106"/>
      <c r="J104" s="128"/>
      <c r="K104" s="132" t="s">
        <v>4386</v>
      </c>
      <c r="L104" s="132"/>
      <c r="M104" s="132"/>
      <c r="N104" s="132"/>
      <c r="O104" s="132"/>
      <c r="P104" s="123">
        <v>210</v>
      </c>
      <c r="Q104" s="123">
        <v>35</v>
      </c>
      <c r="R104" s="130"/>
      <c r="S104" s="135"/>
      <c r="T104" s="123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17"/>
      <c r="AH104" s="24"/>
      <c r="AI104" s="25"/>
      <c r="AJ104" s="25"/>
    </row>
    <row r="105" spans="1:36" x14ac:dyDescent="0.3">
      <c r="A105" s="63">
        <v>99</v>
      </c>
      <c r="B105" s="102" t="s">
        <v>3520</v>
      </c>
      <c r="C105" s="102" t="s">
        <v>3521</v>
      </c>
      <c r="D105" s="64" t="s">
        <v>119</v>
      </c>
      <c r="E105" s="24" t="s">
        <v>4293</v>
      </c>
      <c r="F105" s="38" t="s">
        <v>4360</v>
      </c>
      <c r="G105" s="108">
        <v>3</v>
      </c>
      <c r="H105" s="38" t="s">
        <v>4361</v>
      </c>
      <c r="I105" s="106"/>
      <c r="J105" s="128"/>
      <c r="K105" s="132" t="s">
        <v>4387</v>
      </c>
      <c r="L105" s="132"/>
      <c r="M105" s="132"/>
      <c r="N105" s="132"/>
      <c r="O105" s="132"/>
      <c r="P105" s="123">
        <v>263</v>
      </c>
      <c r="Q105" s="123">
        <v>54</v>
      </c>
      <c r="R105" s="130"/>
      <c r="S105" s="135"/>
      <c r="T105" s="123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17"/>
      <c r="AH105" s="24"/>
      <c r="AI105" s="25"/>
      <c r="AJ105" s="25"/>
    </row>
    <row r="106" spans="1:36" x14ac:dyDescent="0.3">
      <c r="A106" s="63">
        <v>100</v>
      </c>
      <c r="B106" s="102" t="s">
        <v>3520</v>
      </c>
      <c r="C106" s="102" t="s">
        <v>3521</v>
      </c>
      <c r="D106" s="64" t="s">
        <v>119</v>
      </c>
      <c r="E106" s="24" t="s">
        <v>4293</v>
      </c>
      <c r="F106" s="38" t="s">
        <v>4360</v>
      </c>
      <c r="G106" s="108">
        <v>3</v>
      </c>
      <c r="H106" s="38" t="s">
        <v>4361</v>
      </c>
      <c r="I106" s="106"/>
      <c r="J106" s="128"/>
      <c r="K106" s="132" t="s">
        <v>4388</v>
      </c>
      <c r="L106" s="132"/>
      <c r="M106" s="132"/>
      <c r="N106" s="132"/>
      <c r="O106" s="132"/>
      <c r="P106" s="123">
        <v>439</v>
      </c>
      <c r="Q106" s="123">
        <v>83</v>
      </c>
      <c r="R106" s="130"/>
      <c r="S106" s="139"/>
      <c r="T106" s="124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17"/>
      <c r="AH106" s="24"/>
      <c r="AI106" s="25"/>
      <c r="AJ106" s="25"/>
    </row>
    <row r="107" spans="1:36" x14ac:dyDescent="0.3">
      <c r="A107" s="63">
        <v>101</v>
      </c>
      <c r="B107" s="102" t="s">
        <v>3520</v>
      </c>
      <c r="C107" s="102" t="s">
        <v>3521</v>
      </c>
      <c r="D107" s="64" t="s">
        <v>119</v>
      </c>
      <c r="E107" s="24" t="s">
        <v>4293</v>
      </c>
      <c r="F107" s="38" t="s">
        <v>4360</v>
      </c>
      <c r="G107" s="108">
        <v>3</v>
      </c>
      <c r="H107" s="38" t="s">
        <v>4361</v>
      </c>
      <c r="I107" s="106"/>
      <c r="J107" s="128"/>
      <c r="K107" s="132" t="s">
        <v>4389</v>
      </c>
      <c r="L107" s="132"/>
      <c r="M107" s="132"/>
      <c r="N107" s="132"/>
      <c r="O107" s="132"/>
      <c r="P107" s="123">
        <v>477</v>
      </c>
      <c r="Q107" s="123">
        <v>90</v>
      </c>
      <c r="R107" s="130"/>
      <c r="S107" s="135"/>
      <c r="T107" s="123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17"/>
      <c r="AH107" s="24"/>
      <c r="AI107" s="25"/>
      <c r="AJ107" s="25"/>
    </row>
    <row r="108" spans="1:36" x14ac:dyDescent="0.3">
      <c r="A108" s="63">
        <v>102</v>
      </c>
      <c r="B108" s="102" t="s">
        <v>3520</v>
      </c>
      <c r="C108" s="102" t="s">
        <v>3521</v>
      </c>
      <c r="D108" s="64" t="s">
        <v>119</v>
      </c>
      <c r="E108" s="24" t="s">
        <v>4293</v>
      </c>
      <c r="F108" s="38" t="s">
        <v>4360</v>
      </c>
      <c r="G108" s="108">
        <v>4</v>
      </c>
      <c r="H108" s="38" t="s">
        <v>4390</v>
      </c>
      <c r="I108" s="106"/>
      <c r="J108" s="128"/>
      <c r="K108" s="132" t="s">
        <v>4391</v>
      </c>
      <c r="L108" s="132"/>
      <c r="M108" s="132"/>
      <c r="N108" s="132"/>
      <c r="O108" s="132"/>
      <c r="P108" s="123">
        <v>1340</v>
      </c>
      <c r="Q108" s="123">
        <v>253</v>
      </c>
      <c r="R108" s="130"/>
      <c r="S108" s="139"/>
      <c r="T108" s="124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17"/>
      <c r="AH108" s="24"/>
      <c r="AI108" s="25"/>
      <c r="AJ108" s="25"/>
    </row>
    <row r="109" spans="1:36" x14ac:dyDescent="0.3">
      <c r="A109" s="63">
        <v>103</v>
      </c>
      <c r="B109" s="102" t="s">
        <v>3520</v>
      </c>
      <c r="C109" s="102" t="s">
        <v>3521</v>
      </c>
      <c r="D109" s="64" t="s">
        <v>119</v>
      </c>
      <c r="E109" s="24" t="s">
        <v>4293</v>
      </c>
      <c r="F109" s="38" t="s">
        <v>4360</v>
      </c>
      <c r="G109" s="108">
        <v>4</v>
      </c>
      <c r="H109" s="38" t="s">
        <v>4390</v>
      </c>
      <c r="I109" s="106"/>
      <c r="J109" s="128"/>
      <c r="K109" s="132" t="s">
        <v>4392</v>
      </c>
      <c r="L109" s="132"/>
      <c r="M109" s="132"/>
      <c r="N109" s="132"/>
      <c r="O109" s="132"/>
      <c r="P109" s="123">
        <v>477</v>
      </c>
      <c r="Q109" s="123">
        <v>90</v>
      </c>
      <c r="R109" s="130"/>
      <c r="S109" s="139"/>
      <c r="T109" s="124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17"/>
      <c r="AH109" s="24"/>
      <c r="AI109" s="25"/>
      <c r="AJ109" s="25"/>
    </row>
    <row r="110" spans="1:36" x14ac:dyDescent="0.3">
      <c r="A110" s="63">
        <v>104</v>
      </c>
      <c r="B110" s="102" t="s">
        <v>3520</v>
      </c>
      <c r="C110" s="102" t="s">
        <v>3521</v>
      </c>
      <c r="D110" s="64" t="s">
        <v>119</v>
      </c>
      <c r="E110" s="24" t="s">
        <v>4293</v>
      </c>
      <c r="F110" s="38" t="s">
        <v>4360</v>
      </c>
      <c r="G110" s="108">
        <v>4</v>
      </c>
      <c r="H110" s="38" t="s">
        <v>4390</v>
      </c>
      <c r="I110" s="106"/>
      <c r="J110" s="128"/>
      <c r="K110" s="136" t="s">
        <v>116</v>
      </c>
      <c r="L110" s="136"/>
      <c r="M110" s="136"/>
      <c r="N110" s="136"/>
      <c r="O110" s="136"/>
      <c r="P110" s="123">
        <v>512</v>
      </c>
      <c r="Q110" s="123">
        <v>145</v>
      </c>
      <c r="R110" s="130"/>
      <c r="S110" s="139"/>
      <c r="T110" s="124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17"/>
      <c r="AH110" s="24"/>
      <c r="AI110" s="25"/>
      <c r="AJ110" s="25"/>
    </row>
    <row r="111" spans="1:36" x14ac:dyDescent="0.3">
      <c r="A111" s="63">
        <v>105</v>
      </c>
      <c r="B111" s="102" t="s">
        <v>3520</v>
      </c>
      <c r="C111" s="102" t="s">
        <v>3521</v>
      </c>
      <c r="D111" s="64" t="s">
        <v>119</v>
      </c>
      <c r="E111" s="24" t="s">
        <v>4293</v>
      </c>
      <c r="F111" s="38" t="s">
        <v>4360</v>
      </c>
      <c r="G111" s="108">
        <v>4</v>
      </c>
      <c r="H111" s="38" t="s">
        <v>4390</v>
      </c>
      <c r="I111" s="106"/>
      <c r="J111" s="128"/>
      <c r="K111" s="132" t="s">
        <v>50</v>
      </c>
      <c r="L111" s="132"/>
      <c r="M111" s="132"/>
      <c r="N111" s="132"/>
      <c r="O111" s="132"/>
      <c r="P111" s="123">
        <v>238</v>
      </c>
      <c r="Q111" s="123">
        <v>67</v>
      </c>
      <c r="R111" s="130"/>
      <c r="S111" s="135"/>
      <c r="T111" s="112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17"/>
      <c r="AH111" s="24"/>
      <c r="AI111" s="25"/>
      <c r="AJ111" s="25"/>
    </row>
    <row r="112" spans="1:36" x14ac:dyDescent="0.3">
      <c r="A112" s="63">
        <v>106</v>
      </c>
      <c r="B112" s="102" t="s">
        <v>3520</v>
      </c>
      <c r="C112" s="102" t="s">
        <v>3521</v>
      </c>
      <c r="D112" s="64" t="s">
        <v>119</v>
      </c>
      <c r="E112" s="24" t="s">
        <v>4293</v>
      </c>
      <c r="F112" s="38" t="s">
        <v>4360</v>
      </c>
      <c r="G112" s="108">
        <v>4</v>
      </c>
      <c r="H112" s="38" t="s">
        <v>4390</v>
      </c>
      <c r="I112" s="106"/>
      <c r="J112" s="128"/>
      <c r="K112" s="132" t="s">
        <v>233</v>
      </c>
      <c r="L112" s="132"/>
      <c r="M112" s="132"/>
      <c r="N112" s="132"/>
      <c r="O112" s="132"/>
      <c r="P112" s="123">
        <v>193</v>
      </c>
      <c r="Q112" s="123">
        <v>48</v>
      </c>
      <c r="R112" s="130"/>
      <c r="S112" s="135"/>
      <c r="T112" s="123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17"/>
      <c r="AH112" s="24"/>
      <c r="AI112" s="25"/>
      <c r="AJ112" s="25"/>
    </row>
    <row r="113" spans="1:36" x14ac:dyDescent="0.3">
      <c r="A113" s="63">
        <v>107</v>
      </c>
      <c r="B113" s="102" t="s">
        <v>3520</v>
      </c>
      <c r="C113" s="102" t="s">
        <v>3521</v>
      </c>
      <c r="D113" s="64" t="s">
        <v>119</v>
      </c>
      <c r="E113" s="24" t="s">
        <v>4293</v>
      </c>
      <c r="F113" s="38" t="s">
        <v>4360</v>
      </c>
      <c r="G113" s="108">
        <v>4</v>
      </c>
      <c r="H113" s="38" t="s">
        <v>4390</v>
      </c>
      <c r="I113" s="106"/>
      <c r="J113" s="128"/>
      <c r="K113" s="132" t="s">
        <v>4393</v>
      </c>
      <c r="L113" s="132"/>
      <c r="M113" s="132"/>
      <c r="N113" s="132"/>
      <c r="O113" s="132"/>
      <c r="P113" s="123">
        <v>1568</v>
      </c>
      <c r="Q113" s="123">
        <v>275</v>
      </c>
      <c r="R113" s="130"/>
      <c r="S113" s="135"/>
      <c r="T113" s="112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17"/>
      <c r="AH113" s="24"/>
      <c r="AI113" s="25"/>
      <c r="AJ113" s="25"/>
    </row>
    <row r="114" spans="1:36" x14ac:dyDescent="0.3">
      <c r="A114" s="63">
        <v>108</v>
      </c>
      <c r="B114" s="102" t="s">
        <v>3520</v>
      </c>
      <c r="C114" s="102" t="s">
        <v>3521</v>
      </c>
      <c r="D114" s="64" t="s">
        <v>119</v>
      </c>
      <c r="E114" s="24" t="s">
        <v>4293</v>
      </c>
      <c r="F114" s="38" t="s">
        <v>4360</v>
      </c>
      <c r="G114" s="108">
        <v>4</v>
      </c>
      <c r="H114" s="38" t="s">
        <v>4390</v>
      </c>
      <c r="I114" s="106"/>
      <c r="J114" s="128"/>
      <c r="K114" s="132" t="s">
        <v>4394</v>
      </c>
      <c r="L114" s="132"/>
      <c r="M114" s="132"/>
      <c r="N114" s="132"/>
      <c r="O114" s="132"/>
      <c r="P114" s="123">
        <v>722</v>
      </c>
      <c r="Q114" s="123">
        <v>125</v>
      </c>
      <c r="R114" s="130"/>
      <c r="S114" s="139"/>
      <c r="T114" s="124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17"/>
      <c r="AH114" s="24"/>
      <c r="AI114" s="25"/>
      <c r="AJ114" s="25"/>
    </row>
    <row r="115" spans="1:36" x14ac:dyDescent="0.3">
      <c r="A115" s="63">
        <v>109</v>
      </c>
      <c r="B115" s="102" t="s">
        <v>3520</v>
      </c>
      <c r="C115" s="102" t="s">
        <v>3521</v>
      </c>
      <c r="D115" s="64" t="s">
        <v>119</v>
      </c>
      <c r="E115" s="24" t="s">
        <v>4293</v>
      </c>
      <c r="F115" s="38" t="s">
        <v>4360</v>
      </c>
      <c r="G115" s="108">
        <v>4</v>
      </c>
      <c r="H115" s="38" t="s">
        <v>4390</v>
      </c>
      <c r="I115" s="106"/>
      <c r="J115" s="128"/>
      <c r="K115" s="136" t="s">
        <v>4395</v>
      </c>
      <c r="L115" s="136"/>
      <c r="M115" s="136"/>
      <c r="N115" s="136"/>
      <c r="O115" s="136"/>
      <c r="P115" s="123">
        <v>1527</v>
      </c>
      <c r="Q115" s="123">
        <v>261</v>
      </c>
      <c r="R115" s="130"/>
      <c r="S115" s="139"/>
      <c r="T115" s="124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17"/>
      <c r="AH115" s="24"/>
      <c r="AI115" s="25"/>
      <c r="AJ115" s="25"/>
    </row>
    <row r="116" spans="1:36" x14ac:dyDescent="0.3">
      <c r="A116" s="63">
        <v>110</v>
      </c>
      <c r="B116" s="102" t="s">
        <v>3520</v>
      </c>
      <c r="C116" s="102" t="s">
        <v>3521</v>
      </c>
      <c r="D116" s="64" t="s">
        <v>119</v>
      </c>
      <c r="E116" s="24" t="s">
        <v>4293</v>
      </c>
      <c r="F116" s="38" t="s">
        <v>4360</v>
      </c>
      <c r="G116" s="108">
        <v>4</v>
      </c>
      <c r="H116" s="38" t="s">
        <v>4390</v>
      </c>
      <c r="I116" s="106"/>
      <c r="J116" s="128"/>
      <c r="K116" s="132" t="s">
        <v>4396</v>
      </c>
      <c r="L116" s="132"/>
      <c r="M116" s="132"/>
      <c r="N116" s="132"/>
      <c r="O116" s="132"/>
      <c r="P116" s="123">
        <v>730</v>
      </c>
      <c r="Q116" s="123">
        <v>125</v>
      </c>
      <c r="R116" s="130"/>
      <c r="S116" s="135"/>
      <c r="T116" s="123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17"/>
      <c r="AH116" s="24"/>
      <c r="AI116" s="25"/>
      <c r="AJ116" s="25"/>
    </row>
    <row r="117" spans="1:36" x14ac:dyDescent="0.3">
      <c r="A117" s="63">
        <v>111</v>
      </c>
      <c r="B117" s="102" t="s">
        <v>3520</v>
      </c>
      <c r="C117" s="102" t="s">
        <v>3521</v>
      </c>
      <c r="D117" s="64" t="s">
        <v>119</v>
      </c>
      <c r="E117" s="24" t="s">
        <v>4293</v>
      </c>
      <c r="F117" s="38" t="s">
        <v>4360</v>
      </c>
      <c r="G117" s="108">
        <v>5</v>
      </c>
      <c r="H117" s="38" t="s">
        <v>4390</v>
      </c>
      <c r="I117" s="106"/>
      <c r="J117" s="128"/>
      <c r="K117" s="132" t="s">
        <v>4397</v>
      </c>
      <c r="L117" s="132"/>
      <c r="M117" s="132"/>
      <c r="N117" s="132"/>
      <c r="O117" s="132"/>
      <c r="P117" s="123">
        <v>805</v>
      </c>
      <c r="Q117" s="123">
        <v>138</v>
      </c>
      <c r="R117" s="130"/>
      <c r="S117" s="139"/>
      <c r="T117" s="124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17"/>
      <c r="AH117" s="24"/>
      <c r="AI117" s="25"/>
      <c r="AJ117" s="25"/>
    </row>
    <row r="118" spans="1:36" x14ac:dyDescent="0.3">
      <c r="A118" s="63">
        <v>112</v>
      </c>
      <c r="B118" s="102" t="s">
        <v>3520</v>
      </c>
      <c r="C118" s="102" t="s">
        <v>3521</v>
      </c>
      <c r="D118" s="64" t="s">
        <v>119</v>
      </c>
      <c r="E118" s="24" t="s">
        <v>4293</v>
      </c>
      <c r="F118" s="38" t="s">
        <v>4360</v>
      </c>
      <c r="G118" s="108">
        <v>5</v>
      </c>
      <c r="H118" s="38" t="s">
        <v>4390</v>
      </c>
      <c r="I118" s="106"/>
      <c r="J118" s="128"/>
      <c r="K118" s="136" t="s">
        <v>4398</v>
      </c>
      <c r="L118" s="136"/>
      <c r="M118" s="136"/>
      <c r="N118" s="136"/>
      <c r="O118" s="136"/>
      <c r="P118" s="123">
        <v>991</v>
      </c>
      <c r="Q118" s="123">
        <v>171</v>
      </c>
      <c r="R118" s="130"/>
      <c r="S118" s="139"/>
      <c r="T118" s="124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17"/>
      <c r="AH118" s="24"/>
      <c r="AI118" s="25"/>
      <c r="AJ118" s="25"/>
    </row>
    <row r="119" spans="1:36" x14ac:dyDescent="0.3">
      <c r="A119" s="63">
        <v>113</v>
      </c>
      <c r="B119" s="102" t="s">
        <v>3520</v>
      </c>
      <c r="C119" s="102" t="s">
        <v>3521</v>
      </c>
      <c r="D119" s="64" t="s">
        <v>119</v>
      </c>
      <c r="E119" s="24" t="s">
        <v>4293</v>
      </c>
      <c r="F119" s="38" t="s">
        <v>4360</v>
      </c>
      <c r="G119" s="108">
        <v>5</v>
      </c>
      <c r="H119" s="38" t="s">
        <v>4390</v>
      </c>
      <c r="I119" s="106"/>
      <c r="J119" s="128"/>
      <c r="K119" s="136" t="s">
        <v>4399</v>
      </c>
      <c r="L119" s="136"/>
      <c r="M119" s="136"/>
      <c r="N119" s="136"/>
      <c r="O119" s="136"/>
      <c r="P119" s="123">
        <v>1610</v>
      </c>
      <c r="Q119" s="123">
        <v>280</v>
      </c>
      <c r="R119" s="130"/>
      <c r="S119" s="139"/>
      <c r="T119" s="124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17"/>
      <c r="AH119" s="24"/>
      <c r="AI119" s="25"/>
      <c r="AJ119" s="25"/>
    </row>
    <row r="120" spans="1:36" x14ac:dyDescent="0.3">
      <c r="A120" s="63">
        <v>114</v>
      </c>
      <c r="B120" s="102" t="s">
        <v>3520</v>
      </c>
      <c r="C120" s="102" t="s">
        <v>3521</v>
      </c>
      <c r="D120" s="64" t="s">
        <v>119</v>
      </c>
      <c r="E120" s="24" t="s">
        <v>4293</v>
      </c>
      <c r="F120" s="38" t="s">
        <v>4360</v>
      </c>
      <c r="G120" s="137">
        <v>5</v>
      </c>
      <c r="H120" s="38" t="s">
        <v>4390</v>
      </c>
      <c r="I120" s="106"/>
      <c r="J120" s="128"/>
      <c r="K120" s="132" t="s">
        <v>4400</v>
      </c>
      <c r="L120" s="132"/>
      <c r="M120" s="132"/>
      <c r="N120" s="132"/>
      <c r="O120" s="132"/>
      <c r="P120" s="123">
        <v>308</v>
      </c>
      <c r="Q120" s="123">
        <v>55</v>
      </c>
      <c r="R120" s="130"/>
      <c r="S120" s="139"/>
      <c r="T120" s="124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17"/>
      <c r="AH120" s="24"/>
      <c r="AI120" s="25"/>
      <c r="AJ120" s="25"/>
    </row>
    <row r="121" spans="1:36" x14ac:dyDescent="0.3">
      <c r="A121" s="63">
        <v>115</v>
      </c>
      <c r="B121" s="102" t="s">
        <v>3520</v>
      </c>
      <c r="C121" s="102" t="s">
        <v>3521</v>
      </c>
      <c r="D121" s="64" t="s">
        <v>119</v>
      </c>
      <c r="E121" s="24" t="s">
        <v>4293</v>
      </c>
      <c r="F121" s="38" t="s">
        <v>4360</v>
      </c>
      <c r="G121" s="137">
        <v>6</v>
      </c>
      <c r="H121" s="38" t="s">
        <v>4390</v>
      </c>
      <c r="I121" s="106"/>
      <c r="J121" s="128"/>
      <c r="K121" s="132" t="s">
        <v>4401</v>
      </c>
      <c r="L121" s="132"/>
      <c r="M121" s="132"/>
      <c r="N121" s="132"/>
      <c r="O121" s="132"/>
      <c r="P121" s="123">
        <v>210</v>
      </c>
      <c r="Q121" s="123">
        <v>43</v>
      </c>
      <c r="R121" s="130"/>
      <c r="S121" s="139"/>
      <c r="T121" s="124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17"/>
      <c r="AH121" s="24"/>
      <c r="AI121" s="25"/>
      <c r="AJ121" s="25"/>
    </row>
    <row r="122" spans="1:36" x14ac:dyDescent="0.3">
      <c r="A122" s="63">
        <v>116</v>
      </c>
      <c r="B122" s="102" t="s">
        <v>3520</v>
      </c>
      <c r="C122" s="102" t="s">
        <v>3521</v>
      </c>
      <c r="D122" s="64" t="s">
        <v>119</v>
      </c>
      <c r="E122" s="24" t="s">
        <v>4293</v>
      </c>
      <c r="F122" s="38" t="s">
        <v>4360</v>
      </c>
      <c r="G122" s="137">
        <v>6</v>
      </c>
      <c r="H122" s="38" t="s">
        <v>4390</v>
      </c>
      <c r="I122" s="106"/>
      <c r="J122" s="128"/>
      <c r="K122" s="132" t="s">
        <v>4402</v>
      </c>
      <c r="L122" s="132"/>
      <c r="M122" s="132"/>
      <c r="N122" s="132"/>
      <c r="O122" s="132"/>
      <c r="P122" s="123">
        <v>687</v>
      </c>
      <c r="Q122" s="123">
        <v>117</v>
      </c>
      <c r="R122" s="130"/>
      <c r="S122" s="139"/>
      <c r="T122" s="124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17"/>
      <c r="AH122" s="24"/>
      <c r="AI122" s="25"/>
      <c r="AJ122" s="25"/>
    </row>
    <row r="123" spans="1:36" x14ac:dyDescent="0.3">
      <c r="A123" s="63">
        <v>117</v>
      </c>
      <c r="B123" s="102" t="s">
        <v>3520</v>
      </c>
      <c r="C123" s="102" t="s">
        <v>3521</v>
      </c>
      <c r="D123" s="64" t="s">
        <v>119</v>
      </c>
      <c r="E123" s="24" t="s">
        <v>4293</v>
      </c>
      <c r="F123" s="38" t="s">
        <v>4360</v>
      </c>
      <c r="G123" s="108">
        <v>7</v>
      </c>
      <c r="H123" s="38" t="s">
        <v>4403</v>
      </c>
      <c r="I123" s="106"/>
      <c r="J123" s="128"/>
      <c r="K123" s="132" t="s">
        <v>4404</v>
      </c>
      <c r="L123" s="132"/>
      <c r="M123" s="132"/>
      <c r="N123" s="132"/>
      <c r="O123" s="132"/>
      <c r="P123" s="123">
        <v>1236</v>
      </c>
      <c r="Q123" s="123">
        <v>176</v>
      </c>
      <c r="R123" s="130"/>
      <c r="S123" s="135">
        <v>386</v>
      </c>
      <c r="T123" s="123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17"/>
      <c r="AH123" s="24"/>
      <c r="AI123" s="25"/>
      <c r="AJ123" s="25"/>
    </row>
    <row r="124" spans="1:36" x14ac:dyDescent="0.3">
      <c r="A124" s="63">
        <v>118</v>
      </c>
      <c r="B124" s="102" t="s">
        <v>3520</v>
      </c>
      <c r="C124" s="102" t="s">
        <v>3521</v>
      </c>
      <c r="D124" s="64" t="s">
        <v>119</v>
      </c>
      <c r="E124" s="24" t="s">
        <v>4293</v>
      </c>
      <c r="F124" s="38" t="s">
        <v>4360</v>
      </c>
      <c r="G124" s="108">
        <v>7</v>
      </c>
      <c r="H124" s="38" t="s">
        <v>4403</v>
      </c>
      <c r="I124" s="106"/>
      <c r="J124" s="128"/>
      <c r="K124" s="132" t="s">
        <v>4405</v>
      </c>
      <c r="L124" s="132"/>
      <c r="M124" s="132"/>
      <c r="N124" s="132"/>
      <c r="O124" s="132"/>
      <c r="P124" s="123">
        <v>580</v>
      </c>
      <c r="Q124" s="123">
        <v>96</v>
      </c>
      <c r="R124" s="130"/>
      <c r="S124" s="135"/>
      <c r="T124" s="123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17"/>
      <c r="AH124" s="24"/>
      <c r="AI124" s="25"/>
      <c r="AJ124" s="25"/>
    </row>
    <row r="125" spans="1:36" x14ac:dyDescent="0.3">
      <c r="A125" s="63">
        <v>119</v>
      </c>
      <c r="B125" s="102" t="s">
        <v>3520</v>
      </c>
      <c r="C125" s="102" t="s">
        <v>3521</v>
      </c>
      <c r="D125" s="64" t="s">
        <v>119</v>
      </c>
      <c r="E125" s="24" t="s">
        <v>4293</v>
      </c>
      <c r="F125" s="38" t="s">
        <v>4360</v>
      </c>
      <c r="G125" s="108">
        <v>7</v>
      </c>
      <c r="H125" s="38" t="s">
        <v>4403</v>
      </c>
      <c r="I125" s="106"/>
      <c r="J125" s="128"/>
      <c r="K125" s="132" t="s">
        <v>4406</v>
      </c>
      <c r="L125" s="132"/>
      <c r="M125" s="132"/>
      <c r="N125" s="132"/>
      <c r="O125" s="132"/>
      <c r="P125" s="123">
        <v>502</v>
      </c>
      <c r="Q125" s="123">
        <v>83</v>
      </c>
      <c r="R125" s="130"/>
      <c r="S125" s="139"/>
      <c r="T125" s="124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17"/>
      <c r="AH125" s="24"/>
      <c r="AI125" s="25"/>
      <c r="AJ125" s="25"/>
    </row>
    <row r="126" spans="1:36" x14ac:dyDescent="0.3">
      <c r="A126" s="63">
        <v>120</v>
      </c>
      <c r="B126" s="102" t="s">
        <v>3520</v>
      </c>
      <c r="C126" s="102" t="s">
        <v>3521</v>
      </c>
      <c r="D126" s="64" t="s">
        <v>119</v>
      </c>
      <c r="E126" s="24" t="s">
        <v>4293</v>
      </c>
      <c r="F126" s="38" t="s">
        <v>4360</v>
      </c>
      <c r="G126" s="108">
        <v>7</v>
      </c>
      <c r="H126" s="38" t="s">
        <v>4403</v>
      </c>
      <c r="I126" s="106"/>
      <c r="J126" s="128"/>
      <c r="K126" s="136" t="s">
        <v>4407</v>
      </c>
      <c r="L126" s="136"/>
      <c r="M126" s="136"/>
      <c r="N126" s="136"/>
      <c r="O126" s="136"/>
      <c r="P126" s="123">
        <v>678</v>
      </c>
      <c r="Q126" s="123">
        <v>86</v>
      </c>
      <c r="R126" s="130"/>
      <c r="S126" s="139"/>
      <c r="T126" s="124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17"/>
      <c r="AH126" s="24"/>
      <c r="AI126" s="25"/>
      <c r="AJ126" s="25"/>
    </row>
    <row r="127" spans="1:36" x14ac:dyDescent="0.3">
      <c r="A127" s="63">
        <v>121</v>
      </c>
      <c r="B127" s="102" t="s">
        <v>3520</v>
      </c>
      <c r="C127" s="102" t="s">
        <v>3521</v>
      </c>
      <c r="D127" s="64" t="s">
        <v>119</v>
      </c>
      <c r="E127" s="24" t="s">
        <v>4293</v>
      </c>
      <c r="F127" s="38" t="s">
        <v>4360</v>
      </c>
      <c r="G127" s="108">
        <v>7</v>
      </c>
      <c r="H127" s="38" t="s">
        <v>4403</v>
      </c>
      <c r="I127" s="106"/>
      <c r="J127" s="128"/>
      <c r="K127" s="132" t="s">
        <v>4408</v>
      </c>
      <c r="L127" s="132"/>
      <c r="M127" s="132"/>
      <c r="N127" s="132"/>
      <c r="O127" s="132"/>
      <c r="P127" s="123">
        <v>981</v>
      </c>
      <c r="Q127" s="123">
        <v>161</v>
      </c>
      <c r="R127" s="130"/>
      <c r="S127" s="139"/>
      <c r="T127" s="124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17"/>
      <c r="AH127" s="24"/>
      <c r="AI127" s="25"/>
      <c r="AJ127" s="25"/>
    </row>
    <row r="128" spans="1:36" x14ac:dyDescent="0.3">
      <c r="A128" s="63">
        <v>122</v>
      </c>
      <c r="B128" s="102" t="s">
        <v>3520</v>
      </c>
      <c r="C128" s="102" t="s">
        <v>3521</v>
      </c>
      <c r="D128" s="64" t="s">
        <v>119</v>
      </c>
      <c r="E128" s="24" t="s">
        <v>4293</v>
      </c>
      <c r="F128" s="38" t="s">
        <v>4360</v>
      </c>
      <c r="G128" s="108">
        <v>7</v>
      </c>
      <c r="H128" s="38" t="s">
        <v>4403</v>
      </c>
      <c r="I128" s="106"/>
      <c r="J128" s="128"/>
      <c r="K128" s="132" t="s">
        <v>4409</v>
      </c>
      <c r="L128" s="132"/>
      <c r="M128" s="132"/>
      <c r="N128" s="132"/>
      <c r="O128" s="132"/>
      <c r="P128" s="123">
        <v>723</v>
      </c>
      <c r="Q128" s="123">
        <v>125</v>
      </c>
      <c r="R128" s="130"/>
      <c r="S128" s="135"/>
      <c r="T128" s="123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16"/>
      <c r="AH128" s="24"/>
      <c r="AI128" s="25"/>
      <c r="AJ128" s="25"/>
    </row>
    <row r="129" spans="1:36" x14ac:dyDescent="0.3">
      <c r="A129" s="63">
        <v>123</v>
      </c>
      <c r="B129" s="102" t="s">
        <v>3520</v>
      </c>
      <c r="C129" s="102" t="s">
        <v>3521</v>
      </c>
      <c r="D129" s="64" t="s">
        <v>119</v>
      </c>
      <c r="E129" s="24" t="s">
        <v>4293</v>
      </c>
      <c r="F129" s="38" t="s">
        <v>4360</v>
      </c>
      <c r="G129" s="141">
        <v>8</v>
      </c>
      <c r="H129" s="38" t="s">
        <v>4403</v>
      </c>
      <c r="I129" s="106"/>
      <c r="J129" s="128"/>
      <c r="K129" s="132" t="s">
        <v>72</v>
      </c>
      <c r="L129" s="132"/>
      <c r="M129" s="132"/>
      <c r="N129" s="132"/>
      <c r="O129" s="132"/>
      <c r="P129" s="123">
        <v>1407</v>
      </c>
      <c r="Q129" s="123">
        <v>235</v>
      </c>
      <c r="R129" s="130"/>
      <c r="S129" s="139"/>
      <c r="T129" s="124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17"/>
      <c r="AH129" s="24"/>
      <c r="AI129" s="25"/>
      <c r="AJ129" s="25"/>
    </row>
    <row r="130" spans="1:36" x14ac:dyDescent="0.3">
      <c r="A130" s="63">
        <v>124</v>
      </c>
      <c r="B130" s="102" t="s">
        <v>3520</v>
      </c>
      <c r="C130" s="102" t="s">
        <v>3521</v>
      </c>
      <c r="D130" s="64" t="s">
        <v>119</v>
      </c>
      <c r="E130" s="24" t="s">
        <v>4293</v>
      </c>
      <c r="F130" s="38" t="s">
        <v>4360</v>
      </c>
      <c r="G130" s="137">
        <v>8</v>
      </c>
      <c r="H130" s="38" t="s">
        <v>4403</v>
      </c>
      <c r="I130" s="106"/>
      <c r="J130" s="128"/>
      <c r="K130" s="132" t="s">
        <v>4410</v>
      </c>
      <c r="L130" s="132"/>
      <c r="M130" s="132"/>
      <c r="N130" s="132"/>
      <c r="O130" s="132"/>
      <c r="P130" s="123">
        <v>249</v>
      </c>
      <c r="Q130" s="123">
        <v>41</v>
      </c>
      <c r="R130" s="130"/>
      <c r="S130" s="139"/>
      <c r="T130" s="124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17"/>
      <c r="AH130" s="24"/>
      <c r="AI130" s="25"/>
      <c r="AJ130" s="25"/>
    </row>
    <row r="131" spans="1:36" x14ac:dyDescent="0.3">
      <c r="A131" s="63">
        <v>125</v>
      </c>
      <c r="B131" s="102" t="s">
        <v>3520</v>
      </c>
      <c r="C131" s="102" t="s">
        <v>3521</v>
      </c>
      <c r="D131" s="64" t="s">
        <v>119</v>
      </c>
      <c r="E131" s="24" t="s">
        <v>4293</v>
      </c>
      <c r="F131" s="38" t="s">
        <v>4360</v>
      </c>
      <c r="G131" s="137">
        <v>8</v>
      </c>
      <c r="H131" s="38" t="s">
        <v>4403</v>
      </c>
      <c r="I131" s="106"/>
      <c r="J131" s="128"/>
      <c r="K131" s="132" t="s">
        <v>4411</v>
      </c>
      <c r="L131" s="132"/>
      <c r="M131" s="132"/>
      <c r="N131" s="132"/>
      <c r="O131" s="132"/>
      <c r="P131" s="123">
        <v>622</v>
      </c>
      <c r="Q131" s="123">
        <v>103</v>
      </c>
      <c r="R131" s="130"/>
      <c r="S131" s="139"/>
      <c r="T131" s="124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17"/>
      <c r="AH131" s="24"/>
      <c r="AI131" s="25"/>
      <c r="AJ131" s="25"/>
    </row>
    <row r="132" spans="1:36" x14ac:dyDescent="0.3">
      <c r="A132" s="63">
        <v>126</v>
      </c>
      <c r="B132" s="102" t="s">
        <v>3520</v>
      </c>
      <c r="C132" s="102" t="s">
        <v>3521</v>
      </c>
      <c r="D132" s="64" t="s">
        <v>119</v>
      </c>
      <c r="E132" s="24" t="s">
        <v>4293</v>
      </c>
      <c r="F132" s="38" t="s">
        <v>4360</v>
      </c>
      <c r="G132" s="137">
        <v>8</v>
      </c>
      <c r="H132" s="38" t="s">
        <v>4403</v>
      </c>
      <c r="I132" s="106"/>
      <c r="J132" s="128"/>
      <c r="K132" s="132" t="s">
        <v>116</v>
      </c>
      <c r="L132" s="132"/>
      <c r="M132" s="132"/>
      <c r="N132" s="132"/>
      <c r="O132" s="132"/>
      <c r="P132" s="123">
        <v>1302</v>
      </c>
      <c r="Q132" s="123">
        <v>195</v>
      </c>
      <c r="R132" s="130"/>
      <c r="S132" s="139">
        <v>3</v>
      </c>
      <c r="T132" s="124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17"/>
      <c r="AH132" s="24"/>
      <c r="AI132" s="25"/>
      <c r="AJ132" s="25"/>
    </row>
    <row r="133" spans="1:36" x14ac:dyDescent="0.3">
      <c r="A133" s="63">
        <v>127</v>
      </c>
      <c r="B133" s="102" t="s">
        <v>3520</v>
      </c>
      <c r="C133" s="102" t="s">
        <v>3521</v>
      </c>
      <c r="D133" s="64" t="s">
        <v>119</v>
      </c>
      <c r="E133" s="24" t="s">
        <v>4293</v>
      </c>
      <c r="F133" s="38" t="s">
        <v>4360</v>
      </c>
      <c r="G133" s="137">
        <v>8</v>
      </c>
      <c r="H133" s="38" t="s">
        <v>4403</v>
      </c>
      <c r="I133" s="106"/>
      <c r="J133" s="128"/>
      <c r="K133" s="136" t="s">
        <v>233</v>
      </c>
      <c r="L133" s="136"/>
      <c r="M133" s="136"/>
      <c r="N133" s="136"/>
      <c r="O133" s="136"/>
      <c r="P133" s="123">
        <v>1344</v>
      </c>
      <c r="Q133" s="123">
        <v>232</v>
      </c>
      <c r="R133" s="130"/>
      <c r="S133" s="139"/>
      <c r="T133" s="124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17"/>
      <c r="AH133" s="24"/>
      <c r="AI133" s="25"/>
      <c r="AJ133" s="25"/>
    </row>
    <row r="134" spans="1:36" x14ac:dyDescent="0.3">
      <c r="A134" s="63">
        <v>128</v>
      </c>
      <c r="B134" s="102" t="s">
        <v>3520</v>
      </c>
      <c r="C134" s="102" t="s">
        <v>3521</v>
      </c>
      <c r="D134" s="64" t="s">
        <v>119</v>
      </c>
      <c r="E134" s="24" t="s">
        <v>4293</v>
      </c>
      <c r="F134" s="38" t="s">
        <v>4360</v>
      </c>
      <c r="G134" s="108">
        <v>8</v>
      </c>
      <c r="H134" s="38" t="s">
        <v>4403</v>
      </c>
      <c r="I134" s="106"/>
      <c r="J134" s="128"/>
      <c r="K134" s="132" t="s">
        <v>4412</v>
      </c>
      <c r="L134" s="132"/>
      <c r="M134" s="132"/>
      <c r="N134" s="132"/>
      <c r="O134" s="132"/>
      <c r="P134" s="123">
        <v>443</v>
      </c>
      <c r="Q134" s="123">
        <v>63</v>
      </c>
      <c r="R134" s="130"/>
      <c r="S134" s="139"/>
      <c r="T134" s="124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17"/>
      <c r="AH134" s="24"/>
      <c r="AI134" s="25"/>
      <c r="AJ134" s="25"/>
    </row>
    <row r="135" spans="1:36" x14ac:dyDescent="0.3">
      <c r="A135" s="63">
        <v>129</v>
      </c>
      <c r="B135" s="102" t="s">
        <v>3520</v>
      </c>
      <c r="C135" s="102" t="s">
        <v>3521</v>
      </c>
      <c r="D135" s="64" t="s">
        <v>119</v>
      </c>
      <c r="E135" s="24" t="s">
        <v>4293</v>
      </c>
      <c r="F135" s="38" t="s">
        <v>4360</v>
      </c>
      <c r="G135" s="108">
        <v>8</v>
      </c>
      <c r="H135" s="38" t="s">
        <v>4403</v>
      </c>
      <c r="I135" s="106"/>
      <c r="J135" s="128"/>
      <c r="K135" s="136" t="s">
        <v>4413</v>
      </c>
      <c r="L135" s="136"/>
      <c r="M135" s="136"/>
      <c r="N135" s="136"/>
      <c r="O135" s="136"/>
      <c r="P135" s="123">
        <v>589</v>
      </c>
      <c r="Q135" s="123">
        <v>84</v>
      </c>
      <c r="R135" s="130"/>
      <c r="S135" s="139"/>
      <c r="T135" s="124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17"/>
      <c r="AH135" s="24"/>
      <c r="AI135" s="25"/>
      <c r="AJ135" s="25"/>
    </row>
    <row r="136" spans="1:36" x14ac:dyDescent="0.3">
      <c r="A136" s="63">
        <v>130</v>
      </c>
      <c r="B136" s="102" t="s">
        <v>3520</v>
      </c>
      <c r="C136" s="102" t="s">
        <v>3521</v>
      </c>
      <c r="D136" s="64" t="s">
        <v>119</v>
      </c>
      <c r="E136" s="24" t="s">
        <v>4293</v>
      </c>
      <c r="F136" s="38" t="s">
        <v>4360</v>
      </c>
      <c r="G136" s="108">
        <v>8</v>
      </c>
      <c r="H136" s="38" t="s">
        <v>4403</v>
      </c>
      <c r="I136" s="106"/>
      <c r="J136" s="128"/>
      <c r="K136" s="132" t="s">
        <v>4414</v>
      </c>
      <c r="L136" s="132"/>
      <c r="M136" s="132"/>
      <c r="N136" s="132"/>
      <c r="O136" s="132"/>
      <c r="P136" s="123">
        <v>736</v>
      </c>
      <c r="Q136" s="123">
        <v>106</v>
      </c>
      <c r="R136" s="130"/>
      <c r="S136" s="139"/>
      <c r="T136" s="124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17"/>
      <c r="AH136" s="24"/>
      <c r="AI136" s="25"/>
      <c r="AJ136" s="25"/>
    </row>
    <row r="137" spans="1:36" x14ac:dyDescent="0.3">
      <c r="A137" s="63">
        <v>131</v>
      </c>
      <c r="B137" s="102" t="s">
        <v>3520</v>
      </c>
      <c r="C137" s="102" t="s">
        <v>3521</v>
      </c>
      <c r="D137" s="64" t="s">
        <v>119</v>
      </c>
      <c r="E137" s="24" t="s">
        <v>4293</v>
      </c>
      <c r="F137" s="38" t="s">
        <v>4360</v>
      </c>
      <c r="G137" s="108">
        <v>8</v>
      </c>
      <c r="H137" s="38" t="s">
        <v>4403</v>
      </c>
      <c r="I137" s="106"/>
      <c r="J137" s="128"/>
      <c r="K137" s="132" t="s">
        <v>4317</v>
      </c>
      <c r="L137" s="132"/>
      <c r="M137" s="132"/>
      <c r="N137" s="132"/>
      <c r="O137" s="132"/>
      <c r="P137" s="123">
        <v>1787</v>
      </c>
      <c r="Q137" s="123">
        <v>296</v>
      </c>
      <c r="R137" s="130"/>
      <c r="S137" s="139">
        <v>470</v>
      </c>
      <c r="T137" s="124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17"/>
      <c r="AH137" s="24"/>
      <c r="AI137" s="25"/>
      <c r="AJ137" s="25"/>
    </row>
    <row r="138" spans="1:36" x14ac:dyDescent="0.3">
      <c r="A138" s="63">
        <v>132</v>
      </c>
      <c r="B138" s="102" t="s">
        <v>3520</v>
      </c>
      <c r="C138" s="102" t="s">
        <v>3521</v>
      </c>
      <c r="D138" s="64" t="s">
        <v>119</v>
      </c>
      <c r="E138" s="24" t="s">
        <v>4293</v>
      </c>
      <c r="F138" s="38" t="s">
        <v>4360</v>
      </c>
      <c r="G138" s="108">
        <v>8</v>
      </c>
      <c r="H138" s="38" t="s">
        <v>4403</v>
      </c>
      <c r="I138" s="106"/>
      <c r="J138" s="128"/>
      <c r="K138" s="136" t="s">
        <v>4415</v>
      </c>
      <c r="L138" s="136"/>
      <c r="M138" s="136"/>
      <c r="N138" s="136"/>
      <c r="O138" s="136"/>
      <c r="P138" s="123">
        <v>191</v>
      </c>
      <c r="Q138" s="123">
        <v>40</v>
      </c>
      <c r="R138" s="130"/>
      <c r="S138" s="139"/>
      <c r="T138" s="124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17"/>
      <c r="AH138" s="24"/>
      <c r="AI138" s="25"/>
      <c r="AJ138" s="25"/>
    </row>
    <row r="139" spans="1:36" x14ac:dyDescent="0.3">
      <c r="A139" s="63">
        <v>133</v>
      </c>
      <c r="B139" s="102" t="s">
        <v>3520</v>
      </c>
      <c r="C139" s="102" t="s">
        <v>3521</v>
      </c>
      <c r="D139" s="64" t="s">
        <v>119</v>
      </c>
      <c r="E139" s="24" t="s">
        <v>4293</v>
      </c>
      <c r="F139" s="38" t="s">
        <v>4360</v>
      </c>
      <c r="G139" s="108">
        <v>9</v>
      </c>
      <c r="H139" s="38" t="s">
        <v>4403</v>
      </c>
      <c r="I139" s="106"/>
      <c r="J139" s="128"/>
      <c r="K139" s="132" t="s">
        <v>4416</v>
      </c>
      <c r="L139" s="132"/>
      <c r="M139" s="132"/>
      <c r="N139" s="132"/>
      <c r="O139" s="132"/>
      <c r="P139" s="123">
        <v>1229</v>
      </c>
      <c r="Q139" s="123">
        <v>266</v>
      </c>
      <c r="R139" s="130"/>
      <c r="S139" s="139"/>
      <c r="T139" s="124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17"/>
      <c r="AH139" s="24"/>
      <c r="AI139" s="25"/>
      <c r="AJ139" s="25"/>
    </row>
    <row r="140" spans="1:36" x14ac:dyDescent="0.3">
      <c r="A140" s="63">
        <v>134</v>
      </c>
      <c r="B140" s="102" t="s">
        <v>3520</v>
      </c>
      <c r="C140" s="102" t="s">
        <v>3521</v>
      </c>
      <c r="D140" s="64" t="s">
        <v>119</v>
      </c>
      <c r="E140" s="24" t="s">
        <v>4293</v>
      </c>
      <c r="F140" s="38" t="s">
        <v>4360</v>
      </c>
      <c r="G140" s="108">
        <v>9</v>
      </c>
      <c r="H140" s="38" t="s">
        <v>4403</v>
      </c>
      <c r="I140" s="106"/>
      <c r="J140" s="128"/>
      <c r="K140" s="132" t="s">
        <v>4417</v>
      </c>
      <c r="L140" s="132"/>
      <c r="M140" s="132"/>
      <c r="N140" s="132"/>
      <c r="O140" s="132"/>
      <c r="P140" s="123">
        <v>617</v>
      </c>
      <c r="Q140" s="123">
        <v>84</v>
      </c>
      <c r="R140" s="130"/>
      <c r="S140" s="139"/>
      <c r="T140" s="124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17"/>
      <c r="AH140" s="24"/>
      <c r="AI140" s="25"/>
      <c r="AJ140" s="25"/>
    </row>
    <row r="141" spans="1:36" x14ac:dyDescent="0.3">
      <c r="A141" s="63">
        <v>135</v>
      </c>
      <c r="B141" s="102" t="s">
        <v>3520</v>
      </c>
      <c r="C141" s="102" t="s">
        <v>3521</v>
      </c>
      <c r="D141" s="64" t="s">
        <v>119</v>
      </c>
      <c r="E141" s="24" t="s">
        <v>4293</v>
      </c>
      <c r="F141" s="38" t="s">
        <v>4360</v>
      </c>
      <c r="G141" s="108">
        <v>9</v>
      </c>
      <c r="H141" s="38" t="s">
        <v>4403</v>
      </c>
      <c r="I141" s="106"/>
      <c r="J141" s="128"/>
      <c r="K141" s="132" t="s">
        <v>4418</v>
      </c>
      <c r="L141" s="132"/>
      <c r="M141" s="132"/>
      <c r="N141" s="132"/>
      <c r="O141" s="132"/>
      <c r="P141" s="123">
        <v>699</v>
      </c>
      <c r="Q141" s="123">
        <v>169</v>
      </c>
      <c r="R141" s="130"/>
      <c r="S141" s="139"/>
      <c r="T141" s="124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17"/>
      <c r="AH141" s="24"/>
      <c r="AI141" s="25"/>
      <c r="AJ141" s="25"/>
    </row>
    <row r="142" spans="1:36" x14ac:dyDescent="0.3">
      <c r="A142" s="63">
        <v>136</v>
      </c>
      <c r="B142" s="102" t="s">
        <v>3520</v>
      </c>
      <c r="C142" s="102" t="s">
        <v>3521</v>
      </c>
      <c r="D142" s="64" t="s">
        <v>119</v>
      </c>
      <c r="E142" s="24" t="s">
        <v>4293</v>
      </c>
      <c r="F142" s="38" t="s">
        <v>4360</v>
      </c>
      <c r="G142" s="108">
        <v>9</v>
      </c>
      <c r="H142" s="38" t="s">
        <v>4403</v>
      </c>
      <c r="I142" s="106"/>
      <c r="J142" s="128"/>
      <c r="K142" s="136" t="s">
        <v>4419</v>
      </c>
      <c r="L142" s="136"/>
      <c r="M142" s="136"/>
      <c r="N142" s="136"/>
      <c r="O142" s="136"/>
      <c r="P142" s="123">
        <v>336</v>
      </c>
      <c r="Q142" s="123">
        <v>43</v>
      </c>
      <c r="R142" s="130"/>
      <c r="S142" s="139"/>
      <c r="T142" s="124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17"/>
      <c r="AH142" s="24"/>
      <c r="AI142" s="25"/>
      <c r="AJ142" s="25"/>
    </row>
    <row r="143" spans="1:36" x14ac:dyDescent="0.3">
      <c r="A143" s="63">
        <v>137</v>
      </c>
      <c r="B143" s="102" t="s">
        <v>3520</v>
      </c>
      <c r="C143" s="102" t="s">
        <v>3521</v>
      </c>
      <c r="D143" s="64" t="s">
        <v>119</v>
      </c>
      <c r="E143" s="24" t="s">
        <v>4293</v>
      </c>
      <c r="F143" s="38" t="s">
        <v>4360</v>
      </c>
      <c r="G143" s="108">
        <v>9</v>
      </c>
      <c r="H143" s="38" t="s">
        <v>4403</v>
      </c>
      <c r="I143" s="106"/>
      <c r="J143" s="128"/>
      <c r="K143" s="136" t="s">
        <v>4420</v>
      </c>
      <c r="L143" s="136"/>
      <c r="M143" s="136"/>
      <c r="N143" s="136"/>
      <c r="O143" s="136"/>
      <c r="P143" s="123">
        <v>1236</v>
      </c>
      <c r="Q143" s="123">
        <v>134</v>
      </c>
      <c r="R143" s="130"/>
      <c r="S143" s="139"/>
      <c r="T143" s="124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17"/>
      <c r="AH143" s="24"/>
      <c r="AI143" s="25"/>
      <c r="AJ143" s="25"/>
    </row>
    <row r="144" spans="1:36" x14ac:dyDescent="0.3">
      <c r="A144" s="63">
        <v>138</v>
      </c>
      <c r="B144" s="102" t="s">
        <v>3520</v>
      </c>
      <c r="C144" s="102" t="s">
        <v>3521</v>
      </c>
      <c r="D144" s="64" t="s">
        <v>119</v>
      </c>
      <c r="E144" s="24" t="s">
        <v>4293</v>
      </c>
      <c r="F144" s="38" t="s">
        <v>4360</v>
      </c>
      <c r="G144" s="108">
        <v>9</v>
      </c>
      <c r="H144" s="38" t="s">
        <v>4403</v>
      </c>
      <c r="I144" s="106"/>
      <c r="J144" s="128"/>
      <c r="K144" s="136" t="s">
        <v>4421</v>
      </c>
      <c r="L144" s="136"/>
      <c r="M144" s="136"/>
      <c r="N144" s="136"/>
      <c r="O144" s="136"/>
      <c r="P144" s="123">
        <v>1185</v>
      </c>
      <c r="Q144" s="123">
        <v>197</v>
      </c>
      <c r="R144" s="130"/>
      <c r="S144" s="139">
        <v>356</v>
      </c>
      <c r="T144" s="124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17"/>
      <c r="AH144" s="24"/>
      <c r="AI144" s="25"/>
      <c r="AJ144" s="25"/>
    </row>
    <row r="145" spans="1:36" x14ac:dyDescent="0.3">
      <c r="A145" s="63">
        <v>139</v>
      </c>
      <c r="B145" s="102" t="s">
        <v>3520</v>
      </c>
      <c r="C145" s="102" t="s">
        <v>3521</v>
      </c>
      <c r="D145" s="64" t="s">
        <v>119</v>
      </c>
      <c r="E145" s="24" t="s">
        <v>4293</v>
      </c>
      <c r="F145" s="38" t="s">
        <v>4360</v>
      </c>
      <c r="G145" s="108">
        <v>9</v>
      </c>
      <c r="H145" s="38" t="s">
        <v>4403</v>
      </c>
      <c r="I145" s="106"/>
      <c r="J145" s="128"/>
      <c r="K145" s="136" t="s">
        <v>4422</v>
      </c>
      <c r="L145" s="136"/>
      <c r="M145" s="136"/>
      <c r="N145" s="136"/>
      <c r="O145" s="136"/>
      <c r="P145" s="123">
        <v>111</v>
      </c>
      <c r="Q145" s="123">
        <v>20</v>
      </c>
      <c r="R145" s="130"/>
      <c r="S145" s="139"/>
      <c r="T145" s="124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17"/>
      <c r="AH145" s="24"/>
      <c r="AI145" s="25"/>
      <c r="AJ145" s="25"/>
    </row>
    <row r="146" spans="1:36" x14ac:dyDescent="0.3">
      <c r="A146" s="63">
        <v>140</v>
      </c>
      <c r="B146" s="102" t="s">
        <v>3520</v>
      </c>
      <c r="C146" s="102" t="s">
        <v>3521</v>
      </c>
      <c r="D146" s="64" t="s">
        <v>119</v>
      </c>
      <c r="E146" s="24" t="s">
        <v>4293</v>
      </c>
      <c r="F146" s="38" t="s">
        <v>4360</v>
      </c>
      <c r="G146" s="110">
        <v>9</v>
      </c>
      <c r="H146" s="38" t="s">
        <v>4403</v>
      </c>
      <c r="I146" s="106"/>
      <c r="J146" s="128"/>
      <c r="K146" s="136" t="s">
        <v>4317</v>
      </c>
      <c r="L146" s="136"/>
      <c r="M146" s="136"/>
      <c r="N146" s="136"/>
      <c r="O146" s="136"/>
      <c r="P146" s="123">
        <v>892</v>
      </c>
      <c r="Q146" s="123">
        <v>142</v>
      </c>
      <c r="R146" s="130"/>
      <c r="S146" s="139">
        <v>32</v>
      </c>
      <c r="T146" s="124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17"/>
      <c r="AH146" s="24"/>
      <c r="AI146" s="25"/>
      <c r="AJ146" s="25"/>
    </row>
    <row r="147" spans="1:36" x14ac:dyDescent="0.3">
      <c r="A147" s="63">
        <v>141</v>
      </c>
      <c r="B147" s="102" t="s">
        <v>3520</v>
      </c>
      <c r="C147" s="102" t="s">
        <v>3521</v>
      </c>
      <c r="D147" s="64" t="s">
        <v>119</v>
      </c>
      <c r="E147" s="24" t="s">
        <v>4293</v>
      </c>
      <c r="F147" s="38" t="s">
        <v>4360</v>
      </c>
      <c r="G147" s="110">
        <v>9</v>
      </c>
      <c r="H147" s="38" t="s">
        <v>4403</v>
      </c>
      <c r="I147" s="106"/>
      <c r="J147" s="128"/>
      <c r="K147" s="136" t="s">
        <v>72</v>
      </c>
      <c r="L147" s="136"/>
      <c r="M147" s="136"/>
      <c r="N147" s="136"/>
      <c r="O147" s="136"/>
      <c r="P147" s="123">
        <v>436</v>
      </c>
      <c r="Q147" s="123">
        <v>135</v>
      </c>
      <c r="R147" s="130"/>
      <c r="S147" s="139"/>
      <c r="T147" s="124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17"/>
      <c r="AH147" s="24"/>
      <c r="AI147" s="25"/>
      <c r="AJ147" s="25"/>
    </row>
    <row r="148" spans="1:36" x14ac:dyDescent="0.3">
      <c r="A148" s="63">
        <v>142</v>
      </c>
      <c r="B148" s="102" t="s">
        <v>3520</v>
      </c>
      <c r="C148" s="102" t="s">
        <v>3521</v>
      </c>
      <c r="D148" s="64" t="s">
        <v>119</v>
      </c>
      <c r="E148" s="24" t="s">
        <v>4293</v>
      </c>
      <c r="F148" s="38" t="s">
        <v>4360</v>
      </c>
      <c r="G148" s="110">
        <v>9</v>
      </c>
      <c r="H148" s="38" t="s">
        <v>4403</v>
      </c>
      <c r="I148" s="106"/>
      <c r="J148" s="128"/>
      <c r="K148" s="136" t="s">
        <v>4423</v>
      </c>
      <c r="L148" s="136"/>
      <c r="M148" s="136"/>
      <c r="N148" s="136"/>
      <c r="O148" s="136"/>
      <c r="P148" s="123">
        <v>689</v>
      </c>
      <c r="Q148" s="123">
        <v>97</v>
      </c>
      <c r="R148" s="130"/>
      <c r="S148" s="139"/>
      <c r="T148" s="124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17"/>
      <c r="AH148" s="24"/>
      <c r="AI148" s="25"/>
      <c r="AJ148" s="25"/>
    </row>
    <row r="149" spans="1:36" x14ac:dyDescent="0.3">
      <c r="A149" s="63">
        <v>143</v>
      </c>
      <c r="B149" s="102" t="s">
        <v>3520</v>
      </c>
      <c r="C149" s="102" t="s">
        <v>3521</v>
      </c>
      <c r="D149" s="64" t="s">
        <v>119</v>
      </c>
      <c r="E149" s="24" t="s">
        <v>4293</v>
      </c>
      <c r="F149" s="38" t="s">
        <v>4360</v>
      </c>
      <c r="G149" s="110">
        <v>9</v>
      </c>
      <c r="H149" s="38" t="s">
        <v>4403</v>
      </c>
      <c r="I149" s="106"/>
      <c r="J149" s="128"/>
      <c r="K149" s="136" t="s">
        <v>4424</v>
      </c>
      <c r="L149" s="136"/>
      <c r="M149" s="136"/>
      <c r="N149" s="136"/>
      <c r="O149" s="136"/>
      <c r="P149" s="123">
        <v>1170</v>
      </c>
      <c r="Q149" s="123">
        <v>167</v>
      </c>
      <c r="R149" s="130"/>
      <c r="S149" s="139"/>
      <c r="T149" s="124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17"/>
      <c r="AH149" s="24"/>
      <c r="AI149" s="25"/>
      <c r="AJ149" s="25"/>
    </row>
    <row r="150" spans="1:36" x14ac:dyDescent="0.3">
      <c r="A150" s="63">
        <v>144</v>
      </c>
      <c r="B150" s="102" t="s">
        <v>3520</v>
      </c>
      <c r="C150" s="102" t="s">
        <v>3521</v>
      </c>
      <c r="D150" s="64" t="s">
        <v>119</v>
      </c>
      <c r="E150" s="24" t="s">
        <v>4293</v>
      </c>
      <c r="F150" s="38" t="s">
        <v>4360</v>
      </c>
      <c r="G150" s="110">
        <v>9</v>
      </c>
      <c r="H150" s="38" t="s">
        <v>4403</v>
      </c>
      <c r="I150" s="106"/>
      <c r="J150" s="128"/>
      <c r="K150" s="136" t="s">
        <v>4425</v>
      </c>
      <c r="L150" s="136"/>
      <c r="M150" s="136"/>
      <c r="N150" s="136"/>
      <c r="O150" s="136"/>
      <c r="P150" s="123">
        <v>1322</v>
      </c>
      <c r="Q150" s="123">
        <v>232</v>
      </c>
      <c r="R150" s="130"/>
      <c r="S150" s="139"/>
      <c r="T150" s="124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17"/>
      <c r="AH150" s="24"/>
      <c r="AI150" s="25"/>
      <c r="AJ150" s="25"/>
    </row>
    <row r="151" spans="1:36" x14ac:dyDescent="0.3">
      <c r="A151" s="63">
        <v>145</v>
      </c>
      <c r="B151" s="102" t="s">
        <v>3520</v>
      </c>
      <c r="C151" s="102" t="s">
        <v>3521</v>
      </c>
      <c r="D151" s="64" t="s">
        <v>119</v>
      </c>
      <c r="E151" s="24" t="s">
        <v>4293</v>
      </c>
      <c r="F151" s="38" t="s">
        <v>4293</v>
      </c>
      <c r="G151" s="110">
        <v>1</v>
      </c>
      <c r="H151" s="38" t="s">
        <v>4426</v>
      </c>
      <c r="I151" s="106"/>
      <c r="J151" s="128"/>
      <c r="K151" s="136" t="s">
        <v>4427</v>
      </c>
      <c r="L151" s="136"/>
      <c r="M151" s="136"/>
      <c r="N151" s="136"/>
      <c r="O151" s="136"/>
      <c r="P151" s="123">
        <v>1460</v>
      </c>
      <c r="Q151" s="123">
        <v>264</v>
      </c>
      <c r="R151" s="130"/>
      <c r="S151" s="139">
        <v>249</v>
      </c>
      <c r="T151" s="124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17"/>
      <c r="AH151" s="24"/>
      <c r="AI151" s="25"/>
      <c r="AJ151" s="25"/>
    </row>
    <row r="152" spans="1:36" x14ac:dyDescent="0.3">
      <c r="A152" s="63">
        <v>146</v>
      </c>
      <c r="B152" s="102" t="s">
        <v>3520</v>
      </c>
      <c r="C152" s="102" t="s">
        <v>3521</v>
      </c>
      <c r="D152" s="64" t="s">
        <v>119</v>
      </c>
      <c r="E152" s="24" t="s">
        <v>4293</v>
      </c>
      <c r="F152" s="38" t="s">
        <v>4293</v>
      </c>
      <c r="G152" s="110">
        <v>1</v>
      </c>
      <c r="H152" s="38" t="s">
        <v>4426</v>
      </c>
      <c r="I152" s="106"/>
      <c r="J152" s="128"/>
      <c r="K152" s="136" t="s">
        <v>4428</v>
      </c>
      <c r="L152" s="136"/>
      <c r="M152" s="136"/>
      <c r="N152" s="136"/>
      <c r="O152" s="136"/>
      <c r="P152" s="123">
        <v>3451</v>
      </c>
      <c r="Q152" s="123">
        <v>492</v>
      </c>
      <c r="R152" s="130"/>
      <c r="S152" s="139"/>
      <c r="T152" s="124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17"/>
      <c r="AH152" s="24"/>
      <c r="AI152" s="25"/>
      <c r="AJ152" s="25"/>
    </row>
    <row r="153" spans="1:36" x14ac:dyDescent="0.3">
      <c r="A153" s="63">
        <v>147</v>
      </c>
      <c r="B153" s="102" t="s">
        <v>3520</v>
      </c>
      <c r="C153" s="102" t="s">
        <v>3521</v>
      </c>
      <c r="D153" s="64" t="s">
        <v>119</v>
      </c>
      <c r="E153" s="24" t="s">
        <v>4293</v>
      </c>
      <c r="F153" s="38" t="s">
        <v>4293</v>
      </c>
      <c r="G153" s="110">
        <v>2</v>
      </c>
      <c r="H153" s="38" t="s">
        <v>4426</v>
      </c>
      <c r="I153" s="106"/>
      <c r="J153" s="128"/>
      <c r="K153" s="136" t="s">
        <v>4429</v>
      </c>
      <c r="L153" s="136"/>
      <c r="M153" s="136"/>
      <c r="N153" s="136"/>
      <c r="O153" s="136"/>
      <c r="P153" s="123">
        <v>1322</v>
      </c>
      <c r="Q153" s="123">
        <v>220</v>
      </c>
      <c r="R153" s="130"/>
      <c r="S153" s="139"/>
      <c r="T153" s="124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17"/>
      <c r="AH153" s="24"/>
      <c r="AI153" s="25"/>
      <c r="AJ153" s="25"/>
    </row>
    <row r="154" spans="1:36" x14ac:dyDescent="0.3">
      <c r="A154" s="63">
        <v>148</v>
      </c>
      <c r="B154" s="102" t="s">
        <v>3520</v>
      </c>
      <c r="C154" s="102" t="s">
        <v>3521</v>
      </c>
      <c r="D154" s="64" t="s">
        <v>119</v>
      </c>
      <c r="E154" s="24" t="s">
        <v>4293</v>
      </c>
      <c r="F154" s="38" t="s">
        <v>4293</v>
      </c>
      <c r="G154" s="108">
        <v>3</v>
      </c>
      <c r="H154" s="38" t="s">
        <v>4426</v>
      </c>
      <c r="I154" s="106"/>
      <c r="J154" s="128"/>
      <c r="K154" s="136" t="s">
        <v>4430</v>
      </c>
      <c r="L154" s="136"/>
      <c r="M154" s="136"/>
      <c r="N154" s="136"/>
      <c r="O154" s="136"/>
      <c r="P154" s="123">
        <v>2892</v>
      </c>
      <c r="Q154" s="123">
        <v>510</v>
      </c>
      <c r="R154" s="130"/>
      <c r="S154" s="139"/>
      <c r="T154" s="124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17"/>
      <c r="AH154" s="24"/>
      <c r="AI154" s="25"/>
      <c r="AJ154" s="25"/>
    </row>
    <row r="155" spans="1:36" x14ac:dyDescent="0.3">
      <c r="A155" s="63">
        <v>149</v>
      </c>
      <c r="B155" s="102" t="s">
        <v>3520</v>
      </c>
      <c r="C155" s="102" t="s">
        <v>3521</v>
      </c>
      <c r="D155" s="64" t="s">
        <v>119</v>
      </c>
      <c r="E155" s="24" t="s">
        <v>4293</v>
      </c>
      <c r="F155" s="38" t="s">
        <v>4293</v>
      </c>
      <c r="G155" s="108">
        <v>4</v>
      </c>
      <c r="H155" s="38" t="s">
        <v>4431</v>
      </c>
      <c r="I155" s="106"/>
      <c r="J155" s="128"/>
      <c r="K155" s="136" t="s">
        <v>4432</v>
      </c>
      <c r="L155" s="136"/>
      <c r="M155" s="136"/>
      <c r="N155" s="136"/>
      <c r="O155" s="136"/>
      <c r="P155" s="123">
        <v>3685</v>
      </c>
      <c r="Q155" s="123">
        <v>947</v>
      </c>
      <c r="R155" s="130"/>
      <c r="S155" s="139"/>
      <c r="T155" s="124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17"/>
      <c r="AH155" s="24"/>
      <c r="AI155" s="25"/>
      <c r="AJ155" s="25"/>
    </row>
    <row r="156" spans="1:36" x14ac:dyDescent="0.3">
      <c r="A156" s="63">
        <v>150</v>
      </c>
      <c r="B156" s="102" t="s">
        <v>3520</v>
      </c>
      <c r="C156" s="102" t="s">
        <v>3521</v>
      </c>
      <c r="D156" s="64" t="s">
        <v>119</v>
      </c>
      <c r="E156" s="24" t="s">
        <v>4293</v>
      </c>
      <c r="F156" s="38" t="s">
        <v>4293</v>
      </c>
      <c r="G156" s="108">
        <v>4</v>
      </c>
      <c r="H156" s="38" t="s">
        <v>4431</v>
      </c>
      <c r="I156" s="106"/>
      <c r="J156" s="128"/>
      <c r="K156" s="136" t="s">
        <v>4433</v>
      </c>
      <c r="L156" s="136"/>
      <c r="M156" s="136"/>
      <c r="N156" s="136"/>
      <c r="O156" s="136"/>
      <c r="P156" s="123">
        <v>1815</v>
      </c>
      <c r="Q156" s="123">
        <v>572</v>
      </c>
      <c r="R156" s="130"/>
      <c r="S156" s="139"/>
      <c r="T156" s="124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17"/>
      <c r="AH156" s="24"/>
      <c r="AI156" s="25"/>
      <c r="AJ156" s="25"/>
    </row>
    <row r="157" spans="1:36" x14ac:dyDescent="0.3">
      <c r="A157" s="63">
        <v>151</v>
      </c>
      <c r="B157" s="102" t="s">
        <v>3520</v>
      </c>
      <c r="C157" s="102" t="s">
        <v>3521</v>
      </c>
      <c r="D157" s="64" t="s">
        <v>119</v>
      </c>
      <c r="E157" s="24" t="s">
        <v>4293</v>
      </c>
      <c r="F157" s="38" t="s">
        <v>4293</v>
      </c>
      <c r="G157" s="108">
        <v>4</v>
      </c>
      <c r="H157" s="38" t="s">
        <v>4431</v>
      </c>
      <c r="I157" s="106"/>
      <c r="J157" s="128"/>
      <c r="K157" s="136" t="s">
        <v>4434</v>
      </c>
      <c r="L157" s="136"/>
      <c r="M157" s="136"/>
      <c r="N157" s="136"/>
      <c r="O157" s="136"/>
      <c r="P157" s="123">
        <v>445</v>
      </c>
      <c r="Q157" s="123">
        <v>154</v>
      </c>
      <c r="R157" s="130"/>
      <c r="S157" s="139"/>
      <c r="T157" s="124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17"/>
      <c r="AH157" s="24"/>
      <c r="AI157" s="25"/>
      <c r="AJ157" s="25"/>
    </row>
    <row r="158" spans="1:36" x14ac:dyDescent="0.3">
      <c r="A158" s="63">
        <v>152</v>
      </c>
      <c r="B158" s="102" t="s">
        <v>3520</v>
      </c>
      <c r="C158" s="102" t="s">
        <v>3521</v>
      </c>
      <c r="D158" s="64" t="s">
        <v>119</v>
      </c>
      <c r="E158" s="24" t="s">
        <v>4293</v>
      </c>
      <c r="F158" s="38" t="s">
        <v>4293</v>
      </c>
      <c r="G158" s="108">
        <v>4</v>
      </c>
      <c r="H158" s="38" t="s">
        <v>4431</v>
      </c>
      <c r="I158" s="106"/>
      <c r="J158" s="128"/>
      <c r="K158" s="136" t="s">
        <v>4435</v>
      </c>
      <c r="L158" s="136"/>
      <c r="M158" s="136"/>
      <c r="N158" s="136"/>
      <c r="O158" s="136"/>
      <c r="P158" s="123">
        <v>165</v>
      </c>
      <c r="Q158" s="123">
        <v>40</v>
      </c>
      <c r="R158" s="130"/>
      <c r="S158" s="139"/>
      <c r="T158" s="124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17"/>
      <c r="AH158" s="24"/>
      <c r="AI158" s="25"/>
      <c r="AJ158" s="25"/>
    </row>
    <row r="159" spans="1:36" x14ac:dyDescent="0.3">
      <c r="A159" s="63">
        <v>153</v>
      </c>
      <c r="B159" s="102" t="s">
        <v>3520</v>
      </c>
      <c r="C159" s="102" t="s">
        <v>3521</v>
      </c>
      <c r="D159" s="64" t="s">
        <v>119</v>
      </c>
      <c r="E159" s="24" t="s">
        <v>4293</v>
      </c>
      <c r="F159" s="38" t="s">
        <v>4293</v>
      </c>
      <c r="G159" s="108">
        <v>5</v>
      </c>
      <c r="H159" s="38" t="s">
        <v>4431</v>
      </c>
      <c r="I159" s="106"/>
      <c r="J159" s="128"/>
      <c r="K159" s="136" t="s">
        <v>4436</v>
      </c>
      <c r="L159" s="136"/>
      <c r="M159" s="136"/>
      <c r="N159" s="136"/>
      <c r="O159" s="136"/>
      <c r="P159" s="123">
        <v>1338</v>
      </c>
      <c r="Q159" s="123">
        <v>391</v>
      </c>
      <c r="R159" s="130"/>
      <c r="S159" s="139">
        <v>667</v>
      </c>
      <c r="T159" s="124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17"/>
      <c r="AH159" s="24"/>
      <c r="AI159" s="25"/>
      <c r="AJ159" s="25"/>
    </row>
    <row r="160" spans="1:36" x14ac:dyDescent="0.3">
      <c r="A160" s="63">
        <v>154</v>
      </c>
      <c r="B160" s="102" t="s">
        <v>3520</v>
      </c>
      <c r="C160" s="102" t="s">
        <v>3521</v>
      </c>
      <c r="D160" s="64" t="s">
        <v>119</v>
      </c>
      <c r="E160" s="24" t="s">
        <v>4293</v>
      </c>
      <c r="F160" s="38" t="s">
        <v>4293</v>
      </c>
      <c r="G160" s="137">
        <v>5</v>
      </c>
      <c r="H160" s="38" t="s">
        <v>4431</v>
      </c>
      <c r="I160" s="106"/>
      <c r="J160" s="128"/>
      <c r="K160" s="136" t="s">
        <v>4437</v>
      </c>
      <c r="L160" s="136"/>
      <c r="M160" s="136"/>
      <c r="N160" s="136"/>
      <c r="O160" s="136"/>
      <c r="P160" s="123">
        <v>244</v>
      </c>
      <c r="Q160" s="123">
        <v>70</v>
      </c>
      <c r="R160" s="130"/>
      <c r="S160" s="139"/>
      <c r="T160" s="124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17"/>
      <c r="AH160" s="24"/>
      <c r="AI160" s="25"/>
      <c r="AJ160" s="25"/>
    </row>
    <row r="161" spans="1:36" x14ac:dyDescent="0.3">
      <c r="A161" s="63">
        <v>155</v>
      </c>
      <c r="B161" s="102" t="s">
        <v>3520</v>
      </c>
      <c r="C161" s="102" t="s">
        <v>3521</v>
      </c>
      <c r="D161" s="64" t="s">
        <v>119</v>
      </c>
      <c r="E161" s="24" t="s">
        <v>4293</v>
      </c>
      <c r="F161" s="38" t="s">
        <v>4293</v>
      </c>
      <c r="G161" s="137">
        <v>5</v>
      </c>
      <c r="H161" s="38" t="s">
        <v>4431</v>
      </c>
      <c r="I161" s="106"/>
      <c r="J161" s="128"/>
      <c r="K161" s="136" t="s">
        <v>4438</v>
      </c>
      <c r="L161" s="136"/>
      <c r="M161" s="136"/>
      <c r="N161" s="136"/>
      <c r="O161" s="136"/>
      <c r="P161" s="123">
        <v>492</v>
      </c>
      <c r="Q161" s="123">
        <v>159</v>
      </c>
      <c r="R161" s="130"/>
      <c r="S161" s="139"/>
      <c r="T161" s="124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17"/>
      <c r="AH161" s="24"/>
      <c r="AI161" s="25"/>
      <c r="AJ161" s="25"/>
    </row>
    <row r="162" spans="1:36" x14ac:dyDescent="0.3">
      <c r="A162" s="63">
        <v>156</v>
      </c>
      <c r="B162" s="102" t="s">
        <v>3520</v>
      </c>
      <c r="C162" s="102" t="s">
        <v>3521</v>
      </c>
      <c r="D162" s="64" t="s">
        <v>119</v>
      </c>
      <c r="E162" s="24" t="s">
        <v>4293</v>
      </c>
      <c r="F162" s="38" t="s">
        <v>4293</v>
      </c>
      <c r="G162" s="137">
        <v>5</v>
      </c>
      <c r="H162" s="38" t="s">
        <v>4431</v>
      </c>
      <c r="I162" s="106"/>
      <c r="J162" s="128"/>
      <c r="K162" s="136" t="s">
        <v>4439</v>
      </c>
      <c r="L162" s="136"/>
      <c r="M162" s="136"/>
      <c r="N162" s="136"/>
      <c r="O162" s="136"/>
      <c r="P162" s="123">
        <v>1348</v>
      </c>
      <c r="Q162" s="123">
        <v>395</v>
      </c>
      <c r="R162" s="130"/>
      <c r="S162" s="139">
        <v>299</v>
      </c>
      <c r="T162" s="124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17"/>
      <c r="AH162" s="24"/>
      <c r="AI162" s="25"/>
      <c r="AJ162" s="25"/>
    </row>
    <row r="163" spans="1:36" x14ac:dyDescent="0.3">
      <c r="A163" s="63">
        <v>157</v>
      </c>
      <c r="B163" s="102" t="s">
        <v>3520</v>
      </c>
      <c r="C163" s="102" t="s">
        <v>3521</v>
      </c>
      <c r="D163" s="64" t="s">
        <v>119</v>
      </c>
      <c r="E163" s="24" t="s">
        <v>4293</v>
      </c>
      <c r="F163" s="38" t="s">
        <v>4293</v>
      </c>
      <c r="G163" s="108">
        <v>5</v>
      </c>
      <c r="H163" s="38" t="s">
        <v>4431</v>
      </c>
      <c r="I163" s="106"/>
      <c r="J163" s="128"/>
      <c r="K163" s="132" t="s">
        <v>4440</v>
      </c>
      <c r="L163" s="132"/>
      <c r="M163" s="132"/>
      <c r="N163" s="132"/>
      <c r="O163" s="132"/>
      <c r="P163" s="123">
        <v>1288</v>
      </c>
      <c r="Q163" s="123">
        <v>380</v>
      </c>
      <c r="R163" s="130"/>
      <c r="S163" s="139">
        <v>60</v>
      </c>
      <c r="T163" s="124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17"/>
      <c r="AH163" s="24"/>
      <c r="AI163" s="25"/>
      <c r="AJ163" s="25"/>
    </row>
    <row r="164" spans="1:36" x14ac:dyDescent="0.3">
      <c r="A164" s="63">
        <v>158</v>
      </c>
      <c r="B164" s="102" t="s">
        <v>3520</v>
      </c>
      <c r="C164" s="102" t="s">
        <v>3521</v>
      </c>
      <c r="D164" s="64" t="s">
        <v>119</v>
      </c>
      <c r="E164" s="24" t="s">
        <v>4293</v>
      </c>
      <c r="F164" s="38" t="s">
        <v>4293</v>
      </c>
      <c r="G164" s="108">
        <v>5</v>
      </c>
      <c r="H164" s="38" t="s">
        <v>4431</v>
      </c>
      <c r="I164" s="106"/>
      <c r="J164" s="128"/>
      <c r="K164" s="132" t="s">
        <v>4441</v>
      </c>
      <c r="L164" s="132"/>
      <c r="M164" s="132"/>
      <c r="N164" s="132"/>
      <c r="O164" s="132"/>
      <c r="P164" s="123">
        <v>208</v>
      </c>
      <c r="Q164" s="123">
        <v>44</v>
      </c>
      <c r="R164" s="130"/>
      <c r="S164" s="139"/>
      <c r="T164" s="124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17"/>
      <c r="AH164" s="24"/>
      <c r="AI164" s="25"/>
      <c r="AJ164" s="25"/>
    </row>
    <row r="165" spans="1:36" x14ac:dyDescent="0.3">
      <c r="A165" s="63">
        <v>159</v>
      </c>
      <c r="B165" s="102" t="s">
        <v>3520</v>
      </c>
      <c r="C165" s="102" t="s">
        <v>3521</v>
      </c>
      <c r="D165" s="64" t="s">
        <v>119</v>
      </c>
      <c r="E165" s="24" t="s">
        <v>4293</v>
      </c>
      <c r="F165" s="38" t="s">
        <v>4293</v>
      </c>
      <c r="G165" s="108">
        <v>6</v>
      </c>
      <c r="H165" s="38" t="s">
        <v>4431</v>
      </c>
      <c r="I165" s="106"/>
      <c r="J165" s="128"/>
      <c r="K165" s="136" t="s">
        <v>4442</v>
      </c>
      <c r="L165" s="136"/>
      <c r="M165" s="136"/>
      <c r="N165" s="136"/>
      <c r="O165" s="136"/>
      <c r="P165" s="123">
        <v>1181</v>
      </c>
      <c r="Q165" s="123">
        <v>350</v>
      </c>
      <c r="R165" s="130"/>
      <c r="S165" s="139"/>
      <c r="T165" s="124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17"/>
      <c r="AH165" s="24"/>
      <c r="AI165" s="25"/>
      <c r="AJ165" s="25"/>
    </row>
    <row r="166" spans="1:36" x14ac:dyDescent="0.3">
      <c r="A166" s="63">
        <v>160</v>
      </c>
      <c r="B166" s="102" t="s">
        <v>3520</v>
      </c>
      <c r="C166" s="102" t="s">
        <v>3521</v>
      </c>
      <c r="D166" s="64" t="s">
        <v>119</v>
      </c>
      <c r="E166" s="24" t="s">
        <v>4293</v>
      </c>
      <c r="F166" s="38" t="s">
        <v>4293</v>
      </c>
      <c r="G166" s="108">
        <v>6</v>
      </c>
      <c r="H166" s="38" t="s">
        <v>4431</v>
      </c>
      <c r="I166" s="106"/>
      <c r="J166" s="128"/>
      <c r="K166" s="136" t="s">
        <v>160</v>
      </c>
      <c r="L166" s="136"/>
      <c r="M166" s="136"/>
      <c r="N166" s="136"/>
      <c r="O166" s="136"/>
      <c r="P166" s="123">
        <v>581</v>
      </c>
      <c r="Q166" s="123">
        <v>250</v>
      </c>
      <c r="R166" s="130"/>
      <c r="S166" s="139"/>
      <c r="T166" s="124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17"/>
      <c r="AH166" s="24"/>
      <c r="AI166" s="25"/>
      <c r="AJ166" s="25"/>
    </row>
    <row r="167" spans="1:36" x14ac:dyDescent="0.3">
      <c r="A167" s="63">
        <v>161</v>
      </c>
      <c r="B167" s="102" t="s">
        <v>3520</v>
      </c>
      <c r="C167" s="102" t="s">
        <v>3521</v>
      </c>
      <c r="D167" s="64" t="s">
        <v>119</v>
      </c>
      <c r="E167" s="24" t="s">
        <v>4293</v>
      </c>
      <c r="F167" s="38" t="s">
        <v>4293</v>
      </c>
      <c r="G167" s="108">
        <v>6</v>
      </c>
      <c r="H167" s="38" t="s">
        <v>4431</v>
      </c>
      <c r="I167" s="106"/>
      <c r="J167" s="128"/>
      <c r="K167" s="136" t="s">
        <v>4443</v>
      </c>
      <c r="L167" s="136"/>
      <c r="M167" s="136"/>
      <c r="N167" s="136"/>
      <c r="O167" s="136"/>
      <c r="P167" s="123">
        <v>1390</v>
      </c>
      <c r="Q167" s="123">
        <v>438</v>
      </c>
      <c r="R167" s="130"/>
      <c r="S167" s="139">
        <v>543</v>
      </c>
      <c r="T167" s="124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17"/>
      <c r="AH167" s="24"/>
      <c r="AI167" s="25"/>
      <c r="AJ167" s="25"/>
    </row>
    <row r="168" spans="1:36" x14ac:dyDescent="0.3">
      <c r="A168" s="63">
        <v>162</v>
      </c>
      <c r="B168" s="102" t="s">
        <v>3520</v>
      </c>
      <c r="C168" s="102" t="s">
        <v>3521</v>
      </c>
      <c r="D168" s="64" t="s">
        <v>119</v>
      </c>
      <c r="E168" s="24" t="s">
        <v>4293</v>
      </c>
      <c r="F168" s="38" t="s">
        <v>4293</v>
      </c>
      <c r="G168" s="108">
        <v>7</v>
      </c>
      <c r="H168" s="38" t="s">
        <v>4444</v>
      </c>
      <c r="I168" s="106"/>
      <c r="J168" s="128"/>
      <c r="K168" s="136" t="s">
        <v>4445</v>
      </c>
      <c r="L168" s="136"/>
      <c r="M168" s="136"/>
      <c r="N168" s="136"/>
      <c r="O168" s="136"/>
      <c r="P168" s="123">
        <v>2541</v>
      </c>
      <c r="Q168" s="123">
        <v>725</v>
      </c>
      <c r="R168" s="130"/>
      <c r="S168" s="139">
        <v>1569</v>
      </c>
      <c r="T168" s="124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17"/>
      <c r="AH168" s="24"/>
      <c r="AI168" s="25"/>
      <c r="AJ168" s="25"/>
    </row>
    <row r="169" spans="1:36" x14ac:dyDescent="0.3">
      <c r="A169" s="63">
        <v>163</v>
      </c>
      <c r="B169" s="102" t="s">
        <v>3520</v>
      </c>
      <c r="C169" s="102" t="s">
        <v>3521</v>
      </c>
      <c r="D169" s="64" t="s">
        <v>119</v>
      </c>
      <c r="E169" s="24" t="s">
        <v>4293</v>
      </c>
      <c r="F169" s="38" t="s">
        <v>4293</v>
      </c>
      <c r="G169" s="108">
        <v>7</v>
      </c>
      <c r="H169" s="38" t="s">
        <v>4444</v>
      </c>
      <c r="I169" s="106"/>
      <c r="J169" s="128"/>
      <c r="K169" s="136" t="s">
        <v>4446</v>
      </c>
      <c r="L169" s="136"/>
      <c r="M169" s="136"/>
      <c r="N169" s="136"/>
      <c r="O169" s="136"/>
      <c r="P169" s="123">
        <v>1650</v>
      </c>
      <c r="Q169" s="123">
        <v>455</v>
      </c>
      <c r="R169" s="130"/>
      <c r="S169" s="139">
        <v>553</v>
      </c>
      <c r="T169" s="124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17"/>
      <c r="AH169" s="24"/>
      <c r="AI169" s="25"/>
      <c r="AJ169" s="25"/>
    </row>
    <row r="170" spans="1:36" x14ac:dyDescent="0.3">
      <c r="A170" s="63">
        <v>164</v>
      </c>
      <c r="B170" s="102" t="s">
        <v>3520</v>
      </c>
      <c r="C170" s="102" t="s">
        <v>3521</v>
      </c>
      <c r="D170" s="64" t="s">
        <v>119</v>
      </c>
      <c r="E170" s="24" t="s">
        <v>4293</v>
      </c>
      <c r="F170" s="38" t="s">
        <v>4293</v>
      </c>
      <c r="G170" s="108">
        <v>7</v>
      </c>
      <c r="H170" s="38" t="s">
        <v>4444</v>
      </c>
      <c r="I170" s="106"/>
      <c r="J170" s="128"/>
      <c r="K170" s="136" t="s">
        <v>4447</v>
      </c>
      <c r="L170" s="136"/>
      <c r="M170" s="136"/>
      <c r="N170" s="136"/>
      <c r="O170" s="136"/>
      <c r="P170" s="123">
        <v>1784</v>
      </c>
      <c r="Q170" s="123">
        <v>375</v>
      </c>
      <c r="R170" s="130"/>
      <c r="S170" s="139">
        <v>1108</v>
      </c>
      <c r="T170" s="124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17"/>
      <c r="AH170" s="24"/>
      <c r="AI170" s="25"/>
      <c r="AJ170" s="25"/>
    </row>
    <row r="171" spans="1:36" x14ac:dyDescent="0.3">
      <c r="A171" s="63">
        <v>165</v>
      </c>
      <c r="B171" s="102" t="s">
        <v>3520</v>
      </c>
      <c r="C171" s="102" t="s">
        <v>3521</v>
      </c>
      <c r="D171" s="64" t="s">
        <v>119</v>
      </c>
      <c r="E171" s="24" t="s">
        <v>4293</v>
      </c>
      <c r="F171" s="38" t="s">
        <v>4293</v>
      </c>
      <c r="G171" s="108">
        <v>7</v>
      </c>
      <c r="H171" s="38" t="s">
        <v>4444</v>
      </c>
      <c r="I171" s="106"/>
      <c r="J171" s="128"/>
      <c r="K171" s="136" t="s">
        <v>4448</v>
      </c>
      <c r="L171" s="136"/>
      <c r="M171" s="136"/>
      <c r="N171" s="136"/>
      <c r="O171" s="136"/>
      <c r="P171" s="123">
        <v>1093</v>
      </c>
      <c r="Q171" s="123">
        <v>243</v>
      </c>
      <c r="R171" s="130"/>
      <c r="S171" s="139"/>
      <c r="T171" s="124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17"/>
      <c r="AH171" s="24"/>
      <c r="AI171" s="25"/>
      <c r="AJ171" s="25"/>
    </row>
    <row r="172" spans="1:36" x14ac:dyDescent="0.3">
      <c r="A172" s="63">
        <v>166</v>
      </c>
      <c r="B172" s="102" t="s">
        <v>3520</v>
      </c>
      <c r="C172" s="102" t="s">
        <v>3521</v>
      </c>
      <c r="D172" s="64" t="s">
        <v>119</v>
      </c>
      <c r="E172" s="24" t="s">
        <v>4293</v>
      </c>
      <c r="F172" s="38" t="s">
        <v>4293</v>
      </c>
      <c r="G172" s="120">
        <v>7</v>
      </c>
      <c r="H172" s="38" t="s">
        <v>4444</v>
      </c>
      <c r="I172" s="106"/>
      <c r="J172" s="128"/>
      <c r="K172" s="132" t="s">
        <v>4449</v>
      </c>
      <c r="L172" s="132"/>
      <c r="M172" s="132"/>
      <c r="N172" s="132"/>
      <c r="O172" s="132"/>
      <c r="P172" s="123">
        <v>3250</v>
      </c>
      <c r="Q172" s="123">
        <v>733</v>
      </c>
      <c r="R172" s="130"/>
      <c r="S172" s="139">
        <v>50</v>
      </c>
      <c r="T172" s="124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17"/>
      <c r="AH172" s="24"/>
      <c r="AI172" s="25"/>
      <c r="AJ172" s="25"/>
    </row>
    <row r="173" spans="1:36" x14ac:dyDescent="0.3">
      <c r="A173" s="63">
        <v>167</v>
      </c>
      <c r="B173" s="102" t="s">
        <v>3520</v>
      </c>
      <c r="C173" s="102" t="s">
        <v>3521</v>
      </c>
      <c r="D173" s="64" t="s">
        <v>119</v>
      </c>
      <c r="E173" s="24" t="s">
        <v>4293</v>
      </c>
      <c r="F173" s="38" t="s">
        <v>4293</v>
      </c>
      <c r="G173" s="140">
        <v>8</v>
      </c>
      <c r="H173" s="38" t="s">
        <v>4444</v>
      </c>
      <c r="I173" s="106"/>
      <c r="J173" s="128"/>
      <c r="K173" s="136" t="s">
        <v>4450</v>
      </c>
      <c r="L173" s="136"/>
      <c r="M173" s="136"/>
      <c r="N173" s="136"/>
      <c r="O173" s="136"/>
      <c r="P173" s="123">
        <v>1317</v>
      </c>
      <c r="Q173" s="123">
        <v>312</v>
      </c>
      <c r="R173" s="130"/>
      <c r="S173" s="139"/>
      <c r="T173" s="124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17"/>
      <c r="AH173" s="24"/>
      <c r="AI173" s="25"/>
      <c r="AJ173" s="25"/>
    </row>
    <row r="174" spans="1:36" x14ac:dyDescent="0.3">
      <c r="A174" s="63">
        <v>168</v>
      </c>
      <c r="B174" s="102" t="s">
        <v>3520</v>
      </c>
      <c r="C174" s="102" t="s">
        <v>3521</v>
      </c>
      <c r="D174" s="64" t="s">
        <v>119</v>
      </c>
      <c r="E174" s="24" t="s">
        <v>4293</v>
      </c>
      <c r="F174" s="38" t="s">
        <v>4293</v>
      </c>
      <c r="G174" s="120">
        <v>8</v>
      </c>
      <c r="H174" s="38" t="s">
        <v>4444</v>
      </c>
      <c r="I174" s="106"/>
      <c r="J174" s="128"/>
      <c r="K174" s="136" t="s">
        <v>4437</v>
      </c>
      <c r="L174" s="136"/>
      <c r="M174" s="136"/>
      <c r="N174" s="136"/>
      <c r="O174" s="136"/>
      <c r="P174" s="123">
        <v>348</v>
      </c>
      <c r="Q174" s="123">
        <v>81</v>
      </c>
      <c r="R174" s="130"/>
      <c r="S174" s="139"/>
      <c r="T174" s="124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17"/>
      <c r="AH174" s="24"/>
      <c r="AI174" s="25"/>
      <c r="AJ174" s="25"/>
    </row>
    <row r="175" spans="1:36" x14ac:dyDescent="0.3">
      <c r="A175" s="63">
        <v>169</v>
      </c>
      <c r="B175" s="102" t="s">
        <v>3520</v>
      </c>
      <c r="C175" s="102" t="s">
        <v>3521</v>
      </c>
      <c r="D175" s="64" t="s">
        <v>119</v>
      </c>
      <c r="E175" s="24" t="s">
        <v>4293</v>
      </c>
      <c r="F175" s="38" t="s">
        <v>4293</v>
      </c>
      <c r="G175" s="140">
        <v>8</v>
      </c>
      <c r="H175" s="38" t="s">
        <v>4444</v>
      </c>
      <c r="I175" s="106"/>
      <c r="J175" s="128"/>
      <c r="K175" s="136" t="s">
        <v>4451</v>
      </c>
      <c r="L175" s="136"/>
      <c r="M175" s="136"/>
      <c r="N175" s="136"/>
      <c r="O175" s="136"/>
      <c r="P175" s="123">
        <v>307</v>
      </c>
      <c r="Q175" s="123">
        <v>86</v>
      </c>
      <c r="R175" s="130"/>
      <c r="S175" s="139"/>
      <c r="T175" s="124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17"/>
      <c r="AH175" s="24"/>
      <c r="AI175" s="25"/>
      <c r="AJ175" s="25"/>
    </row>
    <row r="176" spans="1:36" x14ac:dyDescent="0.3">
      <c r="A176" s="63">
        <v>170</v>
      </c>
      <c r="B176" s="102" t="s">
        <v>3520</v>
      </c>
      <c r="C176" s="102" t="s">
        <v>3521</v>
      </c>
      <c r="D176" s="64" t="s">
        <v>119</v>
      </c>
      <c r="E176" s="24" t="s">
        <v>4293</v>
      </c>
      <c r="F176" s="38" t="s">
        <v>4293</v>
      </c>
      <c r="G176" s="120">
        <v>8</v>
      </c>
      <c r="H176" s="38" t="s">
        <v>4444</v>
      </c>
      <c r="I176" s="106"/>
      <c r="J176" s="128"/>
      <c r="K176" s="136" t="s">
        <v>4452</v>
      </c>
      <c r="L176" s="136"/>
      <c r="M176" s="136"/>
      <c r="N176" s="136"/>
      <c r="O176" s="136"/>
      <c r="P176" s="123">
        <v>664</v>
      </c>
      <c r="Q176" s="123">
        <v>178</v>
      </c>
      <c r="R176" s="130"/>
      <c r="S176" s="139"/>
      <c r="T176" s="124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17"/>
      <c r="AH176" s="24"/>
      <c r="AI176" s="25"/>
      <c r="AJ176" s="25"/>
    </row>
    <row r="177" spans="1:36" x14ac:dyDescent="0.3">
      <c r="A177" s="63">
        <v>171</v>
      </c>
      <c r="B177" s="102" t="s">
        <v>3520</v>
      </c>
      <c r="C177" s="102" t="s">
        <v>3521</v>
      </c>
      <c r="D177" s="64" t="s">
        <v>119</v>
      </c>
      <c r="E177" s="24" t="s">
        <v>4293</v>
      </c>
      <c r="F177" s="38" t="s">
        <v>4293</v>
      </c>
      <c r="G177" s="137">
        <v>8</v>
      </c>
      <c r="H177" s="38" t="s">
        <v>4444</v>
      </c>
      <c r="I177" s="106"/>
      <c r="J177" s="128"/>
      <c r="K177" s="136" t="s">
        <v>4453</v>
      </c>
      <c r="L177" s="136"/>
      <c r="M177" s="136"/>
      <c r="N177" s="136"/>
      <c r="O177" s="136"/>
      <c r="P177" s="123">
        <v>984</v>
      </c>
      <c r="Q177" s="123">
        <v>255</v>
      </c>
      <c r="R177" s="130"/>
      <c r="S177" s="139"/>
      <c r="T177" s="124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17"/>
      <c r="AH177" s="24"/>
      <c r="AI177" s="25"/>
      <c r="AJ177" s="25"/>
    </row>
    <row r="178" spans="1:36" x14ac:dyDescent="0.3">
      <c r="A178" s="63">
        <v>172</v>
      </c>
      <c r="B178" s="102" t="s">
        <v>3520</v>
      </c>
      <c r="C178" s="102" t="s">
        <v>3521</v>
      </c>
      <c r="D178" s="64" t="s">
        <v>119</v>
      </c>
      <c r="E178" s="24" t="s">
        <v>4293</v>
      </c>
      <c r="F178" s="38" t="s">
        <v>4293</v>
      </c>
      <c r="G178" s="137">
        <v>9</v>
      </c>
      <c r="H178" s="38" t="s">
        <v>4454</v>
      </c>
      <c r="I178" s="106"/>
      <c r="J178" s="128"/>
      <c r="K178" s="136" t="s">
        <v>4455</v>
      </c>
      <c r="L178" s="136"/>
      <c r="M178" s="136"/>
      <c r="N178" s="136"/>
      <c r="O178" s="136"/>
      <c r="P178" s="123">
        <v>385</v>
      </c>
      <c r="Q178" s="123">
        <v>81</v>
      </c>
      <c r="R178" s="130"/>
      <c r="S178" s="139">
        <v>240</v>
      </c>
      <c r="T178" s="124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17"/>
      <c r="AH178" s="24"/>
      <c r="AI178" s="25"/>
      <c r="AJ178" s="25"/>
    </row>
    <row r="179" spans="1:36" x14ac:dyDescent="0.3">
      <c r="A179" s="63">
        <v>173</v>
      </c>
      <c r="B179" s="102" t="s">
        <v>3520</v>
      </c>
      <c r="C179" s="102" t="s">
        <v>3521</v>
      </c>
      <c r="D179" s="64" t="s">
        <v>119</v>
      </c>
      <c r="E179" s="24" t="s">
        <v>4293</v>
      </c>
      <c r="F179" s="38" t="s">
        <v>4293</v>
      </c>
      <c r="G179" s="137">
        <v>9</v>
      </c>
      <c r="H179" s="38" t="s">
        <v>4454</v>
      </c>
      <c r="I179" s="106"/>
      <c r="J179" s="128"/>
      <c r="K179" s="136" t="s">
        <v>4456</v>
      </c>
      <c r="L179" s="136"/>
      <c r="M179" s="136"/>
      <c r="N179" s="136"/>
      <c r="O179" s="136"/>
      <c r="P179" s="123">
        <v>1092</v>
      </c>
      <c r="Q179" s="123">
        <v>232</v>
      </c>
      <c r="R179" s="130"/>
      <c r="S179" s="139">
        <v>45</v>
      </c>
      <c r="T179" s="124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17"/>
      <c r="AH179" s="24"/>
      <c r="AI179" s="25"/>
      <c r="AJ179" s="25"/>
    </row>
    <row r="180" spans="1:36" x14ac:dyDescent="0.3">
      <c r="A180" s="63">
        <v>174</v>
      </c>
      <c r="B180" s="102" t="s">
        <v>3520</v>
      </c>
      <c r="C180" s="102" t="s">
        <v>3521</v>
      </c>
      <c r="D180" s="64" t="s">
        <v>119</v>
      </c>
      <c r="E180" s="24" t="s">
        <v>4293</v>
      </c>
      <c r="F180" s="38" t="s">
        <v>4293</v>
      </c>
      <c r="G180" s="137">
        <v>9</v>
      </c>
      <c r="H180" s="38" t="s">
        <v>4454</v>
      </c>
      <c r="I180" s="106"/>
      <c r="J180" s="128"/>
      <c r="K180" s="136" t="s">
        <v>4457</v>
      </c>
      <c r="L180" s="136"/>
      <c r="M180" s="136"/>
      <c r="N180" s="136"/>
      <c r="O180" s="136"/>
      <c r="P180" s="123">
        <v>787</v>
      </c>
      <c r="Q180" s="123">
        <v>158</v>
      </c>
      <c r="R180" s="130"/>
      <c r="S180" s="139"/>
      <c r="T180" s="124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17"/>
      <c r="AH180" s="24"/>
      <c r="AI180" s="25"/>
      <c r="AJ180" s="25"/>
    </row>
    <row r="181" spans="1:36" x14ac:dyDescent="0.3">
      <c r="A181" s="63">
        <v>175</v>
      </c>
      <c r="B181" s="102" t="s">
        <v>3520</v>
      </c>
      <c r="C181" s="102" t="s">
        <v>3521</v>
      </c>
      <c r="D181" s="64" t="s">
        <v>119</v>
      </c>
      <c r="E181" s="24" t="s">
        <v>4293</v>
      </c>
      <c r="F181" s="38" t="s">
        <v>4293</v>
      </c>
      <c r="G181" s="137">
        <v>9</v>
      </c>
      <c r="H181" s="38" t="s">
        <v>4454</v>
      </c>
      <c r="I181" s="106"/>
      <c r="J181" s="128"/>
      <c r="K181" s="136" t="s">
        <v>4458</v>
      </c>
      <c r="L181" s="136"/>
      <c r="M181" s="136"/>
      <c r="N181" s="136"/>
      <c r="O181" s="136"/>
      <c r="P181" s="123">
        <v>2113</v>
      </c>
      <c r="Q181" s="123">
        <v>443</v>
      </c>
      <c r="R181" s="130"/>
      <c r="S181" s="139"/>
      <c r="T181" s="124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17"/>
      <c r="AH181" s="24"/>
      <c r="AI181" s="25"/>
      <c r="AJ181" s="25"/>
    </row>
    <row r="182" spans="1:36" x14ac:dyDescent="0.3">
      <c r="A182" s="63">
        <v>176</v>
      </c>
      <c r="B182" s="102" t="s">
        <v>3520</v>
      </c>
      <c r="C182" s="102" t="s">
        <v>3521</v>
      </c>
      <c r="D182" s="64" t="s">
        <v>119</v>
      </c>
      <c r="E182" s="24" t="s">
        <v>4293</v>
      </c>
      <c r="F182" s="38" t="s">
        <v>650</v>
      </c>
      <c r="G182" s="137">
        <v>1</v>
      </c>
      <c r="H182" s="38" t="s">
        <v>4459</v>
      </c>
      <c r="I182" s="106"/>
      <c r="J182" s="128"/>
      <c r="K182" s="136" t="s">
        <v>4460</v>
      </c>
      <c r="L182" s="136"/>
      <c r="M182" s="136"/>
      <c r="N182" s="136"/>
      <c r="O182" s="136"/>
      <c r="P182" s="123">
        <v>780</v>
      </c>
      <c r="Q182" s="123">
        <v>175</v>
      </c>
      <c r="R182" s="130"/>
      <c r="S182" s="139">
        <v>201</v>
      </c>
      <c r="T182" s="124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17"/>
      <c r="AH182" s="24"/>
      <c r="AI182" s="25"/>
      <c r="AJ182" s="25"/>
    </row>
    <row r="183" spans="1:36" x14ac:dyDescent="0.3">
      <c r="A183" s="63">
        <v>177</v>
      </c>
      <c r="B183" s="102" t="s">
        <v>3520</v>
      </c>
      <c r="C183" s="102" t="s">
        <v>3521</v>
      </c>
      <c r="D183" s="64" t="s">
        <v>119</v>
      </c>
      <c r="E183" s="24" t="s">
        <v>4293</v>
      </c>
      <c r="F183" s="38" t="s">
        <v>650</v>
      </c>
      <c r="G183" s="108">
        <v>1</v>
      </c>
      <c r="H183" s="38" t="s">
        <v>4459</v>
      </c>
      <c r="I183" s="106"/>
      <c r="J183" s="128"/>
      <c r="K183" s="136" t="s">
        <v>4461</v>
      </c>
      <c r="L183" s="136"/>
      <c r="M183" s="136"/>
      <c r="N183" s="136"/>
      <c r="O183" s="136"/>
      <c r="P183" s="123">
        <v>1970</v>
      </c>
      <c r="Q183" s="123">
        <v>460</v>
      </c>
      <c r="R183" s="130"/>
      <c r="S183" s="139"/>
      <c r="T183" s="124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17"/>
      <c r="AH183" s="24"/>
      <c r="AI183" s="25"/>
      <c r="AJ183" s="25"/>
    </row>
    <row r="184" spans="1:36" x14ac:dyDescent="0.3">
      <c r="A184" s="63">
        <v>178</v>
      </c>
      <c r="B184" s="102" t="s">
        <v>3520</v>
      </c>
      <c r="C184" s="102" t="s">
        <v>3521</v>
      </c>
      <c r="D184" s="64" t="s">
        <v>119</v>
      </c>
      <c r="E184" s="24" t="s">
        <v>4293</v>
      </c>
      <c r="F184" s="38" t="s">
        <v>650</v>
      </c>
      <c r="G184" s="108">
        <v>1</v>
      </c>
      <c r="H184" s="38" t="s">
        <v>4459</v>
      </c>
      <c r="I184" s="106"/>
      <c r="J184" s="128"/>
      <c r="K184" s="136" t="s">
        <v>4462</v>
      </c>
      <c r="L184" s="136"/>
      <c r="M184" s="136"/>
      <c r="N184" s="136"/>
      <c r="O184" s="136"/>
      <c r="P184" s="123">
        <v>1100</v>
      </c>
      <c r="Q184" s="123">
        <v>235</v>
      </c>
      <c r="R184" s="130"/>
      <c r="S184" s="139"/>
      <c r="T184" s="124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17"/>
      <c r="AH184" s="24"/>
      <c r="AI184" s="25"/>
      <c r="AJ184" s="25"/>
    </row>
    <row r="185" spans="1:36" x14ac:dyDescent="0.3">
      <c r="A185" s="63">
        <v>179</v>
      </c>
      <c r="B185" s="102" t="s">
        <v>3520</v>
      </c>
      <c r="C185" s="102" t="s">
        <v>3521</v>
      </c>
      <c r="D185" s="64" t="s">
        <v>119</v>
      </c>
      <c r="E185" s="24" t="s">
        <v>4293</v>
      </c>
      <c r="F185" s="38" t="s">
        <v>650</v>
      </c>
      <c r="G185" s="108">
        <v>2</v>
      </c>
      <c r="H185" s="38" t="s">
        <v>4459</v>
      </c>
      <c r="I185" s="106"/>
      <c r="J185" s="128"/>
      <c r="K185" s="136" t="s">
        <v>4463</v>
      </c>
      <c r="L185" s="136"/>
      <c r="M185" s="136"/>
      <c r="N185" s="136"/>
      <c r="O185" s="136"/>
      <c r="P185" s="123">
        <v>792</v>
      </c>
      <c r="Q185" s="123">
        <v>165</v>
      </c>
      <c r="R185" s="130"/>
      <c r="S185" s="139"/>
      <c r="T185" s="124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17"/>
      <c r="AH185" s="24"/>
      <c r="AI185" s="25"/>
      <c r="AJ185" s="25"/>
    </row>
    <row r="186" spans="1:36" x14ac:dyDescent="0.3">
      <c r="A186" s="63">
        <v>180</v>
      </c>
      <c r="B186" s="102" t="s">
        <v>3520</v>
      </c>
      <c r="C186" s="102" t="s">
        <v>3521</v>
      </c>
      <c r="D186" s="64" t="s">
        <v>119</v>
      </c>
      <c r="E186" s="24" t="s">
        <v>4293</v>
      </c>
      <c r="F186" s="38" t="s">
        <v>650</v>
      </c>
      <c r="G186" s="108">
        <v>2</v>
      </c>
      <c r="H186" s="38" t="s">
        <v>4459</v>
      </c>
      <c r="I186" s="106"/>
      <c r="J186" s="128"/>
      <c r="K186" s="132" t="s">
        <v>4464</v>
      </c>
      <c r="L186" s="132"/>
      <c r="M186" s="132"/>
      <c r="N186" s="132"/>
      <c r="O186" s="132"/>
      <c r="P186" s="123">
        <v>490</v>
      </c>
      <c r="Q186" s="123">
        <v>100</v>
      </c>
      <c r="R186" s="130"/>
      <c r="S186" s="139"/>
      <c r="T186" s="124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17"/>
      <c r="AH186" s="24"/>
      <c r="AI186" s="25"/>
      <c r="AJ186" s="25"/>
    </row>
    <row r="187" spans="1:36" x14ac:dyDescent="0.3">
      <c r="A187" s="63">
        <v>181</v>
      </c>
      <c r="B187" s="102" t="s">
        <v>3520</v>
      </c>
      <c r="C187" s="102" t="s">
        <v>3521</v>
      </c>
      <c r="D187" s="64" t="s">
        <v>119</v>
      </c>
      <c r="E187" s="24" t="s">
        <v>4293</v>
      </c>
      <c r="F187" s="38" t="s">
        <v>650</v>
      </c>
      <c r="G187" s="108">
        <v>3</v>
      </c>
      <c r="H187" s="38" t="s">
        <v>4459</v>
      </c>
      <c r="I187" s="106"/>
      <c r="J187" s="128"/>
      <c r="K187" s="136" t="s">
        <v>4465</v>
      </c>
      <c r="L187" s="136"/>
      <c r="M187" s="136"/>
      <c r="N187" s="136"/>
      <c r="O187" s="136"/>
      <c r="P187" s="123">
        <v>970</v>
      </c>
      <c r="Q187" s="123">
        <v>170</v>
      </c>
      <c r="R187" s="130"/>
      <c r="S187" s="139"/>
      <c r="T187" s="124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17"/>
      <c r="AH187" s="24"/>
      <c r="AI187" s="25"/>
      <c r="AJ187" s="25"/>
    </row>
    <row r="188" spans="1:36" x14ac:dyDescent="0.3">
      <c r="A188" s="63">
        <v>182</v>
      </c>
      <c r="B188" s="102" t="s">
        <v>3520</v>
      </c>
      <c r="C188" s="102" t="s">
        <v>3521</v>
      </c>
      <c r="D188" s="64" t="s">
        <v>119</v>
      </c>
      <c r="E188" s="24" t="s">
        <v>4293</v>
      </c>
      <c r="F188" s="38" t="s">
        <v>650</v>
      </c>
      <c r="G188" s="108">
        <v>3</v>
      </c>
      <c r="H188" s="38" t="s">
        <v>4459</v>
      </c>
      <c r="I188" s="106"/>
      <c r="J188" s="128"/>
      <c r="K188" s="136" t="s">
        <v>4466</v>
      </c>
      <c r="L188" s="136"/>
      <c r="M188" s="136"/>
      <c r="N188" s="136"/>
      <c r="O188" s="136"/>
      <c r="P188" s="123">
        <v>270</v>
      </c>
      <c r="Q188" s="123">
        <v>65</v>
      </c>
      <c r="R188" s="130"/>
      <c r="S188" s="139"/>
      <c r="T188" s="124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17"/>
      <c r="AH188" s="24"/>
      <c r="AI188" s="25"/>
      <c r="AJ188" s="25"/>
    </row>
    <row r="189" spans="1:36" x14ac:dyDescent="0.3">
      <c r="A189" s="63">
        <v>183</v>
      </c>
      <c r="B189" s="102" t="s">
        <v>3520</v>
      </c>
      <c r="C189" s="102" t="s">
        <v>3521</v>
      </c>
      <c r="D189" s="64" t="s">
        <v>119</v>
      </c>
      <c r="E189" s="24" t="s">
        <v>4293</v>
      </c>
      <c r="F189" s="38" t="s">
        <v>650</v>
      </c>
      <c r="G189" s="108">
        <v>4</v>
      </c>
      <c r="H189" s="38" t="s">
        <v>4459</v>
      </c>
      <c r="I189" s="106"/>
      <c r="J189" s="128"/>
      <c r="K189" s="132" t="s">
        <v>4335</v>
      </c>
      <c r="L189" s="132"/>
      <c r="M189" s="132"/>
      <c r="N189" s="132"/>
      <c r="O189" s="132"/>
      <c r="P189" s="123">
        <v>795</v>
      </c>
      <c r="Q189" s="123">
        <v>156</v>
      </c>
      <c r="R189" s="130"/>
      <c r="S189" s="139"/>
      <c r="T189" s="124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17"/>
      <c r="AH189" s="24"/>
      <c r="AI189" s="25"/>
      <c r="AJ189" s="25"/>
    </row>
    <row r="190" spans="1:36" x14ac:dyDescent="0.3">
      <c r="A190" s="63">
        <v>184</v>
      </c>
      <c r="B190" s="102" t="s">
        <v>3520</v>
      </c>
      <c r="C190" s="102" t="s">
        <v>3521</v>
      </c>
      <c r="D190" s="64" t="s">
        <v>119</v>
      </c>
      <c r="E190" s="24" t="s">
        <v>4293</v>
      </c>
      <c r="F190" s="38" t="s">
        <v>650</v>
      </c>
      <c r="G190" s="108">
        <v>4</v>
      </c>
      <c r="H190" s="38" t="s">
        <v>4459</v>
      </c>
      <c r="I190" s="106"/>
      <c r="J190" s="128"/>
      <c r="K190" s="136" t="s">
        <v>4467</v>
      </c>
      <c r="L190" s="136"/>
      <c r="M190" s="136"/>
      <c r="N190" s="136"/>
      <c r="O190" s="136"/>
      <c r="P190" s="123">
        <v>1645</v>
      </c>
      <c r="Q190" s="123">
        <v>295</v>
      </c>
      <c r="R190" s="130"/>
      <c r="S190" s="139"/>
      <c r="T190" s="124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17"/>
      <c r="AH190" s="24"/>
      <c r="AI190" s="25"/>
      <c r="AJ190" s="25"/>
    </row>
    <row r="191" spans="1:36" x14ac:dyDescent="0.3">
      <c r="A191" s="63">
        <v>185</v>
      </c>
      <c r="B191" s="102" t="s">
        <v>3520</v>
      </c>
      <c r="C191" s="102" t="s">
        <v>3521</v>
      </c>
      <c r="D191" s="64" t="s">
        <v>119</v>
      </c>
      <c r="E191" s="24" t="s">
        <v>4293</v>
      </c>
      <c r="F191" s="38" t="s">
        <v>650</v>
      </c>
      <c r="G191" s="108">
        <v>4</v>
      </c>
      <c r="H191" s="38" t="s">
        <v>4459</v>
      </c>
      <c r="I191" s="106"/>
      <c r="J191" s="128"/>
      <c r="K191" s="132" t="s">
        <v>4468</v>
      </c>
      <c r="L191" s="132"/>
      <c r="M191" s="132"/>
      <c r="N191" s="132"/>
      <c r="O191" s="132"/>
      <c r="P191" s="123">
        <v>320</v>
      </c>
      <c r="Q191" s="123">
        <v>65</v>
      </c>
      <c r="R191" s="130"/>
      <c r="S191" s="139"/>
      <c r="T191" s="124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17"/>
      <c r="AH191" s="24"/>
      <c r="AI191" s="25"/>
      <c r="AJ191" s="25"/>
    </row>
    <row r="192" spans="1:36" x14ac:dyDescent="0.3">
      <c r="A192" s="63">
        <v>186</v>
      </c>
      <c r="B192" s="102" t="s">
        <v>3520</v>
      </c>
      <c r="C192" s="102" t="s">
        <v>3521</v>
      </c>
      <c r="D192" s="64" t="s">
        <v>119</v>
      </c>
      <c r="E192" s="24" t="s">
        <v>4293</v>
      </c>
      <c r="F192" s="38" t="s">
        <v>650</v>
      </c>
      <c r="G192" s="108">
        <v>4</v>
      </c>
      <c r="H192" s="38" t="s">
        <v>4459</v>
      </c>
      <c r="I192" s="106"/>
      <c r="J192" s="128"/>
      <c r="K192" s="136" t="s">
        <v>4469</v>
      </c>
      <c r="L192" s="136"/>
      <c r="M192" s="136"/>
      <c r="N192" s="136"/>
      <c r="O192" s="136"/>
      <c r="P192" s="123">
        <v>594</v>
      </c>
      <c r="Q192" s="123">
        <v>115</v>
      </c>
      <c r="R192" s="130"/>
      <c r="S192" s="139"/>
      <c r="T192" s="124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17"/>
      <c r="AH192" s="24"/>
      <c r="AI192" s="25"/>
      <c r="AJ192" s="25"/>
    </row>
    <row r="193" spans="1:36" x14ac:dyDescent="0.3">
      <c r="A193" s="63">
        <v>187</v>
      </c>
      <c r="B193" s="102" t="s">
        <v>3520</v>
      </c>
      <c r="C193" s="102" t="s">
        <v>3521</v>
      </c>
      <c r="D193" s="64" t="s">
        <v>119</v>
      </c>
      <c r="E193" s="24" t="s">
        <v>4293</v>
      </c>
      <c r="F193" s="38" t="s">
        <v>650</v>
      </c>
      <c r="G193" s="108">
        <v>5</v>
      </c>
      <c r="H193" s="38" t="s">
        <v>4459</v>
      </c>
      <c r="I193" s="106"/>
      <c r="J193" s="128"/>
      <c r="K193" s="136" t="s">
        <v>4362</v>
      </c>
      <c r="L193" s="136"/>
      <c r="M193" s="136"/>
      <c r="N193" s="136"/>
      <c r="O193" s="136"/>
      <c r="P193" s="123">
        <v>2426</v>
      </c>
      <c r="Q193" s="123">
        <v>460</v>
      </c>
      <c r="R193" s="130"/>
      <c r="S193" s="139"/>
      <c r="T193" s="124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17"/>
      <c r="AH193" s="24"/>
      <c r="AI193" s="25"/>
      <c r="AJ193" s="25"/>
    </row>
    <row r="194" spans="1:36" x14ac:dyDescent="0.3">
      <c r="A194" s="63">
        <v>188</v>
      </c>
      <c r="B194" s="102" t="s">
        <v>3520</v>
      </c>
      <c r="C194" s="102" t="s">
        <v>3521</v>
      </c>
      <c r="D194" s="64" t="s">
        <v>119</v>
      </c>
      <c r="E194" s="24" t="s">
        <v>4293</v>
      </c>
      <c r="F194" s="38" t="s">
        <v>650</v>
      </c>
      <c r="G194" s="108">
        <v>5</v>
      </c>
      <c r="H194" s="38" t="s">
        <v>4459</v>
      </c>
      <c r="I194" s="106"/>
      <c r="J194" s="128"/>
      <c r="K194" s="136" t="s">
        <v>306</v>
      </c>
      <c r="L194" s="136"/>
      <c r="M194" s="136"/>
      <c r="N194" s="136"/>
      <c r="O194" s="136"/>
      <c r="P194" s="123">
        <v>760</v>
      </c>
      <c r="Q194" s="123">
        <v>190</v>
      </c>
      <c r="R194" s="130"/>
      <c r="S194" s="139"/>
      <c r="T194" s="124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17"/>
      <c r="AH194" s="24"/>
      <c r="AI194" s="25"/>
      <c r="AJ194" s="25"/>
    </row>
    <row r="195" spans="1:36" x14ac:dyDescent="0.3">
      <c r="A195" s="63">
        <v>189</v>
      </c>
      <c r="B195" s="102" t="s">
        <v>3520</v>
      </c>
      <c r="C195" s="102" t="s">
        <v>3521</v>
      </c>
      <c r="D195" s="64" t="s">
        <v>119</v>
      </c>
      <c r="E195" s="24" t="s">
        <v>4293</v>
      </c>
      <c r="F195" s="38" t="s">
        <v>650</v>
      </c>
      <c r="G195" s="108">
        <v>5</v>
      </c>
      <c r="H195" s="38" t="s">
        <v>4459</v>
      </c>
      <c r="I195" s="106"/>
      <c r="J195" s="128"/>
      <c r="K195" s="132" t="s">
        <v>4470</v>
      </c>
      <c r="L195" s="132"/>
      <c r="M195" s="132"/>
      <c r="N195" s="132"/>
      <c r="O195" s="132"/>
      <c r="P195" s="123">
        <v>696</v>
      </c>
      <c r="Q195" s="123">
        <v>170</v>
      </c>
      <c r="R195" s="130"/>
      <c r="S195" s="139">
        <v>168</v>
      </c>
      <c r="T195" s="124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17"/>
      <c r="AH195" s="24"/>
      <c r="AI195" s="25"/>
      <c r="AJ195" s="25"/>
    </row>
    <row r="196" spans="1:36" x14ac:dyDescent="0.3">
      <c r="A196" s="63">
        <v>190</v>
      </c>
      <c r="B196" s="102" t="s">
        <v>3520</v>
      </c>
      <c r="C196" s="102" t="s">
        <v>3521</v>
      </c>
      <c r="D196" s="64" t="s">
        <v>119</v>
      </c>
      <c r="E196" s="24" t="s">
        <v>4293</v>
      </c>
      <c r="F196" s="38" t="s">
        <v>650</v>
      </c>
      <c r="G196" s="108">
        <v>5</v>
      </c>
      <c r="H196" s="38" t="s">
        <v>4459</v>
      </c>
      <c r="I196" s="106"/>
      <c r="J196" s="128"/>
      <c r="K196" s="136" t="s">
        <v>4471</v>
      </c>
      <c r="L196" s="136"/>
      <c r="M196" s="136"/>
      <c r="N196" s="136"/>
      <c r="O196" s="136"/>
      <c r="P196" s="123">
        <v>475</v>
      </c>
      <c r="Q196" s="123">
        <v>95</v>
      </c>
      <c r="R196" s="130"/>
      <c r="S196" s="139"/>
      <c r="T196" s="124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17"/>
      <c r="AH196" s="24"/>
      <c r="AI196" s="25"/>
      <c r="AJ196" s="25"/>
    </row>
    <row r="197" spans="1:36" x14ac:dyDescent="0.3">
      <c r="A197" s="63">
        <v>191</v>
      </c>
      <c r="B197" s="102" t="s">
        <v>3520</v>
      </c>
      <c r="C197" s="102" t="s">
        <v>3521</v>
      </c>
      <c r="D197" s="64" t="s">
        <v>119</v>
      </c>
      <c r="E197" s="24" t="s">
        <v>4293</v>
      </c>
      <c r="F197" s="38" t="s">
        <v>650</v>
      </c>
      <c r="G197" s="108">
        <v>5</v>
      </c>
      <c r="H197" s="38" t="s">
        <v>4459</v>
      </c>
      <c r="I197" s="106"/>
      <c r="J197" s="128"/>
      <c r="K197" s="136" t="s">
        <v>1625</v>
      </c>
      <c r="L197" s="136"/>
      <c r="M197" s="136"/>
      <c r="N197" s="136"/>
      <c r="O197" s="136"/>
      <c r="P197" s="123">
        <v>718</v>
      </c>
      <c r="Q197" s="123">
        <v>147</v>
      </c>
      <c r="R197" s="130"/>
      <c r="S197" s="139"/>
      <c r="T197" s="124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17"/>
      <c r="AH197" s="24"/>
      <c r="AI197" s="25"/>
      <c r="AJ197" s="25"/>
    </row>
    <row r="198" spans="1:36" x14ac:dyDescent="0.3">
      <c r="A198" s="63">
        <v>192</v>
      </c>
      <c r="B198" s="102" t="s">
        <v>3520</v>
      </c>
      <c r="C198" s="102" t="s">
        <v>3521</v>
      </c>
      <c r="D198" s="64" t="s">
        <v>119</v>
      </c>
      <c r="E198" s="24" t="s">
        <v>4293</v>
      </c>
      <c r="F198" s="38" t="s">
        <v>650</v>
      </c>
      <c r="G198" s="108">
        <v>5</v>
      </c>
      <c r="H198" s="38" t="s">
        <v>4459</v>
      </c>
      <c r="I198" s="106"/>
      <c r="J198" s="128"/>
      <c r="K198" s="136" t="s">
        <v>4472</v>
      </c>
      <c r="L198" s="136"/>
      <c r="M198" s="136"/>
      <c r="N198" s="136"/>
      <c r="O198" s="136"/>
      <c r="P198" s="123">
        <v>570</v>
      </c>
      <c r="Q198" s="123">
        <v>120</v>
      </c>
      <c r="R198" s="130"/>
      <c r="S198" s="139"/>
      <c r="T198" s="124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17"/>
      <c r="AH198" s="24"/>
      <c r="AI198" s="25"/>
      <c r="AJ198" s="25"/>
    </row>
    <row r="199" spans="1:36" x14ac:dyDescent="0.3">
      <c r="A199" s="63">
        <v>193</v>
      </c>
      <c r="B199" s="102" t="s">
        <v>3520</v>
      </c>
      <c r="C199" s="102" t="s">
        <v>3521</v>
      </c>
      <c r="D199" s="64" t="s">
        <v>119</v>
      </c>
      <c r="E199" s="24" t="s">
        <v>4293</v>
      </c>
      <c r="F199" s="38" t="s">
        <v>650</v>
      </c>
      <c r="G199" s="108">
        <v>5</v>
      </c>
      <c r="H199" s="38" t="s">
        <v>4459</v>
      </c>
      <c r="I199" s="106"/>
      <c r="J199" s="128"/>
      <c r="K199" s="136" t="s">
        <v>4473</v>
      </c>
      <c r="L199" s="136"/>
      <c r="M199" s="136"/>
      <c r="N199" s="136"/>
      <c r="O199" s="136"/>
      <c r="P199" s="123">
        <v>479</v>
      </c>
      <c r="Q199" s="123">
        <v>97</v>
      </c>
      <c r="R199" s="130"/>
      <c r="S199" s="139"/>
      <c r="T199" s="124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17"/>
      <c r="AH199" s="24"/>
      <c r="AI199" s="25"/>
      <c r="AJ199" s="25"/>
    </row>
    <row r="200" spans="1:36" x14ac:dyDescent="0.3">
      <c r="A200" s="63">
        <v>194</v>
      </c>
      <c r="B200" s="102" t="s">
        <v>3520</v>
      </c>
      <c r="C200" s="102" t="s">
        <v>3521</v>
      </c>
      <c r="D200" s="64" t="s">
        <v>119</v>
      </c>
      <c r="E200" s="24" t="s">
        <v>4293</v>
      </c>
      <c r="F200" s="38" t="s">
        <v>650</v>
      </c>
      <c r="G200" s="108">
        <v>6</v>
      </c>
      <c r="H200" s="38" t="s">
        <v>4459</v>
      </c>
      <c r="I200" s="106"/>
      <c r="J200" s="128"/>
      <c r="K200" s="132" t="s">
        <v>4474</v>
      </c>
      <c r="L200" s="132"/>
      <c r="M200" s="132"/>
      <c r="N200" s="132"/>
      <c r="O200" s="132"/>
      <c r="P200" s="123">
        <v>1585</v>
      </c>
      <c r="Q200" s="123">
        <v>395</v>
      </c>
      <c r="R200" s="130"/>
      <c r="S200" s="139"/>
      <c r="T200" s="124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17"/>
      <c r="AH200" s="24"/>
      <c r="AI200" s="25"/>
      <c r="AJ200" s="25"/>
    </row>
    <row r="201" spans="1:36" x14ac:dyDescent="0.3">
      <c r="A201" s="63">
        <v>195</v>
      </c>
      <c r="B201" s="102" t="s">
        <v>3520</v>
      </c>
      <c r="C201" s="102" t="s">
        <v>3521</v>
      </c>
      <c r="D201" s="64" t="s">
        <v>119</v>
      </c>
      <c r="E201" s="24" t="s">
        <v>4293</v>
      </c>
      <c r="F201" s="38" t="s">
        <v>650</v>
      </c>
      <c r="G201" s="108">
        <v>6</v>
      </c>
      <c r="H201" s="38" t="s">
        <v>4459</v>
      </c>
      <c r="I201" s="106"/>
      <c r="J201" s="128"/>
      <c r="K201" s="132" t="s">
        <v>4475</v>
      </c>
      <c r="L201" s="132"/>
      <c r="M201" s="132"/>
      <c r="N201" s="132"/>
      <c r="O201" s="132"/>
      <c r="P201" s="123">
        <v>1765</v>
      </c>
      <c r="Q201" s="123">
        <v>350</v>
      </c>
      <c r="R201" s="130"/>
      <c r="S201" s="139"/>
      <c r="T201" s="124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17"/>
      <c r="AH201" s="24"/>
      <c r="AI201" s="25"/>
      <c r="AJ201" s="25"/>
    </row>
    <row r="202" spans="1:36" x14ac:dyDescent="0.3">
      <c r="A202" s="63">
        <v>196</v>
      </c>
      <c r="B202" s="102" t="s">
        <v>3520</v>
      </c>
      <c r="C202" s="102" t="s">
        <v>3521</v>
      </c>
      <c r="D202" s="64" t="s">
        <v>119</v>
      </c>
      <c r="E202" s="24" t="s">
        <v>4293</v>
      </c>
      <c r="F202" s="38" t="s">
        <v>650</v>
      </c>
      <c r="G202" s="108">
        <v>6</v>
      </c>
      <c r="H202" s="38" t="s">
        <v>4459</v>
      </c>
      <c r="I202" s="106"/>
      <c r="J202" s="128"/>
      <c r="K202" s="136" t="s">
        <v>4461</v>
      </c>
      <c r="L202" s="136"/>
      <c r="M202" s="136"/>
      <c r="N202" s="136"/>
      <c r="O202" s="136"/>
      <c r="P202" s="123">
        <v>759</v>
      </c>
      <c r="Q202" s="123">
        <v>135</v>
      </c>
      <c r="R202" s="130"/>
      <c r="S202" s="139"/>
      <c r="T202" s="124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17"/>
      <c r="AH202" s="24"/>
      <c r="AI202" s="25"/>
      <c r="AJ202" s="25"/>
    </row>
    <row r="203" spans="1:36" x14ac:dyDescent="0.3">
      <c r="A203" s="63">
        <v>197</v>
      </c>
      <c r="B203" s="102" t="s">
        <v>3520</v>
      </c>
      <c r="C203" s="102" t="s">
        <v>3521</v>
      </c>
      <c r="D203" s="64" t="s">
        <v>119</v>
      </c>
      <c r="E203" s="24" t="s">
        <v>4293</v>
      </c>
      <c r="F203" s="38" t="s">
        <v>650</v>
      </c>
      <c r="G203" s="108">
        <v>6</v>
      </c>
      <c r="H203" s="38" t="s">
        <v>4459</v>
      </c>
      <c r="I203" s="106"/>
      <c r="J203" s="128"/>
      <c r="K203" s="132" t="s">
        <v>4476</v>
      </c>
      <c r="L203" s="132"/>
      <c r="M203" s="132"/>
      <c r="N203" s="132"/>
      <c r="O203" s="132"/>
      <c r="P203" s="123">
        <v>1565</v>
      </c>
      <c r="Q203" s="123">
        <v>325</v>
      </c>
      <c r="R203" s="130"/>
      <c r="S203" s="139"/>
      <c r="T203" s="124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17"/>
      <c r="AH203" s="24"/>
      <c r="AI203" s="25"/>
      <c r="AJ203" s="25"/>
    </row>
    <row r="204" spans="1:36" x14ac:dyDescent="0.3">
      <c r="A204" s="63">
        <v>198</v>
      </c>
      <c r="B204" s="102" t="s">
        <v>3520</v>
      </c>
      <c r="C204" s="102" t="s">
        <v>3521</v>
      </c>
      <c r="D204" s="64" t="s">
        <v>119</v>
      </c>
      <c r="E204" s="24" t="s">
        <v>4293</v>
      </c>
      <c r="F204" s="38" t="s">
        <v>650</v>
      </c>
      <c r="G204" s="108">
        <v>6</v>
      </c>
      <c r="H204" s="38" t="s">
        <v>4459</v>
      </c>
      <c r="I204" s="106"/>
      <c r="J204" s="128"/>
      <c r="K204" s="136" t="s">
        <v>4477</v>
      </c>
      <c r="L204" s="136"/>
      <c r="M204" s="136"/>
      <c r="N204" s="136"/>
      <c r="O204" s="136"/>
      <c r="P204" s="123">
        <v>1335</v>
      </c>
      <c r="Q204" s="123">
        <v>243</v>
      </c>
      <c r="R204" s="130"/>
      <c r="S204" s="139"/>
      <c r="T204" s="124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17"/>
      <c r="AH204" s="24"/>
      <c r="AI204" s="25"/>
      <c r="AJ204" s="25"/>
    </row>
    <row r="205" spans="1:36" x14ac:dyDescent="0.3">
      <c r="A205" s="63">
        <v>199</v>
      </c>
      <c r="B205" s="102" t="s">
        <v>3520</v>
      </c>
      <c r="C205" s="102" t="s">
        <v>3521</v>
      </c>
      <c r="D205" s="64" t="s">
        <v>119</v>
      </c>
      <c r="E205" s="24" t="s">
        <v>4293</v>
      </c>
      <c r="F205" s="38" t="s">
        <v>650</v>
      </c>
      <c r="G205" s="108">
        <v>6</v>
      </c>
      <c r="H205" s="38" t="s">
        <v>4459</v>
      </c>
      <c r="I205" s="106"/>
      <c r="J205" s="128"/>
      <c r="K205" s="136" t="s">
        <v>4478</v>
      </c>
      <c r="L205" s="136"/>
      <c r="M205" s="136"/>
      <c r="N205" s="136"/>
      <c r="O205" s="136"/>
      <c r="P205" s="123">
        <v>1480</v>
      </c>
      <c r="Q205" s="123">
        <v>370</v>
      </c>
      <c r="R205" s="130"/>
      <c r="S205" s="139">
        <v>215</v>
      </c>
      <c r="T205" s="124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17"/>
      <c r="AH205" s="24"/>
      <c r="AI205" s="25"/>
      <c r="AJ205" s="25"/>
    </row>
    <row r="206" spans="1:36" x14ac:dyDescent="0.3">
      <c r="A206" s="63">
        <v>200</v>
      </c>
      <c r="B206" s="102" t="s">
        <v>3520</v>
      </c>
      <c r="C206" s="102" t="s">
        <v>3521</v>
      </c>
      <c r="D206" s="64" t="s">
        <v>119</v>
      </c>
      <c r="E206" s="24" t="s">
        <v>4293</v>
      </c>
      <c r="F206" s="38" t="s">
        <v>650</v>
      </c>
      <c r="G206" s="108">
        <v>7</v>
      </c>
      <c r="H206" s="38" t="s">
        <v>4459</v>
      </c>
      <c r="I206" s="106"/>
      <c r="J206" s="128"/>
      <c r="K206" s="136" t="s">
        <v>4479</v>
      </c>
      <c r="L206" s="136"/>
      <c r="M206" s="136"/>
      <c r="N206" s="136"/>
      <c r="O206" s="136"/>
      <c r="P206" s="123">
        <v>480</v>
      </c>
      <c r="Q206" s="123">
        <v>85</v>
      </c>
      <c r="R206" s="130"/>
      <c r="S206" s="139"/>
      <c r="T206" s="124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17"/>
      <c r="AH206" s="24"/>
      <c r="AI206" s="25"/>
      <c r="AJ206" s="25"/>
    </row>
    <row r="207" spans="1:36" x14ac:dyDescent="0.3">
      <c r="A207" s="63">
        <v>201</v>
      </c>
      <c r="B207" s="102" t="s">
        <v>3520</v>
      </c>
      <c r="C207" s="102" t="s">
        <v>3521</v>
      </c>
      <c r="D207" s="64" t="s">
        <v>119</v>
      </c>
      <c r="E207" s="24" t="s">
        <v>4293</v>
      </c>
      <c r="F207" s="38" t="s">
        <v>650</v>
      </c>
      <c r="G207" s="108">
        <v>7</v>
      </c>
      <c r="H207" s="38" t="s">
        <v>4459</v>
      </c>
      <c r="I207" s="106"/>
      <c r="J207" s="128"/>
      <c r="K207" s="136" t="s">
        <v>4480</v>
      </c>
      <c r="L207" s="136"/>
      <c r="M207" s="136"/>
      <c r="N207" s="136"/>
      <c r="O207" s="136"/>
      <c r="P207" s="123">
        <v>332</v>
      </c>
      <c r="Q207" s="123">
        <v>60</v>
      </c>
      <c r="R207" s="130"/>
      <c r="S207" s="139"/>
      <c r="T207" s="124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17"/>
      <c r="AH207" s="24"/>
      <c r="AI207" s="25"/>
      <c r="AJ207" s="25"/>
    </row>
    <row r="208" spans="1:36" x14ac:dyDescent="0.3">
      <c r="A208" s="63">
        <v>202</v>
      </c>
      <c r="B208" s="102" t="s">
        <v>3520</v>
      </c>
      <c r="C208" s="102" t="s">
        <v>3521</v>
      </c>
      <c r="D208" s="64" t="s">
        <v>119</v>
      </c>
      <c r="E208" s="24" t="s">
        <v>4293</v>
      </c>
      <c r="F208" s="38" t="s">
        <v>650</v>
      </c>
      <c r="G208" s="108">
        <v>7</v>
      </c>
      <c r="H208" s="38" t="s">
        <v>4459</v>
      </c>
      <c r="I208" s="106"/>
      <c r="J208" s="128"/>
      <c r="K208" s="136" t="s">
        <v>4481</v>
      </c>
      <c r="L208" s="136"/>
      <c r="M208" s="136"/>
      <c r="N208" s="136"/>
      <c r="O208" s="136"/>
      <c r="P208" s="123">
        <v>1060</v>
      </c>
      <c r="Q208" s="123">
        <v>185</v>
      </c>
      <c r="R208" s="130"/>
      <c r="S208" s="139"/>
      <c r="T208" s="124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17"/>
      <c r="AH208" s="24"/>
      <c r="AI208" s="25"/>
      <c r="AJ208" s="25"/>
    </row>
    <row r="209" spans="1:36" x14ac:dyDescent="0.3">
      <c r="A209" s="63">
        <v>203</v>
      </c>
      <c r="B209" s="102" t="s">
        <v>3520</v>
      </c>
      <c r="C209" s="102" t="s">
        <v>3521</v>
      </c>
      <c r="D209" s="64" t="s">
        <v>119</v>
      </c>
      <c r="E209" s="24" t="s">
        <v>4293</v>
      </c>
      <c r="F209" s="38" t="s">
        <v>650</v>
      </c>
      <c r="G209" s="108">
        <v>8</v>
      </c>
      <c r="H209" s="38" t="s">
        <v>4459</v>
      </c>
      <c r="I209" s="106"/>
      <c r="J209" s="128"/>
      <c r="K209" s="136" t="s">
        <v>4482</v>
      </c>
      <c r="L209" s="136"/>
      <c r="M209" s="136"/>
      <c r="N209" s="136"/>
      <c r="O209" s="136"/>
      <c r="P209" s="123">
        <v>1331</v>
      </c>
      <c r="Q209" s="123">
        <v>293</v>
      </c>
      <c r="R209" s="130"/>
      <c r="S209" s="139"/>
      <c r="T209" s="124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17"/>
      <c r="AH209" s="24"/>
      <c r="AI209" s="25"/>
      <c r="AJ209" s="25"/>
    </row>
    <row r="210" spans="1:36" x14ac:dyDescent="0.3">
      <c r="A210" s="63">
        <v>204</v>
      </c>
      <c r="B210" s="102" t="s">
        <v>3520</v>
      </c>
      <c r="C210" s="102" t="s">
        <v>3521</v>
      </c>
      <c r="D210" s="64" t="s">
        <v>119</v>
      </c>
      <c r="E210" s="24" t="s">
        <v>4293</v>
      </c>
      <c r="F210" s="38" t="s">
        <v>650</v>
      </c>
      <c r="G210" s="137">
        <v>8</v>
      </c>
      <c r="H210" s="38" t="s">
        <v>4459</v>
      </c>
      <c r="I210" s="106"/>
      <c r="J210" s="128"/>
      <c r="K210" s="136" t="s">
        <v>4309</v>
      </c>
      <c r="L210" s="136"/>
      <c r="M210" s="136"/>
      <c r="N210" s="136"/>
      <c r="O210" s="136"/>
      <c r="P210" s="123">
        <v>1105</v>
      </c>
      <c r="Q210" s="123">
        <v>195</v>
      </c>
      <c r="R210" s="130"/>
      <c r="S210" s="139"/>
      <c r="T210" s="124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17"/>
      <c r="AH210" s="24"/>
      <c r="AI210" s="25"/>
      <c r="AJ210" s="25"/>
    </row>
    <row r="211" spans="1:36" x14ac:dyDescent="0.3">
      <c r="A211" s="63">
        <v>205</v>
      </c>
      <c r="B211" s="102" t="s">
        <v>3520</v>
      </c>
      <c r="C211" s="102" t="s">
        <v>3521</v>
      </c>
      <c r="D211" s="64" t="s">
        <v>119</v>
      </c>
      <c r="E211" s="24" t="s">
        <v>4293</v>
      </c>
      <c r="F211" s="38" t="s">
        <v>650</v>
      </c>
      <c r="G211" s="137">
        <v>8</v>
      </c>
      <c r="H211" s="38" t="s">
        <v>4459</v>
      </c>
      <c r="I211" s="106"/>
      <c r="J211" s="128"/>
      <c r="K211" s="136" t="s">
        <v>4483</v>
      </c>
      <c r="L211" s="136"/>
      <c r="M211" s="136"/>
      <c r="N211" s="136"/>
      <c r="O211" s="136"/>
      <c r="P211" s="123">
        <v>970</v>
      </c>
      <c r="Q211" s="123">
        <v>211</v>
      </c>
      <c r="R211" s="130"/>
      <c r="S211" s="139"/>
      <c r="T211" s="124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17"/>
      <c r="AH211" s="24"/>
      <c r="AI211" s="25"/>
      <c r="AJ211" s="25"/>
    </row>
    <row r="212" spans="1:36" x14ac:dyDescent="0.3">
      <c r="A212" s="63">
        <v>206</v>
      </c>
      <c r="B212" s="102" t="s">
        <v>3520</v>
      </c>
      <c r="C212" s="102" t="s">
        <v>3521</v>
      </c>
      <c r="D212" s="64" t="s">
        <v>119</v>
      </c>
      <c r="E212" s="24" t="s">
        <v>4293</v>
      </c>
      <c r="F212" s="38" t="s">
        <v>650</v>
      </c>
      <c r="G212" s="137">
        <v>9</v>
      </c>
      <c r="H212" s="38" t="s">
        <v>4459</v>
      </c>
      <c r="I212" s="106"/>
      <c r="J212" s="128"/>
      <c r="K212" s="136" t="s">
        <v>4484</v>
      </c>
      <c r="L212" s="136"/>
      <c r="M212" s="136"/>
      <c r="N212" s="136"/>
      <c r="O212" s="136"/>
      <c r="P212" s="123">
        <v>103</v>
      </c>
      <c r="Q212" s="123">
        <v>20</v>
      </c>
      <c r="R212" s="130"/>
      <c r="S212" s="139"/>
      <c r="T212" s="124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17"/>
      <c r="AH212" s="24"/>
      <c r="AI212" s="25"/>
      <c r="AJ212" s="25"/>
    </row>
    <row r="213" spans="1:36" x14ac:dyDescent="0.3">
      <c r="A213" s="63">
        <v>207</v>
      </c>
      <c r="B213" s="102" t="s">
        <v>3520</v>
      </c>
      <c r="C213" s="102" t="s">
        <v>3521</v>
      </c>
      <c r="D213" s="64" t="s">
        <v>119</v>
      </c>
      <c r="E213" s="24" t="s">
        <v>4293</v>
      </c>
      <c r="F213" s="38" t="s">
        <v>650</v>
      </c>
      <c r="G213" s="137">
        <v>9</v>
      </c>
      <c r="H213" s="38" t="s">
        <v>4459</v>
      </c>
      <c r="I213" s="106"/>
      <c r="J213" s="128"/>
      <c r="K213" s="136" t="s">
        <v>4485</v>
      </c>
      <c r="L213" s="136"/>
      <c r="M213" s="136"/>
      <c r="N213" s="136"/>
      <c r="O213" s="136"/>
      <c r="P213" s="123">
        <v>495</v>
      </c>
      <c r="Q213" s="123">
        <v>102</v>
      </c>
      <c r="R213" s="130"/>
      <c r="S213" s="139"/>
      <c r="T213" s="124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17"/>
      <c r="AH213" s="24"/>
      <c r="AI213" s="25"/>
      <c r="AJ213" s="25"/>
    </row>
    <row r="214" spans="1:36" x14ac:dyDescent="0.3">
      <c r="A214" s="63">
        <v>208</v>
      </c>
      <c r="B214" s="102" t="s">
        <v>3520</v>
      </c>
      <c r="C214" s="102" t="s">
        <v>3521</v>
      </c>
      <c r="D214" s="64" t="s">
        <v>119</v>
      </c>
      <c r="E214" s="24" t="s">
        <v>4293</v>
      </c>
      <c r="F214" s="38" t="s">
        <v>650</v>
      </c>
      <c r="G214" s="137">
        <v>9</v>
      </c>
      <c r="H214" s="38" t="s">
        <v>4459</v>
      </c>
      <c r="I214" s="106"/>
      <c r="J214" s="128"/>
      <c r="K214" s="136" t="s">
        <v>4486</v>
      </c>
      <c r="L214" s="136"/>
      <c r="M214" s="136"/>
      <c r="N214" s="136"/>
      <c r="O214" s="136"/>
      <c r="P214" s="123">
        <v>360</v>
      </c>
      <c r="Q214" s="123">
        <v>78</v>
      </c>
      <c r="R214" s="130"/>
      <c r="S214" s="139"/>
      <c r="T214" s="124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17"/>
      <c r="AH214" s="24"/>
      <c r="AI214" s="25"/>
      <c r="AJ214" s="25"/>
    </row>
    <row r="215" spans="1:36" x14ac:dyDescent="0.3">
      <c r="A215" s="63">
        <v>209</v>
      </c>
      <c r="B215" s="102" t="s">
        <v>3520</v>
      </c>
      <c r="C215" s="102" t="s">
        <v>3521</v>
      </c>
      <c r="D215" s="64" t="s">
        <v>119</v>
      </c>
      <c r="E215" s="24" t="s">
        <v>4293</v>
      </c>
      <c r="F215" s="38" t="s">
        <v>650</v>
      </c>
      <c r="G215" s="108">
        <v>9</v>
      </c>
      <c r="H215" s="38" t="s">
        <v>4459</v>
      </c>
      <c r="I215" s="106"/>
      <c r="J215" s="128"/>
      <c r="K215" s="136" t="s">
        <v>4487</v>
      </c>
      <c r="L215" s="136"/>
      <c r="M215" s="136"/>
      <c r="N215" s="136"/>
      <c r="O215" s="136"/>
      <c r="P215" s="123">
        <v>396</v>
      </c>
      <c r="Q215" s="123">
        <v>80</v>
      </c>
      <c r="R215" s="130"/>
      <c r="S215" s="139"/>
      <c r="T215" s="124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17"/>
      <c r="AH215" s="24"/>
      <c r="AI215" s="25"/>
      <c r="AJ215" s="25"/>
    </row>
    <row r="216" spans="1:36" x14ac:dyDescent="0.3">
      <c r="A216" s="63">
        <v>210</v>
      </c>
      <c r="B216" s="102" t="s">
        <v>3520</v>
      </c>
      <c r="C216" s="102" t="s">
        <v>3521</v>
      </c>
      <c r="D216" s="64" t="s">
        <v>119</v>
      </c>
      <c r="E216" s="24" t="s">
        <v>4293</v>
      </c>
      <c r="F216" s="38" t="s">
        <v>650</v>
      </c>
      <c r="G216" s="108">
        <v>9</v>
      </c>
      <c r="H216" s="38" t="s">
        <v>4459</v>
      </c>
      <c r="I216" s="106"/>
      <c r="J216" s="128"/>
      <c r="K216" s="136" t="s">
        <v>4488</v>
      </c>
      <c r="L216" s="136"/>
      <c r="M216" s="136"/>
      <c r="N216" s="136"/>
      <c r="O216" s="136"/>
      <c r="P216" s="123">
        <v>176</v>
      </c>
      <c r="Q216" s="123">
        <v>40</v>
      </c>
      <c r="R216" s="130"/>
      <c r="S216" s="139"/>
      <c r="T216" s="124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17"/>
      <c r="AH216" s="24"/>
      <c r="AI216" s="25"/>
      <c r="AJ216" s="25"/>
    </row>
  </sheetData>
  <mergeCells count="3">
    <mergeCell ref="G1:G2"/>
    <mergeCell ref="A5:D5"/>
    <mergeCell ref="U5:AF5"/>
  </mergeCells>
  <conditionalFormatting sqref="M7:M216">
    <cfRule type="duplicateValues" dxfId="1" priority="5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86"/>
  <sheetViews>
    <sheetView tabSelected="1" workbookViewId="0">
      <pane xSplit="12" ySplit="6" topLeftCell="M7" activePane="bottomRight" state="frozen"/>
      <selection pane="topRight" activeCell="M1" sqref="M1"/>
      <selection pane="bottomLeft" activeCell="A7" sqref="A7"/>
      <selection pane="bottomRight" activeCell="M7" sqref="M7"/>
    </sheetView>
  </sheetViews>
  <sheetFormatPr defaultRowHeight="14.4" x14ac:dyDescent="0.3"/>
  <cols>
    <col min="1" max="1" width="8.88671875" style="178"/>
    <col min="2" max="2" width="13.44140625" style="178" customWidth="1"/>
    <col min="3" max="3" width="12.21875" style="178" customWidth="1"/>
    <col min="4" max="4" width="13.88671875" style="178" customWidth="1"/>
    <col min="5" max="5" width="13.109375" style="178" customWidth="1"/>
    <col min="6" max="6" width="12" style="178" customWidth="1"/>
    <col min="7" max="7" width="8.88671875" style="178"/>
    <col min="8" max="8" width="20.6640625" style="178" customWidth="1"/>
    <col min="9" max="9" width="8.88671875" style="178"/>
    <col min="10" max="10" width="11.77734375" style="178" customWidth="1"/>
    <col min="11" max="11" width="20" style="178" customWidth="1"/>
    <col min="12" max="12" width="13.109375" style="178" customWidth="1"/>
    <col min="13" max="20" width="8.88671875" style="178"/>
    <col min="21" max="32" width="4.77734375" style="178" customWidth="1"/>
    <col min="33" max="16384" width="8.88671875" style="178"/>
  </cols>
  <sheetData>
    <row r="1" spans="1:36" x14ac:dyDescent="0.3">
      <c r="A1" s="55"/>
      <c r="B1" s="55"/>
      <c r="C1" s="55"/>
      <c r="D1" s="55"/>
      <c r="E1" s="55"/>
      <c r="F1" s="55"/>
      <c r="G1" s="176" t="s">
        <v>23</v>
      </c>
      <c r="H1" s="46" t="s">
        <v>0</v>
      </c>
      <c r="I1" s="47">
        <f>COUNTIF(I7:I505,"SK(H)")</f>
        <v>0</v>
      </c>
      <c r="J1" s="46" t="s">
        <v>1</v>
      </c>
      <c r="K1" s="46">
        <f>COUNTA(J7:J521)</f>
        <v>0</v>
      </c>
      <c r="L1" s="9"/>
      <c r="M1" s="9"/>
      <c r="N1" s="9"/>
      <c r="O1" s="9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1"/>
      <c r="AA1" s="8"/>
      <c r="AB1" s="8"/>
      <c r="AC1" s="8"/>
      <c r="AD1" s="11"/>
      <c r="AE1" s="11"/>
      <c r="AF1" s="11" t="s">
        <v>2</v>
      </c>
      <c r="AG1" s="11"/>
      <c r="AH1" s="10"/>
      <c r="AI1" s="12"/>
      <c r="AJ1" s="8"/>
    </row>
    <row r="2" spans="1:36" x14ac:dyDescent="0.3">
      <c r="A2" s="55"/>
      <c r="B2" s="55"/>
      <c r="C2" s="55"/>
      <c r="D2" s="56"/>
      <c r="E2" s="57"/>
      <c r="F2" s="57"/>
      <c r="G2" s="176"/>
      <c r="H2" s="46" t="s">
        <v>3</v>
      </c>
      <c r="I2" s="47">
        <f>COUNTIF(I7:I506,"SHW(H)")</f>
        <v>0</v>
      </c>
      <c r="J2" s="46" t="s">
        <v>5</v>
      </c>
      <c r="K2" s="46">
        <f>COUNTA(K7:K186)</f>
        <v>180</v>
      </c>
      <c r="L2" s="9"/>
      <c r="M2" s="9"/>
      <c r="N2" s="9"/>
      <c r="O2" s="9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1"/>
      <c r="AA2" s="8"/>
      <c r="AB2" s="8"/>
      <c r="AC2" s="8"/>
      <c r="AD2" s="11"/>
      <c r="AE2" s="11"/>
      <c r="AF2" s="11" t="s">
        <v>4</v>
      </c>
      <c r="AG2" s="11"/>
      <c r="AH2" s="10"/>
      <c r="AI2" s="8"/>
      <c r="AJ2" s="8"/>
    </row>
    <row r="3" spans="1:36" x14ac:dyDescent="0.3">
      <c r="A3" s="55"/>
      <c r="B3" s="55"/>
      <c r="C3" s="55"/>
      <c r="D3" s="56"/>
      <c r="E3" s="57"/>
      <c r="F3" s="57"/>
      <c r="G3" s="179"/>
      <c r="H3" s="9"/>
      <c r="I3" s="164"/>
      <c r="J3" s="9"/>
      <c r="K3" s="9"/>
      <c r="L3" s="9"/>
      <c r="M3" s="9"/>
      <c r="N3" s="9"/>
      <c r="O3" s="9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1"/>
      <c r="AA3" s="8"/>
      <c r="AB3" s="8"/>
      <c r="AC3" s="8"/>
      <c r="AD3" s="11"/>
      <c r="AE3" s="11"/>
      <c r="AF3" s="11" t="s">
        <v>6</v>
      </c>
      <c r="AG3" s="11"/>
      <c r="AH3" s="10"/>
      <c r="AI3" s="8"/>
      <c r="AJ3" s="8"/>
    </row>
    <row r="4" spans="1:36" x14ac:dyDescent="0.3">
      <c r="A4" s="55"/>
      <c r="B4" s="55"/>
      <c r="C4" s="55"/>
      <c r="D4" s="55"/>
      <c r="E4" s="58"/>
      <c r="F4" s="58"/>
      <c r="G4" s="55"/>
      <c r="H4" s="8"/>
      <c r="I4" s="8"/>
      <c r="J4" s="177"/>
      <c r="K4" s="11"/>
      <c r="L4" s="11"/>
      <c r="M4" s="11"/>
      <c r="N4" s="11"/>
      <c r="O4" s="11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1"/>
      <c r="AA4" s="8"/>
      <c r="AB4" s="8"/>
      <c r="AC4" s="8"/>
      <c r="AD4" s="11"/>
      <c r="AE4" s="11"/>
      <c r="AG4" s="11"/>
      <c r="AH4" s="10"/>
      <c r="AI4" s="177"/>
      <c r="AJ4" s="177"/>
    </row>
    <row r="5" spans="1:36" x14ac:dyDescent="0.3">
      <c r="A5" s="166" t="s">
        <v>7</v>
      </c>
      <c r="B5" s="166"/>
      <c r="C5" s="166"/>
      <c r="D5" s="166"/>
      <c r="E5" s="163" t="s">
        <v>4490</v>
      </c>
      <c r="F5" s="163"/>
      <c r="G5" s="163"/>
      <c r="H5" s="2"/>
      <c r="I5" s="1"/>
      <c r="J5" s="1"/>
      <c r="K5" s="15"/>
      <c r="L5" s="15"/>
      <c r="M5" s="15"/>
      <c r="N5" s="15"/>
      <c r="O5" s="15"/>
      <c r="P5" s="5"/>
      <c r="Q5" s="5"/>
      <c r="R5" s="5"/>
      <c r="S5" s="5"/>
      <c r="T5" s="1"/>
      <c r="U5" s="169" t="s">
        <v>4489</v>
      </c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6"/>
      <c r="AH5" s="3"/>
      <c r="AI5" s="7"/>
      <c r="AJ5" s="7"/>
    </row>
    <row r="6" spans="1:36" s="175" customFormat="1" ht="82.8" x14ac:dyDescent="0.3">
      <c r="A6" s="60" t="s">
        <v>8</v>
      </c>
      <c r="B6" s="61" t="s">
        <v>3518</v>
      </c>
      <c r="C6" s="61" t="s">
        <v>3519</v>
      </c>
      <c r="D6" s="61" t="s">
        <v>9</v>
      </c>
      <c r="E6" s="61" t="s">
        <v>10</v>
      </c>
      <c r="F6" s="61" t="s">
        <v>11</v>
      </c>
      <c r="G6" s="62" t="s">
        <v>3523</v>
      </c>
      <c r="H6" s="19" t="s">
        <v>12</v>
      </c>
      <c r="I6" s="19" t="s">
        <v>13</v>
      </c>
      <c r="J6" s="48" t="s">
        <v>14</v>
      </c>
      <c r="K6" s="53" t="s">
        <v>34</v>
      </c>
      <c r="L6" s="81" t="s">
        <v>35</v>
      </c>
      <c r="M6" s="53" t="s">
        <v>40</v>
      </c>
      <c r="N6" s="53" t="s">
        <v>36</v>
      </c>
      <c r="O6" s="53" t="s">
        <v>37</v>
      </c>
      <c r="P6" s="19" t="s">
        <v>15</v>
      </c>
      <c r="Q6" s="19" t="s">
        <v>3522</v>
      </c>
      <c r="R6" s="48" t="s">
        <v>33</v>
      </c>
      <c r="S6" s="81" t="s">
        <v>38</v>
      </c>
      <c r="T6" s="19" t="s">
        <v>39</v>
      </c>
      <c r="U6" s="44" t="s">
        <v>26</v>
      </c>
      <c r="V6" s="45" t="s">
        <v>27</v>
      </c>
      <c r="W6" s="45" t="s">
        <v>16</v>
      </c>
      <c r="X6" s="45" t="s">
        <v>17</v>
      </c>
      <c r="Y6" s="45" t="s">
        <v>18</v>
      </c>
      <c r="Z6" s="45" t="s">
        <v>19</v>
      </c>
      <c r="AA6" s="45" t="s">
        <v>20</v>
      </c>
      <c r="AB6" s="45" t="s">
        <v>28</v>
      </c>
      <c r="AC6" s="45" t="s">
        <v>29</v>
      </c>
      <c r="AD6" s="45" t="s">
        <v>30</v>
      </c>
      <c r="AE6" s="45" t="s">
        <v>31</v>
      </c>
      <c r="AF6" s="45" t="s">
        <v>32</v>
      </c>
      <c r="AG6" s="49" t="s">
        <v>25</v>
      </c>
      <c r="AH6" s="50" t="s">
        <v>24</v>
      </c>
      <c r="AI6" s="51" t="s">
        <v>21</v>
      </c>
      <c r="AJ6" s="52" t="s">
        <v>22</v>
      </c>
    </row>
    <row r="7" spans="1:36" x14ac:dyDescent="0.3">
      <c r="A7" s="63">
        <v>1</v>
      </c>
      <c r="B7" s="102" t="s">
        <v>3520</v>
      </c>
      <c r="C7" s="102" t="s">
        <v>3521</v>
      </c>
      <c r="D7" s="64" t="s">
        <v>119</v>
      </c>
      <c r="E7" s="180" t="s">
        <v>4490</v>
      </c>
      <c r="F7" s="170" t="s">
        <v>4491</v>
      </c>
      <c r="G7" s="171">
        <v>1</v>
      </c>
      <c r="H7" s="181"/>
      <c r="I7" s="181"/>
      <c r="J7" s="128"/>
      <c r="K7" s="182" t="s">
        <v>4500</v>
      </c>
      <c r="L7" s="129"/>
      <c r="M7" s="129"/>
      <c r="N7" s="129"/>
      <c r="O7" s="129"/>
      <c r="P7" s="123"/>
      <c r="Q7" s="123"/>
      <c r="R7" s="183"/>
      <c r="S7" s="131"/>
      <c r="T7" s="124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6"/>
      <c r="AH7" s="24"/>
      <c r="AI7" s="25"/>
      <c r="AJ7" s="25"/>
    </row>
    <row r="8" spans="1:36" x14ac:dyDescent="0.3">
      <c r="A8" s="63">
        <v>2</v>
      </c>
      <c r="B8" s="102" t="s">
        <v>3520</v>
      </c>
      <c r="C8" s="102" t="s">
        <v>3521</v>
      </c>
      <c r="D8" s="64" t="s">
        <v>119</v>
      </c>
      <c r="E8" s="183" t="s">
        <v>4490</v>
      </c>
      <c r="F8" s="172" t="s">
        <v>4491</v>
      </c>
      <c r="G8" s="173">
        <v>1</v>
      </c>
      <c r="H8" s="181"/>
      <c r="I8" s="181"/>
      <c r="J8" s="128"/>
      <c r="K8" s="184" t="s">
        <v>4501</v>
      </c>
      <c r="L8" s="129"/>
      <c r="M8" s="129"/>
      <c r="N8" s="129"/>
      <c r="O8" s="129"/>
      <c r="P8" s="123"/>
      <c r="Q8" s="123"/>
      <c r="R8" s="183"/>
      <c r="S8" s="131"/>
      <c r="T8" s="124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17"/>
      <c r="AH8" s="24"/>
      <c r="AI8" s="25"/>
      <c r="AJ8" s="25"/>
    </row>
    <row r="9" spans="1:36" x14ac:dyDescent="0.3">
      <c r="A9" s="63">
        <v>3</v>
      </c>
      <c r="B9" s="102" t="s">
        <v>3520</v>
      </c>
      <c r="C9" s="102" t="s">
        <v>3521</v>
      </c>
      <c r="D9" s="64" t="s">
        <v>119</v>
      </c>
      <c r="E9" s="183" t="s">
        <v>4490</v>
      </c>
      <c r="F9" s="172" t="s">
        <v>4491</v>
      </c>
      <c r="G9" s="173">
        <v>1</v>
      </c>
      <c r="H9" s="181"/>
      <c r="I9" s="181"/>
      <c r="J9" s="128"/>
      <c r="K9" s="184" t="s">
        <v>4136</v>
      </c>
      <c r="L9" s="132"/>
      <c r="M9" s="132"/>
      <c r="N9" s="132"/>
      <c r="O9" s="132"/>
      <c r="P9" s="123"/>
      <c r="Q9" s="123"/>
      <c r="R9" s="183"/>
      <c r="S9" s="131"/>
      <c r="T9" s="124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17"/>
      <c r="AH9" s="24"/>
      <c r="AI9" s="25"/>
      <c r="AJ9" s="25"/>
    </row>
    <row r="10" spans="1:36" x14ac:dyDescent="0.3">
      <c r="A10" s="63">
        <v>4</v>
      </c>
      <c r="B10" s="102" t="s">
        <v>3520</v>
      </c>
      <c r="C10" s="102" t="s">
        <v>3521</v>
      </c>
      <c r="D10" s="64" t="s">
        <v>119</v>
      </c>
      <c r="E10" s="183" t="s">
        <v>4490</v>
      </c>
      <c r="F10" s="172" t="s">
        <v>4491</v>
      </c>
      <c r="G10" s="173">
        <v>1</v>
      </c>
      <c r="H10" s="181"/>
      <c r="I10" s="181"/>
      <c r="J10" s="128"/>
      <c r="K10" s="184" t="s">
        <v>4502</v>
      </c>
      <c r="L10" s="129"/>
      <c r="M10" s="129"/>
      <c r="N10" s="129"/>
      <c r="O10" s="129"/>
      <c r="P10" s="123"/>
      <c r="Q10" s="123"/>
      <c r="R10" s="183"/>
      <c r="S10" s="131"/>
      <c r="T10" s="124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17"/>
      <c r="AH10" s="24"/>
      <c r="AI10" s="25"/>
      <c r="AJ10" s="25"/>
    </row>
    <row r="11" spans="1:36" x14ac:dyDescent="0.3">
      <c r="A11" s="63">
        <v>5</v>
      </c>
      <c r="B11" s="102" t="s">
        <v>3520</v>
      </c>
      <c r="C11" s="102" t="s">
        <v>3521</v>
      </c>
      <c r="D11" s="64" t="s">
        <v>119</v>
      </c>
      <c r="E11" s="183" t="s">
        <v>4490</v>
      </c>
      <c r="F11" s="172" t="s">
        <v>4491</v>
      </c>
      <c r="G11" s="173">
        <v>1</v>
      </c>
      <c r="H11" s="181"/>
      <c r="I11" s="181"/>
      <c r="J11" s="128"/>
      <c r="K11" s="184" t="s">
        <v>4503</v>
      </c>
      <c r="L11" s="132"/>
      <c r="M11" s="132"/>
      <c r="N11" s="132"/>
      <c r="O11" s="132"/>
      <c r="P11" s="123"/>
      <c r="Q11" s="123"/>
      <c r="R11" s="183"/>
      <c r="S11" s="131"/>
      <c r="T11" s="124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16"/>
      <c r="AH11" s="24"/>
      <c r="AI11" s="25"/>
      <c r="AJ11" s="25"/>
    </row>
    <row r="12" spans="1:36" x14ac:dyDescent="0.3">
      <c r="A12" s="63">
        <v>6</v>
      </c>
      <c r="B12" s="102" t="s">
        <v>3520</v>
      </c>
      <c r="C12" s="102" t="s">
        <v>3521</v>
      </c>
      <c r="D12" s="64" t="s">
        <v>119</v>
      </c>
      <c r="E12" s="183" t="s">
        <v>4490</v>
      </c>
      <c r="F12" s="172" t="s">
        <v>4491</v>
      </c>
      <c r="G12" s="173">
        <v>2</v>
      </c>
      <c r="H12" s="181"/>
      <c r="I12" s="181"/>
      <c r="J12" s="128"/>
      <c r="K12" s="184" t="s">
        <v>4504</v>
      </c>
      <c r="L12" s="129"/>
      <c r="M12" s="129"/>
      <c r="N12" s="129"/>
      <c r="O12" s="129"/>
      <c r="P12" s="123"/>
      <c r="Q12" s="123"/>
      <c r="R12" s="183"/>
      <c r="S12" s="131"/>
      <c r="T12" s="124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17"/>
      <c r="AH12" s="24"/>
      <c r="AI12" s="25"/>
      <c r="AJ12" s="25"/>
    </row>
    <row r="13" spans="1:36" x14ac:dyDescent="0.3">
      <c r="A13" s="63">
        <v>7</v>
      </c>
      <c r="B13" s="102" t="s">
        <v>3520</v>
      </c>
      <c r="C13" s="102" t="s">
        <v>3521</v>
      </c>
      <c r="D13" s="64" t="s">
        <v>119</v>
      </c>
      <c r="E13" s="183" t="s">
        <v>4490</v>
      </c>
      <c r="F13" s="172" t="s">
        <v>4491</v>
      </c>
      <c r="G13" s="173">
        <v>2</v>
      </c>
      <c r="H13" s="42"/>
      <c r="I13" s="181"/>
      <c r="J13" s="128"/>
      <c r="K13" s="184" t="s">
        <v>4505</v>
      </c>
      <c r="L13" s="129"/>
      <c r="M13" s="129"/>
      <c r="N13" s="129"/>
      <c r="O13" s="129"/>
      <c r="P13" s="123"/>
      <c r="Q13" s="123"/>
      <c r="R13" s="183"/>
      <c r="S13" s="131"/>
      <c r="T13" s="124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17"/>
      <c r="AH13" s="24"/>
      <c r="AI13" s="25"/>
      <c r="AJ13" s="25"/>
    </row>
    <row r="14" spans="1:36" x14ac:dyDescent="0.3">
      <c r="A14" s="63">
        <v>8</v>
      </c>
      <c r="B14" s="102" t="s">
        <v>3520</v>
      </c>
      <c r="C14" s="102" t="s">
        <v>3521</v>
      </c>
      <c r="D14" s="64" t="s">
        <v>119</v>
      </c>
      <c r="E14" s="183" t="s">
        <v>4490</v>
      </c>
      <c r="F14" s="172" t="s">
        <v>4491</v>
      </c>
      <c r="G14" s="173">
        <v>2</v>
      </c>
      <c r="H14" s="42"/>
      <c r="I14" s="181"/>
      <c r="J14" s="128"/>
      <c r="K14" s="184" t="s">
        <v>4506</v>
      </c>
      <c r="L14" s="129"/>
      <c r="M14" s="129"/>
      <c r="N14" s="129"/>
      <c r="O14" s="129"/>
      <c r="P14" s="123"/>
      <c r="Q14" s="123"/>
      <c r="R14" s="183"/>
      <c r="S14" s="131"/>
      <c r="T14" s="124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16"/>
      <c r="AH14" s="24"/>
      <c r="AI14" s="25"/>
      <c r="AJ14" s="25"/>
    </row>
    <row r="15" spans="1:36" x14ac:dyDescent="0.3">
      <c r="A15" s="63">
        <v>9</v>
      </c>
      <c r="B15" s="102" t="s">
        <v>3520</v>
      </c>
      <c r="C15" s="102" t="s">
        <v>3521</v>
      </c>
      <c r="D15" s="64" t="s">
        <v>119</v>
      </c>
      <c r="E15" s="183" t="s">
        <v>4490</v>
      </c>
      <c r="F15" s="172" t="s">
        <v>4491</v>
      </c>
      <c r="G15" s="173">
        <v>3</v>
      </c>
      <c r="H15" s="42"/>
      <c r="I15" s="181"/>
      <c r="J15" s="128"/>
      <c r="K15" s="184" t="s">
        <v>4507</v>
      </c>
      <c r="L15" s="129"/>
      <c r="M15" s="132"/>
      <c r="N15" s="132"/>
      <c r="O15" s="132"/>
      <c r="P15" s="123"/>
      <c r="Q15" s="123"/>
      <c r="R15" s="183"/>
      <c r="S15" s="131"/>
      <c r="T15" s="124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17"/>
      <c r="AH15" s="24"/>
      <c r="AI15" s="25"/>
      <c r="AJ15" s="25"/>
    </row>
    <row r="16" spans="1:36" x14ac:dyDescent="0.3">
      <c r="A16" s="63">
        <v>10</v>
      </c>
      <c r="B16" s="102" t="s">
        <v>3520</v>
      </c>
      <c r="C16" s="102" t="s">
        <v>3521</v>
      </c>
      <c r="D16" s="64" t="s">
        <v>119</v>
      </c>
      <c r="E16" s="183" t="s">
        <v>4490</v>
      </c>
      <c r="F16" s="172" t="s">
        <v>4491</v>
      </c>
      <c r="G16" s="173">
        <v>3</v>
      </c>
      <c r="H16" s="42"/>
      <c r="I16" s="181"/>
      <c r="J16" s="128"/>
      <c r="K16" s="184" t="s">
        <v>4508</v>
      </c>
      <c r="L16" s="129"/>
      <c r="M16" s="129"/>
      <c r="N16" s="129"/>
      <c r="O16" s="129"/>
      <c r="P16" s="123"/>
      <c r="Q16" s="123"/>
      <c r="R16" s="183"/>
      <c r="S16" s="131"/>
      <c r="T16" s="124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17"/>
      <c r="AH16" s="24"/>
      <c r="AI16" s="25"/>
      <c r="AJ16" s="25"/>
    </row>
    <row r="17" spans="1:36" x14ac:dyDescent="0.3">
      <c r="A17" s="63">
        <v>11</v>
      </c>
      <c r="B17" s="102" t="s">
        <v>3520</v>
      </c>
      <c r="C17" s="102" t="s">
        <v>3521</v>
      </c>
      <c r="D17" s="64" t="s">
        <v>119</v>
      </c>
      <c r="E17" s="183" t="s">
        <v>4490</v>
      </c>
      <c r="F17" s="172" t="s">
        <v>4491</v>
      </c>
      <c r="G17" s="173">
        <v>3</v>
      </c>
      <c r="H17" s="42"/>
      <c r="I17" s="181"/>
      <c r="J17" s="128"/>
      <c r="K17" s="184" t="s">
        <v>4509</v>
      </c>
      <c r="L17" s="132"/>
      <c r="M17" s="132"/>
      <c r="N17" s="132"/>
      <c r="O17" s="132"/>
      <c r="P17" s="123"/>
      <c r="Q17" s="123"/>
      <c r="R17" s="183"/>
      <c r="S17" s="131"/>
      <c r="T17" s="124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17"/>
      <c r="AH17" s="24"/>
      <c r="AI17" s="25"/>
      <c r="AJ17" s="25"/>
    </row>
    <row r="18" spans="1:36" x14ac:dyDescent="0.3">
      <c r="A18" s="63">
        <v>12</v>
      </c>
      <c r="B18" s="102" t="s">
        <v>3520</v>
      </c>
      <c r="C18" s="102" t="s">
        <v>3521</v>
      </c>
      <c r="D18" s="64" t="s">
        <v>119</v>
      </c>
      <c r="E18" s="183" t="s">
        <v>4490</v>
      </c>
      <c r="F18" s="172" t="s">
        <v>4491</v>
      </c>
      <c r="G18" s="173">
        <v>3</v>
      </c>
      <c r="H18" s="42"/>
      <c r="I18" s="181"/>
      <c r="J18" s="128"/>
      <c r="K18" s="184" t="s">
        <v>4510</v>
      </c>
      <c r="L18" s="129"/>
      <c r="M18" s="129"/>
      <c r="N18" s="129"/>
      <c r="O18" s="129"/>
      <c r="P18" s="123"/>
      <c r="Q18" s="123"/>
      <c r="R18" s="183"/>
      <c r="S18" s="131"/>
      <c r="T18" s="124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17"/>
      <c r="AH18" s="24"/>
      <c r="AI18" s="25"/>
      <c r="AJ18" s="25"/>
    </row>
    <row r="19" spans="1:36" x14ac:dyDescent="0.3">
      <c r="A19" s="63">
        <v>13</v>
      </c>
      <c r="B19" s="102" t="s">
        <v>3520</v>
      </c>
      <c r="C19" s="102" t="s">
        <v>3521</v>
      </c>
      <c r="D19" s="64" t="s">
        <v>119</v>
      </c>
      <c r="E19" s="183" t="s">
        <v>4490</v>
      </c>
      <c r="F19" s="172" t="s">
        <v>4491</v>
      </c>
      <c r="G19" s="173">
        <v>4</v>
      </c>
      <c r="H19" s="42"/>
      <c r="I19" s="181"/>
      <c r="J19" s="128"/>
      <c r="K19" s="184" t="s">
        <v>4511</v>
      </c>
      <c r="L19" s="132"/>
      <c r="M19" s="132"/>
      <c r="N19" s="132"/>
      <c r="O19" s="132"/>
      <c r="P19" s="123"/>
      <c r="Q19" s="123"/>
      <c r="R19" s="183"/>
      <c r="S19" s="131"/>
      <c r="T19" s="124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17"/>
      <c r="AH19" s="24"/>
      <c r="AI19" s="25"/>
      <c r="AJ19" s="25"/>
    </row>
    <row r="20" spans="1:36" x14ac:dyDescent="0.3">
      <c r="A20" s="63">
        <v>14</v>
      </c>
      <c r="B20" s="102" t="s">
        <v>3520</v>
      </c>
      <c r="C20" s="102" t="s">
        <v>3521</v>
      </c>
      <c r="D20" s="64" t="s">
        <v>119</v>
      </c>
      <c r="E20" s="183" t="s">
        <v>4490</v>
      </c>
      <c r="F20" s="172" t="s">
        <v>4491</v>
      </c>
      <c r="G20" s="173">
        <v>4</v>
      </c>
      <c r="H20" s="42"/>
      <c r="I20" s="181"/>
      <c r="J20" s="128"/>
      <c r="K20" s="184" t="s">
        <v>4506</v>
      </c>
      <c r="L20" s="129"/>
      <c r="M20" s="129"/>
      <c r="N20" s="129"/>
      <c r="O20" s="129"/>
      <c r="P20" s="123"/>
      <c r="Q20" s="123"/>
      <c r="R20" s="183"/>
      <c r="S20" s="131"/>
      <c r="T20" s="124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17"/>
      <c r="AH20" s="24"/>
      <c r="AI20" s="25"/>
      <c r="AJ20" s="25"/>
    </row>
    <row r="21" spans="1:36" x14ac:dyDescent="0.3">
      <c r="A21" s="63">
        <v>15</v>
      </c>
      <c r="B21" s="102" t="s">
        <v>3520</v>
      </c>
      <c r="C21" s="102" t="s">
        <v>3521</v>
      </c>
      <c r="D21" s="64" t="s">
        <v>119</v>
      </c>
      <c r="E21" s="183" t="s">
        <v>4490</v>
      </c>
      <c r="F21" s="172" t="s">
        <v>4491</v>
      </c>
      <c r="G21" s="173">
        <v>4</v>
      </c>
      <c r="H21" s="181"/>
      <c r="I21" s="181"/>
      <c r="J21" s="128"/>
      <c r="K21" s="184" t="s">
        <v>4512</v>
      </c>
      <c r="L21" s="129"/>
      <c r="M21" s="129"/>
      <c r="N21" s="129"/>
      <c r="O21" s="129"/>
      <c r="P21" s="123"/>
      <c r="Q21" s="123"/>
      <c r="R21" s="183"/>
      <c r="S21" s="131"/>
      <c r="T21" s="124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17"/>
      <c r="AH21" s="24"/>
      <c r="AI21" s="25"/>
      <c r="AJ21" s="25"/>
    </row>
    <row r="22" spans="1:36" x14ac:dyDescent="0.3">
      <c r="A22" s="63">
        <v>16</v>
      </c>
      <c r="B22" s="102" t="s">
        <v>3520</v>
      </c>
      <c r="C22" s="102" t="s">
        <v>3521</v>
      </c>
      <c r="D22" s="64" t="s">
        <v>119</v>
      </c>
      <c r="E22" s="183" t="s">
        <v>4490</v>
      </c>
      <c r="F22" s="172" t="s">
        <v>4491</v>
      </c>
      <c r="G22" s="173">
        <v>5</v>
      </c>
      <c r="H22" s="181"/>
      <c r="I22" s="181"/>
      <c r="J22" s="128"/>
      <c r="K22" s="184" t="s">
        <v>4513</v>
      </c>
      <c r="L22" s="129"/>
      <c r="M22" s="129"/>
      <c r="N22" s="129"/>
      <c r="O22" s="129"/>
      <c r="P22" s="123"/>
      <c r="Q22" s="123"/>
      <c r="R22" s="183"/>
      <c r="S22" s="131"/>
      <c r="T22" s="124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17"/>
      <c r="AH22" s="24"/>
      <c r="AI22" s="25"/>
      <c r="AJ22" s="25"/>
    </row>
    <row r="23" spans="1:36" x14ac:dyDescent="0.3">
      <c r="A23" s="63">
        <v>17</v>
      </c>
      <c r="B23" s="102" t="s">
        <v>3520</v>
      </c>
      <c r="C23" s="102" t="s">
        <v>3521</v>
      </c>
      <c r="D23" s="64" t="s">
        <v>119</v>
      </c>
      <c r="E23" s="183" t="s">
        <v>4490</v>
      </c>
      <c r="F23" s="172" t="s">
        <v>4491</v>
      </c>
      <c r="G23" s="173">
        <v>5</v>
      </c>
      <c r="H23" s="181"/>
      <c r="I23" s="181"/>
      <c r="J23" s="128"/>
      <c r="K23" s="184" t="s">
        <v>4514</v>
      </c>
      <c r="L23" s="129"/>
      <c r="M23" s="129"/>
      <c r="N23" s="129"/>
      <c r="O23" s="129"/>
      <c r="P23" s="123"/>
      <c r="Q23" s="123"/>
      <c r="R23" s="183"/>
      <c r="S23" s="131"/>
      <c r="T23" s="124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17"/>
      <c r="AH23" s="24"/>
      <c r="AI23" s="25"/>
      <c r="AJ23" s="25"/>
    </row>
    <row r="24" spans="1:36" x14ac:dyDescent="0.3">
      <c r="A24" s="63">
        <v>18</v>
      </c>
      <c r="B24" s="102" t="s">
        <v>3520</v>
      </c>
      <c r="C24" s="102" t="s">
        <v>3521</v>
      </c>
      <c r="D24" s="64" t="s">
        <v>119</v>
      </c>
      <c r="E24" s="183" t="s">
        <v>4490</v>
      </c>
      <c r="F24" s="172" t="s">
        <v>4491</v>
      </c>
      <c r="G24" s="173">
        <v>5</v>
      </c>
      <c r="H24" s="181"/>
      <c r="I24" s="181"/>
      <c r="J24" s="128"/>
      <c r="K24" s="184" t="s">
        <v>4515</v>
      </c>
      <c r="L24" s="129"/>
      <c r="M24" s="129"/>
      <c r="N24" s="129"/>
      <c r="O24" s="129"/>
      <c r="P24" s="123"/>
      <c r="Q24" s="123"/>
      <c r="R24" s="183"/>
      <c r="S24" s="131"/>
      <c r="T24" s="124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17"/>
      <c r="AH24" s="24"/>
      <c r="AI24" s="25"/>
      <c r="AJ24" s="25"/>
    </row>
    <row r="25" spans="1:36" x14ac:dyDescent="0.3">
      <c r="A25" s="63">
        <v>19</v>
      </c>
      <c r="B25" s="102" t="s">
        <v>3520</v>
      </c>
      <c r="C25" s="102" t="s">
        <v>3521</v>
      </c>
      <c r="D25" s="64" t="s">
        <v>119</v>
      </c>
      <c r="E25" s="183" t="s">
        <v>4490</v>
      </c>
      <c r="F25" s="172" t="s">
        <v>4491</v>
      </c>
      <c r="G25" s="173">
        <v>5</v>
      </c>
      <c r="H25" s="181"/>
      <c r="I25" s="181"/>
      <c r="J25" s="128"/>
      <c r="K25" s="184" t="s">
        <v>4516</v>
      </c>
      <c r="L25" s="129"/>
      <c r="M25" s="129"/>
      <c r="N25" s="129"/>
      <c r="O25" s="129"/>
      <c r="P25" s="123"/>
      <c r="Q25" s="123"/>
      <c r="R25" s="183"/>
      <c r="S25" s="131"/>
      <c r="T25" s="124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17"/>
      <c r="AH25" s="24"/>
      <c r="AI25" s="25"/>
      <c r="AJ25" s="25"/>
    </row>
    <row r="26" spans="1:36" x14ac:dyDescent="0.3">
      <c r="A26" s="63">
        <v>20</v>
      </c>
      <c r="B26" s="102" t="s">
        <v>3520</v>
      </c>
      <c r="C26" s="102" t="s">
        <v>3521</v>
      </c>
      <c r="D26" s="64" t="s">
        <v>119</v>
      </c>
      <c r="E26" s="183" t="s">
        <v>4490</v>
      </c>
      <c r="F26" s="172" t="s">
        <v>4491</v>
      </c>
      <c r="G26" s="173">
        <v>5</v>
      </c>
      <c r="H26" s="42"/>
      <c r="I26" s="181"/>
      <c r="J26" s="128"/>
      <c r="K26" s="184" t="s">
        <v>4517</v>
      </c>
      <c r="L26" s="129"/>
      <c r="M26" s="129"/>
      <c r="N26" s="129"/>
      <c r="O26" s="129"/>
      <c r="P26" s="123"/>
      <c r="Q26" s="123"/>
      <c r="R26" s="183"/>
      <c r="S26" s="131"/>
      <c r="T26" s="124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17"/>
      <c r="AH26" s="24"/>
      <c r="AI26" s="25"/>
      <c r="AJ26" s="25"/>
    </row>
    <row r="27" spans="1:36" x14ac:dyDescent="0.3">
      <c r="A27" s="63">
        <v>21</v>
      </c>
      <c r="B27" s="102" t="s">
        <v>3520</v>
      </c>
      <c r="C27" s="102" t="s">
        <v>3521</v>
      </c>
      <c r="D27" s="64" t="s">
        <v>119</v>
      </c>
      <c r="E27" s="183" t="s">
        <v>4490</v>
      </c>
      <c r="F27" s="172" t="s">
        <v>4491</v>
      </c>
      <c r="G27" s="173">
        <v>5</v>
      </c>
      <c r="H27" s="42"/>
      <c r="I27" s="181"/>
      <c r="J27" s="128"/>
      <c r="K27" s="184" t="s">
        <v>4518</v>
      </c>
      <c r="L27" s="129"/>
      <c r="M27" s="129"/>
      <c r="N27" s="129"/>
      <c r="O27" s="129"/>
      <c r="P27" s="123"/>
      <c r="Q27" s="123"/>
      <c r="R27" s="183"/>
      <c r="S27" s="131"/>
      <c r="T27" s="124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17"/>
      <c r="AH27" s="24"/>
      <c r="AI27" s="25"/>
      <c r="AJ27" s="25"/>
    </row>
    <row r="28" spans="1:36" x14ac:dyDescent="0.3">
      <c r="A28" s="63">
        <v>22</v>
      </c>
      <c r="B28" s="102" t="s">
        <v>3520</v>
      </c>
      <c r="C28" s="102" t="s">
        <v>3521</v>
      </c>
      <c r="D28" s="64" t="s">
        <v>119</v>
      </c>
      <c r="E28" s="183" t="s">
        <v>4490</v>
      </c>
      <c r="F28" s="172" t="s">
        <v>4491</v>
      </c>
      <c r="G28" s="173">
        <v>5</v>
      </c>
      <c r="H28" s="42"/>
      <c r="I28" s="181"/>
      <c r="J28" s="128"/>
      <c r="K28" s="184" t="s">
        <v>4519</v>
      </c>
      <c r="L28" s="132"/>
      <c r="M28" s="132"/>
      <c r="N28" s="132"/>
      <c r="O28" s="132"/>
      <c r="P28" s="123"/>
      <c r="Q28" s="123"/>
      <c r="R28" s="183"/>
      <c r="S28" s="131"/>
      <c r="T28" s="124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17"/>
      <c r="AH28" s="24"/>
      <c r="AI28" s="25"/>
      <c r="AJ28" s="25"/>
    </row>
    <row r="29" spans="1:36" x14ac:dyDescent="0.3">
      <c r="A29" s="63">
        <v>23</v>
      </c>
      <c r="B29" s="102" t="s">
        <v>3520</v>
      </c>
      <c r="C29" s="102" t="s">
        <v>3521</v>
      </c>
      <c r="D29" s="64" t="s">
        <v>119</v>
      </c>
      <c r="E29" s="183" t="s">
        <v>4490</v>
      </c>
      <c r="F29" s="172" t="s">
        <v>4491</v>
      </c>
      <c r="G29" s="174">
        <v>6</v>
      </c>
      <c r="H29" s="42"/>
      <c r="I29" s="181"/>
      <c r="J29" s="128"/>
      <c r="K29" s="184" t="s">
        <v>4520</v>
      </c>
      <c r="L29" s="129"/>
      <c r="M29" s="129"/>
      <c r="N29" s="129"/>
      <c r="O29" s="129"/>
      <c r="P29" s="123"/>
      <c r="Q29" s="123"/>
      <c r="R29" s="183"/>
      <c r="S29" s="131"/>
      <c r="T29" s="124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17"/>
      <c r="AH29" s="24"/>
      <c r="AI29" s="25"/>
      <c r="AJ29" s="25"/>
    </row>
    <row r="30" spans="1:36" x14ac:dyDescent="0.3">
      <c r="A30" s="63">
        <v>24</v>
      </c>
      <c r="B30" s="102" t="s">
        <v>3520</v>
      </c>
      <c r="C30" s="102" t="s">
        <v>3521</v>
      </c>
      <c r="D30" s="64" t="s">
        <v>119</v>
      </c>
      <c r="E30" s="183" t="s">
        <v>4490</v>
      </c>
      <c r="F30" s="172" t="s">
        <v>4491</v>
      </c>
      <c r="G30" s="174">
        <v>6</v>
      </c>
      <c r="H30" s="42"/>
      <c r="I30" s="181"/>
      <c r="J30" s="128"/>
      <c r="K30" s="184" t="s">
        <v>4521</v>
      </c>
      <c r="L30" s="129"/>
      <c r="M30" s="129"/>
      <c r="N30" s="129"/>
      <c r="O30" s="129"/>
      <c r="P30" s="123"/>
      <c r="Q30" s="123"/>
      <c r="R30" s="183"/>
      <c r="S30" s="131"/>
      <c r="T30" s="124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17"/>
      <c r="AH30" s="24"/>
      <c r="AI30" s="25"/>
      <c r="AJ30" s="25"/>
    </row>
    <row r="31" spans="1:36" x14ac:dyDescent="0.3">
      <c r="A31" s="63">
        <v>25</v>
      </c>
      <c r="B31" s="102" t="s">
        <v>3520</v>
      </c>
      <c r="C31" s="102" t="s">
        <v>3521</v>
      </c>
      <c r="D31" s="64" t="s">
        <v>119</v>
      </c>
      <c r="E31" s="183" t="s">
        <v>4490</v>
      </c>
      <c r="F31" s="172" t="s">
        <v>4491</v>
      </c>
      <c r="G31" s="174">
        <v>6</v>
      </c>
      <c r="H31" s="42"/>
      <c r="I31" s="181"/>
      <c r="J31" s="128"/>
      <c r="K31" s="184" t="s">
        <v>4522</v>
      </c>
      <c r="L31" s="132"/>
      <c r="M31" s="132"/>
      <c r="N31" s="132"/>
      <c r="O31" s="132"/>
      <c r="P31" s="123"/>
      <c r="Q31" s="123"/>
      <c r="R31" s="183"/>
      <c r="S31" s="131"/>
      <c r="T31" s="124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17"/>
      <c r="AH31" s="24"/>
      <c r="AI31" s="25"/>
      <c r="AJ31" s="25"/>
    </row>
    <row r="32" spans="1:36" x14ac:dyDescent="0.3">
      <c r="A32" s="63">
        <v>26</v>
      </c>
      <c r="B32" s="102" t="s">
        <v>3520</v>
      </c>
      <c r="C32" s="102" t="s">
        <v>3521</v>
      </c>
      <c r="D32" s="64" t="s">
        <v>119</v>
      </c>
      <c r="E32" s="183" t="s">
        <v>4490</v>
      </c>
      <c r="F32" s="172" t="s">
        <v>4491</v>
      </c>
      <c r="G32" s="174">
        <v>6</v>
      </c>
      <c r="H32" s="42"/>
      <c r="I32" s="181"/>
      <c r="J32" s="128"/>
      <c r="K32" s="184" t="s">
        <v>4523</v>
      </c>
      <c r="L32" s="132"/>
      <c r="M32" s="132"/>
      <c r="N32" s="132"/>
      <c r="O32" s="132"/>
      <c r="P32" s="123"/>
      <c r="Q32" s="123"/>
      <c r="R32" s="183"/>
      <c r="S32" s="131"/>
      <c r="T32" s="124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17"/>
      <c r="AH32" s="24"/>
      <c r="AI32" s="25"/>
      <c r="AJ32" s="25"/>
    </row>
    <row r="33" spans="1:36" x14ac:dyDescent="0.3">
      <c r="A33" s="63">
        <v>27</v>
      </c>
      <c r="B33" s="102" t="s">
        <v>3520</v>
      </c>
      <c r="C33" s="102" t="s">
        <v>3521</v>
      </c>
      <c r="D33" s="64" t="s">
        <v>119</v>
      </c>
      <c r="E33" s="183" t="s">
        <v>4490</v>
      </c>
      <c r="F33" s="172" t="s">
        <v>4491</v>
      </c>
      <c r="G33" s="174">
        <v>7</v>
      </c>
      <c r="H33" s="42"/>
      <c r="I33" s="181"/>
      <c r="J33" s="128"/>
      <c r="K33" s="184" t="s">
        <v>4524</v>
      </c>
      <c r="L33" s="129"/>
      <c r="M33" s="129"/>
      <c r="N33" s="129"/>
      <c r="O33" s="129"/>
      <c r="P33" s="123"/>
      <c r="Q33" s="123"/>
      <c r="R33" s="183"/>
      <c r="S33" s="131"/>
      <c r="T33" s="124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17"/>
      <c r="AH33" s="24"/>
      <c r="AI33" s="25"/>
      <c r="AJ33" s="25"/>
    </row>
    <row r="34" spans="1:36" x14ac:dyDescent="0.3">
      <c r="A34" s="63">
        <v>28</v>
      </c>
      <c r="B34" s="102" t="s">
        <v>3520</v>
      </c>
      <c r="C34" s="102" t="s">
        <v>3521</v>
      </c>
      <c r="D34" s="64" t="s">
        <v>119</v>
      </c>
      <c r="E34" s="183" t="s">
        <v>4490</v>
      </c>
      <c r="F34" s="172" t="s">
        <v>4491</v>
      </c>
      <c r="G34" s="174">
        <v>8</v>
      </c>
      <c r="H34" s="42"/>
      <c r="I34" s="181"/>
      <c r="J34" s="128"/>
      <c r="K34" s="184" t="s">
        <v>4524</v>
      </c>
      <c r="L34" s="132"/>
      <c r="M34" s="132"/>
      <c r="N34" s="132"/>
      <c r="O34" s="132"/>
      <c r="P34" s="123"/>
      <c r="Q34" s="123"/>
      <c r="R34" s="183"/>
      <c r="S34" s="131"/>
      <c r="T34" s="124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17"/>
      <c r="AH34" s="24"/>
      <c r="AI34" s="25"/>
      <c r="AJ34" s="25"/>
    </row>
    <row r="35" spans="1:36" x14ac:dyDescent="0.3">
      <c r="A35" s="63">
        <v>29</v>
      </c>
      <c r="B35" s="102" t="s">
        <v>3520</v>
      </c>
      <c r="C35" s="102" t="s">
        <v>3521</v>
      </c>
      <c r="D35" s="64" t="s">
        <v>119</v>
      </c>
      <c r="E35" s="183" t="s">
        <v>4490</v>
      </c>
      <c r="F35" s="172" t="s">
        <v>4491</v>
      </c>
      <c r="G35" s="174">
        <v>8</v>
      </c>
      <c r="H35" s="42"/>
      <c r="I35" s="181"/>
      <c r="J35" s="128"/>
      <c r="K35" s="184" t="s">
        <v>4525</v>
      </c>
      <c r="L35" s="132"/>
      <c r="M35" s="132"/>
      <c r="N35" s="132"/>
      <c r="O35" s="132"/>
      <c r="P35" s="123"/>
      <c r="Q35" s="123"/>
      <c r="R35" s="183"/>
      <c r="S35" s="131"/>
      <c r="T35" s="124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17"/>
      <c r="AH35" s="24"/>
      <c r="AI35" s="29"/>
      <c r="AJ35" s="29"/>
    </row>
    <row r="36" spans="1:36" x14ac:dyDescent="0.3">
      <c r="A36" s="63">
        <v>30</v>
      </c>
      <c r="B36" s="102" t="s">
        <v>3520</v>
      </c>
      <c r="C36" s="102" t="s">
        <v>3521</v>
      </c>
      <c r="D36" s="64" t="s">
        <v>119</v>
      </c>
      <c r="E36" s="183" t="s">
        <v>4490</v>
      </c>
      <c r="F36" s="172" t="s">
        <v>4491</v>
      </c>
      <c r="G36" s="174">
        <v>9</v>
      </c>
      <c r="H36" s="42"/>
      <c r="I36" s="181"/>
      <c r="J36" s="128"/>
      <c r="K36" s="184" t="s">
        <v>4525</v>
      </c>
      <c r="L36" s="132"/>
      <c r="M36" s="132"/>
      <c r="N36" s="132"/>
      <c r="O36" s="132"/>
      <c r="P36" s="123"/>
      <c r="Q36" s="123"/>
      <c r="R36" s="183"/>
      <c r="S36" s="131"/>
      <c r="T36" s="124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17"/>
      <c r="AH36" s="24"/>
      <c r="AI36" s="30"/>
      <c r="AJ36" s="30"/>
    </row>
    <row r="37" spans="1:36" x14ac:dyDescent="0.3">
      <c r="A37" s="63">
        <v>31</v>
      </c>
      <c r="B37" s="102" t="s">
        <v>3520</v>
      </c>
      <c r="C37" s="102" t="s">
        <v>3521</v>
      </c>
      <c r="D37" s="64" t="s">
        <v>119</v>
      </c>
      <c r="E37" s="183" t="s">
        <v>4490</v>
      </c>
      <c r="F37" s="172" t="s">
        <v>4492</v>
      </c>
      <c r="G37" s="173">
        <v>1</v>
      </c>
      <c r="H37" s="42"/>
      <c r="I37" s="181"/>
      <c r="J37" s="128"/>
      <c r="K37" s="184" t="s">
        <v>4526</v>
      </c>
      <c r="L37" s="132"/>
      <c r="M37" s="132"/>
      <c r="N37" s="132"/>
      <c r="O37" s="132"/>
      <c r="P37" s="123"/>
      <c r="Q37" s="123"/>
      <c r="R37" s="183"/>
      <c r="S37" s="131"/>
      <c r="T37" s="124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17"/>
      <c r="AH37" s="24"/>
      <c r="AI37" s="31"/>
      <c r="AJ37" s="31"/>
    </row>
    <row r="38" spans="1:36" x14ac:dyDescent="0.3">
      <c r="A38" s="63">
        <v>32</v>
      </c>
      <c r="B38" s="102" t="s">
        <v>3520</v>
      </c>
      <c r="C38" s="102" t="s">
        <v>3521</v>
      </c>
      <c r="D38" s="64" t="s">
        <v>119</v>
      </c>
      <c r="E38" s="183" t="s">
        <v>4490</v>
      </c>
      <c r="F38" s="172" t="s">
        <v>4492</v>
      </c>
      <c r="G38" s="173">
        <v>1</v>
      </c>
      <c r="H38" s="42"/>
      <c r="I38" s="181"/>
      <c r="J38" s="128"/>
      <c r="K38" s="184" t="s">
        <v>4527</v>
      </c>
      <c r="L38" s="132"/>
      <c r="M38" s="132"/>
      <c r="N38" s="132"/>
      <c r="O38" s="132"/>
      <c r="P38" s="123"/>
      <c r="Q38" s="123"/>
      <c r="R38" s="183"/>
      <c r="S38" s="131"/>
      <c r="T38" s="124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17"/>
      <c r="AH38" s="24"/>
      <c r="AI38" s="31"/>
      <c r="AJ38" s="31"/>
    </row>
    <row r="39" spans="1:36" x14ac:dyDescent="0.3">
      <c r="A39" s="63">
        <v>33</v>
      </c>
      <c r="B39" s="102" t="s">
        <v>3520</v>
      </c>
      <c r="C39" s="102" t="s">
        <v>3521</v>
      </c>
      <c r="D39" s="64" t="s">
        <v>119</v>
      </c>
      <c r="E39" s="183" t="s">
        <v>4490</v>
      </c>
      <c r="F39" s="172" t="s">
        <v>4492</v>
      </c>
      <c r="G39" s="173">
        <v>2</v>
      </c>
      <c r="H39" s="42"/>
      <c r="I39" s="181"/>
      <c r="J39" s="128"/>
      <c r="K39" s="184" t="s">
        <v>4528</v>
      </c>
      <c r="L39" s="132"/>
      <c r="M39" s="132"/>
      <c r="N39" s="132"/>
      <c r="O39" s="132"/>
      <c r="P39" s="123"/>
      <c r="Q39" s="123"/>
      <c r="R39" s="183"/>
      <c r="S39" s="131"/>
      <c r="T39" s="124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17"/>
      <c r="AH39" s="24"/>
      <c r="AI39" s="29"/>
      <c r="AJ39" s="29"/>
    </row>
    <row r="40" spans="1:36" x14ac:dyDescent="0.3">
      <c r="A40" s="63">
        <v>34</v>
      </c>
      <c r="B40" s="102" t="s">
        <v>3520</v>
      </c>
      <c r="C40" s="102" t="s">
        <v>3521</v>
      </c>
      <c r="D40" s="64" t="s">
        <v>119</v>
      </c>
      <c r="E40" s="183" t="s">
        <v>4490</v>
      </c>
      <c r="F40" s="172" t="s">
        <v>4492</v>
      </c>
      <c r="G40" s="173">
        <v>2</v>
      </c>
      <c r="H40" s="42"/>
      <c r="I40" s="181"/>
      <c r="J40" s="128"/>
      <c r="K40" s="184" t="s">
        <v>4529</v>
      </c>
      <c r="L40" s="132"/>
      <c r="M40" s="132"/>
      <c r="N40" s="132"/>
      <c r="O40" s="132"/>
      <c r="P40" s="123"/>
      <c r="Q40" s="123"/>
      <c r="R40" s="183"/>
      <c r="S40" s="131"/>
      <c r="T40" s="124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17"/>
      <c r="AH40" s="24"/>
      <c r="AI40" s="29"/>
      <c r="AJ40" s="29"/>
    </row>
    <row r="41" spans="1:36" x14ac:dyDescent="0.3">
      <c r="A41" s="63">
        <v>35</v>
      </c>
      <c r="B41" s="102" t="s">
        <v>3520</v>
      </c>
      <c r="C41" s="102" t="s">
        <v>3521</v>
      </c>
      <c r="D41" s="64" t="s">
        <v>119</v>
      </c>
      <c r="E41" s="183" t="s">
        <v>4490</v>
      </c>
      <c r="F41" s="172" t="s">
        <v>4492</v>
      </c>
      <c r="G41" s="173">
        <v>3</v>
      </c>
      <c r="H41" s="42"/>
      <c r="I41" s="181"/>
      <c r="J41" s="128"/>
      <c r="K41" s="184" t="s">
        <v>4530</v>
      </c>
      <c r="L41" s="132"/>
      <c r="M41" s="132"/>
      <c r="N41" s="132"/>
      <c r="O41" s="132"/>
      <c r="P41" s="123"/>
      <c r="Q41" s="123"/>
      <c r="R41" s="183"/>
      <c r="S41" s="131"/>
      <c r="T41" s="124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17"/>
      <c r="AH41" s="24"/>
      <c r="AI41" s="25"/>
      <c r="AJ41" s="25"/>
    </row>
    <row r="42" spans="1:36" x14ac:dyDescent="0.3">
      <c r="A42" s="63">
        <v>36</v>
      </c>
      <c r="B42" s="102" t="s">
        <v>3520</v>
      </c>
      <c r="C42" s="102" t="s">
        <v>3521</v>
      </c>
      <c r="D42" s="64" t="s">
        <v>119</v>
      </c>
      <c r="E42" s="183" t="s">
        <v>4490</v>
      </c>
      <c r="F42" s="172" t="s">
        <v>4492</v>
      </c>
      <c r="G42" s="173">
        <v>4</v>
      </c>
      <c r="H42" s="42"/>
      <c r="I42" s="181"/>
      <c r="J42" s="128"/>
      <c r="K42" s="184" t="s">
        <v>4531</v>
      </c>
      <c r="L42" s="132"/>
      <c r="M42" s="132"/>
      <c r="N42" s="132"/>
      <c r="O42" s="132"/>
      <c r="P42" s="123"/>
      <c r="Q42" s="123"/>
      <c r="R42" s="183"/>
      <c r="S42" s="131"/>
      <c r="T42" s="124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17"/>
      <c r="AH42" s="24"/>
      <c r="AI42" s="25"/>
      <c r="AJ42" s="25"/>
    </row>
    <row r="43" spans="1:36" x14ac:dyDescent="0.3">
      <c r="A43" s="63">
        <v>37</v>
      </c>
      <c r="B43" s="102" t="s">
        <v>3520</v>
      </c>
      <c r="C43" s="102" t="s">
        <v>3521</v>
      </c>
      <c r="D43" s="64" t="s">
        <v>119</v>
      </c>
      <c r="E43" s="183" t="s">
        <v>4490</v>
      </c>
      <c r="F43" s="172" t="s">
        <v>4492</v>
      </c>
      <c r="G43" s="173">
        <v>4</v>
      </c>
      <c r="H43" s="42"/>
      <c r="I43" s="181"/>
      <c r="J43" s="128"/>
      <c r="K43" s="184" t="s">
        <v>4532</v>
      </c>
      <c r="L43" s="132"/>
      <c r="M43" s="132"/>
      <c r="N43" s="132"/>
      <c r="O43" s="132"/>
      <c r="P43" s="123"/>
      <c r="Q43" s="123"/>
      <c r="R43" s="183"/>
      <c r="S43" s="131"/>
      <c r="T43" s="124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17"/>
      <c r="AH43" s="24"/>
      <c r="AI43" s="25"/>
      <c r="AJ43" s="25"/>
    </row>
    <row r="44" spans="1:36" x14ac:dyDescent="0.3">
      <c r="A44" s="63">
        <v>38</v>
      </c>
      <c r="B44" s="102" t="s">
        <v>3520</v>
      </c>
      <c r="C44" s="102" t="s">
        <v>3521</v>
      </c>
      <c r="D44" s="64" t="s">
        <v>119</v>
      </c>
      <c r="E44" s="183" t="s">
        <v>4490</v>
      </c>
      <c r="F44" s="172" t="s">
        <v>4492</v>
      </c>
      <c r="G44" s="173">
        <v>4</v>
      </c>
      <c r="H44" s="42"/>
      <c r="I44" s="181"/>
      <c r="J44" s="128"/>
      <c r="K44" s="184" t="s">
        <v>4533</v>
      </c>
      <c r="L44" s="132"/>
      <c r="M44" s="132"/>
      <c r="N44" s="132"/>
      <c r="O44" s="132"/>
      <c r="P44" s="123"/>
      <c r="Q44" s="123"/>
      <c r="R44" s="183"/>
      <c r="S44" s="131"/>
      <c r="T44" s="124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17"/>
      <c r="AH44" s="24"/>
      <c r="AI44" s="32"/>
      <c r="AJ44" s="32"/>
    </row>
    <row r="45" spans="1:36" x14ac:dyDescent="0.3">
      <c r="A45" s="63">
        <v>39</v>
      </c>
      <c r="B45" s="102" t="s">
        <v>3520</v>
      </c>
      <c r="C45" s="102" t="s">
        <v>3521</v>
      </c>
      <c r="D45" s="64" t="s">
        <v>119</v>
      </c>
      <c r="E45" s="183" t="s">
        <v>4490</v>
      </c>
      <c r="F45" s="172" t="s">
        <v>4492</v>
      </c>
      <c r="G45" s="173">
        <v>5</v>
      </c>
      <c r="H45" s="42"/>
      <c r="I45" s="181"/>
      <c r="J45" s="128"/>
      <c r="K45" s="184" t="s">
        <v>4534</v>
      </c>
      <c r="L45" s="132"/>
      <c r="M45" s="132"/>
      <c r="N45" s="132"/>
      <c r="O45" s="132"/>
      <c r="P45" s="123"/>
      <c r="Q45" s="123"/>
      <c r="R45" s="183"/>
      <c r="S45" s="135"/>
      <c r="T45" s="124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17"/>
      <c r="AH45" s="24"/>
      <c r="AI45" s="33"/>
      <c r="AJ45" s="33"/>
    </row>
    <row r="46" spans="1:36" x14ac:dyDescent="0.3">
      <c r="A46" s="63">
        <v>40</v>
      </c>
      <c r="B46" s="102" t="s">
        <v>3520</v>
      </c>
      <c r="C46" s="102" t="s">
        <v>3521</v>
      </c>
      <c r="D46" s="64" t="s">
        <v>119</v>
      </c>
      <c r="E46" s="183" t="s">
        <v>4490</v>
      </c>
      <c r="F46" s="172" t="s">
        <v>4492</v>
      </c>
      <c r="G46" s="173">
        <v>5</v>
      </c>
      <c r="H46" s="42"/>
      <c r="I46" s="181"/>
      <c r="J46" s="128"/>
      <c r="K46" s="184" t="s">
        <v>4535</v>
      </c>
      <c r="L46" s="132"/>
      <c r="M46" s="132"/>
      <c r="N46" s="132"/>
      <c r="O46" s="132"/>
      <c r="P46" s="123"/>
      <c r="Q46" s="123"/>
      <c r="R46" s="183"/>
      <c r="S46" s="135"/>
      <c r="T46" s="124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17"/>
      <c r="AH46" s="24"/>
      <c r="AI46" s="33"/>
      <c r="AJ46" s="33"/>
    </row>
    <row r="47" spans="1:36" x14ac:dyDescent="0.3">
      <c r="A47" s="63">
        <v>41</v>
      </c>
      <c r="B47" s="102" t="s">
        <v>3520</v>
      </c>
      <c r="C47" s="102" t="s">
        <v>3521</v>
      </c>
      <c r="D47" s="64" t="s">
        <v>119</v>
      </c>
      <c r="E47" s="183" t="s">
        <v>4490</v>
      </c>
      <c r="F47" s="172" t="s">
        <v>4492</v>
      </c>
      <c r="G47" s="173">
        <v>6</v>
      </c>
      <c r="H47" s="42"/>
      <c r="I47" s="181"/>
      <c r="J47" s="128"/>
      <c r="K47" s="184" t="s">
        <v>4536</v>
      </c>
      <c r="L47" s="129"/>
      <c r="M47" s="129"/>
      <c r="N47" s="129"/>
      <c r="O47" s="129"/>
      <c r="P47" s="123"/>
      <c r="Q47" s="123"/>
      <c r="R47" s="183"/>
      <c r="S47" s="135"/>
      <c r="T47" s="124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17"/>
      <c r="AH47" s="24"/>
      <c r="AI47" s="33"/>
      <c r="AJ47" s="33"/>
    </row>
    <row r="48" spans="1:36" x14ac:dyDescent="0.3">
      <c r="A48" s="63">
        <v>42</v>
      </c>
      <c r="B48" s="102" t="s">
        <v>3520</v>
      </c>
      <c r="C48" s="102" t="s">
        <v>3521</v>
      </c>
      <c r="D48" s="64" t="s">
        <v>119</v>
      </c>
      <c r="E48" s="183" t="s">
        <v>4490</v>
      </c>
      <c r="F48" s="172" t="s">
        <v>4492</v>
      </c>
      <c r="G48" s="173">
        <v>6</v>
      </c>
      <c r="H48" s="42"/>
      <c r="I48" s="181"/>
      <c r="J48" s="128"/>
      <c r="K48" s="184" t="s">
        <v>1191</v>
      </c>
      <c r="L48" s="132"/>
      <c r="M48" s="132"/>
      <c r="N48" s="132"/>
      <c r="O48" s="132"/>
      <c r="P48" s="123"/>
      <c r="Q48" s="123"/>
      <c r="R48" s="183"/>
      <c r="S48" s="135"/>
      <c r="T48" s="124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185"/>
      <c r="AH48" s="24"/>
      <c r="AI48" s="35"/>
      <c r="AJ48" s="35"/>
    </row>
    <row r="49" spans="1:36" x14ac:dyDescent="0.3">
      <c r="A49" s="63">
        <v>43</v>
      </c>
      <c r="B49" s="102" t="s">
        <v>3520</v>
      </c>
      <c r="C49" s="102" t="s">
        <v>3521</v>
      </c>
      <c r="D49" s="64" t="s">
        <v>119</v>
      </c>
      <c r="E49" s="183" t="s">
        <v>4490</v>
      </c>
      <c r="F49" s="172" t="s">
        <v>4492</v>
      </c>
      <c r="G49" s="173">
        <v>6</v>
      </c>
      <c r="H49" s="42"/>
      <c r="I49" s="181"/>
      <c r="J49" s="128"/>
      <c r="K49" s="184" t="s">
        <v>4537</v>
      </c>
      <c r="L49" s="186"/>
      <c r="M49" s="186"/>
      <c r="N49" s="186"/>
      <c r="O49" s="186"/>
      <c r="P49" s="123"/>
      <c r="Q49" s="123"/>
      <c r="R49" s="183"/>
      <c r="S49" s="135"/>
      <c r="T49" s="124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17"/>
      <c r="AH49" s="24"/>
      <c r="AI49" s="33"/>
      <c r="AJ49" s="33"/>
    </row>
    <row r="50" spans="1:36" x14ac:dyDescent="0.3">
      <c r="A50" s="63">
        <v>44</v>
      </c>
      <c r="B50" s="102" t="s">
        <v>3520</v>
      </c>
      <c r="C50" s="102" t="s">
        <v>3521</v>
      </c>
      <c r="D50" s="64" t="s">
        <v>119</v>
      </c>
      <c r="E50" s="183" t="s">
        <v>4490</v>
      </c>
      <c r="F50" s="172" t="s">
        <v>4492</v>
      </c>
      <c r="G50" s="173">
        <v>6</v>
      </c>
      <c r="H50" s="42"/>
      <c r="I50" s="181"/>
      <c r="J50" s="128"/>
      <c r="K50" s="184" t="s">
        <v>4538</v>
      </c>
      <c r="L50" s="132"/>
      <c r="M50" s="132"/>
      <c r="N50" s="132"/>
      <c r="O50" s="132"/>
      <c r="P50" s="123"/>
      <c r="Q50" s="123"/>
      <c r="R50" s="183"/>
      <c r="S50" s="135"/>
      <c r="T50" s="123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17"/>
      <c r="AH50" s="24"/>
      <c r="AI50" s="33"/>
      <c r="AJ50" s="33"/>
    </row>
    <row r="51" spans="1:36" x14ac:dyDescent="0.3">
      <c r="A51" s="63">
        <v>45</v>
      </c>
      <c r="B51" s="102" t="s">
        <v>3520</v>
      </c>
      <c r="C51" s="102" t="s">
        <v>3521</v>
      </c>
      <c r="D51" s="64" t="s">
        <v>119</v>
      </c>
      <c r="E51" s="183" t="s">
        <v>4490</v>
      </c>
      <c r="F51" s="172" t="s">
        <v>4492</v>
      </c>
      <c r="G51" s="173">
        <v>7</v>
      </c>
      <c r="H51" s="42"/>
      <c r="I51" s="181"/>
      <c r="J51" s="128"/>
      <c r="K51" s="184" t="s">
        <v>233</v>
      </c>
      <c r="L51" s="186"/>
      <c r="M51" s="186"/>
      <c r="N51" s="186"/>
      <c r="O51" s="186"/>
      <c r="P51" s="123"/>
      <c r="Q51" s="123"/>
      <c r="R51" s="183"/>
      <c r="S51" s="135"/>
      <c r="T51" s="124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17"/>
      <c r="AH51" s="24"/>
      <c r="AI51" s="25"/>
      <c r="AJ51" s="25"/>
    </row>
    <row r="52" spans="1:36" x14ac:dyDescent="0.3">
      <c r="A52" s="63">
        <v>46</v>
      </c>
      <c r="B52" s="102" t="s">
        <v>3520</v>
      </c>
      <c r="C52" s="102" t="s">
        <v>3521</v>
      </c>
      <c r="D52" s="64" t="s">
        <v>119</v>
      </c>
      <c r="E52" s="183" t="s">
        <v>4490</v>
      </c>
      <c r="F52" s="172" t="s">
        <v>4492</v>
      </c>
      <c r="G52" s="173">
        <v>8</v>
      </c>
      <c r="H52" s="42"/>
      <c r="I52" s="181"/>
      <c r="J52" s="128"/>
      <c r="K52" s="184" t="s">
        <v>4539</v>
      </c>
      <c r="L52" s="132"/>
      <c r="M52" s="132"/>
      <c r="N52" s="132"/>
      <c r="O52" s="132"/>
      <c r="P52" s="123"/>
      <c r="Q52" s="123"/>
      <c r="R52" s="183"/>
      <c r="S52" s="135"/>
      <c r="T52" s="123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17"/>
      <c r="AH52" s="24"/>
      <c r="AI52" s="25"/>
      <c r="AJ52" s="25"/>
    </row>
    <row r="53" spans="1:36" x14ac:dyDescent="0.3">
      <c r="A53" s="63">
        <v>47</v>
      </c>
      <c r="B53" s="102" t="s">
        <v>3520</v>
      </c>
      <c r="C53" s="102" t="s">
        <v>3521</v>
      </c>
      <c r="D53" s="64" t="s">
        <v>119</v>
      </c>
      <c r="E53" s="183" t="s">
        <v>4490</v>
      </c>
      <c r="F53" s="172" t="s">
        <v>4492</v>
      </c>
      <c r="G53" s="173">
        <v>9</v>
      </c>
      <c r="H53" s="42"/>
      <c r="I53" s="181"/>
      <c r="J53" s="128"/>
      <c r="K53" s="184" t="s">
        <v>4540</v>
      </c>
      <c r="L53" s="132"/>
      <c r="M53" s="132"/>
      <c r="N53" s="132"/>
      <c r="O53" s="132"/>
      <c r="P53" s="123"/>
      <c r="Q53" s="123"/>
      <c r="R53" s="183"/>
      <c r="S53" s="135"/>
      <c r="T53" s="124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17"/>
      <c r="AH53" s="24"/>
      <c r="AI53" s="25"/>
      <c r="AJ53" s="25"/>
    </row>
    <row r="54" spans="1:36" x14ac:dyDescent="0.3">
      <c r="A54" s="63">
        <v>48</v>
      </c>
      <c r="B54" s="102" t="s">
        <v>3520</v>
      </c>
      <c r="C54" s="102" t="s">
        <v>3521</v>
      </c>
      <c r="D54" s="64" t="s">
        <v>119</v>
      </c>
      <c r="E54" s="183" t="s">
        <v>4490</v>
      </c>
      <c r="F54" s="172" t="s">
        <v>4493</v>
      </c>
      <c r="G54" s="174">
        <v>1</v>
      </c>
      <c r="H54" s="42"/>
      <c r="I54" s="181"/>
      <c r="J54" s="128"/>
      <c r="K54" s="184" t="s">
        <v>4541</v>
      </c>
      <c r="L54" s="132"/>
      <c r="M54" s="132"/>
      <c r="N54" s="132"/>
      <c r="O54" s="132"/>
      <c r="P54" s="123"/>
      <c r="Q54" s="123"/>
      <c r="R54" s="183"/>
      <c r="S54" s="135"/>
      <c r="T54" s="123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17"/>
      <c r="AH54" s="24"/>
      <c r="AI54" s="25"/>
      <c r="AJ54" s="25"/>
    </row>
    <row r="55" spans="1:36" x14ac:dyDescent="0.3">
      <c r="A55" s="63">
        <v>49</v>
      </c>
      <c r="B55" s="102" t="s">
        <v>3520</v>
      </c>
      <c r="C55" s="102" t="s">
        <v>3521</v>
      </c>
      <c r="D55" s="64" t="s">
        <v>119</v>
      </c>
      <c r="E55" s="183" t="s">
        <v>4490</v>
      </c>
      <c r="F55" s="172" t="s">
        <v>4493</v>
      </c>
      <c r="G55" s="174">
        <v>1</v>
      </c>
      <c r="H55" s="42"/>
      <c r="I55" s="181"/>
      <c r="J55" s="128"/>
      <c r="K55" s="184" t="s">
        <v>4542</v>
      </c>
      <c r="L55" s="132"/>
      <c r="M55" s="132"/>
      <c r="N55" s="132"/>
      <c r="O55" s="132"/>
      <c r="P55" s="123"/>
      <c r="Q55" s="123"/>
      <c r="R55" s="183"/>
      <c r="S55" s="135"/>
      <c r="T55" s="124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17"/>
      <c r="AH55" s="24"/>
      <c r="AI55" s="25"/>
      <c r="AJ55" s="25"/>
    </row>
    <row r="56" spans="1:36" x14ac:dyDescent="0.3">
      <c r="A56" s="63">
        <v>50</v>
      </c>
      <c r="B56" s="102" t="s">
        <v>3520</v>
      </c>
      <c r="C56" s="102" t="s">
        <v>3521</v>
      </c>
      <c r="D56" s="64" t="s">
        <v>119</v>
      </c>
      <c r="E56" s="183" t="s">
        <v>4490</v>
      </c>
      <c r="F56" s="172" t="s">
        <v>4493</v>
      </c>
      <c r="G56" s="174">
        <v>2</v>
      </c>
      <c r="H56" s="42"/>
      <c r="I56" s="181"/>
      <c r="J56" s="128"/>
      <c r="K56" s="184" t="s">
        <v>4543</v>
      </c>
      <c r="L56" s="132"/>
      <c r="M56" s="132"/>
      <c r="N56" s="132"/>
      <c r="O56" s="132"/>
      <c r="P56" s="123"/>
      <c r="Q56" s="123"/>
      <c r="R56" s="183"/>
      <c r="S56" s="135"/>
      <c r="T56" s="123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17"/>
      <c r="AH56" s="24"/>
      <c r="AI56" s="25"/>
      <c r="AJ56" s="25"/>
    </row>
    <row r="57" spans="1:36" x14ac:dyDescent="0.3">
      <c r="A57" s="63">
        <v>51</v>
      </c>
      <c r="B57" s="102" t="s">
        <v>3520</v>
      </c>
      <c r="C57" s="102" t="s">
        <v>3521</v>
      </c>
      <c r="D57" s="64" t="s">
        <v>119</v>
      </c>
      <c r="E57" s="183" t="s">
        <v>4490</v>
      </c>
      <c r="F57" s="172" t="s">
        <v>4493</v>
      </c>
      <c r="G57" s="174">
        <v>2</v>
      </c>
      <c r="H57" s="42"/>
      <c r="I57" s="181"/>
      <c r="J57" s="128"/>
      <c r="K57" s="184" t="s">
        <v>4544</v>
      </c>
      <c r="L57" s="132"/>
      <c r="M57" s="132"/>
      <c r="N57" s="132"/>
      <c r="O57" s="132"/>
      <c r="P57" s="123"/>
      <c r="Q57" s="123"/>
      <c r="R57" s="183"/>
      <c r="S57" s="135"/>
      <c r="T57" s="123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17"/>
      <c r="AH57" s="24"/>
      <c r="AI57" s="25"/>
      <c r="AJ57" s="25"/>
    </row>
    <row r="58" spans="1:36" x14ac:dyDescent="0.3">
      <c r="A58" s="63">
        <v>52</v>
      </c>
      <c r="B58" s="102" t="s">
        <v>3520</v>
      </c>
      <c r="C58" s="102" t="s">
        <v>3521</v>
      </c>
      <c r="D58" s="64" t="s">
        <v>119</v>
      </c>
      <c r="E58" s="183" t="s">
        <v>4490</v>
      </c>
      <c r="F58" s="172" t="s">
        <v>4493</v>
      </c>
      <c r="G58" s="174">
        <v>3</v>
      </c>
      <c r="H58" s="42"/>
      <c r="I58" s="181"/>
      <c r="J58" s="128"/>
      <c r="K58" s="184" t="s">
        <v>4545</v>
      </c>
      <c r="L58" s="132"/>
      <c r="M58" s="132"/>
      <c r="N58" s="132"/>
      <c r="O58" s="132"/>
      <c r="P58" s="123"/>
      <c r="Q58" s="123"/>
      <c r="R58" s="183"/>
      <c r="S58" s="135"/>
      <c r="T58" s="123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17"/>
      <c r="AH58" s="24"/>
      <c r="AI58" s="25"/>
      <c r="AJ58" s="25"/>
    </row>
    <row r="59" spans="1:36" x14ac:dyDescent="0.3">
      <c r="A59" s="63">
        <v>53</v>
      </c>
      <c r="B59" s="102" t="s">
        <v>3520</v>
      </c>
      <c r="C59" s="102" t="s">
        <v>3521</v>
      </c>
      <c r="D59" s="64" t="s">
        <v>119</v>
      </c>
      <c r="E59" s="183" t="s">
        <v>4490</v>
      </c>
      <c r="F59" s="172" t="s">
        <v>4493</v>
      </c>
      <c r="G59" s="174">
        <v>3</v>
      </c>
      <c r="H59" s="42"/>
      <c r="I59" s="181"/>
      <c r="J59" s="128"/>
      <c r="K59" s="184" t="s">
        <v>4546</v>
      </c>
      <c r="L59" s="132"/>
      <c r="M59" s="132"/>
      <c r="N59" s="132"/>
      <c r="O59" s="132"/>
      <c r="P59" s="123"/>
      <c r="Q59" s="123"/>
      <c r="R59" s="183"/>
      <c r="S59" s="135"/>
      <c r="T59" s="124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17"/>
      <c r="AH59" s="24"/>
      <c r="AI59" s="25"/>
      <c r="AJ59" s="25"/>
    </row>
    <row r="60" spans="1:36" x14ac:dyDescent="0.3">
      <c r="A60" s="63">
        <v>54</v>
      </c>
      <c r="B60" s="102" t="s">
        <v>3520</v>
      </c>
      <c r="C60" s="102" t="s">
        <v>3521</v>
      </c>
      <c r="D60" s="64" t="s">
        <v>119</v>
      </c>
      <c r="E60" s="183" t="s">
        <v>4490</v>
      </c>
      <c r="F60" s="172" t="s">
        <v>4493</v>
      </c>
      <c r="G60" s="174">
        <v>4</v>
      </c>
      <c r="H60" s="42"/>
      <c r="I60" s="181"/>
      <c r="J60" s="128"/>
      <c r="K60" s="184" t="s">
        <v>4547</v>
      </c>
      <c r="L60" s="186"/>
      <c r="M60" s="186"/>
      <c r="N60" s="186"/>
      <c r="O60" s="186"/>
      <c r="P60" s="123"/>
      <c r="Q60" s="123"/>
      <c r="R60" s="183"/>
      <c r="S60" s="135"/>
      <c r="T60" s="123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17"/>
      <c r="AH60" s="24"/>
      <c r="AI60" s="25"/>
      <c r="AJ60" s="25"/>
    </row>
    <row r="61" spans="1:36" x14ac:dyDescent="0.3">
      <c r="A61" s="63">
        <v>55</v>
      </c>
      <c r="B61" s="102" t="s">
        <v>3520</v>
      </c>
      <c r="C61" s="102" t="s">
        <v>3521</v>
      </c>
      <c r="D61" s="64" t="s">
        <v>119</v>
      </c>
      <c r="E61" s="183" t="s">
        <v>4490</v>
      </c>
      <c r="F61" s="172" t="s">
        <v>4493</v>
      </c>
      <c r="G61" s="174">
        <v>5</v>
      </c>
      <c r="H61" s="42"/>
      <c r="I61" s="181"/>
      <c r="J61" s="128"/>
      <c r="K61" s="184" t="s">
        <v>4548</v>
      </c>
      <c r="L61" s="132"/>
      <c r="M61" s="132"/>
      <c r="N61" s="132"/>
      <c r="O61" s="132"/>
      <c r="P61" s="123"/>
      <c r="Q61" s="123"/>
      <c r="R61" s="183"/>
      <c r="S61" s="135"/>
      <c r="T61" s="124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17"/>
      <c r="AH61" s="24"/>
      <c r="AI61" s="25"/>
      <c r="AJ61" s="25"/>
    </row>
    <row r="62" spans="1:36" x14ac:dyDescent="0.3">
      <c r="A62" s="63">
        <v>56</v>
      </c>
      <c r="B62" s="102" t="s">
        <v>3520</v>
      </c>
      <c r="C62" s="102" t="s">
        <v>3521</v>
      </c>
      <c r="D62" s="64" t="s">
        <v>119</v>
      </c>
      <c r="E62" s="183" t="s">
        <v>4490</v>
      </c>
      <c r="F62" s="172" t="s">
        <v>4493</v>
      </c>
      <c r="G62" s="174">
        <v>6</v>
      </c>
      <c r="H62" s="42"/>
      <c r="I62" s="181"/>
      <c r="J62" s="128"/>
      <c r="K62" s="184" t="s">
        <v>4549</v>
      </c>
      <c r="L62" s="186"/>
      <c r="M62" s="186"/>
      <c r="N62" s="186"/>
      <c r="O62" s="186"/>
      <c r="P62" s="123"/>
      <c r="Q62" s="123"/>
      <c r="R62" s="183"/>
      <c r="S62" s="135"/>
      <c r="T62" s="124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17"/>
      <c r="AH62" s="24"/>
      <c r="AI62" s="25"/>
      <c r="AJ62" s="25"/>
    </row>
    <row r="63" spans="1:36" x14ac:dyDescent="0.3">
      <c r="A63" s="63">
        <v>57</v>
      </c>
      <c r="B63" s="102" t="s">
        <v>3520</v>
      </c>
      <c r="C63" s="102" t="s">
        <v>3521</v>
      </c>
      <c r="D63" s="64" t="s">
        <v>119</v>
      </c>
      <c r="E63" s="183" t="s">
        <v>4490</v>
      </c>
      <c r="F63" s="172" t="s">
        <v>4493</v>
      </c>
      <c r="G63" s="174">
        <v>7</v>
      </c>
      <c r="H63" s="42"/>
      <c r="I63" s="181"/>
      <c r="J63" s="128"/>
      <c r="K63" s="184" t="s">
        <v>236</v>
      </c>
      <c r="L63" s="186"/>
      <c r="M63" s="186"/>
      <c r="N63" s="186"/>
      <c r="O63" s="186"/>
      <c r="P63" s="123"/>
      <c r="Q63" s="123"/>
      <c r="R63" s="183"/>
      <c r="S63" s="135"/>
      <c r="T63" s="124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17"/>
      <c r="AH63" s="24"/>
      <c r="AI63" s="25"/>
      <c r="AJ63" s="25"/>
    </row>
    <row r="64" spans="1:36" x14ac:dyDescent="0.3">
      <c r="A64" s="63">
        <v>58</v>
      </c>
      <c r="B64" s="102" t="s">
        <v>3520</v>
      </c>
      <c r="C64" s="102" t="s">
        <v>3521</v>
      </c>
      <c r="D64" s="64" t="s">
        <v>119</v>
      </c>
      <c r="E64" s="183" t="s">
        <v>4490</v>
      </c>
      <c r="F64" s="172" t="s">
        <v>4493</v>
      </c>
      <c r="G64" s="174">
        <v>7</v>
      </c>
      <c r="H64" s="42"/>
      <c r="I64" s="181"/>
      <c r="J64" s="128"/>
      <c r="K64" s="184" t="s">
        <v>4550</v>
      </c>
      <c r="L64" s="186"/>
      <c r="M64" s="186"/>
      <c r="N64" s="186"/>
      <c r="O64" s="186"/>
      <c r="P64" s="123"/>
      <c r="Q64" s="123"/>
      <c r="R64" s="183"/>
      <c r="S64" s="135"/>
      <c r="T64" s="124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17"/>
      <c r="AH64" s="24"/>
      <c r="AI64" s="25"/>
      <c r="AJ64" s="25"/>
    </row>
    <row r="65" spans="1:36" x14ac:dyDescent="0.3">
      <c r="A65" s="63">
        <v>59</v>
      </c>
      <c r="B65" s="102" t="s">
        <v>3520</v>
      </c>
      <c r="C65" s="102" t="s">
        <v>3521</v>
      </c>
      <c r="D65" s="64" t="s">
        <v>119</v>
      </c>
      <c r="E65" s="183" t="s">
        <v>4490</v>
      </c>
      <c r="F65" s="172" t="s">
        <v>4493</v>
      </c>
      <c r="G65" s="174">
        <v>8</v>
      </c>
      <c r="H65" s="42"/>
      <c r="I65" s="181"/>
      <c r="J65" s="128"/>
      <c r="K65" s="184" t="s">
        <v>4551</v>
      </c>
      <c r="L65" s="186"/>
      <c r="M65" s="186"/>
      <c r="N65" s="186"/>
      <c r="O65" s="186"/>
      <c r="P65" s="123"/>
      <c r="Q65" s="123"/>
      <c r="R65" s="183"/>
      <c r="S65" s="135"/>
      <c r="T65" s="124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17"/>
      <c r="AH65" s="24"/>
      <c r="AI65" s="25"/>
      <c r="AJ65" s="25"/>
    </row>
    <row r="66" spans="1:36" x14ac:dyDescent="0.3">
      <c r="A66" s="63">
        <v>60</v>
      </c>
      <c r="B66" s="102" t="s">
        <v>3520</v>
      </c>
      <c r="C66" s="102" t="s">
        <v>3521</v>
      </c>
      <c r="D66" s="64" t="s">
        <v>119</v>
      </c>
      <c r="E66" s="183" t="s">
        <v>4490</v>
      </c>
      <c r="F66" s="172" t="s">
        <v>4493</v>
      </c>
      <c r="G66" s="174">
        <v>8</v>
      </c>
      <c r="H66" s="42"/>
      <c r="I66" s="181"/>
      <c r="J66" s="128"/>
      <c r="K66" s="184" t="s">
        <v>4552</v>
      </c>
      <c r="L66" s="186"/>
      <c r="M66" s="186"/>
      <c r="N66" s="186"/>
      <c r="O66" s="186"/>
      <c r="P66" s="123"/>
      <c r="Q66" s="123"/>
      <c r="R66" s="183"/>
      <c r="S66" s="135"/>
      <c r="T66" s="124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17"/>
      <c r="AH66" s="24"/>
      <c r="AI66" s="25"/>
      <c r="AJ66" s="25"/>
    </row>
    <row r="67" spans="1:36" x14ac:dyDescent="0.3">
      <c r="A67" s="63">
        <v>61</v>
      </c>
      <c r="B67" s="102" t="s">
        <v>3520</v>
      </c>
      <c r="C67" s="102" t="s">
        <v>3521</v>
      </c>
      <c r="D67" s="64" t="s">
        <v>119</v>
      </c>
      <c r="E67" s="183" t="s">
        <v>4490</v>
      </c>
      <c r="F67" s="172" t="s">
        <v>4493</v>
      </c>
      <c r="G67" s="174">
        <v>9</v>
      </c>
      <c r="H67" s="42"/>
      <c r="I67" s="181"/>
      <c r="J67" s="128"/>
      <c r="K67" s="184" t="s">
        <v>4553</v>
      </c>
      <c r="L67" s="186"/>
      <c r="M67" s="186"/>
      <c r="N67" s="186"/>
      <c r="O67" s="186"/>
      <c r="P67" s="123"/>
      <c r="Q67" s="123"/>
      <c r="R67" s="183"/>
      <c r="S67" s="135"/>
      <c r="T67" s="124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17"/>
      <c r="AH67" s="24"/>
      <c r="AI67" s="25"/>
      <c r="AJ67" s="25"/>
    </row>
    <row r="68" spans="1:36" x14ac:dyDescent="0.3">
      <c r="A68" s="63">
        <v>62</v>
      </c>
      <c r="B68" s="102" t="s">
        <v>3520</v>
      </c>
      <c r="C68" s="102" t="s">
        <v>3521</v>
      </c>
      <c r="D68" s="64" t="s">
        <v>119</v>
      </c>
      <c r="E68" s="183" t="s">
        <v>4490</v>
      </c>
      <c r="F68" s="172" t="s">
        <v>4494</v>
      </c>
      <c r="G68" s="174">
        <v>1</v>
      </c>
      <c r="H68" s="42"/>
      <c r="I68" s="181"/>
      <c r="J68" s="128"/>
      <c r="K68" s="184" t="s">
        <v>4554</v>
      </c>
      <c r="L68" s="132"/>
      <c r="M68" s="132"/>
      <c r="N68" s="132"/>
      <c r="O68" s="132"/>
      <c r="P68" s="123"/>
      <c r="Q68" s="123"/>
      <c r="R68" s="183"/>
      <c r="S68" s="135"/>
      <c r="T68" s="124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17"/>
      <c r="AH68" s="24"/>
      <c r="AI68" s="25"/>
      <c r="AJ68" s="25"/>
    </row>
    <row r="69" spans="1:36" x14ac:dyDescent="0.3">
      <c r="A69" s="63">
        <v>63</v>
      </c>
      <c r="B69" s="102" t="s">
        <v>3520</v>
      </c>
      <c r="C69" s="102" t="s">
        <v>3521</v>
      </c>
      <c r="D69" s="64" t="s">
        <v>119</v>
      </c>
      <c r="E69" s="183" t="s">
        <v>4490</v>
      </c>
      <c r="F69" s="172" t="s">
        <v>4494</v>
      </c>
      <c r="G69" s="174">
        <v>2</v>
      </c>
      <c r="H69" s="42"/>
      <c r="I69" s="181"/>
      <c r="J69" s="128"/>
      <c r="K69" s="184" t="s">
        <v>4555</v>
      </c>
      <c r="L69" s="186"/>
      <c r="M69" s="186"/>
      <c r="N69" s="186"/>
      <c r="O69" s="186"/>
      <c r="P69" s="123"/>
      <c r="Q69" s="123"/>
      <c r="R69" s="183"/>
      <c r="S69" s="135"/>
      <c r="T69" s="124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17"/>
      <c r="AH69" s="24"/>
      <c r="AI69" s="25"/>
      <c r="AJ69" s="25"/>
    </row>
    <row r="70" spans="1:36" x14ac:dyDescent="0.3">
      <c r="A70" s="63">
        <v>64</v>
      </c>
      <c r="B70" s="102" t="s">
        <v>3520</v>
      </c>
      <c r="C70" s="102" t="s">
        <v>3521</v>
      </c>
      <c r="D70" s="64" t="s">
        <v>119</v>
      </c>
      <c r="E70" s="183" t="s">
        <v>4490</v>
      </c>
      <c r="F70" s="172" t="s">
        <v>4494</v>
      </c>
      <c r="G70" s="174">
        <v>3</v>
      </c>
      <c r="H70" s="42"/>
      <c r="I70" s="181"/>
      <c r="J70" s="128"/>
      <c r="K70" s="184" t="s">
        <v>4556</v>
      </c>
      <c r="L70" s="186"/>
      <c r="M70" s="186"/>
      <c r="N70" s="186"/>
      <c r="O70" s="186"/>
      <c r="P70" s="123"/>
      <c r="Q70" s="123"/>
      <c r="R70" s="183"/>
      <c r="S70" s="135"/>
      <c r="T70" s="124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17"/>
      <c r="AH70" s="24"/>
      <c r="AI70" s="25"/>
      <c r="AJ70" s="25"/>
    </row>
    <row r="71" spans="1:36" x14ac:dyDescent="0.3">
      <c r="A71" s="63">
        <v>65</v>
      </c>
      <c r="B71" s="102" t="s">
        <v>3520</v>
      </c>
      <c r="C71" s="102" t="s">
        <v>3521</v>
      </c>
      <c r="D71" s="64" t="s">
        <v>119</v>
      </c>
      <c r="E71" s="183" t="s">
        <v>4490</v>
      </c>
      <c r="F71" s="172" t="s">
        <v>4494</v>
      </c>
      <c r="G71" s="174">
        <v>4</v>
      </c>
      <c r="H71" s="42"/>
      <c r="I71" s="181"/>
      <c r="J71" s="128"/>
      <c r="K71" s="184" t="s">
        <v>4557</v>
      </c>
      <c r="L71" s="186"/>
      <c r="M71" s="186"/>
      <c r="N71" s="186"/>
      <c r="O71" s="186"/>
      <c r="P71" s="123"/>
      <c r="Q71" s="123"/>
      <c r="R71" s="183"/>
      <c r="S71" s="135"/>
      <c r="T71" s="124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17"/>
      <c r="AH71" s="24"/>
      <c r="AI71" s="25"/>
      <c r="AJ71" s="25"/>
    </row>
    <row r="72" spans="1:36" x14ac:dyDescent="0.3">
      <c r="A72" s="63">
        <v>66</v>
      </c>
      <c r="B72" s="102" t="s">
        <v>3520</v>
      </c>
      <c r="C72" s="102" t="s">
        <v>3521</v>
      </c>
      <c r="D72" s="64" t="s">
        <v>119</v>
      </c>
      <c r="E72" s="183" t="s">
        <v>4490</v>
      </c>
      <c r="F72" s="172" t="s">
        <v>4494</v>
      </c>
      <c r="G72" s="174">
        <v>4</v>
      </c>
      <c r="H72" s="42"/>
      <c r="I72" s="181"/>
      <c r="J72" s="128"/>
      <c r="K72" s="184" t="s">
        <v>4558</v>
      </c>
      <c r="L72" s="132"/>
      <c r="M72" s="132"/>
      <c r="N72" s="132"/>
      <c r="O72" s="132"/>
      <c r="P72" s="123"/>
      <c r="Q72" s="123"/>
      <c r="R72" s="183"/>
      <c r="S72" s="135"/>
      <c r="T72" s="123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17"/>
      <c r="AH72" s="24"/>
      <c r="AI72" s="25"/>
      <c r="AJ72" s="25"/>
    </row>
    <row r="73" spans="1:36" x14ac:dyDescent="0.3">
      <c r="A73" s="63">
        <v>67</v>
      </c>
      <c r="B73" s="102" t="s">
        <v>3520</v>
      </c>
      <c r="C73" s="102" t="s">
        <v>3521</v>
      </c>
      <c r="D73" s="64" t="s">
        <v>119</v>
      </c>
      <c r="E73" s="183" t="s">
        <v>4490</v>
      </c>
      <c r="F73" s="172" t="s">
        <v>4494</v>
      </c>
      <c r="G73" s="174">
        <v>5</v>
      </c>
      <c r="H73" s="42"/>
      <c r="I73" s="181"/>
      <c r="J73" s="128"/>
      <c r="K73" s="184" t="s">
        <v>4559</v>
      </c>
      <c r="L73" s="132"/>
      <c r="M73" s="132"/>
      <c r="N73" s="132"/>
      <c r="O73" s="132"/>
      <c r="P73" s="123"/>
      <c r="Q73" s="123"/>
      <c r="R73" s="183"/>
      <c r="S73" s="135"/>
      <c r="T73" s="123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17"/>
      <c r="AH73" s="24"/>
      <c r="AI73" s="25"/>
      <c r="AJ73" s="25"/>
    </row>
    <row r="74" spans="1:36" x14ac:dyDescent="0.3">
      <c r="A74" s="63">
        <v>68</v>
      </c>
      <c r="B74" s="102" t="s">
        <v>3520</v>
      </c>
      <c r="C74" s="102" t="s">
        <v>3521</v>
      </c>
      <c r="D74" s="64" t="s">
        <v>119</v>
      </c>
      <c r="E74" s="183" t="s">
        <v>4490</v>
      </c>
      <c r="F74" s="172" t="s">
        <v>4494</v>
      </c>
      <c r="G74" s="174">
        <v>6</v>
      </c>
      <c r="H74" s="42"/>
      <c r="I74" s="181"/>
      <c r="J74" s="128"/>
      <c r="K74" s="184" t="s">
        <v>4518</v>
      </c>
      <c r="L74" s="132"/>
      <c r="M74" s="132"/>
      <c r="N74" s="132"/>
      <c r="O74" s="132"/>
      <c r="P74" s="123"/>
      <c r="Q74" s="123"/>
      <c r="R74" s="183"/>
      <c r="S74" s="135"/>
      <c r="T74" s="123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17"/>
      <c r="AH74" s="24"/>
      <c r="AI74" s="25"/>
      <c r="AJ74" s="25"/>
    </row>
    <row r="75" spans="1:36" x14ac:dyDescent="0.3">
      <c r="A75" s="63">
        <v>69</v>
      </c>
      <c r="B75" s="102" t="s">
        <v>3520</v>
      </c>
      <c r="C75" s="102" t="s">
        <v>3521</v>
      </c>
      <c r="D75" s="64" t="s">
        <v>119</v>
      </c>
      <c r="E75" s="183" t="s">
        <v>4490</v>
      </c>
      <c r="F75" s="172" t="s">
        <v>4494</v>
      </c>
      <c r="G75" s="174">
        <v>7</v>
      </c>
      <c r="H75" s="42"/>
      <c r="I75" s="181"/>
      <c r="J75" s="128"/>
      <c r="K75" s="184" t="s">
        <v>4560</v>
      </c>
      <c r="L75" s="132"/>
      <c r="M75" s="132"/>
      <c r="N75" s="132"/>
      <c r="O75" s="132"/>
      <c r="P75" s="123"/>
      <c r="Q75" s="123"/>
      <c r="R75" s="183"/>
      <c r="S75" s="139"/>
      <c r="T75" s="124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17"/>
      <c r="AH75" s="24"/>
      <c r="AI75" s="25"/>
      <c r="AJ75" s="25"/>
    </row>
    <row r="76" spans="1:36" x14ac:dyDescent="0.3">
      <c r="A76" s="63">
        <v>70</v>
      </c>
      <c r="B76" s="102" t="s">
        <v>3520</v>
      </c>
      <c r="C76" s="102" t="s">
        <v>3521</v>
      </c>
      <c r="D76" s="64" t="s">
        <v>119</v>
      </c>
      <c r="E76" s="183" t="s">
        <v>4490</v>
      </c>
      <c r="F76" s="172" t="s">
        <v>4494</v>
      </c>
      <c r="G76" s="174">
        <v>8</v>
      </c>
      <c r="H76" s="42"/>
      <c r="I76" s="181"/>
      <c r="J76" s="128"/>
      <c r="K76" s="184" t="s">
        <v>4561</v>
      </c>
      <c r="L76" s="132"/>
      <c r="M76" s="132"/>
      <c r="N76" s="132"/>
      <c r="O76" s="132"/>
      <c r="P76" s="123"/>
      <c r="Q76" s="123"/>
      <c r="R76" s="183"/>
      <c r="S76" s="139"/>
      <c r="T76" s="124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17"/>
      <c r="AH76" s="24"/>
      <c r="AI76" s="25"/>
      <c r="AJ76" s="25"/>
    </row>
    <row r="77" spans="1:36" x14ac:dyDescent="0.3">
      <c r="A77" s="63">
        <v>71</v>
      </c>
      <c r="B77" s="102" t="s">
        <v>3520</v>
      </c>
      <c r="C77" s="102" t="s">
        <v>3521</v>
      </c>
      <c r="D77" s="64" t="s">
        <v>119</v>
      </c>
      <c r="E77" s="183" t="s">
        <v>4490</v>
      </c>
      <c r="F77" s="172" t="s">
        <v>4494</v>
      </c>
      <c r="G77" s="174">
        <v>9</v>
      </c>
      <c r="H77" s="42"/>
      <c r="I77" s="181"/>
      <c r="J77" s="128"/>
      <c r="K77" s="184" t="s">
        <v>4562</v>
      </c>
      <c r="L77" s="132"/>
      <c r="M77" s="132"/>
      <c r="N77" s="132"/>
      <c r="O77" s="132"/>
      <c r="P77" s="123"/>
      <c r="Q77" s="123"/>
      <c r="R77" s="183"/>
      <c r="S77" s="139"/>
      <c r="T77" s="124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17"/>
      <c r="AH77" s="24"/>
      <c r="AI77" s="25"/>
      <c r="AJ77" s="25"/>
    </row>
    <row r="78" spans="1:36" x14ac:dyDescent="0.3">
      <c r="A78" s="63">
        <v>72</v>
      </c>
      <c r="B78" s="102" t="s">
        <v>3520</v>
      </c>
      <c r="C78" s="102" t="s">
        <v>3521</v>
      </c>
      <c r="D78" s="64" t="s">
        <v>119</v>
      </c>
      <c r="E78" s="183" t="s">
        <v>4490</v>
      </c>
      <c r="F78" s="172" t="s">
        <v>4495</v>
      </c>
      <c r="G78" s="174">
        <v>1</v>
      </c>
      <c r="H78" s="42"/>
      <c r="I78" s="181"/>
      <c r="J78" s="128"/>
      <c r="K78" s="184" t="s">
        <v>4563</v>
      </c>
      <c r="L78" s="132"/>
      <c r="M78" s="132"/>
      <c r="N78" s="132"/>
      <c r="O78" s="132"/>
      <c r="P78" s="123"/>
      <c r="Q78" s="123"/>
      <c r="R78" s="183"/>
      <c r="S78" s="139"/>
      <c r="T78" s="124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17"/>
      <c r="AH78" s="24"/>
      <c r="AI78" s="25"/>
      <c r="AJ78" s="25"/>
    </row>
    <row r="79" spans="1:36" x14ac:dyDescent="0.3">
      <c r="A79" s="63">
        <v>73</v>
      </c>
      <c r="B79" s="102" t="s">
        <v>3520</v>
      </c>
      <c r="C79" s="102" t="s">
        <v>3521</v>
      </c>
      <c r="D79" s="64" t="s">
        <v>119</v>
      </c>
      <c r="E79" s="183" t="s">
        <v>4490</v>
      </c>
      <c r="F79" s="172" t="s">
        <v>4495</v>
      </c>
      <c r="G79" s="174">
        <v>1</v>
      </c>
      <c r="H79" s="42"/>
      <c r="I79" s="181"/>
      <c r="J79" s="128"/>
      <c r="K79" s="184" t="s">
        <v>4564</v>
      </c>
      <c r="L79" s="132"/>
      <c r="M79" s="132"/>
      <c r="N79" s="132"/>
      <c r="O79" s="132"/>
      <c r="P79" s="123"/>
      <c r="Q79" s="123"/>
      <c r="R79" s="183"/>
      <c r="S79" s="139"/>
      <c r="T79" s="124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17"/>
      <c r="AH79" s="24"/>
      <c r="AI79" s="25"/>
      <c r="AJ79" s="25"/>
    </row>
    <row r="80" spans="1:36" x14ac:dyDescent="0.3">
      <c r="A80" s="63">
        <v>74</v>
      </c>
      <c r="B80" s="102" t="s">
        <v>3520</v>
      </c>
      <c r="C80" s="102" t="s">
        <v>3521</v>
      </c>
      <c r="D80" s="64" t="s">
        <v>119</v>
      </c>
      <c r="E80" s="183" t="s">
        <v>4490</v>
      </c>
      <c r="F80" s="172" t="s">
        <v>4495</v>
      </c>
      <c r="G80" s="174">
        <v>2</v>
      </c>
      <c r="H80" s="42"/>
      <c r="I80" s="181"/>
      <c r="J80" s="128"/>
      <c r="K80" s="184" t="s">
        <v>4565</v>
      </c>
      <c r="L80" s="132"/>
      <c r="M80" s="132"/>
      <c r="N80" s="132"/>
      <c r="O80" s="132"/>
      <c r="P80" s="123"/>
      <c r="Q80" s="123"/>
      <c r="R80" s="183"/>
      <c r="S80" s="139"/>
      <c r="T80" s="124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17"/>
      <c r="AH80" s="24"/>
      <c r="AI80" s="25"/>
      <c r="AJ80" s="25"/>
    </row>
    <row r="81" spans="1:36" x14ac:dyDescent="0.3">
      <c r="A81" s="63">
        <v>75</v>
      </c>
      <c r="B81" s="102" t="s">
        <v>3520</v>
      </c>
      <c r="C81" s="102" t="s">
        <v>3521</v>
      </c>
      <c r="D81" s="64" t="s">
        <v>119</v>
      </c>
      <c r="E81" s="183" t="s">
        <v>4490</v>
      </c>
      <c r="F81" s="172" t="s">
        <v>4495</v>
      </c>
      <c r="G81" s="174">
        <v>2</v>
      </c>
      <c r="H81" s="42"/>
      <c r="I81" s="181"/>
      <c r="J81" s="128"/>
      <c r="K81" s="184" t="s">
        <v>4566</v>
      </c>
      <c r="L81" s="132"/>
      <c r="M81" s="132"/>
      <c r="N81" s="132"/>
      <c r="O81" s="132"/>
      <c r="P81" s="123"/>
      <c r="Q81" s="123"/>
      <c r="R81" s="183"/>
      <c r="S81" s="135"/>
      <c r="T81" s="123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17"/>
      <c r="AH81" s="24"/>
      <c r="AI81" s="25"/>
      <c r="AJ81" s="25"/>
    </row>
    <row r="82" spans="1:36" x14ac:dyDescent="0.3">
      <c r="A82" s="63">
        <v>76</v>
      </c>
      <c r="B82" s="102" t="s">
        <v>3520</v>
      </c>
      <c r="C82" s="102" t="s">
        <v>3521</v>
      </c>
      <c r="D82" s="64" t="s">
        <v>119</v>
      </c>
      <c r="E82" s="183" t="s">
        <v>4490</v>
      </c>
      <c r="F82" s="172" t="s">
        <v>4495</v>
      </c>
      <c r="G82" s="174">
        <v>3</v>
      </c>
      <c r="H82" s="42"/>
      <c r="I82" s="181"/>
      <c r="J82" s="128"/>
      <c r="K82" s="184" t="s">
        <v>4567</v>
      </c>
      <c r="L82" s="132"/>
      <c r="M82" s="132"/>
      <c r="N82" s="132"/>
      <c r="O82" s="132"/>
      <c r="P82" s="123"/>
      <c r="Q82" s="123"/>
      <c r="R82" s="183"/>
      <c r="S82" s="139"/>
      <c r="T82" s="124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17"/>
      <c r="AH82" s="24"/>
      <c r="AI82" s="25"/>
      <c r="AJ82" s="25"/>
    </row>
    <row r="83" spans="1:36" x14ac:dyDescent="0.3">
      <c r="A83" s="63">
        <v>77</v>
      </c>
      <c r="B83" s="102" t="s">
        <v>3520</v>
      </c>
      <c r="C83" s="102" t="s">
        <v>3521</v>
      </c>
      <c r="D83" s="64" t="s">
        <v>119</v>
      </c>
      <c r="E83" s="183" t="s">
        <v>4490</v>
      </c>
      <c r="F83" s="172" t="s">
        <v>4495</v>
      </c>
      <c r="G83" s="174">
        <v>3</v>
      </c>
      <c r="H83" s="42"/>
      <c r="I83" s="181"/>
      <c r="J83" s="128"/>
      <c r="K83" s="184" t="s">
        <v>4568</v>
      </c>
      <c r="L83" s="132"/>
      <c r="M83" s="132"/>
      <c r="N83" s="132"/>
      <c r="O83" s="132"/>
      <c r="P83" s="123"/>
      <c r="Q83" s="123"/>
      <c r="R83" s="183"/>
      <c r="S83" s="139"/>
      <c r="T83" s="124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17"/>
      <c r="AH83" s="24"/>
      <c r="AI83" s="25"/>
      <c r="AJ83" s="25"/>
    </row>
    <row r="84" spans="1:36" x14ac:dyDescent="0.3">
      <c r="A84" s="63">
        <v>78</v>
      </c>
      <c r="B84" s="102" t="s">
        <v>3520</v>
      </c>
      <c r="C84" s="102" t="s">
        <v>3521</v>
      </c>
      <c r="D84" s="64" t="s">
        <v>119</v>
      </c>
      <c r="E84" s="183" t="s">
        <v>4490</v>
      </c>
      <c r="F84" s="172" t="s">
        <v>4495</v>
      </c>
      <c r="G84" s="174">
        <v>3</v>
      </c>
      <c r="H84" s="42"/>
      <c r="I84" s="181"/>
      <c r="J84" s="128"/>
      <c r="K84" s="184" t="s">
        <v>4569</v>
      </c>
      <c r="L84" s="132"/>
      <c r="M84" s="132"/>
      <c r="N84" s="132"/>
      <c r="O84" s="132"/>
      <c r="P84" s="123"/>
      <c r="Q84" s="123"/>
      <c r="R84" s="183"/>
      <c r="S84" s="135"/>
      <c r="T84" s="123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17"/>
      <c r="AH84" s="24"/>
      <c r="AI84" s="25"/>
      <c r="AJ84" s="25"/>
    </row>
    <row r="85" spans="1:36" x14ac:dyDescent="0.3">
      <c r="A85" s="63">
        <v>79</v>
      </c>
      <c r="B85" s="102" t="s">
        <v>3520</v>
      </c>
      <c r="C85" s="102" t="s">
        <v>3521</v>
      </c>
      <c r="D85" s="64" t="s">
        <v>119</v>
      </c>
      <c r="E85" s="183" t="s">
        <v>4490</v>
      </c>
      <c r="F85" s="172" t="s">
        <v>4495</v>
      </c>
      <c r="G85" s="174">
        <v>3</v>
      </c>
      <c r="H85" s="42"/>
      <c r="I85" s="181"/>
      <c r="J85" s="128"/>
      <c r="K85" s="184" t="s">
        <v>4570</v>
      </c>
      <c r="L85" s="132"/>
      <c r="M85" s="132"/>
      <c r="N85" s="132"/>
      <c r="O85" s="132"/>
      <c r="P85" s="123"/>
      <c r="Q85" s="123"/>
      <c r="R85" s="183"/>
      <c r="S85" s="135"/>
      <c r="T85" s="123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17"/>
      <c r="AH85" s="24"/>
      <c r="AI85" s="25"/>
      <c r="AJ85" s="25"/>
    </row>
    <row r="86" spans="1:36" x14ac:dyDescent="0.3">
      <c r="A86" s="63">
        <v>80</v>
      </c>
      <c r="B86" s="102" t="s">
        <v>3520</v>
      </c>
      <c r="C86" s="102" t="s">
        <v>3521</v>
      </c>
      <c r="D86" s="64" t="s">
        <v>119</v>
      </c>
      <c r="E86" s="183" t="s">
        <v>4490</v>
      </c>
      <c r="F86" s="172" t="s">
        <v>4495</v>
      </c>
      <c r="G86" s="174">
        <v>3</v>
      </c>
      <c r="H86" s="42"/>
      <c r="I86" s="181"/>
      <c r="J86" s="128"/>
      <c r="K86" s="184" t="s">
        <v>4571</v>
      </c>
      <c r="L86" s="132"/>
      <c r="M86" s="132"/>
      <c r="N86" s="132"/>
      <c r="O86" s="132"/>
      <c r="P86" s="123"/>
      <c r="Q86" s="123"/>
      <c r="R86" s="183"/>
      <c r="S86" s="135"/>
      <c r="T86" s="123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17"/>
      <c r="AH86" s="24"/>
      <c r="AI86" s="25"/>
      <c r="AJ86" s="25"/>
    </row>
    <row r="87" spans="1:36" x14ac:dyDescent="0.3">
      <c r="A87" s="63">
        <v>81</v>
      </c>
      <c r="B87" s="102" t="s">
        <v>3520</v>
      </c>
      <c r="C87" s="102" t="s">
        <v>3521</v>
      </c>
      <c r="D87" s="64" t="s">
        <v>119</v>
      </c>
      <c r="E87" s="183" t="s">
        <v>4490</v>
      </c>
      <c r="F87" s="172" t="s">
        <v>4495</v>
      </c>
      <c r="G87" s="174">
        <v>4</v>
      </c>
      <c r="H87" s="42"/>
      <c r="I87" s="181"/>
      <c r="J87" s="128"/>
      <c r="K87" s="184" t="s">
        <v>4572</v>
      </c>
      <c r="L87" s="132"/>
      <c r="M87" s="132"/>
      <c r="N87" s="132"/>
      <c r="O87" s="132"/>
      <c r="P87" s="123"/>
      <c r="Q87" s="123"/>
      <c r="R87" s="183"/>
      <c r="S87" s="135"/>
      <c r="T87" s="123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17"/>
      <c r="AH87" s="24"/>
      <c r="AI87" s="25"/>
      <c r="AJ87" s="25"/>
    </row>
    <row r="88" spans="1:36" x14ac:dyDescent="0.3">
      <c r="A88" s="63">
        <v>82</v>
      </c>
      <c r="B88" s="102" t="s">
        <v>3520</v>
      </c>
      <c r="C88" s="102" t="s">
        <v>3521</v>
      </c>
      <c r="D88" s="64" t="s">
        <v>119</v>
      </c>
      <c r="E88" s="183" t="s">
        <v>4490</v>
      </c>
      <c r="F88" s="172" t="s">
        <v>4495</v>
      </c>
      <c r="G88" s="174">
        <v>4</v>
      </c>
      <c r="H88" s="42"/>
      <c r="I88" s="181"/>
      <c r="J88" s="128"/>
      <c r="K88" s="184" t="s">
        <v>4573</v>
      </c>
      <c r="L88" s="132"/>
      <c r="M88" s="132"/>
      <c r="N88" s="132"/>
      <c r="O88" s="132"/>
      <c r="P88" s="123"/>
      <c r="Q88" s="123"/>
      <c r="R88" s="183"/>
      <c r="S88" s="139"/>
      <c r="T88" s="124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16"/>
      <c r="AH88" s="24"/>
      <c r="AI88" s="25"/>
      <c r="AJ88" s="25"/>
    </row>
    <row r="89" spans="1:36" x14ac:dyDescent="0.3">
      <c r="A89" s="63">
        <v>83</v>
      </c>
      <c r="B89" s="102" t="s">
        <v>3520</v>
      </c>
      <c r="C89" s="102" t="s">
        <v>3521</v>
      </c>
      <c r="D89" s="64" t="s">
        <v>119</v>
      </c>
      <c r="E89" s="183" t="s">
        <v>4490</v>
      </c>
      <c r="F89" s="172" t="s">
        <v>4495</v>
      </c>
      <c r="G89" s="174">
        <v>4</v>
      </c>
      <c r="H89" s="42"/>
      <c r="I89" s="181"/>
      <c r="J89" s="128"/>
      <c r="K89" s="184" t="s">
        <v>4574</v>
      </c>
      <c r="L89" s="132"/>
      <c r="M89" s="132"/>
      <c r="N89" s="132"/>
      <c r="O89" s="132"/>
      <c r="P89" s="123"/>
      <c r="Q89" s="123"/>
      <c r="R89" s="183"/>
      <c r="S89" s="139"/>
      <c r="T89" s="124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17"/>
      <c r="AH89" s="24"/>
      <c r="AI89" s="25"/>
      <c r="AJ89" s="25"/>
    </row>
    <row r="90" spans="1:36" x14ac:dyDescent="0.3">
      <c r="A90" s="63">
        <v>84</v>
      </c>
      <c r="B90" s="102" t="s">
        <v>3520</v>
      </c>
      <c r="C90" s="102" t="s">
        <v>3521</v>
      </c>
      <c r="D90" s="64" t="s">
        <v>119</v>
      </c>
      <c r="E90" s="183" t="s">
        <v>4490</v>
      </c>
      <c r="F90" s="172" t="s">
        <v>4495</v>
      </c>
      <c r="G90" s="174">
        <v>5</v>
      </c>
      <c r="H90" s="42"/>
      <c r="I90" s="181"/>
      <c r="J90" s="128"/>
      <c r="K90" s="184" t="s">
        <v>4575</v>
      </c>
      <c r="L90" s="132"/>
      <c r="M90" s="132"/>
      <c r="N90" s="132"/>
      <c r="O90" s="132"/>
      <c r="P90" s="123"/>
      <c r="Q90" s="123"/>
      <c r="R90" s="183"/>
      <c r="S90" s="135"/>
      <c r="T90" s="123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17"/>
      <c r="AH90" s="24"/>
      <c r="AI90" s="25"/>
      <c r="AJ90" s="25"/>
    </row>
    <row r="91" spans="1:36" x14ac:dyDescent="0.3">
      <c r="A91" s="63">
        <v>85</v>
      </c>
      <c r="B91" s="102" t="s">
        <v>3520</v>
      </c>
      <c r="C91" s="102" t="s">
        <v>3521</v>
      </c>
      <c r="D91" s="64" t="s">
        <v>119</v>
      </c>
      <c r="E91" s="183" t="s">
        <v>4490</v>
      </c>
      <c r="F91" s="172" t="s">
        <v>4495</v>
      </c>
      <c r="G91" s="174">
        <v>5</v>
      </c>
      <c r="H91" s="42"/>
      <c r="I91" s="181"/>
      <c r="J91" s="128"/>
      <c r="K91" s="184" t="s">
        <v>4485</v>
      </c>
      <c r="L91" s="132"/>
      <c r="M91" s="132"/>
      <c r="N91" s="132"/>
      <c r="O91" s="132"/>
      <c r="P91" s="123"/>
      <c r="Q91" s="123"/>
      <c r="R91" s="183"/>
      <c r="S91" s="135"/>
      <c r="T91" s="123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17"/>
      <c r="AH91" s="24"/>
      <c r="AI91" s="25"/>
      <c r="AJ91" s="25"/>
    </row>
    <row r="92" spans="1:36" x14ac:dyDescent="0.3">
      <c r="A92" s="63">
        <v>86</v>
      </c>
      <c r="B92" s="102" t="s">
        <v>3520</v>
      </c>
      <c r="C92" s="102" t="s">
        <v>3521</v>
      </c>
      <c r="D92" s="64" t="s">
        <v>119</v>
      </c>
      <c r="E92" s="183" t="s">
        <v>4490</v>
      </c>
      <c r="F92" s="172" t="s">
        <v>4495</v>
      </c>
      <c r="G92" s="174">
        <v>5</v>
      </c>
      <c r="H92" s="42"/>
      <c r="I92" s="181"/>
      <c r="J92" s="128"/>
      <c r="K92" s="184" t="s">
        <v>4576</v>
      </c>
      <c r="L92" s="132"/>
      <c r="M92" s="132"/>
      <c r="N92" s="132"/>
      <c r="O92" s="132"/>
      <c r="P92" s="123"/>
      <c r="Q92" s="123"/>
      <c r="R92" s="183"/>
      <c r="S92" s="135"/>
      <c r="T92" s="123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17"/>
      <c r="AH92" s="24"/>
      <c r="AI92" s="25"/>
      <c r="AJ92" s="25"/>
    </row>
    <row r="93" spans="1:36" x14ac:dyDescent="0.3">
      <c r="A93" s="63">
        <v>87</v>
      </c>
      <c r="B93" s="102" t="s">
        <v>3520</v>
      </c>
      <c r="C93" s="102" t="s">
        <v>3521</v>
      </c>
      <c r="D93" s="64" t="s">
        <v>119</v>
      </c>
      <c r="E93" s="183" t="s">
        <v>4490</v>
      </c>
      <c r="F93" s="172" t="s">
        <v>4495</v>
      </c>
      <c r="G93" s="174">
        <v>6</v>
      </c>
      <c r="H93" s="42"/>
      <c r="I93" s="181"/>
      <c r="J93" s="128"/>
      <c r="K93" s="184" t="s">
        <v>4577</v>
      </c>
      <c r="L93" s="132"/>
      <c r="M93" s="132"/>
      <c r="N93" s="132"/>
      <c r="O93" s="132"/>
      <c r="P93" s="123"/>
      <c r="Q93" s="123"/>
      <c r="R93" s="183"/>
      <c r="S93" s="135"/>
      <c r="T93" s="123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17"/>
      <c r="AH93" s="24"/>
      <c r="AI93" s="25"/>
      <c r="AJ93" s="25"/>
    </row>
    <row r="94" spans="1:36" x14ac:dyDescent="0.3">
      <c r="A94" s="63">
        <v>88</v>
      </c>
      <c r="B94" s="102" t="s">
        <v>3520</v>
      </c>
      <c r="C94" s="102" t="s">
        <v>3521</v>
      </c>
      <c r="D94" s="64" t="s">
        <v>119</v>
      </c>
      <c r="E94" s="183" t="s">
        <v>4490</v>
      </c>
      <c r="F94" s="172" t="s">
        <v>4495</v>
      </c>
      <c r="G94" s="174">
        <v>7</v>
      </c>
      <c r="H94" s="42"/>
      <c r="I94" s="181"/>
      <c r="J94" s="128"/>
      <c r="K94" s="184" t="s">
        <v>4578</v>
      </c>
      <c r="L94" s="132"/>
      <c r="M94" s="132"/>
      <c r="N94" s="132"/>
      <c r="O94" s="132"/>
      <c r="P94" s="123"/>
      <c r="Q94" s="123"/>
      <c r="R94" s="183"/>
      <c r="S94" s="135"/>
      <c r="T94" s="123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17"/>
      <c r="AH94" s="24"/>
      <c r="AI94" s="25"/>
      <c r="AJ94" s="25"/>
    </row>
    <row r="95" spans="1:36" x14ac:dyDescent="0.3">
      <c r="A95" s="63">
        <v>89</v>
      </c>
      <c r="B95" s="102" t="s">
        <v>3520</v>
      </c>
      <c r="C95" s="102" t="s">
        <v>3521</v>
      </c>
      <c r="D95" s="64" t="s">
        <v>119</v>
      </c>
      <c r="E95" s="183" t="s">
        <v>4490</v>
      </c>
      <c r="F95" s="172" t="s">
        <v>4495</v>
      </c>
      <c r="G95" s="174">
        <v>7</v>
      </c>
      <c r="H95" s="42"/>
      <c r="I95" s="181"/>
      <c r="J95" s="128"/>
      <c r="K95" s="184" t="s">
        <v>4579</v>
      </c>
      <c r="L95" s="132"/>
      <c r="M95" s="132"/>
      <c r="N95" s="132"/>
      <c r="O95" s="132"/>
      <c r="P95" s="123"/>
      <c r="Q95" s="123"/>
      <c r="R95" s="183"/>
      <c r="S95" s="139"/>
      <c r="T95" s="124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17"/>
      <c r="AH95" s="24"/>
      <c r="AI95" s="25"/>
      <c r="AJ95" s="25"/>
    </row>
    <row r="96" spans="1:36" x14ac:dyDescent="0.3">
      <c r="A96" s="63">
        <v>90</v>
      </c>
      <c r="B96" s="102" t="s">
        <v>3520</v>
      </c>
      <c r="C96" s="102" t="s">
        <v>3521</v>
      </c>
      <c r="D96" s="64" t="s">
        <v>119</v>
      </c>
      <c r="E96" s="183" t="s">
        <v>4490</v>
      </c>
      <c r="F96" s="172" t="s">
        <v>4495</v>
      </c>
      <c r="G96" s="174">
        <v>7</v>
      </c>
      <c r="H96" s="42"/>
      <c r="I96" s="181"/>
      <c r="J96" s="128"/>
      <c r="K96" s="184" t="s">
        <v>4580</v>
      </c>
      <c r="L96" s="132"/>
      <c r="M96" s="132"/>
      <c r="N96" s="132"/>
      <c r="O96" s="132"/>
      <c r="P96" s="123"/>
      <c r="Q96" s="123"/>
      <c r="R96" s="183"/>
      <c r="S96" s="139"/>
      <c r="T96" s="124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17"/>
      <c r="AH96" s="24"/>
      <c r="AI96" s="25"/>
      <c r="AJ96" s="25"/>
    </row>
    <row r="97" spans="1:36" x14ac:dyDescent="0.3">
      <c r="A97" s="63">
        <v>91</v>
      </c>
      <c r="B97" s="102" t="s">
        <v>3520</v>
      </c>
      <c r="C97" s="102" t="s">
        <v>3521</v>
      </c>
      <c r="D97" s="64" t="s">
        <v>119</v>
      </c>
      <c r="E97" s="183" t="s">
        <v>4490</v>
      </c>
      <c r="F97" s="172" t="s">
        <v>4495</v>
      </c>
      <c r="G97" s="174">
        <v>7</v>
      </c>
      <c r="H97" s="42"/>
      <c r="I97" s="181"/>
      <c r="J97" s="128"/>
      <c r="K97" s="184" t="s">
        <v>4581</v>
      </c>
      <c r="L97" s="132"/>
      <c r="M97" s="132"/>
      <c r="N97" s="132"/>
      <c r="O97" s="132"/>
      <c r="P97" s="123"/>
      <c r="Q97" s="123"/>
      <c r="R97" s="183"/>
      <c r="S97" s="135"/>
      <c r="T97" s="123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17"/>
      <c r="AH97" s="24"/>
      <c r="AI97" s="25"/>
      <c r="AJ97" s="25"/>
    </row>
    <row r="98" spans="1:36" x14ac:dyDescent="0.3">
      <c r="A98" s="63">
        <v>92</v>
      </c>
      <c r="B98" s="102" t="s">
        <v>3520</v>
      </c>
      <c r="C98" s="102" t="s">
        <v>3521</v>
      </c>
      <c r="D98" s="64" t="s">
        <v>119</v>
      </c>
      <c r="E98" s="183" t="s">
        <v>4490</v>
      </c>
      <c r="F98" s="172" t="s">
        <v>4495</v>
      </c>
      <c r="G98" s="174">
        <v>8</v>
      </c>
      <c r="H98" s="42"/>
      <c r="I98" s="181"/>
      <c r="J98" s="128"/>
      <c r="K98" s="184" t="s">
        <v>4582</v>
      </c>
      <c r="L98" s="132"/>
      <c r="M98" s="132"/>
      <c r="N98" s="132"/>
      <c r="O98" s="132"/>
      <c r="P98" s="123"/>
      <c r="Q98" s="123"/>
      <c r="R98" s="183"/>
      <c r="S98" s="135"/>
      <c r="T98" s="123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17"/>
      <c r="AH98" s="24"/>
      <c r="AI98" s="25"/>
      <c r="AJ98" s="25"/>
    </row>
    <row r="99" spans="1:36" x14ac:dyDescent="0.3">
      <c r="A99" s="63">
        <v>93</v>
      </c>
      <c r="B99" s="102" t="s">
        <v>3520</v>
      </c>
      <c r="C99" s="102" t="s">
        <v>3521</v>
      </c>
      <c r="D99" s="64" t="s">
        <v>119</v>
      </c>
      <c r="E99" s="183" t="s">
        <v>4490</v>
      </c>
      <c r="F99" s="172" t="s">
        <v>4495</v>
      </c>
      <c r="G99" s="174">
        <v>8</v>
      </c>
      <c r="H99" s="42"/>
      <c r="I99" s="181"/>
      <c r="J99" s="128"/>
      <c r="K99" s="184" t="s">
        <v>4583</v>
      </c>
      <c r="L99" s="132"/>
      <c r="M99" s="132"/>
      <c r="N99" s="132"/>
      <c r="O99" s="132"/>
      <c r="P99" s="123"/>
      <c r="Q99" s="123"/>
      <c r="R99" s="183"/>
      <c r="S99" s="139"/>
      <c r="T99" s="124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17"/>
      <c r="AH99" s="24"/>
      <c r="AI99" s="25"/>
      <c r="AJ99" s="25"/>
    </row>
    <row r="100" spans="1:36" x14ac:dyDescent="0.3">
      <c r="A100" s="63">
        <v>94</v>
      </c>
      <c r="B100" s="102" t="s">
        <v>3520</v>
      </c>
      <c r="C100" s="102" t="s">
        <v>3521</v>
      </c>
      <c r="D100" s="64" t="s">
        <v>119</v>
      </c>
      <c r="E100" s="183" t="s">
        <v>4490</v>
      </c>
      <c r="F100" s="172" t="s">
        <v>4495</v>
      </c>
      <c r="G100" s="174">
        <v>8</v>
      </c>
      <c r="H100" s="42"/>
      <c r="I100" s="181"/>
      <c r="J100" s="128"/>
      <c r="K100" s="184" t="s">
        <v>4584</v>
      </c>
      <c r="L100" s="132"/>
      <c r="M100" s="132"/>
      <c r="N100" s="132"/>
      <c r="O100" s="132"/>
      <c r="P100" s="123"/>
      <c r="Q100" s="123"/>
      <c r="R100" s="183"/>
      <c r="S100" s="139"/>
      <c r="T100" s="124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17"/>
      <c r="AH100" s="24"/>
      <c r="AI100" s="25"/>
      <c r="AJ100" s="25"/>
    </row>
    <row r="101" spans="1:36" x14ac:dyDescent="0.3">
      <c r="A101" s="63">
        <v>95</v>
      </c>
      <c r="B101" s="102" t="s">
        <v>3520</v>
      </c>
      <c r="C101" s="102" t="s">
        <v>3521</v>
      </c>
      <c r="D101" s="64" t="s">
        <v>119</v>
      </c>
      <c r="E101" s="183" t="s">
        <v>4490</v>
      </c>
      <c r="F101" s="172" t="s">
        <v>4495</v>
      </c>
      <c r="G101" s="174">
        <v>9</v>
      </c>
      <c r="H101" s="42"/>
      <c r="I101" s="181"/>
      <c r="J101" s="128"/>
      <c r="K101" s="184" t="s">
        <v>4585</v>
      </c>
      <c r="L101" s="132"/>
      <c r="M101" s="132"/>
      <c r="N101" s="132"/>
      <c r="O101" s="132"/>
      <c r="P101" s="123"/>
      <c r="Q101" s="123"/>
      <c r="R101" s="183"/>
      <c r="S101" s="139"/>
      <c r="T101" s="124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17"/>
      <c r="AH101" s="24"/>
      <c r="AI101" s="25"/>
      <c r="AJ101" s="25"/>
    </row>
    <row r="102" spans="1:36" x14ac:dyDescent="0.3">
      <c r="A102" s="63">
        <v>96</v>
      </c>
      <c r="B102" s="102" t="s">
        <v>3520</v>
      </c>
      <c r="C102" s="102" t="s">
        <v>3521</v>
      </c>
      <c r="D102" s="64" t="s">
        <v>119</v>
      </c>
      <c r="E102" s="183" t="s">
        <v>4490</v>
      </c>
      <c r="F102" s="172" t="s">
        <v>4495</v>
      </c>
      <c r="G102" s="174">
        <v>9</v>
      </c>
      <c r="H102" s="42"/>
      <c r="I102" s="181"/>
      <c r="J102" s="128"/>
      <c r="K102" s="184" t="s">
        <v>4586</v>
      </c>
      <c r="L102" s="132"/>
      <c r="M102" s="132"/>
      <c r="N102" s="132"/>
      <c r="O102" s="132"/>
      <c r="P102" s="123"/>
      <c r="Q102" s="123"/>
      <c r="R102" s="183"/>
      <c r="S102" s="135"/>
      <c r="T102" s="123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17"/>
      <c r="AH102" s="24"/>
      <c r="AI102" s="25"/>
      <c r="AJ102" s="25"/>
    </row>
    <row r="103" spans="1:36" x14ac:dyDescent="0.3">
      <c r="A103" s="63">
        <v>97</v>
      </c>
      <c r="B103" s="102" t="s">
        <v>3520</v>
      </c>
      <c r="C103" s="102" t="s">
        <v>3521</v>
      </c>
      <c r="D103" s="64" t="s">
        <v>119</v>
      </c>
      <c r="E103" s="183" t="s">
        <v>4490</v>
      </c>
      <c r="F103" s="172" t="s">
        <v>4495</v>
      </c>
      <c r="G103" s="174">
        <v>9</v>
      </c>
      <c r="H103" s="42"/>
      <c r="I103" s="181"/>
      <c r="J103" s="128"/>
      <c r="K103" s="184" t="s">
        <v>4587</v>
      </c>
      <c r="L103" s="186"/>
      <c r="M103" s="186"/>
      <c r="N103" s="186"/>
      <c r="O103" s="186"/>
      <c r="P103" s="123"/>
      <c r="Q103" s="123"/>
      <c r="R103" s="183"/>
      <c r="S103" s="139"/>
      <c r="T103" s="124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17"/>
      <c r="AH103" s="24"/>
      <c r="AI103" s="25"/>
      <c r="AJ103" s="25"/>
    </row>
    <row r="104" spans="1:36" x14ac:dyDescent="0.3">
      <c r="A104" s="63">
        <v>98</v>
      </c>
      <c r="B104" s="102" t="s">
        <v>3520</v>
      </c>
      <c r="C104" s="102" t="s">
        <v>3521</v>
      </c>
      <c r="D104" s="64" t="s">
        <v>119</v>
      </c>
      <c r="E104" s="183" t="s">
        <v>4490</v>
      </c>
      <c r="F104" s="172" t="s">
        <v>4495</v>
      </c>
      <c r="G104" s="174">
        <v>9</v>
      </c>
      <c r="H104" s="42"/>
      <c r="I104" s="181"/>
      <c r="J104" s="128"/>
      <c r="K104" s="184" t="s">
        <v>4588</v>
      </c>
      <c r="L104" s="132"/>
      <c r="M104" s="132"/>
      <c r="N104" s="132"/>
      <c r="O104" s="132"/>
      <c r="P104" s="123"/>
      <c r="Q104" s="123"/>
      <c r="R104" s="183"/>
      <c r="S104" s="135"/>
      <c r="T104" s="123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17"/>
      <c r="AH104" s="24"/>
      <c r="AI104" s="25"/>
      <c r="AJ104" s="25"/>
    </row>
    <row r="105" spans="1:36" x14ac:dyDescent="0.3">
      <c r="A105" s="63">
        <v>99</v>
      </c>
      <c r="B105" s="102" t="s">
        <v>3520</v>
      </c>
      <c r="C105" s="102" t="s">
        <v>3521</v>
      </c>
      <c r="D105" s="64" t="s">
        <v>119</v>
      </c>
      <c r="E105" s="183" t="s">
        <v>4490</v>
      </c>
      <c r="F105" s="172" t="s">
        <v>4496</v>
      </c>
      <c r="G105" s="174">
        <v>1</v>
      </c>
      <c r="H105" s="42"/>
      <c r="I105" s="181"/>
      <c r="J105" s="128"/>
      <c r="K105" s="184" t="s">
        <v>4589</v>
      </c>
      <c r="L105" s="132"/>
      <c r="M105" s="132"/>
      <c r="N105" s="132"/>
      <c r="O105" s="132"/>
      <c r="P105" s="123"/>
      <c r="Q105" s="123"/>
      <c r="R105" s="183"/>
      <c r="S105" s="135"/>
      <c r="T105" s="123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17"/>
      <c r="AH105" s="24"/>
      <c r="AI105" s="25"/>
      <c r="AJ105" s="25"/>
    </row>
    <row r="106" spans="1:36" x14ac:dyDescent="0.3">
      <c r="A106" s="63">
        <v>100</v>
      </c>
      <c r="B106" s="102" t="s">
        <v>3520</v>
      </c>
      <c r="C106" s="102" t="s">
        <v>3521</v>
      </c>
      <c r="D106" s="64" t="s">
        <v>119</v>
      </c>
      <c r="E106" s="183" t="s">
        <v>4490</v>
      </c>
      <c r="F106" s="172" t="s">
        <v>4496</v>
      </c>
      <c r="G106" s="174">
        <v>1</v>
      </c>
      <c r="H106" s="42"/>
      <c r="I106" s="181"/>
      <c r="J106" s="128"/>
      <c r="K106" s="184" t="s">
        <v>4590</v>
      </c>
      <c r="L106" s="132"/>
      <c r="M106" s="132"/>
      <c r="N106" s="132"/>
      <c r="O106" s="132"/>
      <c r="P106" s="123"/>
      <c r="Q106" s="123"/>
      <c r="R106" s="183"/>
      <c r="S106" s="139"/>
      <c r="T106" s="124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17"/>
      <c r="AH106" s="24"/>
      <c r="AI106" s="25"/>
      <c r="AJ106" s="25"/>
    </row>
    <row r="107" spans="1:36" x14ac:dyDescent="0.3">
      <c r="A107" s="63">
        <v>101</v>
      </c>
      <c r="B107" s="102" t="s">
        <v>3520</v>
      </c>
      <c r="C107" s="102" t="s">
        <v>3521</v>
      </c>
      <c r="D107" s="64" t="s">
        <v>119</v>
      </c>
      <c r="E107" s="183" t="s">
        <v>4490</v>
      </c>
      <c r="F107" s="172" t="s">
        <v>4496</v>
      </c>
      <c r="G107" s="174">
        <v>1</v>
      </c>
      <c r="H107" s="42"/>
      <c r="I107" s="181"/>
      <c r="J107" s="128"/>
      <c r="K107" s="184" t="s">
        <v>4591</v>
      </c>
      <c r="L107" s="132"/>
      <c r="M107" s="132"/>
      <c r="N107" s="132"/>
      <c r="O107" s="132"/>
      <c r="P107" s="123"/>
      <c r="Q107" s="123"/>
      <c r="R107" s="183"/>
      <c r="S107" s="135"/>
      <c r="T107" s="123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17"/>
      <c r="AH107" s="24"/>
      <c r="AI107" s="25"/>
      <c r="AJ107" s="25"/>
    </row>
    <row r="108" spans="1:36" x14ac:dyDescent="0.3">
      <c r="A108" s="63">
        <v>102</v>
      </c>
      <c r="B108" s="102" t="s">
        <v>3520</v>
      </c>
      <c r="C108" s="102" t="s">
        <v>3521</v>
      </c>
      <c r="D108" s="64" t="s">
        <v>119</v>
      </c>
      <c r="E108" s="183" t="s">
        <v>4490</v>
      </c>
      <c r="F108" s="172" t="s">
        <v>4496</v>
      </c>
      <c r="G108" s="174">
        <v>2</v>
      </c>
      <c r="H108" s="42"/>
      <c r="I108" s="181"/>
      <c r="J108" s="128"/>
      <c r="K108" s="184" t="s">
        <v>4592</v>
      </c>
      <c r="L108" s="132"/>
      <c r="M108" s="132"/>
      <c r="N108" s="132"/>
      <c r="O108" s="132"/>
      <c r="P108" s="123"/>
      <c r="Q108" s="123"/>
      <c r="R108" s="183"/>
      <c r="S108" s="139"/>
      <c r="T108" s="124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17"/>
      <c r="AH108" s="24"/>
      <c r="AI108" s="25"/>
      <c r="AJ108" s="25"/>
    </row>
    <row r="109" spans="1:36" x14ac:dyDescent="0.3">
      <c r="A109" s="63">
        <v>103</v>
      </c>
      <c r="B109" s="102" t="s">
        <v>3520</v>
      </c>
      <c r="C109" s="102" t="s">
        <v>3521</v>
      </c>
      <c r="D109" s="64" t="s">
        <v>119</v>
      </c>
      <c r="E109" s="183" t="s">
        <v>4490</v>
      </c>
      <c r="F109" s="172" t="s">
        <v>4496</v>
      </c>
      <c r="G109" s="174">
        <v>2</v>
      </c>
      <c r="H109" s="42"/>
      <c r="I109" s="181"/>
      <c r="J109" s="128"/>
      <c r="K109" s="184" t="s">
        <v>4593</v>
      </c>
      <c r="L109" s="132"/>
      <c r="M109" s="132"/>
      <c r="N109" s="132"/>
      <c r="O109" s="132"/>
      <c r="P109" s="123"/>
      <c r="Q109" s="123"/>
      <c r="R109" s="183"/>
      <c r="S109" s="139"/>
      <c r="T109" s="124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17"/>
      <c r="AH109" s="24"/>
      <c r="AI109" s="25"/>
      <c r="AJ109" s="25"/>
    </row>
    <row r="110" spans="1:36" x14ac:dyDescent="0.3">
      <c r="A110" s="63">
        <v>104</v>
      </c>
      <c r="B110" s="102" t="s">
        <v>3520</v>
      </c>
      <c r="C110" s="102" t="s">
        <v>3521</v>
      </c>
      <c r="D110" s="64" t="s">
        <v>119</v>
      </c>
      <c r="E110" s="183" t="s">
        <v>4490</v>
      </c>
      <c r="F110" s="172" t="s">
        <v>4496</v>
      </c>
      <c r="G110" s="174">
        <v>2</v>
      </c>
      <c r="H110" s="42"/>
      <c r="I110" s="181"/>
      <c r="J110" s="128"/>
      <c r="K110" s="184" t="s">
        <v>53</v>
      </c>
      <c r="L110" s="186"/>
      <c r="M110" s="186"/>
      <c r="N110" s="186"/>
      <c r="O110" s="186"/>
      <c r="P110" s="123"/>
      <c r="Q110" s="123"/>
      <c r="R110" s="183"/>
      <c r="S110" s="139"/>
      <c r="T110" s="124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17"/>
      <c r="AH110" s="24"/>
      <c r="AI110" s="25"/>
      <c r="AJ110" s="25"/>
    </row>
    <row r="111" spans="1:36" x14ac:dyDescent="0.3">
      <c r="A111" s="63">
        <v>105</v>
      </c>
      <c r="B111" s="102" t="s">
        <v>3520</v>
      </c>
      <c r="C111" s="102" t="s">
        <v>3521</v>
      </c>
      <c r="D111" s="64" t="s">
        <v>119</v>
      </c>
      <c r="E111" s="183" t="s">
        <v>4490</v>
      </c>
      <c r="F111" s="172" t="s">
        <v>4496</v>
      </c>
      <c r="G111" s="174">
        <v>3</v>
      </c>
      <c r="H111" s="42"/>
      <c r="I111" s="181"/>
      <c r="J111" s="128"/>
      <c r="K111" s="184" t="s">
        <v>4594</v>
      </c>
      <c r="L111" s="132"/>
      <c r="M111" s="132"/>
      <c r="N111" s="132"/>
      <c r="O111" s="132"/>
      <c r="P111" s="123"/>
      <c r="Q111" s="123"/>
      <c r="R111" s="183"/>
      <c r="S111" s="135"/>
      <c r="T111" s="11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17"/>
      <c r="AH111" s="24"/>
      <c r="AI111" s="25"/>
      <c r="AJ111" s="25"/>
    </row>
    <row r="112" spans="1:36" x14ac:dyDescent="0.3">
      <c r="A112" s="63">
        <v>106</v>
      </c>
      <c r="B112" s="102" t="s">
        <v>3520</v>
      </c>
      <c r="C112" s="102" t="s">
        <v>3521</v>
      </c>
      <c r="D112" s="64" t="s">
        <v>119</v>
      </c>
      <c r="E112" s="183" t="s">
        <v>4490</v>
      </c>
      <c r="F112" s="172" t="s">
        <v>4496</v>
      </c>
      <c r="G112" s="174">
        <v>3</v>
      </c>
      <c r="H112" s="42"/>
      <c r="I112" s="181"/>
      <c r="J112" s="128"/>
      <c r="K112" s="184" t="s">
        <v>4595</v>
      </c>
      <c r="L112" s="132"/>
      <c r="M112" s="132"/>
      <c r="N112" s="132"/>
      <c r="O112" s="132"/>
      <c r="P112" s="123"/>
      <c r="Q112" s="123"/>
      <c r="R112" s="183"/>
      <c r="S112" s="135"/>
      <c r="T112" s="123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17"/>
      <c r="AH112" s="24"/>
      <c r="AI112" s="25"/>
      <c r="AJ112" s="25"/>
    </row>
    <row r="113" spans="1:36" x14ac:dyDescent="0.3">
      <c r="A113" s="63">
        <v>107</v>
      </c>
      <c r="B113" s="102" t="s">
        <v>3520</v>
      </c>
      <c r="C113" s="102" t="s">
        <v>3521</v>
      </c>
      <c r="D113" s="64" t="s">
        <v>119</v>
      </c>
      <c r="E113" s="183" t="s">
        <v>4490</v>
      </c>
      <c r="F113" s="172" t="s">
        <v>4496</v>
      </c>
      <c r="G113" s="174">
        <v>4</v>
      </c>
      <c r="H113" s="42"/>
      <c r="I113" s="181"/>
      <c r="J113" s="128"/>
      <c r="K113" s="184" t="s">
        <v>4596</v>
      </c>
      <c r="L113" s="132"/>
      <c r="M113" s="132"/>
      <c r="N113" s="132"/>
      <c r="O113" s="132"/>
      <c r="P113" s="123"/>
      <c r="Q113" s="123"/>
      <c r="R113" s="183"/>
      <c r="S113" s="135"/>
      <c r="T113" s="11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17"/>
      <c r="AH113" s="24"/>
      <c r="AI113" s="25"/>
      <c r="AJ113" s="25"/>
    </row>
    <row r="114" spans="1:36" x14ac:dyDescent="0.3">
      <c r="A114" s="63">
        <v>108</v>
      </c>
      <c r="B114" s="102" t="s">
        <v>3520</v>
      </c>
      <c r="C114" s="102" t="s">
        <v>3521</v>
      </c>
      <c r="D114" s="64" t="s">
        <v>119</v>
      </c>
      <c r="E114" s="183" t="s">
        <v>4490</v>
      </c>
      <c r="F114" s="172" t="s">
        <v>4496</v>
      </c>
      <c r="G114" s="174">
        <v>4</v>
      </c>
      <c r="H114" s="42"/>
      <c r="I114" s="181"/>
      <c r="J114" s="128"/>
      <c r="K114" s="184" t="s">
        <v>4597</v>
      </c>
      <c r="L114" s="132"/>
      <c r="M114" s="132"/>
      <c r="N114" s="132"/>
      <c r="O114" s="132"/>
      <c r="P114" s="123"/>
      <c r="Q114" s="123"/>
      <c r="R114" s="183"/>
      <c r="S114" s="139"/>
      <c r="T114" s="124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17"/>
      <c r="AH114" s="24"/>
      <c r="AI114" s="25"/>
      <c r="AJ114" s="25"/>
    </row>
    <row r="115" spans="1:36" x14ac:dyDescent="0.3">
      <c r="A115" s="63">
        <v>109</v>
      </c>
      <c r="B115" s="102" t="s">
        <v>3520</v>
      </c>
      <c r="C115" s="102" t="s">
        <v>3521</v>
      </c>
      <c r="D115" s="64" t="s">
        <v>119</v>
      </c>
      <c r="E115" s="183" t="s">
        <v>4490</v>
      </c>
      <c r="F115" s="172" t="s">
        <v>4496</v>
      </c>
      <c r="G115" s="174">
        <v>5</v>
      </c>
      <c r="H115" s="42"/>
      <c r="I115" s="181"/>
      <c r="J115" s="128"/>
      <c r="K115" s="184" t="s">
        <v>4598</v>
      </c>
      <c r="L115" s="186"/>
      <c r="M115" s="186"/>
      <c r="N115" s="186"/>
      <c r="O115" s="186"/>
      <c r="P115" s="123"/>
      <c r="Q115" s="123"/>
      <c r="R115" s="183"/>
      <c r="S115" s="139"/>
      <c r="T115" s="124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17"/>
      <c r="AH115" s="24"/>
      <c r="AI115" s="25"/>
      <c r="AJ115" s="25"/>
    </row>
    <row r="116" spans="1:36" x14ac:dyDescent="0.3">
      <c r="A116" s="63">
        <v>110</v>
      </c>
      <c r="B116" s="102" t="s">
        <v>3520</v>
      </c>
      <c r="C116" s="102" t="s">
        <v>3521</v>
      </c>
      <c r="D116" s="64" t="s">
        <v>119</v>
      </c>
      <c r="E116" s="183" t="s">
        <v>4490</v>
      </c>
      <c r="F116" s="172" t="s">
        <v>4496</v>
      </c>
      <c r="G116" s="174">
        <v>5</v>
      </c>
      <c r="H116" s="42"/>
      <c r="I116" s="181"/>
      <c r="J116" s="128"/>
      <c r="K116" s="184" t="s">
        <v>4599</v>
      </c>
      <c r="L116" s="132"/>
      <c r="M116" s="132"/>
      <c r="N116" s="132"/>
      <c r="O116" s="132"/>
      <c r="P116" s="123"/>
      <c r="Q116" s="123"/>
      <c r="R116" s="183"/>
      <c r="S116" s="135"/>
      <c r="T116" s="123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17"/>
      <c r="AH116" s="24"/>
      <c r="AI116" s="25"/>
      <c r="AJ116" s="25"/>
    </row>
    <row r="117" spans="1:36" x14ac:dyDescent="0.3">
      <c r="A117" s="63">
        <v>111</v>
      </c>
      <c r="B117" s="102" t="s">
        <v>3520</v>
      </c>
      <c r="C117" s="102" t="s">
        <v>3521</v>
      </c>
      <c r="D117" s="64" t="s">
        <v>119</v>
      </c>
      <c r="E117" s="183" t="s">
        <v>4490</v>
      </c>
      <c r="F117" s="172" t="s">
        <v>4496</v>
      </c>
      <c r="G117" s="174">
        <v>6</v>
      </c>
      <c r="H117" s="42"/>
      <c r="I117" s="181"/>
      <c r="J117" s="128"/>
      <c r="K117" s="184" t="s">
        <v>4600</v>
      </c>
      <c r="L117" s="132"/>
      <c r="M117" s="132"/>
      <c r="N117" s="132"/>
      <c r="O117" s="132"/>
      <c r="P117" s="123"/>
      <c r="Q117" s="123"/>
      <c r="R117" s="183"/>
      <c r="S117" s="139"/>
      <c r="T117" s="124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17"/>
      <c r="AH117" s="24"/>
      <c r="AI117" s="25"/>
      <c r="AJ117" s="25"/>
    </row>
    <row r="118" spans="1:36" x14ac:dyDescent="0.3">
      <c r="A118" s="63">
        <v>112</v>
      </c>
      <c r="B118" s="102" t="s">
        <v>3520</v>
      </c>
      <c r="C118" s="102" t="s">
        <v>3521</v>
      </c>
      <c r="D118" s="64" t="s">
        <v>119</v>
      </c>
      <c r="E118" s="183" t="s">
        <v>4490</v>
      </c>
      <c r="F118" s="172" t="s">
        <v>4496</v>
      </c>
      <c r="G118" s="174">
        <v>6</v>
      </c>
      <c r="H118" s="42"/>
      <c r="I118" s="181"/>
      <c r="J118" s="128"/>
      <c r="K118" s="184" t="s">
        <v>4580</v>
      </c>
      <c r="L118" s="186"/>
      <c r="M118" s="186"/>
      <c r="N118" s="186"/>
      <c r="O118" s="186"/>
      <c r="P118" s="123"/>
      <c r="Q118" s="123"/>
      <c r="R118" s="183"/>
      <c r="S118" s="139"/>
      <c r="T118" s="124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17"/>
      <c r="AH118" s="24"/>
      <c r="AI118" s="25"/>
      <c r="AJ118" s="25"/>
    </row>
    <row r="119" spans="1:36" x14ac:dyDescent="0.3">
      <c r="A119" s="63">
        <v>113</v>
      </c>
      <c r="B119" s="102" t="s">
        <v>3520</v>
      </c>
      <c r="C119" s="102" t="s">
        <v>3521</v>
      </c>
      <c r="D119" s="64" t="s">
        <v>119</v>
      </c>
      <c r="E119" s="183" t="s">
        <v>4490</v>
      </c>
      <c r="F119" s="172" t="s">
        <v>4496</v>
      </c>
      <c r="G119" s="174">
        <v>7</v>
      </c>
      <c r="H119" s="42"/>
      <c r="I119" s="181"/>
      <c r="J119" s="128"/>
      <c r="K119" s="184" t="s">
        <v>4601</v>
      </c>
      <c r="L119" s="186"/>
      <c r="M119" s="186"/>
      <c r="N119" s="186"/>
      <c r="O119" s="186"/>
      <c r="P119" s="123"/>
      <c r="Q119" s="123"/>
      <c r="R119" s="183"/>
      <c r="S119" s="139"/>
      <c r="T119" s="124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17"/>
      <c r="AH119" s="24"/>
      <c r="AI119" s="25"/>
      <c r="AJ119" s="25"/>
    </row>
    <row r="120" spans="1:36" x14ac:dyDescent="0.3">
      <c r="A120" s="63">
        <v>114</v>
      </c>
      <c r="B120" s="102" t="s">
        <v>3520</v>
      </c>
      <c r="C120" s="102" t="s">
        <v>3521</v>
      </c>
      <c r="D120" s="64" t="s">
        <v>119</v>
      </c>
      <c r="E120" s="183" t="s">
        <v>4490</v>
      </c>
      <c r="F120" s="172" t="s">
        <v>4496</v>
      </c>
      <c r="G120" s="174">
        <v>7</v>
      </c>
      <c r="H120" s="42"/>
      <c r="I120" s="181"/>
      <c r="J120" s="128"/>
      <c r="K120" s="184" t="s">
        <v>4602</v>
      </c>
      <c r="L120" s="132"/>
      <c r="M120" s="132"/>
      <c r="N120" s="132"/>
      <c r="O120" s="132"/>
      <c r="P120" s="123"/>
      <c r="Q120" s="123"/>
      <c r="R120" s="183"/>
      <c r="S120" s="139"/>
      <c r="T120" s="124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17"/>
      <c r="AH120" s="24"/>
      <c r="AI120" s="25"/>
      <c r="AJ120" s="25"/>
    </row>
    <row r="121" spans="1:36" x14ac:dyDescent="0.3">
      <c r="A121" s="63">
        <v>115</v>
      </c>
      <c r="B121" s="102" t="s">
        <v>3520</v>
      </c>
      <c r="C121" s="102" t="s">
        <v>3521</v>
      </c>
      <c r="D121" s="64" t="s">
        <v>119</v>
      </c>
      <c r="E121" s="183" t="s">
        <v>4490</v>
      </c>
      <c r="F121" s="172" t="s">
        <v>4496</v>
      </c>
      <c r="G121" s="174">
        <v>7</v>
      </c>
      <c r="H121" s="42"/>
      <c r="I121" s="181"/>
      <c r="J121" s="128"/>
      <c r="K121" s="184" t="s">
        <v>4603</v>
      </c>
      <c r="L121" s="132"/>
      <c r="M121" s="132"/>
      <c r="N121" s="132"/>
      <c r="O121" s="132"/>
      <c r="P121" s="123"/>
      <c r="Q121" s="123"/>
      <c r="R121" s="183"/>
      <c r="S121" s="139"/>
      <c r="T121" s="124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17"/>
      <c r="AH121" s="24"/>
      <c r="AI121" s="25"/>
      <c r="AJ121" s="25"/>
    </row>
    <row r="122" spans="1:36" x14ac:dyDescent="0.3">
      <c r="A122" s="63">
        <v>116</v>
      </c>
      <c r="B122" s="102" t="s">
        <v>3520</v>
      </c>
      <c r="C122" s="102" t="s">
        <v>3521</v>
      </c>
      <c r="D122" s="64" t="s">
        <v>119</v>
      </c>
      <c r="E122" s="183" t="s">
        <v>4490</v>
      </c>
      <c r="F122" s="172" t="s">
        <v>4496</v>
      </c>
      <c r="G122" s="174">
        <v>7</v>
      </c>
      <c r="H122" s="42"/>
      <c r="I122" s="181"/>
      <c r="J122" s="128"/>
      <c r="K122" s="184" t="s">
        <v>4604</v>
      </c>
      <c r="L122" s="132"/>
      <c r="M122" s="132"/>
      <c r="N122" s="132"/>
      <c r="O122" s="132"/>
      <c r="P122" s="123"/>
      <c r="Q122" s="123"/>
      <c r="R122" s="183"/>
      <c r="S122" s="139"/>
      <c r="T122" s="124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17"/>
      <c r="AH122" s="24"/>
      <c r="AI122" s="25"/>
      <c r="AJ122" s="25"/>
    </row>
    <row r="123" spans="1:36" x14ac:dyDescent="0.3">
      <c r="A123" s="63">
        <v>117</v>
      </c>
      <c r="B123" s="102" t="s">
        <v>3520</v>
      </c>
      <c r="C123" s="102" t="s">
        <v>3521</v>
      </c>
      <c r="D123" s="64" t="s">
        <v>119</v>
      </c>
      <c r="E123" s="183" t="s">
        <v>4490</v>
      </c>
      <c r="F123" s="172" t="s">
        <v>4496</v>
      </c>
      <c r="G123" s="174">
        <v>8</v>
      </c>
      <c r="H123" s="42"/>
      <c r="I123" s="181"/>
      <c r="J123" s="128"/>
      <c r="K123" s="184" t="s">
        <v>4525</v>
      </c>
      <c r="L123" s="132"/>
      <c r="M123" s="132"/>
      <c r="N123" s="132"/>
      <c r="O123" s="132"/>
      <c r="P123" s="123"/>
      <c r="Q123" s="123"/>
      <c r="R123" s="183"/>
      <c r="S123" s="135"/>
      <c r="T123" s="123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17"/>
      <c r="AH123" s="24"/>
      <c r="AI123" s="25"/>
      <c r="AJ123" s="25"/>
    </row>
    <row r="124" spans="1:36" x14ac:dyDescent="0.3">
      <c r="A124" s="63">
        <v>118</v>
      </c>
      <c r="B124" s="102" t="s">
        <v>3520</v>
      </c>
      <c r="C124" s="102" t="s">
        <v>3521</v>
      </c>
      <c r="D124" s="64" t="s">
        <v>119</v>
      </c>
      <c r="E124" s="183" t="s">
        <v>4490</v>
      </c>
      <c r="F124" s="172" t="s">
        <v>4496</v>
      </c>
      <c r="G124" s="174">
        <v>8</v>
      </c>
      <c r="H124" s="42"/>
      <c r="I124" s="181"/>
      <c r="J124" s="128"/>
      <c r="K124" s="184" t="s">
        <v>4605</v>
      </c>
      <c r="L124" s="132"/>
      <c r="M124" s="132"/>
      <c r="N124" s="132"/>
      <c r="O124" s="132"/>
      <c r="P124" s="123"/>
      <c r="Q124" s="123"/>
      <c r="R124" s="183"/>
      <c r="S124" s="135"/>
      <c r="T124" s="123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17"/>
      <c r="AH124" s="24"/>
      <c r="AI124" s="25"/>
      <c r="AJ124" s="25"/>
    </row>
    <row r="125" spans="1:36" x14ac:dyDescent="0.3">
      <c r="A125" s="63">
        <v>119</v>
      </c>
      <c r="B125" s="102" t="s">
        <v>3520</v>
      </c>
      <c r="C125" s="102" t="s">
        <v>3521</v>
      </c>
      <c r="D125" s="64" t="s">
        <v>119</v>
      </c>
      <c r="E125" s="183" t="s">
        <v>4490</v>
      </c>
      <c r="F125" s="172" t="s">
        <v>4496</v>
      </c>
      <c r="G125" s="174">
        <v>9</v>
      </c>
      <c r="H125" s="42"/>
      <c r="I125" s="181"/>
      <c r="J125" s="128"/>
      <c r="K125" s="184" t="s">
        <v>4606</v>
      </c>
      <c r="L125" s="132"/>
      <c r="M125" s="132"/>
      <c r="N125" s="132"/>
      <c r="O125" s="132"/>
      <c r="P125" s="123"/>
      <c r="Q125" s="123"/>
      <c r="R125" s="183"/>
      <c r="S125" s="139"/>
      <c r="T125" s="124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17"/>
      <c r="AH125" s="24"/>
      <c r="AI125" s="25"/>
      <c r="AJ125" s="25"/>
    </row>
    <row r="126" spans="1:36" x14ac:dyDescent="0.3">
      <c r="A126" s="63">
        <v>120</v>
      </c>
      <c r="B126" s="102" t="s">
        <v>3520</v>
      </c>
      <c r="C126" s="102" t="s">
        <v>3521</v>
      </c>
      <c r="D126" s="64" t="s">
        <v>119</v>
      </c>
      <c r="E126" s="183" t="s">
        <v>4490</v>
      </c>
      <c r="F126" s="172" t="s">
        <v>4496</v>
      </c>
      <c r="G126" s="174">
        <v>9</v>
      </c>
      <c r="H126" s="42"/>
      <c r="I126" s="181"/>
      <c r="J126" s="128"/>
      <c r="K126" s="184" t="s">
        <v>4607</v>
      </c>
      <c r="L126" s="186"/>
      <c r="M126" s="186"/>
      <c r="N126" s="186"/>
      <c r="O126" s="186"/>
      <c r="P126" s="123"/>
      <c r="Q126" s="123"/>
      <c r="R126" s="183"/>
      <c r="S126" s="139"/>
      <c r="T126" s="124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17"/>
      <c r="AH126" s="24"/>
      <c r="AI126" s="25"/>
      <c r="AJ126" s="25"/>
    </row>
    <row r="127" spans="1:36" x14ac:dyDescent="0.3">
      <c r="A127" s="63">
        <v>121</v>
      </c>
      <c r="B127" s="102" t="s">
        <v>3520</v>
      </c>
      <c r="C127" s="102" t="s">
        <v>3521</v>
      </c>
      <c r="D127" s="64" t="s">
        <v>119</v>
      </c>
      <c r="E127" s="183" t="s">
        <v>4490</v>
      </c>
      <c r="F127" s="172" t="s">
        <v>4496</v>
      </c>
      <c r="G127" s="174">
        <v>9</v>
      </c>
      <c r="H127" s="42"/>
      <c r="I127" s="181"/>
      <c r="J127" s="128"/>
      <c r="K127" s="184" t="s">
        <v>4608</v>
      </c>
      <c r="L127" s="132"/>
      <c r="M127" s="132"/>
      <c r="N127" s="132"/>
      <c r="O127" s="132"/>
      <c r="P127" s="123"/>
      <c r="Q127" s="123"/>
      <c r="R127" s="183"/>
      <c r="S127" s="139"/>
      <c r="T127" s="124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17"/>
      <c r="AH127" s="24"/>
      <c r="AI127" s="25"/>
      <c r="AJ127" s="25"/>
    </row>
    <row r="128" spans="1:36" x14ac:dyDescent="0.3">
      <c r="A128" s="63">
        <v>122</v>
      </c>
      <c r="B128" s="102" t="s">
        <v>3520</v>
      </c>
      <c r="C128" s="102" t="s">
        <v>3521</v>
      </c>
      <c r="D128" s="64" t="s">
        <v>119</v>
      </c>
      <c r="E128" s="183" t="s">
        <v>4490</v>
      </c>
      <c r="F128" s="172" t="s">
        <v>4497</v>
      </c>
      <c r="G128" s="174">
        <v>1</v>
      </c>
      <c r="H128" s="42"/>
      <c r="I128" s="181"/>
      <c r="J128" s="128"/>
      <c r="K128" s="184" t="s">
        <v>4609</v>
      </c>
      <c r="L128" s="132"/>
      <c r="M128" s="132"/>
      <c r="N128" s="132"/>
      <c r="O128" s="132"/>
      <c r="P128" s="123"/>
      <c r="Q128" s="123"/>
      <c r="R128" s="183"/>
      <c r="S128" s="135"/>
      <c r="T128" s="123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16"/>
      <c r="AH128" s="24"/>
      <c r="AI128" s="25"/>
      <c r="AJ128" s="25"/>
    </row>
    <row r="129" spans="1:36" x14ac:dyDescent="0.3">
      <c r="A129" s="63">
        <v>123</v>
      </c>
      <c r="B129" s="102" t="s">
        <v>3520</v>
      </c>
      <c r="C129" s="102" t="s">
        <v>3521</v>
      </c>
      <c r="D129" s="64" t="s">
        <v>119</v>
      </c>
      <c r="E129" s="183" t="s">
        <v>4490</v>
      </c>
      <c r="F129" s="172" t="s">
        <v>4497</v>
      </c>
      <c r="G129" s="174">
        <v>1</v>
      </c>
      <c r="H129" s="42"/>
      <c r="I129" s="181"/>
      <c r="J129" s="128"/>
      <c r="K129" s="184" t="s">
        <v>4610</v>
      </c>
      <c r="L129" s="132"/>
      <c r="M129" s="132"/>
      <c r="N129" s="132"/>
      <c r="O129" s="132"/>
      <c r="P129" s="123"/>
      <c r="Q129" s="123"/>
      <c r="R129" s="183"/>
      <c r="S129" s="139"/>
      <c r="T129" s="124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17"/>
      <c r="AH129" s="24"/>
      <c r="AI129" s="25"/>
      <c r="AJ129" s="25"/>
    </row>
    <row r="130" spans="1:36" x14ac:dyDescent="0.3">
      <c r="A130" s="63">
        <v>124</v>
      </c>
      <c r="B130" s="102" t="s">
        <v>3520</v>
      </c>
      <c r="C130" s="102" t="s">
        <v>3521</v>
      </c>
      <c r="D130" s="64" t="s">
        <v>119</v>
      </c>
      <c r="E130" s="183" t="s">
        <v>4490</v>
      </c>
      <c r="F130" s="172" t="s">
        <v>4497</v>
      </c>
      <c r="G130" s="174">
        <v>1</v>
      </c>
      <c r="H130" s="42"/>
      <c r="I130" s="181"/>
      <c r="J130" s="128"/>
      <c r="K130" s="184" t="s">
        <v>4611</v>
      </c>
      <c r="L130" s="132"/>
      <c r="M130" s="132"/>
      <c r="N130" s="132"/>
      <c r="O130" s="132"/>
      <c r="P130" s="123"/>
      <c r="Q130" s="123"/>
      <c r="R130" s="183"/>
      <c r="S130" s="139"/>
      <c r="T130" s="124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17"/>
      <c r="AH130" s="24"/>
      <c r="AI130" s="25"/>
      <c r="AJ130" s="25"/>
    </row>
    <row r="131" spans="1:36" x14ac:dyDescent="0.3">
      <c r="A131" s="63">
        <v>125</v>
      </c>
      <c r="B131" s="102" t="s">
        <v>3520</v>
      </c>
      <c r="C131" s="102" t="s">
        <v>3521</v>
      </c>
      <c r="D131" s="64" t="s">
        <v>119</v>
      </c>
      <c r="E131" s="183" t="s">
        <v>4490</v>
      </c>
      <c r="F131" s="172" t="s">
        <v>4497</v>
      </c>
      <c r="G131" s="174">
        <v>1</v>
      </c>
      <c r="H131" s="42"/>
      <c r="I131" s="181"/>
      <c r="J131" s="128"/>
      <c r="K131" s="184" t="s">
        <v>4612</v>
      </c>
      <c r="L131" s="132"/>
      <c r="M131" s="132"/>
      <c r="N131" s="132"/>
      <c r="O131" s="132"/>
      <c r="P131" s="123"/>
      <c r="Q131" s="123"/>
      <c r="R131" s="183"/>
      <c r="S131" s="139"/>
      <c r="T131" s="124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17"/>
      <c r="AH131" s="24"/>
      <c r="AI131" s="25"/>
      <c r="AJ131" s="25"/>
    </row>
    <row r="132" spans="1:36" x14ac:dyDescent="0.3">
      <c r="A132" s="63">
        <v>126</v>
      </c>
      <c r="B132" s="102" t="s">
        <v>3520</v>
      </c>
      <c r="C132" s="102" t="s">
        <v>3521</v>
      </c>
      <c r="D132" s="64" t="s">
        <v>119</v>
      </c>
      <c r="E132" s="183" t="s">
        <v>4490</v>
      </c>
      <c r="F132" s="172" t="s">
        <v>4497</v>
      </c>
      <c r="G132" s="174">
        <v>2</v>
      </c>
      <c r="H132" s="42"/>
      <c r="I132" s="181"/>
      <c r="J132" s="128"/>
      <c r="K132" s="184" t="s">
        <v>4613</v>
      </c>
      <c r="L132" s="132"/>
      <c r="M132" s="132"/>
      <c r="N132" s="132"/>
      <c r="O132" s="132"/>
      <c r="P132" s="123"/>
      <c r="Q132" s="123"/>
      <c r="R132" s="183"/>
      <c r="S132" s="139"/>
      <c r="T132" s="124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  <c r="AG132" s="17"/>
      <c r="AH132" s="24"/>
      <c r="AI132" s="25"/>
      <c r="AJ132" s="25"/>
    </row>
    <row r="133" spans="1:36" x14ac:dyDescent="0.3">
      <c r="A133" s="63">
        <v>127</v>
      </c>
      <c r="B133" s="102" t="s">
        <v>3520</v>
      </c>
      <c r="C133" s="102" t="s">
        <v>3521</v>
      </c>
      <c r="D133" s="64" t="s">
        <v>119</v>
      </c>
      <c r="E133" s="183" t="s">
        <v>4490</v>
      </c>
      <c r="F133" s="172" t="s">
        <v>4497</v>
      </c>
      <c r="G133" s="174">
        <v>2</v>
      </c>
      <c r="H133" s="42"/>
      <c r="I133" s="181"/>
      <c r="J133" s="128"/>
      <c r="K133" s="184" t="s">
        <v>4614</v>
      </c>
      <c r="L133" s="186"/>
      <c r="M133" s="186"/>
      <c r="N133" s="186"/>
      <c r="O133" s="186"/>
      <c r="P133" s="123"/>
      <c r="Q133" s="123"/>
      <c r="R133" s="183"/>
      <c r="S133" s="139"/>
      <c r="T133" s="124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17"/>
      <c r="AH133" s="24"/>
      <c r="AI133" s="25"/>
      <c r="AJ133" s="25"/>
    </row>
    <row r="134" spans="1:36" x14ac:dyDescent="0.3">
      <c r="A134" s="63">
        <v>128</v>
      </c>
      <c r="B134" s="102" t="s">
        <v>3520</v>
      </c>
      <c r="C134" s="102" t="s">
        <v>3521</v>
      </c>
      <c r="D134" s="64" t="s">
        <v>119</v>
      </c>
      <c r="E134" s="183" t="s">
        <v>4490</v>
      </c>
      <c r="F134" s="172" t="s">
        <v>4497</v>
      </c>
      <c r="G134" s="174">
        <v>3</v>
      </c>
      <c r="H134" s="42"/>
      <c r="I134" s="181"/>
      <c r="J134" s="128"/>
      <c r="K134" s="184" t="s">
        <v>4615</v>
      </c>
      <c r="L134" s="132"/>
      <c r="M134" s="132"/>
      <c r="N134" s="132"/>
      <c r="O134" s="132"/>
      <c r="P134" s="123"/>
      <c r="Q134" s="123"/>
      <c r="R134" s="183"/>
      <c r="S134" s="139"/>
      <c r="T134" s="124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17"/>
      <c r="AH134" s="24"/>
      <c r="AI134" s="25"/>
      <c r="AJ134" s="25"/>
    </row>
    <row r="135" spans="1:36" x14ac:dyDescent="0.3">
      <c r="A135" s="63">
        <v>129</v>
      </c>
      <c r="B135" s="102" t="s">
        <v>3520</v>
      </c>
      <c r="C135" s="102" t="s">
        <v>3521</v>
      </c>
      <c r="D135" s="64" t="s">
        <v>119</v>
      </c>
      <c r="E135" s="183" t="s">
        <v>4490</v>
      </c>
      <c r="F135" s="172" t="s">
        <v>4497</v>
      </c>
      <c r="G135" s="174">
        <v>3</v>
      </c>
      <c r="H135" s="42"/>
      <c r="I135" s="181"/>
      <c r="J135" s="128"/>
      <c r="K135" s="184" t="s">
        <v>4616</v>
      </c>
      <c r="L135" s="186"/>
      <c r="M135" s="186"/>
      <c r="N135" s="186"/>
      <c r="O135" s="186"/>
      <c r="P135" s="123"/>
      <c r="Q135" s="123"/>
      <c r="R135" s="183"/>
      <c r="S135" s="139"/>
      <c r="T135" s="124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17"/>
      <c r="AH135" s="24"/>
      <c r="AI135" s="25"/>
      <c r="AJ135" s="25"/>
    </row>
    <row r="136" spans="1:36" x14ac:dyDescent="0.3">
      <c r="A136" s="63">
        <v>130</v>
      </c>
      <c r="B136" s="102" t="s">
        <v>3520</v>
      </c>
      <c r="C136" s="102" t="s">
        <v>3521</v>
      </c>
      <c r="D136" s="64" t="s">
        <v>119</v>
      </c>
      <c r="E136" s="183" t="s">
        <v>4490</v>
      </c>
      <c r="F136" s="172" t="s">
        <v>4497</v>
      </c>
      <c r="G136" s="174">
        <v>3</v>
      </c>
      <c r="H136" s="42"/>
      <c r="I136" s="181"/>
      <c r="J136" s="128"/>
      <c r="K136" s="184" t="s">
        <v>4617</v>
      </c>
      <c r="L136" s="132"/>
      <c r="M136" s="132"/>
      <c r="N136" s="132"/>
      <c r="O136" s="132"/>
      <c r="P136" s="123"/>
      <c r="Q136" s="123"/>
      <c r="R136" s="183"/>
      <c r="S136" s="139"/>
      <c r="T136" s="124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17"/>
      <c r="AH136" s="24"/>
      <c r="AI136" s="25"/>
      <c r="AJ136" s="25"/>
    </row>
    <row r="137" spans="1:36" x14ac:dyDescent="0.3">
      <c r="A137" s="63">
        <v>131</v>
      </c>
      <c r="B137" s="102" t="s">
        <v>3520</v>
      </c>
      <c r="C137" s="102" t="s">
        <v>3521</v>
      </c>
      <c r="D137" s="64" t="s">
        <v>119</v>
      </c>
      <c r="E137" s="183" t="s">
        <v>4490</v>
      </c>
      <c r="F137" s="172" t="s">
        <v>4497</v>
      </c>
      <c r="G137" s="174">
        <v>3</v>
      </c>
      <c r="H137" s="42"/>
      <c r="I137" s="181"/>
      <c r="J137" s="128"/>
      <c r="K137" s="184" t="s">
        <v>4618</v>
      </c>
      <c r="L137" s="132"/>
      <c r="M137" s="132"/>
      <c r="N137" s="132"/>
      <c r="O137" s="132"/>
      <c r="P137" s="123"/>
      <c r="Q137" s="123"/>
      <c r="R137" s="183"/>
      <c r="S137" s="139"/>
      <c r="T137" s="124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17"/>
      <c r="AH137" s="24"/>
      <c r="AI137" s="25"/>
      <c r="AJ137" s="25"/>
    </row>
    <row r="138" spans="1:36" x14ac:dyDescent="0.3">
      <c r="A138" s="63">
        <v>132</v>
      </c>
      <c r="B138" s="102" t="s">
        <v>3520</v>
      </c>
      <c r="C138" s="102" t="s">
        <v>3521</v>
      </c>
      <c r="D138" s="64" t="s">
        <v>119</v>
      </c>
      <c r="E138" s="183" t="s">
        <v>4490</v>
      </c>
      <c r="F138" s="172" t="s">
        <v>4497</v>
      </c>
      <c r="G138" s="174">
        <v>3</v>
      </c>
      <c r="H138" s="42"/>
      <c r="I138" s="181"/>
      <c r="J138" s="128"/>
      <c r="K138" s="184" t="s">
        <v>4619</v>
      </c>
      <c r="L138" s="186"/>
      <c r="M138" s="186"/>
      <c r="N138" s="186"/>
      <c r="O138" s="186"/>
      <c r="P138" s="123"/>
      <c r="Q138" s="123"/>
      <c r="R138" s="183"/>
      <c r="S138" s="139"/>
      <c r="T138" s="124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17"/>
      <c r="AH138" s="24"/>
      <c r="AI138" s="25"/>
      <c r="AJ138" s="25"/>
    </row>
    <row r="139" spans="1:36" x14ac:dyDescent="0.3">
      <c r="A139" s="63">
        <v>133</v>
      </c>
      <c r="B139" s="102" t="s">
        <v>3520</v>
      </c>
      <c r="C139" s="102" t="s">
        <v>3521</v>
      </c>
      <c r="D139" s="64" t="s">
        <v>119</v>
      </c>
      <c r="E139" s="183" t="s">
        <v>4490</v>
      </c>
      <c r="F139" s="172" t="s">
        <v>4497</v>
      </c>
      <c r="G139" s="174">
        <v>3</v>
      </c>
      <c r="H139" s="42"/>
      <c r="I139" s="181"/>
      <c r="J139" s="128"/>
      <c r="K139" s="184" t="s">
        <v>4620</v>
      </c>
      <c r="L139" s="132"/>
      <c r="M139" s="132"/>
      <c r="N139" s="132"/>
      <c r="O139" s="132"/>
      <c r="P139" s="123"/>
      <c r="Q139" s="123"/>
      <c r="R139" s="183"/>
      <c r="S139" s="139"/>
      <c r="T139" s="124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17"/>
      <c r="AH139" s="24"/>
      <c r="AI139" s="25"/>
      <c r="AJ139" s="25"/>
    </row>
    <row r="140" spans="1:36" x14ac:dyDescent="0.3">
      <c r="A140" s="63">
        <v>134</v>
      </c>
      <c r="B140" s="102" t="s">
        <v>3520</v>
      </c>
      <c r="C140" s="102" t="s">
        <v>3521</v>
      </c>
      <c r="D140" s="64" t="s">
        <v>119</v>
      </c>
      <c r="E140" s="183" t="s">
        <v>4490</v>
      </c>
      <c r="F140" s="172" t="s">
        <v>4497</v>
      </c>
      <c r="G140" s="174">
        <v>4</v>
      </c>
      <c r="H140" s="42"/>
      <c r="I140" s="181"/>
      <c r="J140" s="128"/>
      <c r="K140" s="184" t="s">
        <v>106</v>
      </c>
      <c r="L140" s="132"/>
      <c r="M140" s="132"/>
      <c r="N140" s="132"/>
      <c r="O140" s="132"/>
      <c r="P140" s="123"/>
      <c r="Q140" s="123"/>
      <c r="R140" s="183"/>
      <c r="S140" s="139"/>
      <c r="T140" s="124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17"/>
      <c r="AH140" s="24"/>
      <c r="AI140" s="25"/>
      <c r="AJ140" s="25"/>
    </row>
    <row r="141" spans="1:36" x14ac:dyDescent="0.3">
      <c r="A141" s="63">
        <v>135</v>
      </c>
      <c r="B141" s="102" t="s">
        <v>3520</v>
      </c>
      <c r="C141" s="102" t="s">
        <v>3521</v>
      </c>
      <c r="D141" s="64" t="s">
        <v>119</v>
      </c>
      <c r="E141" s="183" t="s">
        <v>4490</v>
      </c>
      <c r="F141" s="172" t="s">
        <v>4497</v>
      </c>
      <c r="G141" s="174">
        <v>4</v>
      </c>
      <c r="H141" s="42"/>
      <c r="I141" s="181"/>
      <c r="J141" s="128"/>
      <c r="K141" s="184" t="s">
        <v>4621</v>
      </c>
      <c r="L141" s="132"/>
      <c r="M141" s="132"/>
      <c r="N141" s="132"/>
      <c r="O141" s="132"/>
      <c r="P141" s="123"/>
      <c r="Q141" s="123"/>
      <c r="R141" s="183"/>
      <c r="S141" s="139"/>
      <c r="T141" s="124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17"/>
      <c r="AH141" s="24"/>
      <c r="AI141" s="25"/>
      <c r="AJ141" s="25"/>
    </row>
    <row r="142" spans="1:36" x14ac:dyDescent="0.3">
      <c r="A142" s="63">
        <v>136</v>
      </c>
      <c r="B142" s="102" t="s">
        <v>3520</v>
      </c>
      <c r="C142" s="102" t="s">
        <v>3521</v>
      </c>
      <c r="D142" s="64" t="s">
        <v>119</v>
      </c>
      <c r="E142" s="183" t="s">
        <v>4490</v>
      </c>
      <c r="F142" s="172" t="s">
        <v>4497</v>
      </c>
      <c r="G142" s="174">
        <v>4</v>
      </c>
      <c r="H142" s="42"/>
      <c r="I142" s="181"/>
      <c r="J142" s="128"/>
      <c r="K142" s="184" t="s">
        <v>4622</v>
      </c>
      <c r="L142" s="186"/>
      <c r="M142" s="186"/>
      <c r="N142" s="186"/>
      <c r="O142" s="186"/>
      <c r="P142" s="123"/>
      <c r="Q142" s="123"/>
      <c r="R142" s="183"/>
      <c r="S142" s="139"/>
      <c r="T142" s="124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17"/>
      <c r="AH142" s="24"/>
      <c r="AI142" s="25"/>
      <c r="AJ142" s="25"/>
    </row>
    <row r="143" spans="1:36" x14ac:dyDescent="0.3">
      <c r="A143" s="63">
        <v>137</v>
      </c>
      <c r="B143" s="102" t="s">
        <v>3520</v>
      </c>
      <c r="C143" s="102" t="s">
        <v>3521</v>
      </c>
      <c r="D143" s="64" t="s">
        <v>119</v>
      </c>
      <c r="E143" s="183" t="s">
        <v>4490</v>
      </c>
      <c r="F143" s="172" t="s">
        <v>4497</v>
      </c>
      <c r="G143" s="174">
        <v>5</v>
      </c>
      <c r="H143" s="42"/>
      <c r="I143" s="181"/>
      <c r="J143" s="128"/>
      <c r="K143" s="184" t="s">
        <v>4623</v>
      </c>
      <c r="L143" s="186"/>
      <c r="M143" s="186"/>
      <c r="N143" s="186"/>
      <c r="O143" s="186"/>
      <c r="P143" s="123"/>
      <c r="Q143" s="123"/>
      <c r="R143" s="183"/>
      <c r="S143" s="139"/>
      <c r="T143" s="124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17"/>
      <c r="AH143" s="24"/>
      <c r="AI143" s="25"/>
      <c r="AJ143" s="25"/>
    </row>
    <row r="144" spans="1:36" x14ac:dyDescent="0.3">
      <c r="A144" s="63">
        <v>138</v>
      </c>
      <c r="B144" s="102" t="s">
        <v>3520</v>
      </c>
      <c r="C144" s="102" t="s">
        <v>3521</v>
      </c>
      <c r="D144" s="64" t="s">
        <v>119</v>
      </c>
      <c r="E144" s="183" t="s">
        <v>4490</v>
      </c>
      <c r="F144" s="172" t="s">
        <v>4497</v>
      </c>
      <c r="G144" s="174">
        <v>5</v>
      </c>
      <c r="H144" s="42"/>
      <c r="I144" s="181"/>
      <c r="J144" s="128"/>
      <c r="K144" s="184" t="s">
        <v>4624</v>
      </c>
      <c r="L144" s="186"/>
      <c r="M144" s="186"/>
      <c r="N144" s="186"/>
      <c r="O144" s="186"/>
      <c r="P144" s="123"/>
      <c r="Q144" s="123"/>
      <c r="R144" s="183"/>
      <c r="S144" s="139"/>
      <c r="T144" s="124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17"/>
      <c r="AH144" s="24"/>
      <c r="AI144" s="25"/>
      <c r="AJ144" s="25"/>
    </row>
    <row r="145" spans="1:36" x14ac:dyDescent="0.3">
      <c r="A145" s="63">
        <v>139</v>
      </c>
      <c r="B145" s="102" t="s">
        <v>3520</v>
      </c>
      <c r="C145" s="102" t="s">
        <v>3521</v>
      </c>
      <c r="D145" s="64" t="s">
        <v>119</v>
      </c>
      <c r="E145" s="183" t="s">
        <v>4490</v>
      </c>
      <c r="F145" s="172" t="s">
        <v>4497</v>
      </c>
      <c r="G145" s="174">
        <v>5</v>
      </c>
      <c r="H145" s="42"/>
      <c r="I145" s="181"/>
      <c r="J145" s="128"/>
      <c r="K145" s="184" t="s">
        <v>4625</v>
      </c>
      <c r="L145" s="186"/>
      <c r="M145" s="186"/>
      <c r="N145" s="186"/>
      <c r="O145" s="186"/>
      <c r="P145" s="123"/>
      <c r="Q145" s="123"/>
      <c r="R145" s="183"/>
      <c r="S145" s="139"/>
      <c r="T145" s="124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17"/>
      <c r="AH145" s="24"/>
      <c r="AI145" s="25"/>
      <c r="AJ145" s="25"/>
    </row>
    <row r="146" spans="1:36" x14ac:dyDescent="0.3">
      <c r="A146" s="63">
        <v>140</v>
      </c>
      <c r="B146" s="102" t="s">
        <v>3520</v>
      </c>
      <c r="C146" s="102" t="s">
        <v>3521</v>
      </c>
      <c r="D146" s="64" t="s">
        <v>119</v>
      </c>
      <c r="E146" s="183" t="s">
        <v>4490</v>
      </c>
      <c r="F146" s="172" t="s">
        <v>4497</v>
      </c>
      <c r="G146" s="174">
        <v>6</v>
      </c>
      <c r="H146" s="42"/>
      <c r="I146" s="181"/>
      <c r="J146" s="128"/>
      <c r="K146" s="184" t="s">
        <v>4626</v>
      </c>
      <c r="L146" s="186"/>
      <c r="M146" s="186"/>
      <c r="N146" s="186"/>
      <c r="O146" s="186"/>
      <c r="P146" s="123"/>
      <c r="Q146" s="123"/>
      <c r="R146" s="183"/>
      <c r="S146" s="139"/>
      <c r="T146" s="124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17"/>
      <c r="AH146" s="24"/>
      <c r="AI146" s="25"/>
      <c r="AJ146" s="25"/>
    </row>
    <row r="147" spans="1:36" x14ac:dyDescent="0.3">
      <c r="A147" s="63">
        <v>141</v>
      </c>
      <c r="B147" s="102" t="s">
        <v>3520</v>
      </c>
      <c r="C147" s="102" t="s">
        <v>3521</v>
      </c>
      <c r="D147" s="64" t="s">
        <v>119</v>
      </c>
      <c r="E147" s="183" t="s">
        <v>4490</v>
      </c>
      <c r="F147" s="172" t="s">
        <v>4497</v>
      </c>
      <c r="G147" s="174">
        <v>6</v>
      </c>
      <c r="H147" s="42"/>
      <c r="I147" s="181"/>
      <c r="J147" s="128"/>
      <c r="K147" s="184" t="s">
        <v>4627</v>
      </c>
      <c r="L147" s="186"/>
      <c r="M147" s="186"/>
      <c r="N147" s="186"/>
      <c r="O147" s="186"/>
      <c r="P147" s="123"/>
      <c r="Q147" s="123"/>
      <c r="R147" s="183"/>
      <c r="S147" s="139"/>
      <c r="T147" s="124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17"/>
      <c r="AH147" s="24"/>
      <c r="AI147" s="25"/>
      <c r="AJ147" s="25"/>
    </row>
    <row r="148" spans="1:36" x14ac:dyDescent="0.3">
      <c r="A148" s="63">
        <v>142</v>
      </c>
      <c r="B148" s="102" t="s">
        <v>3520</v>
      </c>
      <c r="C148" s="102" t="s">
        <v>3521</v>
      </c>
      <c r="D148" s="64" t="s">
        <v>119</v>
      </c>
      <c r="E148" s="183" t="s">
        <v>4490</v>
      </c>
      <c r="F148" s="172" t="s">
        <v>4497</v>
      </c>
      <c r="G148" s="174">
        <v>6</v>
      </c>
      <c r="H148" s="42"/>
      <c r="I148" s="181"/>
      <c r="J148" s="128"/>
      <c r="K148" s="184" t="s">
        <v>4628</v>
      </c>
      <c r="L148" s="186"/>
      <c r="M148" s="186"/>
      <c r="N148" s="186"/>
      <c r="O148" s="186"/>
      <c r="P148" s="123"/>
      <c r="Q148" s="123"/>
      <c r="R148" s="183"/>
      <c r="S148" s="139"/>
      <c r="T148" s="124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17"/>
      <c r="AH148" s="24"/>
      <c r="AI148" s="25"/>
      <c r="AJ148" s="25"/>
    </row>
    <row r="149" spans="1:36" x14ac:dyDescent="0.3">
      <c r="A149" s="63">
        <v>143</v>
      </c>
      <c r="B149" s="102" t="s">
        <v>3520</v>
      </c>
      <c r="C149" s="102" t="s">
        <v>3521</v>
      </c>
      <c r="D149" s="64" t="s">
        <v>119</v>
      </c>
      <c r="E149" s="183" t="s">
        <v>4490</v>
      </c>
      <c r="F149" s="172" t="s">
        <v>4497</v>
      </c>
      <c r="G149" s="174">
        <v>6</v>
      </c>
      <c r="H149" s="42"/>
      <c r="I149" s="181"/>
      <c r="J149" s="128"/>
      <c r="K149" s="184" t="s">
        <v>4629</v>
      </c>
      <c r="L149" s="186"/>
      <c r="M149" s="186"/>
      <c r="N149" s="186"/>
      <c r="O149" s="186"/>
      <c r="P149" s="123"/>
      <c r="Q149" s="123"/>
      <c r="R149" s="183"/>
      <c r="S149" s="139"/>
      <c r="T149" s="124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17"/>
      <c r="AH149" s="24"/>
      <c r="AI149" s="25"/>
      <c r="AJ149" s="25"/>
    </row>
    <row r="150" spans="1:36" x14ac:dyDescent="0.3">
      <c r="A150" s="63">
        <v>144</v>
      </c>
      <c r="B150" s="102" t="s">
        <v>3520</v>
      </c>
      <c r="C150" s="102" t="s">
        <v>3521</v>
      </c>
      <c r="D150" s="64" t="s">
        <v>119</v>
      </c>
      <c r="E150" s="183" t="s">
        <v>4490</v>
      </c>
      <c r="F150" s="172" t="s">
        <v>4497</v>
      </c>
      <c r="G150" s="174">
        <v>6</v>
      </c>
      <c r="H150" s="42"/>
      <c r="I150" s="181"/>
      <c r="J150" s="128"/>
      <c r="K150" s="184" t="s">
        <v>4630</v>
      </c>
      <c r="L150" s="186"/>
      <c r="M150" s="186"/>
      <c r="N150" s="186"/>
      <c r="O150" s="186"/>
      <c r="P150" s="123"/>
      <c r="Q150" s="123"/>
      <c r="R150" s="183"/>
      <c r="S150" s="139"/>
      <c r="T150" s="124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17"/>
      <c r="AH150" s="24"/>
      <c r="AI150" s="25"/>
      <c r="AJ150" s="25"/>
    </row>
    <row r="151" spans="1:36" x14ac:dyDescent="0.3">
      <c r="A151" s="63">
        <v>145</v>
      </c>
      <c r="B151" s="102" t="s">
        <v>3520</v>
      </c>
      <c r="C151" s="102" t="s">
        <v>3521</v>
      </c>
      <c r="D151" s="64" t="s">
        <v>119</v>
      </c>
      <c r="E151" s="183" t="s">
        <v>4490</v>
      </c>
      <c r="F151" s="172" t="s">
        <v>4497</v>
      </c>
      <c r="G151" s="174">
        <v>6</v>
      </c>
      <c r="H151" s="42"/>
      <c r="I151" s="181"/>
      <c r="J151" s="128"/>
      <c r="K151" s="184" t="s">
        <v>4631</v>
      </c>
      <c r="L151" s="186"/>
      <c r="M151" s="186"/>
      <c r="N151" s="186"/>
      <c r="O151" s="186"/>
      <c r="P151" s="123"/>
      <c r="Q151" s="123"/>
      <c r="R151" s="183"/>
      <c r="S151" s="139"/>
      <c r="T151" s="124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17"/>
      <c r="AH151" s="24"/>
      <c r="AI151" s="25"/>
      <c r="AJ151" s="25"/>
    </row>
    <row r="152" spans="1:36" x14ac:dyDescent="0.3">
      <c r="A152" s="63">
        <v>146</v>
      </c>
      <c r="B152" s="102" t="s">
        <v>3520</v>
      </c>
      <c r="C152" s="102" t="s">
        <v>3521</v>
      </c>
      <c r="D152" s="64" t="s">
        <v>119</v>
      </c>
      <c r="E152" s="183" t="s">
        <v>4490</v>
      </c>
      <c r="F152" s="172" t="s">
        <v>4497</v>
      </c>
      <c r="G152" s="174">
        <v>7</v>
      </c>
      <c r="H152" s="42"/>
      <c r="I152" s="181"/>
      <c r="J152" s="128"/>
      <c r="K152" s="184" t="s">
        <v>4632</v>
      </c>
      <c r="L152" s="186"/>
      <c r="M152" s="186"/>
      <c r="N152" s="186"/>
      <c r="O152" s="186"/>
      <c r="P152" s="123"/>
      <c r="Q152" s="123"/>
      <c r="R152" s="183"/>
      <c r="S152" s="139"/>
      <c r="T152" s="124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17"/>
      <c r="AH152" s="24"/>
      <c r="AI152" s="25"/>
      <c r="AJ152" s="25"/>
    </row>
    <row r="153" spans="1:36" x14ac:dyDescent="0.3">
      <c r="A153" s="63">
        <v>147</v>
      </c>
      <c r="B153" s="102" t="s">
        <v>3520</v>
      </c>
      <c r="C153" s="102" t="s">
        <v>3521</v>
      </c>
      <c r="D153" s="64" t="s">
        <v>119</v>
      </c>
      <c r="E153" s="183" t="s">
        <v>4490</v>
      </c>
      <c r="F153" s="172" t="s">
        <v>4497</v>
      </c>
      <c r="G153" s="174">
        <v>7</v>
      </c>
      <c r="H153" s="42"/>
      <c r="I153" s="181"/>
      <c r="J153" s="128"/>
      <c r="K153" s="184" t="s">
        <v>136</v>
      </c>
      <c r="L153" s="186"/>
      <c r="M153" s="186"/>
      <c r="N153" s="186"/>
      <c r="O153" s="186"/>
      <c r="P153" s="123"/>
      <c r="Q153" s="123"/>
      <c r="R153" s="183"/>
      <c r="S153" s="139"/>
      <c r="T153" s="124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17"/>
      <c r="AH153" s="24"/>
      <c r="AI153" s="25"/>
      <c r="AJ153" s="25"/>
    </row>
    <row r="154" spans="1:36" x14ac:dyDescent="0.3">
      <c r="A154" s="63">
        <v>148</v>
      </c>
      <c r="B154" s="102" t="s">
        <v>3520</v>
      </c>
      <c r="C154" s="102" t="s">
        <v>3521</v>
      </c>
      <c r="D154" s="64" t="s">
        <v>119</v>
      </c>
      <c r="E154" s="183" t="s">
        <v>4490</v>
      </c>
      <c r="F154" s="172" t="s">
        <v>4497</v>
      </c>
      <c r="G154" s="174">
        <v>7</v>
      </c>
      <c r="H154" s="42"/>
      <c r="I154" s="181"/>
      <c r="J154" s="128"/>
      <c r="K154" s="184" t="s">
        <v>4633</v>
      </c>
      <c r="L154" s="186"/>
      <c r="M154" s="186"/>
      <c r="N154" s="186"/>
      <c r="O154" s="186"/>
      <c r="P154" s="123"/>
      <c r="Q154" s="123"/>
      <c r="R154" s="183"/>
      <c r="S154" s="139"/>
      <c r="T154" s="124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17"/>
      <c r="AH154" s="24"/>
      <c r="AI154" s="25"/>
      <c r="AJ154" s="25"/>
    </row>
    <row r="155" spans="1:36" x14ac:dyDescent="0.3">
      <c r="A155" s="63">
        <v>149</v>
      </c>
      <c r="B155" s="102" t="s">
        <v>3520</v>
      </c>
      <c r="C155" s="102" t="s">
        <v>3521</v>
      </c>
      <c r="D155" s="64" t="s">
        <v>119</v>
      </c>
      <c r="E155" s="183" t="s">
        <v>4490</v>
      </c>
      <c r="F155" s="172" t="s">
        <v>4497</v>
      </c>
      <c r="G155" s="174">
        <v>7</v>
      </c>
      <c r="H155" s="42"/>
      <c r="I155" s="181"/>
      <c r="J155" s="128"/>
      <c r="K155" s="184" t="s">
        <v>4613</v>
      </c>
      <c r="L155" s="186"/>
      <c r="M155" s="186"/>
      <c r="N155" s="186"/>
      <c r="O155" s="186"/>
      <c r="P155" s="123"/>
      <c r="Q155" s="123"/>
      <c r="R155" s="183"/>
      <c r="S155" s="139"/>
      <c r="T155" s="124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17"/>
      <c r="AH155" s="24"/>
      <c r="AI155" s="25"/>
      <c r="AJ155" s="25"/>
    </row>
    <row r="156" spans="1:36" x14ac:dyDescent="0.3">
      <c r="A156" s="63">
        <v>150</v>
      </c>
      <c r="B156" s="102" t="s">
        <v>3520</v>
      </c>
      <c r="C156" s="102" t="s">
        <v>3521</v>
      </c>
      <c r="D156" s="64" t="s">
        <v>119</v>
      </c>
      <c r="E156" s="183" t="s">
        <v>4490</v>
      </c>
      <c r="F156" s="172" t="s">
        <v>4497</v>
      </c>
      <c r="G156" s="174">
        <v>7</v>
      </c>
      <c r="H156" s="42"/>
      <c r="I156" s="181"/>
      <c r="J156" s="128"/>
      <c r="K156" s="184" t="s">
        <v>4634</v>
      </c>
      <c r="L156" s="186"/>
      <c r="M156" s="186"/>
      <c r="N156" s="186"/>
      <c r="O156" s="186"/>
      <c r="P156" s="123"/>
      <c r="Q156" s="123"/>
      <c r="R156" s="183"/>
      <c r="S156" s="139"/>
      <c r="T156" s="124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17"/>
      <c r="AH156" s="24"/>
      <c r="AI156" s="25"/>
      <c r="AJ156" s="25"/>
    </row>
    <row r="157" spans="1:36" x14ac:dyDescent="0.3">
      <c r="A157" s="63">
        <v>151</v>
      </c>
      <c r="B157" s="102" t="s">
        <v>3520</v>
      </c>
      <c r="C157" s="102" t="s">
        <v>3521</v>
      </c>
      <c r="D157" s="64" t="s">
        <v>119</v>
      </c>
      <c r="E157" s="183" t="s">
        <v>4490</v>
      </c>
      <c r="F157" s="172" t="s">
        <v>4497</v>
      </c>
      <c r="G157" s="174">
        <v>8</v>
      </c>
      <c r="H157" s="42"/>
      <c r="I157" s="181"/>
      <c r="J157" s="128"/>
      <c r="K157" s="184" t="s">
        <v>4635</v>
      </c>
      <c r="L157" s="186"/>
      <c r="M157" s="186"/>
      <c r="N157" s="186"/>
      <c r="O157" s="186"/>
      <c r="P157" s="123"/>
      <c r="Q157" s="123"/>
      <c r="R157" s="183"/>
      <c r="S157" s="139"/>
      <c r="T157" s="124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17"/>
      <c r="AH157" s="24"/>
      <c r="AI157" s="25"/>
      <c r="AJ157" s="25"/>
    </row>
    <row r="158" spans="1:36" x14ac:dyDescent="0.3">
      <c r="A158" s="63">
        <v>152</v>
      </c>
      <c r="B158" s="102" t="s">
        <v>3520</v>
      </c>
      <c r="C158" s="102" t="s">
        <v>3521</v>
      </c>
      <c r="D158" s="64" t="s">
        <v>119</v>
      </c>
      <c r="E158" s="183" t="s">
        <v>4490</v>
      </c>
      <c r="F158" s="172" t="s">
        <v>4497</v>
      </c>
      <c r="G158" s="174">
        <v>8</v>
      </c>
      <c r="H158" s="42"/>
      <c r="I158" s="181"/>
      <c r="J158" s="128"/>
      <c r="K158" s="184" t="s">
        <v>4636</v>
      </c>
      <c r="L158" s="186"/>
      <c r="M158" s="186"/>
      <c r="N158" s="186"/>
      <c r="O158" s="186"/>
      <c r="P158" s="123"/>
      <c r="Q158" s="123"/>
      <c r="R158" s="183"/>
      <c r="S158" s="139"/>
      <c r="T158" s="124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17"/>
      <c r="AH158" s="24"/>
      <c r="AI158" s="25"/>
      <c r="AJ158" s="25"/>
    </row>
    <row r="159" spans="1:36" x14ac:dyDescent="0.3">
      <c r="A159" s="63">
        <v>153</v>
      </c>
      <c r="B159" s="102" t="s">
        <v>3520</v>
      </c>
      <c r="C159" s="102" t="s">
        <v>3521</v>
      </c>
      <c r="D159" s="64" t="s">
        <v>119</v>
      </c>
      <c r="E159" s="183" t="s">
        <v>4490</v>
      </c>
      <c r="F159" s="172" t="s">
        <v>4497</v>
      </c>
      <c r="G159" s="174">
        <v>8</v>
      </c>
      <c r="H159" s="42"/>
      <c r="I159" s="181"/>
      <c r="J159" s="128"/>
      <c r="K159" s="184" t="s">
        <v>4637</v>
      </c>
      <c r="L159" s="186"/>
      <c r="M159" s="186"/>
      <c r="N159" s="186"/>
      <c r="O159" s="186"/>
      <c r="P159" s="123"/>
      <c r="Q159" s="123"/>
      <c r="R159" s="183"/>
      <c r="S159" s="139"/>
      <c r="T159" s="124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17"/>
      <c r="AH159" s="24"/>
      <c r="AI159" s="25"/>
      <c r="AJ159" s="25"/>
    </row>
    <row r="160" spans="1:36" x14ac:dyDescent="0.3">
      <c r="A160" s="63">
        <v>154</v>
      </c>
      <c r="B160" s="102" t="s">
        <v>3520</v>
      </c>
      <c r="C160" s="102" t="s">
        <v>3521</v>
      </c>
      <c r="D160" s="64" t="s">
        <v>119</v>
      </c>
      <c r="E160" s="183" t="s">
        <v>4490</v>
      </c>
      <c r="F160" s="172" t="s">
        <v>4497</v>
      </c>
      <c r="G160" s="174">
        <v>8</v>
      </c>
      <c r="H160" s="42"/>
      <c r="I160" s="181"/>
      <c r="J160" s="128"/>
      <c r="K160" s="184" t="s">
        <v>4638</v>
      </c>
      <c r="L160" s="186"/>
      <c r="M160" s="186"/>
      <c r="N160" s="186"/>
      <c r="O160" s="186"/>
      <c r="P160" s="123"/>
      <c r="Q160" s="123"/>
      <c r="R160" s="183"/>
      <c r="S160" s="139"/>
      <c r="T160" s="124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17"/>
      <c r="AH160" s="24"/>
      <c r="AI160" s="25"/>
      <c r="AJ160" s="25"/>
    </row>
    <row r="161" spans="1:36" x14ac:dyDescent="0.3">
      <c r="A161" s="63">
        <v>155</v>
      </c>
      <c r="B161" s="102" t="s">
        <v>3520</v>
      </c>
      <c r="C161" s="102" t="s">
        <v>3521</v>
      </c>
      <c r="D161" s="64" t="s">
        <v>119</v>
      </c>
      <c r="E161" s="183" t="s">
        <v>4490</v>
      </c>
      <c r="F161" s="172" t="s">
        <v>4497</v>
      </c>
      <c r="G161" s="174">
        <v>9</v>
      </c>
      <c r="H161" s="42"/>
      <c r="I161" s="181"/>
      <c r="J161" s="128"/>
      <c r="K161" s="184" t="s">
        <v>4639</v>
      </c>
      <c r="L161" s="186"/>
      <c r="M161" s="186"/>
      <c r="N161" s="186"/>
      <c r="O161" s="186"/>
      <c r="P161" s="123"/>
      <c r="Q161" s="123"/>
      <c r="R161" s="183"/>
      <c r="S161" s="139"/>
      <c r="T161" s="124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17"/>
      <c r="AH161" s="24"/>
      <c r="AI161" s="25"/>
      <c r="AJ161" s="25"/>
    </row>
    <row r="162" spans="1:36" x14ac:dyDescent="0.3">
      <c r="A162" s="63">
        <v>156</v>
      </c>
      <c r="B162" s="102" t="s">
        <v>3520</v>
      </c>
      <c r="C162" s="102" t="s">
        <v>3521</v>
      </c>
      <c r="D162" s="64" t="s">
        <v>119</v>
      </c>
      <c r="E162" s="183" t="s">
        <v>4490</v>
      </c>
      <c r="F162" s="172" t="s">
        <v>4497</v>
      </c>
      <c r="G162" s="174">
        <v>9</v>
      </c>
      <c r="H162" s="42"/>
      <c r="I162" s="181"/>
      <c r="J162" s="128"/>
      <c r="K162" s="184" t="s">
        <v>4640</v>
      </c>
      <c r="L162" s="186"/>
      <c r="M162" s="186"/>
      <c r="N162" s="186"/>
      <c r="O162" s="186"/>
      <c r="P162" s="123"/>
      <c r="Q162" s="123"/>
      <c r="R162" s="183"/>
      <c r="S162" s="139"/>
      <c r="T162" s="124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17"/>
      <c r="AH162" s="24"/>
      <c r="AI162" s="25"/>
      <c r="AJ162" s="25"/>
    </row>
    <row r="163" spans="1:36" x14ac:dyDescent="0.3">
      <c r="A163" s="63">
        <v>157</v>
      </c>
      <c r="B163" s="102" t="s">
        <v>3520</v>
      </c>
      <c r="C163" s="102" t="s">
        <v>3521</v>
      </c>
      <c r="D163" s="64" t="s">
        <v>119</v>
      </c>
      <c r="E163" s="183" t="s">
        <v>4490</v>
      </c>
      <c r="F163" s="172" t="s">
        <v>4498</v>
      </c>
      <c r="G163" s="174">
        <v>1</v>
      </c>
      <c r="H163" s="42"/>
      <c r="I163" s="181"/>
      <c r="J163" s="128"/>
      <c r="K163" s="184" t="s">
        <v>4558</v>
      </c>
      <c r="L163" s="132"/>
      <c r="M163" s="132"/>
      <c r="N163" s="132"/>
      <c r="O163" s="132"/>
      <c r="P163" s="123"/>
      <c r="Q163" s="123"/>
      <c r="R163" s="183"/>
      <c r="S163" s="139"/>
      <c r="T163" s="124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17"/>
      <c r="AH163" s="24"/>
      <c r="AI163" s="25"/>
      <c r="AJ163" s="25"/>
    </row>
    <row r="164" spans="1:36" x14ac:dyDescent="0.3">
      <c r="A164" s="63">
        <v>158</v>
      </c>
      <c r="B164" s="102" t="s">
        <v>3520</v>
      </c>
      <c r="C164" s="102" t="s">
        <v>3521</v>
      </c>
      <c r="D164" s="64" t="s">
        <v>119</v>
      </c>
      <c r="E164" s="183" t="s">
        <v>4490</v>
      </c>
      <c r="F164" s="172" t="s">
        <v>4498</v>
      </c>
      <c r="G164" s="174">
        <v>2</v>
      </c>
      <c r="H164" s="42"/>
      <c r="I164" s="181"/>
      <c r="J164" s="128"/>
      <c r="K164" s="184" t="s">
        <v>4641</v>
      </c>
      <c r="L164" s="132"/>
      <c r="M164" s="132"/>
      <c r="N164" s="132"/>
      <c r="O164" s="132"/>
      <c r="P164" s="123"/>
      <c r="Q164" s="123"/>
      <c r="R164" s="183"/>
      <c r="S164" s="139"/>
      <c r="T164" s="124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17"/>
      <c r="AH164" s="24"/>
      <c r="AI164" s="25"/>
      <c r="AJ164" s="25"/>
    </row>
    <row r="165" spans="1:36" x14ac:dyDescent="0.3">
      <c r="A165" s="63">
        <v>159</v>
      </c>
      <c r="B165" s="102" t="s">
        <v>3520</v>
      </c>
      <c r="C165" s="102" t="s">
        <v>3521</v>
      </c>
      <c r="D165" s="64" t="s">
        <v>119</v>
      </c>
      <c r="E165" s="183" t="s">
        <v>4490</v>
      </c>
      <c r="F165" s="172" t="s">
        <v>4498</v>
      </c>
      <c r="G165" s="174">
        <v>2</v>
      </c>
      <c r="H165" s="42"/>
      <c r="I165" s="181"/>
      <c r="J165" s="128"/>
      <c r="K165" s="184" t="s">
        <v>4642</v>
      </c>
      <c r="L165" s="186"/>
      <c r="M165" s="186"/>
      <c r="N165" s="186"/>
      <c r="O165" s="186"/>
      <c r="P165" s="123"/>
      <c r="Q165" s="123"/>
      <c r="R165" s="183"/>
      <c r="S165" s="139"/>
      <c r="T165" s="124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17"/>
      <c r="AH165" s="24"/>
      <c r="AI165" s="25"/>
      <c r="AJ165" s="25"/>
    </row>
    <row r="166" spans="1:36" x14ac:dyDescent="0.3">
      <c r="A166" s="63">
        <v>160</v>
      </c>
      <c r="B166" s="102" t="s">
        <v>3520</v>
      </c>
      <c r="C166" s="102" t="s">
        <v>3521</v>
      </c>
      <c r="D166" s="64" t="s">
        <v>119</v>
      </c>
      <c r="E166" s="183" t="s">
        <v>4490</v>
      </c>
      <c r="F166" s="172" t="s">
        <v>4498</v>
      </c>
      <c r="G166" s="174">
        <v>3</v>
      </c>
      <c r="H166" s="42"/>
      <c r="I166" s="181"/>
      <c r="J166" s="128"/>
      <c r="K166" s="184" t="s">
        <v>4408</v>
      </c>
      <c r="L166" s="186"/>
      <c r="M166" s="186"/>
      <c r="N166" s="186"/>
      <c r="O166" s="186"/>
      <c r="P166" s="123"/>
      <c r="Q166" s="123"/>
      <c r="R166" s="183"/>
      <c r="S166" s="139"/>
      <c r="T166" s="124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17"/>
      <c r="AH166" s="24"/>
      <c r="AI166" s="25"/>
      <c r="AJ166" s="25"/>
    </row>
    <row r="167" spans="1:36" x14ac:dyDescent="0.3">
      <c r="A167" s="63">
        <v>161</v>
      </c>
      <c r="B167" s="102" t="s">
        <v>3520</v>
      </c>
      <c r="C167" s="102" t="s">
        <v>3521</v>
      </c>
      <c r="D167" s="64" t="s">
        <v>119</v>
      </c>
      <c r="E167" s="183" t="s">
        <v>4490</v>
      </c>
      <c r="F167" s="172" t="s">
        <v>4498</v>
      </c>
      <c r="G167" s="174">
        <v>4</v>
      </c>
      <c r="H167" s="42"/>
      <c r="I167" s="181"/>
      <c r="J167" s="128"/>
      <c r="K167" s="184" t="s">
        <v>4643</v>
      </c>
      <c r="L167" s="186"/>
      <c r="M167" s="186"/>
      <c r="N167" s="186"/>
      <c r="O167" s="186"/>
      <c r="P167" s="123"/>
      <c r="Q167" s="123"/>
      <c r="R167" s="183"/>
      <c r="S167" s="139"/>
      <c r="T167" s="124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17"/>
      <c r="AH167" s="24"/>
      <c r="AI167" s="25"/>
      <c r="AJ167" s="25"/>
    </row>
    <row r="168" spans="1:36" x14ac:dyDescent="0.3">
      <c r="A168" s="63">
        <v>162</v>
      </c>
      <c r="B168" s="102" t="s">
        <v>3520</v>
      </c>
      <c r="C168" s="102" t="s">
        <v>3521</v>
      </c>
      <c r="D168" s="64" t="s">
        <v>119</v>
      </c>
      <c r="E168" s="183" t="s">
        <v>4490</v>
      </c>
      <c r="F168" s="172" t="s">
        <v>4498</v>
      </c>
      <c r="G168" s="174">
        <v>4</v>
      </c>
      <c r="H168" s="42"/>
      <c r="I168" s="181"/>
      <c r="J168" s="128"/>
      <c r="K168" s="184" t="s">
        <v>4644</v>
      </c>
      <c r="L168" s="186"/>
      <c r="M168" s="186"/>
      <c r="N168" s="186"/>
      <c r="O168" s="186"/>
      <c r="P168" s="123"/>
      <c r="Q168" s="123"/>
      <c r="R168" s="183"/>
      <c r="S168" s="139"/>
      <c r="T168" s="124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17"/>
      <c r="AH168" s="24"/>
      <c r="AI168" s="25"/>
      <c r="AJ168" s="25"/>
    </row>
    <row r="169" spans="1:36" x14ac:dyDescent="0.3">
      <c r="A169" s="63">
        <v>163</v>
      </c>
      <c r="B169" s="102" t="s">
        <v>3520</v>
      </c>
      <c r="C169" s="102" t="s">
        <v>3521</v>
      </c>
      <c r="D169" s="64" t="s">
        <v>119</v>
      </c>
      <c r="E169" s="183" t="s">
        <v>4490</v>
      </c>
      <c r="F169" s="172" t="s">
        <v>4498</v>
      </c>
      <c r="G169" s="174">
        <v>5</v>
      </c>
      <c r="H169" s="42"/>
      <c r="I169" s="181"/>
      <c r="J169" s="128"/>
      <c r="K169" s="184" t="s">
        <v>2148</v>
      </c>
      <c r="L169" s="186"/>
      <c r="M169" s="186"/>
      <c r="N169" s="186"/>
      <c r="O169" s="186"/>
      <c r="P169" s="123"/>
      <c r="Q169" s="123"/>
      <c r="R169" s="183"/>
      <c r="S169" s="139"/>
      <c r="T169" s="124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17"/>
      <c r="AH169" s="24"/>
      <c r="AI169" s="25"/>
      <c r="AJ169" s="25"/>
    </row>
    <row r="170" spans="1:36" x14ac:dyDescent="0.3">
      <c r="A170" s="63">
        <v>164</v>
      </c>
      <c r="B170" s="102" t="s">
        <v>3520</v>
      </c>
      <c r="C170" s="102" t="s">
        <v>3521</v>
      </c>
      <c r="D170" s="64" t="s">
        <v>119</v>
      </c>
      <c r="E170" s="183" t="s">
        <v>4490</v>
      </c>
      <c r="F170" s="172" t="s">
        <v>4498</v>
      </c>
      <c r="G170" s="174">
        <v>6</v>
      </c>
      <c r="H170" s="42"/>
      <c r="I170" s="181"/>
      <c r="J170" s="128"/>
      <c r="K170" s="184" t="s">
        <v>4645</v>
      </c>
      <c r="L170" s="186"/>
      <c r="M170" s="186"/>
      <c r="N170" s="186"/>
      <c r="O170" s="186"/>
      <c r="P170" s="123"/>
      <c r="Q170" s="123"/>
      <c r="R170" s="183"/>
      <c r="S170" s="139"/>
      <c r="T170" s="124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17"/>
      <c r="AH170" s="24"/>
      <c r="AI170" s="25"/>
      <c r="AJ170" s="25"/>
    </row>
    <row r="171" spans="1:36" x14ac:dyDescent="0.3">
      <c r="A171" s="63">
        <v>165</v>
      </c>
      <c r="B171" s="102" t="s">
        <v>3520</v>
      </c>
      <c r="C171" s="102" t="s">
        <v>3521</v>
      </c>
      <c r="D171" s="64" t="s">
        <v>119</v>
      </c>
      <c r="E171" s="183" t="s">
        <v>4490</v>
      </c>
      <c r="F171" s="172" t="s">
        <v>4498</v>
      </c>
      <c r="G171" s="174">
        <v>7</v>
      </c>
      <c r="H171" s="42"/>
      <c r="I171" s="181"/>
      <c r="J171" s="128"/>
      <c r="K171" s="184" t="s">
        <v>4646</v>
      </c>
      <c r="L171" s="186"/>
      <c r="M171" s="186"/>
      <c r="N171" s="186"/>
      <c r="O171" s="186"/>
      <c r="P171" s="123"/>
      <c r="Q171" s="123"/>
      <c r="R171" s="183"/>
      <c r="S171" s="139"/>
      <c r="T171" s="124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17"/>
      <c r="AH171" s="24"/>
      <c r="AI171" s="25"/>
      <c r="AJ171" s="25"/>
    </row>
    <row r="172" spans="1:36" x14ac:dyDescent="0.3">
      <c r="A172" s="63">
        <v>166</v>
      </c>
      <c r="B172" s="102" t="s">
        <v>3520</v>
      </c>
      <c r="C172" s="102" t="s">
        <v>3521</v>
      </c>
      <c r="D172" s="64" t="s">
        <v>119</v>
      </c>
      <c r="E172" s="183" t="s">
        <v>4490</v>
      </c>
      <c r="F172" s="172" t="s">
        <v>4498</v>
      </c>
      <c r="G172" s="174">
        <v>8</v>
      </c>
      <c r="H172" s="42"/>
      <c r="I172" s="181"/>
      <c r="J172" s="128"/>
      <c r="K172" s="184" t="s">
        <v>4647</v>
      </c>
      <c r="L172" s="132"/>
      <c r="M172" s="132"/>
      <c r="N172" s="132"/>
      <c r="O172" s="132"/>
      <c r="P172" s="123"/>
      <c r="Q172" s="123"/>
      <c r="R172" s="183"/>
      <c r="S172" s="139"/>
      <c r="T172" s="124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17"/>
      <c r="AH172" s="24"/>
      <c r="AI172" s="25"/>
      <c r="AJ172" s="25"/>
    </row>
    <row r="173" spans="1:36" x14ac:dyDescent="0.3">
      <c r="A173" s="63">
        <v>167</v>
      </c>
      <c r="B173" s="102" t="s">
        <v>3520</v>
      </c>
      <c r="C173" s="102" t="s">
        <v>3521</v>
      </c>
      <c r="D173" s="64" t="s">
        <v>119</v>
      </c>
      <c r="E173" s="183" t="s">
        <v>4490</v>
      </c>
      <c r="F173" s="172" t="s">
        <v>4498</v>
      </c>
      <c r="G173" s="174">
        <v>9</v>
      </c>
      <c r="H173" s="42"/>
      <c r="I173" s="181"/>
      <c r="J173" s="128"/>
      <c r="K173" s="184" t="s">
        <v>4648</v>
      </c>
      <c r="L173" s="186"/>
      <c r="M173" s="186"/>
      <c r="N173" s="186"/>
      <c r="O173" s="186"/>
      <c r="P173" s="123"/>
      <c r="Q173" s="123"/>
      <c r="R173" s="183"/>
      <c r="S173" s="139"/>
      <c r="T173" s="124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17"/>
      <c r="AH173" s="24"/>
      <c r="AI173" s="25"/>
      <c r="AJ173" s="25"/>
    </row>
    <row r="174" spans="1:36" x14ac:dyDescent="0.3">
      <c r="A174" s="63">
        <v>168</v>
      </c>
      <c r="B174" s="102" t="s">
        <v>3520</v>
      </c>
      <c r="C174" s="102" t="s">
        <v>3521</v>
      </c>
      <c r="D174" s="64" t="s">
        <v>119</v>
      </c>
      <c r="E174" s="183" t="s">
        <v>4490</v>
      </c>
      <c r="F174" s="172" t="s">
        <v>4499</v>
      </c>
      <c r="G174" s="174">
        <v>1</v>
      </c>
      <c r="H174" s="42"/>
      <c r="I174" s="181"/>
      <c r="J174" s="128"/>
      <c r="K174" s="184" t="s">
        <v>4649</v>
      </c>
      <c r="L174" s="186"/>
      <c r="M174" s="186"/>
      <c r="N174" s="186"/>
      <c r="O174" s="186"/>
      <c r="P174" s="123"/>
      <c r="Q174" s="123"/>
      <c r="R174" s="183"/>
      <c r="S174" s="139"/>
      <c r="T174" s="124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17"/>
      <c r="AH174" s="24"/>
      <c r="AI174" s="25"/>
      <c r="AJ174" s="25"/>
    </row>
    <row r="175" spans="1:36" x14ac:dyDescent="0.3">
      <c r="A175" s="63">
        <v>169</v>
      </c>
      <c r="B175" s="102" t="s">
        <v>3520</v>
      </c>
      <c r="C175" s="102" t="s">
        <v>3521</v>
      </c>
      <c r="D175" s="64" t="s">
        <v>119</v>
      </c>
      <c r="E175" s="183" t="s">
        <v>4490</v>
      </c>
      <c r="F175" s="172" t="s">
        <v>4499</v>
      </c>
      <c r="G175" s="174">
        <v>2</v>
      </c>
      <c r="H175" s="42"/>
      <c r="I175" s="181"/>
      <c r="J175" s="128"/>
      <c r="K175" s="184" t="s">
        <v>4650</v>
      </c>
      <c r="L175" s="186"/>
      <c r="M175" s="186"/>
      <c r="N175" s="186"/>
      <c r="O175" s="186"/>
      <c r="P175" s="123"/>
      <c r="Q175" s="123"/>
      <c r="R175" s="183"/>
      <c r="S175" s="139"/>
      <c r="T175" s="124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17"/>
      <c r="AH175" s="24"/>
      <c r="AI175" s="25"/>
      <c r="AJ175" s="25"/>
    </row>
    <row r="176" spans="1:36" x14ac:dyDescent="0.3">
      <c r="A176" s="63">
        <v>170</v>
      </c>
      <c r="B176" s="102" t="s">
        <v>3520</v>
      </c>
      <c r="C176" s="102" t="s">
        <v>3521</v>
      </c>
      <c r="D176" s="64" t="s">
        <v>119</v>
      </c>
      <c r="E176" s="183" t="s">
        <v>4490</v>
      </c>
      <c r="F176" s="172" t="s">
        <v>4499</v>
      </c>
      <c r="G176" s="174">
        <v>3</v>
      </c>
      <c r="H176" s="42"/>
      <c r="I176" s="181"/>
      <c r="J176" s="128"/>
      <c r="K176" s="184" t="s">
        <v>4651</v>
      </c>
      <c r="L176" s="186"/>
      <c r="M176" s="186"/>
      <c r="N176" s="186"/>
      <c r="O176" s="186"/>
      <c r="P176" s="123"/>
      <c r="Q176" s="123"/>
      <c r="R176" s="183"/>
      <c r="S176" s="139"/>
      <c r="T176" s="124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17"/>
      <c r="AH176" s="24"/>
      <c r="AI176" s="25"/>
      <c r="AJ176" s="25"/>
    </row>
    <row r="177" spans="1:36" x14ac:dyDescent="0.3">
      <c r="A177" s="63">
        <v>171</v>
      </c>
      <c r="B177" s="102" t="s">
        <v>3520</v>
      </c>
      <c r="C177" s="102" t="s">
        <v>3521</v>
      </c>
      <c r="D177" s="64" t="s">
        <v>119</v>
      </c>
      <c r="E177" s="183" t="s">
        <v>4490</v>
      </c>
      <c r="F177" s="172" t="s">
        <v>4499</v>
      </c>
      <c r="G177" s="174">
        <v>3</v>
      </c>
      <c r="H177" s="42"/>
      <c r="I177" s="181"/>
      <c r="J177" s="128"/>
      <c r="K177" s="184" t="s">
        <v>4652</v>
      </c>
      <c r="L177" s="186"/>
      <c r="M177" s="186"/>
      <c r="N177" s="186"/>
      <c r="O177" s="186"/>
      <c r="P177" s="123"/>
      <c r="Q177" s="123"/>
      <c r="R177" s="183"/>
      <c r="S177" s="139"/>
      <c r="T177" s="124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17"/>
      <c r="AH177" s="24"/>
      <c r="AI177" s="25"/>
      <c r="AJ177" s="25"/>
    </row>
    <row r="178" spans="1:36" x14ac:dyDescent="0.3">
      <c r="A178" s="63">
        <v>172</v>
      </c>
      <c r="B178" s="102" t="s">
        <v>3520</v>
      </c>
      <c r="C178" s="102" t="s">
        <v>3521</v>
      </c>
      <c r="D178" s="64" t="s">
        <v>119</v>
      </c>
      <c r="E178" s="183" t="s">
        <v>4490</v>
      </c>
      <c r="F178" s="172" t="s">
        <v>4499</v>
      </c>
      <c r="G178" s="174">
        <v>3</v>
      </c>
      <c r="H178" s="42"/>
      <c r="I178" s="181"/>
      <c r="J178" s="128"/>
      <c r="K178" s="184" t="s">
        <v>4653</v>
      </c>
      <c r="L178" s="186"/>
      <c r="M178" s="186"/>
      <c r="N178" s="186"/>
      <c r="O178" s="186"/>
      <c r="P178" s="123"/>
      <c r="Q178" s="123"/>
      <c r="R178" s="183"/>
      <c r="S178" s="139"/>
      <c r="T178" s="124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17"/>
      <c r="AH178" s="24"/>
      <c r="AI178" s="25"/>
      <c r="AJ178" s="25"/>
    </row>
    <row r="179" spans="1:36" x14ac:dyDescent="0.3">
      <c r="A179" s="63">
        <v>173</v>
      </c>
      <c r="B179" s="102" t="s">
        <v>3520</v>
      </c>
      <c r="C179" s="102" t="s">
        <v>3521</v>
      </c>
      <c r="D179" s="64" t="s">
        <v>119</v>
      </c>
      <c r="E179" s="183" t="s">
        <v>4490</v>
      </c>
      <c r="F179" s="172" t="s">
        <v>4499</v>
      </c>
      <c r="G179" s="174">
        <v>4</v>
      </c>
      <c r="H179" s="42"/>
      <c r="I179" s="181"/>
      <c r="J179" s="128"/>
      <c r="K179" s="184" t="s">
        <v>4654</v>
      </c>
      <c r="L179" s="186"/>
      <c r="M179" s="186"/>
      <c r="N179" s="186"/>
      <c r="O179" s="186"/>
      <c r="P179" s="123"/>
      <c r="Q179" s="123"/>
      <c r="R179" s="183"/>
      <c r="S179" s="139"/>
      <c r="T179" s="124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17"/>
      <c r="AH179" s="24"/>
      <c r="AI179" s="25"/>
      <c r="AJ179" s="25"/>
    </row>
    <row r="180" spans="1:36" x14ac:dyDescent="0.3">
      <c r="A180" s="63">
        <v>174</v>
      </c>
      <c r="B180" s="102" t="s">
        <v>3520</v>
      </c>
      <c r="C180" s="102" t="s">
        <v>3521</v>
      </c>
      <c r="D180" s="64" t="s">
        <v>119</v>
      </c>
      <c r="E180" s="183" t="s">
        <v>4490</v>
      </c>
      <c r="F180" s="172" t="s">
        <v>4499</v>
      </c>
      <c r="G180" s="174">
        <v>4</v>
      </c>
      <c r="H180" s="42"/>
      <c r="I180" s="181"/>
      <c r="J180" s="128"/>
      <c r="K180" s="184" t="s">
        <v>4559</v>
      </c>
      <c r="L180" s="186"/>
      <c r="M180" s="186"/>
      <c r="N180" s="186"/>
      <c r="O180" s="186"/>
      <c r="P180" s="123"/>
      <c r="Q180" s="123"/>
      <c r="R180" s="183"/>
      <c r="S180" s="139"/>
      <c r="T180" s="124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17"/>
      <c r="AH180" s="24"/>
      <c r="AI180" s="25"/>
      <c r="AJ180" s="25"/>
    </row>
    <row r="181" spans="1:36" x14ac:dyDescent="0.3">
      <c r="A181" s="63">
        <v>175</v>
      </c>
      <c r="B181" s="102" t="s">
        <v>3520</v>
      </c>
      <c r="C181" s="102" t="s">
        <v>3521</v>
      </c>
      <c r="D181" s="64" t="s">
        <v>119</v>
      </c>
      <c r="E181" s="183" t="s">
        <v>4490</v>
      </c>
      <c r="F181" s="172" t="s">
        <v>4499</v>
      </c>
      <c r="G181" s="174">
        <v>5</v>
      </c>
      <c r="H181" s="42"/>
      <c r="I181" s="181"/>
      <c r="J181" s="128"/>
      <c r="K181" s="184" t="s">
        <v>4655</v>
      </c>
      <c r="L181" s="186"/>
      <c r="M181" s="186"/>
      <c r="N181" s="186"/>
      <c r="O181" s="186"/>
      <c r="P181" s="123"/>
      <c r="Q181" s="123"/>
      <c r="R181" s="183"/>
      <c r="S181" s="139"/>
      <c r="T181" s="124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17"/>
      <c r="AH181" s="24"/>
      <c r="AI181" s="25"/>
      <c r="AJ181" s="25"/>
    </row>
    <row r="182" spans="1:36" x14ac:dyDescent="0.3">
      <c r="A182" s="63">
        <v>176</v>
      </c>
      <c r="B182" s="102" t="s">
        <v>3520</v>
      </c>
      <c r="C182" s="102" t="s">
        <v>3521</v>
      </c>
      <c r="D182" s="64" t="s">
        <v>119</v>
      </c>
      <c r="E182" s="183" t="s">
        <v>4490</v>
      </c>
      <c r="F182" s="172" t="s">
        <v>4499</v>
      </c>
      <c r="G182" s="174">
        <v>6</v>
      </c>
      <c r="H182" s="42"/>
      <c r="I182" s="181"/>
      <c r="J182" s="128"/>
      <c r="K182" s="184" t="s">
        <v>4656</v>
      </c>
      <c r="L182" s="186"/>
      <c r="M182" s="186"/>
      <c r="N182" s="186"/>
      <c r="O182" s="186"/>
      <c r="P182" s="123"/>
      <c r="Q182" s="123"/>
      <c r="R182" s="183"/>
      <c r="S182" s="139"/>
      <c r="T182" s="124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17"/>
      <c r="AH182" s="24"/>
      <c r="AI182" s="25"/>
      <c r="AJ182" s="25"/>
    </row>
    <row r="183" spans="1:36" x14ac:dyDescent="0.3">
      <c r="A183" s="63">
        <v>177</v>
      </c>
      <c r="B183" s="102" t="s">
        <v>3520</v>
      </c>
      <c r="C183" s="102" t="s">
        <v>3521</v>
      </c>
      <c r="D183" s="64" t="s">
        <v>119</v>
      </c>
      <c r="E183" s="183" t="s">
        <v>4490</v>
      </c>
      <c r="F183" s="172" t="s">
        <v>4499</v>
      </c>
      <c r="G183" s="174">
        <v>7</v>
      </c>
      <c r="H183" s="42"/>
      <c r="I183" s="181"/>
      <c r="J183" s="128"/>
      <c r="K183" s="184" t="s">
        <v>4657</v>
      </c>
      <c r="L183" s="186"/>
      <c r="M183" s="186"/>
      <c r="N183" s="186"/>
      <c r="O183" s="186"/>
      <c r="P183" s="123"/>
      <c r="Q183" s="123"/>
      <c r="R183" s="183"/>
      <c r="S183" s="139"/>
      <c r="T183" s="124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17"/>
      <c r="AH183" s="24"/>
      <c r="AI183" s="25"/>
      <c r="AJ183" s="25"/>
    </row>
    <row r="184" spans="1:36" x14ac:dyDescent="0.3">
      <c r="A184" s="63">
        <v>178</v>
      </c>
      <c r="B184" s="102" t="s">
        <v>3520</v>
      </c>
      <c r="C184" s="102" t="s">
        <v>3521</v>
      </c>
      <c r="D184" s="64" t="s">
        <v>119</v>
      </c>
      <c r="E184" s="183" t="s">
        <v>4490</v>
      </c>
      <c r="F184" s="172" t="s">
        <v>4499</v>
      </c>
      <c r="G184" s="174">
        <v>8</v>
      </c>
      <c r="H184" s="42"/>
      <c r="I184" s="181"/>
      <c r="J184" s="128"/>
      <c r="K184" s="184" t="s">
        <v>4658</v>
      </c>
      <c r="L184" s="186"/>
      <c r="M184" s="186"/>
      <c r="N184" s="186"/>
      <c r="O184" s="186"/>
      <c r="P184" s="123"/>
      <c r="Q184" s="123"/>
      <c r="R184" s="183"/>
      <c r="S184" s="139"/>
      <c r="T184" s="124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17"/>
      <c r="AH184" s="24"/>
      <c r="AI184" s="25"/>
      <c r="AJ184" s="25"/>
    </row>
    <row r="185" spans="1:36" x14ac:dyDescent="0.3">
      <c r="A185" s="63">
        <v>179</v>
      </c>
      <c r="B185" s="102" t="s">
        <v>3520</v>
      </c>
      <c r="C185" s="102" t="s">
        <v>3521</v>
      </c>
      <c r="D185" s="64" t="s">
        <v>119</v>
      </c>
      <c r="E185" s="183" t="s">
        <v>4490</v>
      </c>
      <c r="F185" s="172" t="s">
        <v>4499</v>
      </c>
      <c r="G185" s="174">
        <v>8</v>
      </c>
      <c r="H185" s="42"/>
      <c r="I185" s="181"/>
      <c r="J185" s="128"/>
      <c r="K185" s="184" t="s">
        <v>4659</v>
      </c>
      <c r="L185" s="186"/>
      <c r="M185" s="186"/>
      <c r="N185" s="186"/>
      <c r="O185" s="186"/>
      <c r="P185" s="123"/>
      <c r="Q185" s="123"/>
      <c r="R185" s="183"/>
      <c r="S185" s="139"/>
      <c r="T185" s="124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17"/>
      <c r="AH185" s="24"/>
      <c r="AI185" s="25"/>
      <c r="AJ185" s="25"/>
    </row>
    <row r="186" spans="1:36" x14ac:dyDescent="0.3">
      <c r="A186" s="63">
        <v>180</v>
      </c>
      <c r="B186" s="102" t="s">
        <v>3520</v>
      </c>
      <c r="C186" s="102" t="s">
        <v>3521</v>
      </c>
      <c r="D186" s="64" t="s">
        <v>119</v>
      </c>
      <c r="E186" s="183" t="s">
        <v>4490</v>
      </c>
      <c r="F186" s="174" t="s">
        <v>4499</v>
      </c>
      <c r="G186" s="174">
        <v>9</v>
      </c>
      <c r="H186" s="42"/>
      <c r="I186" s="181"/>
      <c r="J186" s="128"/>
      <c r="K186" s="184" t="s">
        <v>4660</v>
      </c>
      <c r="L186" s="132"/>
      <c r="M186" s="132"/>
      <c r="N186" s="132"/>
      <c r="O186" s="132"/>
      <c r="P186" s="123"/>
      <c r="Q186" s="123"/>
      <c r="R186" s="183"/>
      <c r="S186" s="139"/>
      <c r="T186" s="124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17"/>
      <c r="AH186" s="24"/>
      <c r="AI186" s="25"/>
      <c r="AJ186" s="25"/>
    </row>
  </sheetData>
  <mergeCells count="3">
    <mergeCell ref="G1:G2"/>
    <mergeCell ref="A5:D5"/>
    <mergeCell ref="U5:AF5"/>
  </mergeCells>
  <conditionalFormatting sqref="M7:M186"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Cox's Bazar Sadar</vt:lpstr>
      <vt:lpstr>Ukhia</vt:lpstr>
      <vt:lpstr>Ramu</vt:lpstr>
      <vt:lpstr>Chakaria</vt:lpstr>
      <vt:lpstr>Pekua</vt:lpstr>
      <vt:lpstr>Teknaf</vt:lpstr>
      <vt:lpstr>Eidghaon</vt:lpstr>
      <vt:lpstr>Maheshkhali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DOLA</dc:creator>
  <cp:lastModifiedBy>DOLA</cp:lastModifiedBy>
  <dcterms:created xsi:type="dcterms:W3CDTF">2026-01-29T06:22:47Z</dcterms:created>
  <dcterms:modified xsi:type="dcterms:W3CDTF">2026-04-04T04:31:55Z</dcterms:modified>
</cp:coreProperties>
</file>