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roup_mappers\Village_Mapping\2025\BRAC_Format\Microstatification Format\"/>
    </mc:Choice>
  </mc:AlternateContent>
  <bookViews>
    <workbookView xWindow="0" yWindow="0" windowWidth="23040" windowHeight="8904" firstSheet="4" activeTab="13"/>
  </bookViews>
  <sheets>
    <sheet name="Anowara" sheetId="10" r:id="rId1"/>
    <sheet name="Banskhali" sheetId="9" r:id="rId2"/>
    <sheet name="Boalkhali" sheetId="11" r:id="rId3"/>
    <sheet name="Chandanaish" sheetId="12" r:id="rId4"/>
    <sheet name="Fatikchhari" sheetId="13" r:id="rId5"/>
    <sheet name="Hathazari" sheetId="14" r:id="rId6"/>
    <sheet name="Karnafuli" sheetId="15" r:id="rId7"/>
    <sheet name="Lohagara" sheetId="16" r:id="rId8"/>
    <sheet name="Mirsharai" sheetId="17" r:id="rId9"/>
    <sheet name="Patiya" sheetId="18" r:id="rId10"/>
    <sheet name="Rangunia" sheetId="19" r:id="rId11"/>
    <sheet name="Raozan" sheetId="20" r:id="rId12"/>
    <sheet name="Satkania" sheetId="21" r:id="rId13"/>
    <sheet name="Sitakunda" sheetId="22" r:id="rId14"/>
  </sheets>
  <definedNames>
    <definedName name="_xlnm._FilterDatabase" localSheetId="2" hidden="1">Boalkhali!$A$6:$AJ$6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9" l="1"/>
  <c r="K1" i="9"/>
  <c r="I2" i="9"/>
  <c r="K2" i="9"/>
  <c r="K2" i="22" l="1"/>
  <c r="I2" i="22"/>
  <c r="K1" i="22"/>
  <c r="I1" i="22"/>
  <c r="K2" i="21"/>
  <c r="I2" i="21"/>
  <c r="K1" i="21"/>
  <c r="I1" i="21"/>
  <c r="K2" i="20"/>
  <c r="I2" i="20"/>
  <c r="K1" i="20"/>
  <c r="I1" i="20"/>
  <c r="N2" i="19"/>
  <c r="L2" i="19"/>
  <c r="N1" i="19"/>
  <c r="L1" i="19"/>
  <c r="K2" i="18"/>
  <c r="I2" i="18"/>
  <c r="K1" i="18"/>
  <c r="I1" i="18"/>
  <c r="K2" i="17"/>
  <c r="I2" i="17"/>
  <c r="K1" i="17"/>
  <c r="I1" i="17"/>
  <c r="K2" i="16"/>
  <c r="I2" i="16"/>
  <c r="K1" i="16"/>
  <c r="I1" i="16"/>
  <c r="K2" i="15"/>
  <c r="I2" i="15"/>
  <c r="K1" i="15"/>
  <c r="I1" i="15"/>
  <c r="K2" i="14"/>
  <c r="I2" i="14"/>
  <c r="K1" i="14"/>
  <c r="I1" i="14"/>
  <c r="K2" i="13"/>
  <c r="I2" i="13"/>
  <c r="K1" i="13"/>
  <c r="I1" i="13"/>
  <c r="K2" i="12"/>
  <c r="I2" i="12"/>
  <c r="K1" i="12"/>
  <c r="I1" i="12"/>
  <c r="K2" i="11"/>
  <c r="I2" i="11"/>
  <c r="K1" i="11"/>
  <c r="I1" i="11"/>
  <c r="K2" i="10"/>
  <c r="I2" i="10"/>
  <c r="K1" i="10"/>
  <c r="I1" i="10"/>
</calcChain>
</file>

<file path=xl/sharedStrings.xml><?xml version="1.0" encoding="utf-8"?>
<sst xmlns="http://schemas.openxmlformats.org/spreadsheetml/2006/main" count="18861" uniqueCount="4093">
  <si>
    <t>SK(H)</t>
  </si>
  <si>
    <t>SS</t>
  </si>
  <si>
    <t>BRAC</t>
  </si>
  <si>
    <t>SHW(H)</t>
  </si>
  <si>
    <t>Malaria Elimination Program</t>
  </si>
  <si>
    <t>Village</t>
  </si>
  <si>
    <t>Microstrafication</t>
  </si>
  <si>
    <t>Upazila Name:</t>
  </si>
  <si>
    <t>SL</t>
  </si>
  <si>
    <t>District</t>
  </si>
  <si>
    <t>Upazila</t>
  </si>
  <si>
    <t>Union</t>
  </si>
  <si>
    <t>Name of SK/SHW</t>
  </si>
  <si>
    <t>Desig.</t>
  </si>
  <si>
    <t>Name of SS</t>
  </si>
  <si>
    <t>Population</t>
  </si>
  <si>
    <t>March</t>
  </si>
  <si>
    <t>April</t>
  </si>
  <si>
    <t>May</t>
  </si>
  <si>
    <t>June</t>
  </si>
  <si>
    <t>July</t>
  </si>
  <si>
    <t>Name of Border
 with others
 country</t>
  </si>
  <si>
    <t>Others
 Activities
(TDA/Dev care)</t>
  </si>
  <si>
    <t>Total Count</t>
  </si>
  <si>
    <t>Village 
Distance
 from 
upazila office (KM)</t>
  </si>
  <si>
    <t>Name of
 MMW, 
Health 
post &amp;
CHW(C)</t>
  </si>
  <si>
    <t>January</t>
  </si>
  <si>
    <t>February</t>
  </si>
  <si>
    <t>August</t>
  </si>
  <si>
    <t>September</t>
  </si>
  <si>
    <t>October</t>
  </si>
  <si>
    <t>November</t>
  </si>
  <si>
    <t>December</t>
  </si>
  <si>
    <t>2026 
(Active LLINs)</t>
  </si>
  <si>
    <t>Village Name (English)</t>
  </si>
  <si>
    <t>Village Name 
(Bangla)</t>
  </si>
  <si>
    <t>Latitude</t>
  </si>
  <si>
    <t>Longitute</t>
  </si>
  <si>
    <t>2025
(Active LLINs)</t>
  </si>
  <si>
    <t>2024
(Active LLINs)</t>
  </si>
  <si>
    <t>Village 
Code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</si>
  <si>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</si>
  <si>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</si>
  <si>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</si>
  <si>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</si>
  <si>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</si>
  <si>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</si>
  <si>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</si>
  <si>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</si>
  <si>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</si>
  <si>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Haji Para</t>
  </si>
  <si>
    <t>Hindu Para</t>
  </si>
  <si>
    <t>হিন্দু পাড়া</t>
  </si>
  <si>
    <t>Barua Para</t>
  </si>
  <si>
    <t>বড়ুয়া পাড়া</t>
  </si>
  <si>
    <t>Jele Para</t>
  </si>
  <si>
    <t>Ghona Para</t>
  </si>
  <si>
    <t>Natun Para</t>
  </si>
  <si>
    <t>Noa Para</t>
  </si>
  <si>
    <t>নোয়া পাড়া</t>
  </si>
  <si>
    <t>Sikder Para</t>
  </si>
  <si>
    <t>সিকদার পাড়া</t>
  </si>
  <si>
    <t>Talukdar Para</t>
  </si>
  <si>
    <t>তালুকদার পাড়া</t>
  </si>
  <si>
    <t>Battali Para</t>
  </si>
  <si>
    <t>বটতলী পাড়া</t>
  </si>
  <si>
    <t>Majher Para</t>
  </si>
  <si>
    <t>মাঝের পাড়া</t>
  </si>
  <si>
    <t>Master Para</t>
  </si>
  <si>
    <t>Madhyam Para</t>
  </si>
  <si>
    <t>Maulavi Para</t>
  </si>
  <si>
    <t>Bazar Para</t>
  </si>
  <si>
    <t>মাস্টার পাড়া</t>
  </si>
  <si>
    <t>Karmakar Para</t>
  </si>
  <si>
    <t>কর্মকার পাড়া</t>
  </si>
  <si>
    <t>Muslim Para</t>
  </si>
  <si>
    <t>Banik Para</t>
  </si>
  <si>
    <t>হিন্দু পাড়া</t>
  </si>
  <si>
    <t>নতুন পাড়া</t>
  </si>
  <si>
    <t>ঘোনা পাড়া</t>
  </si>
  <si>
    <t>মুসলিম পাড়া</t>
  </si>
  <si>
    <t>Kamola Para</t>
  </si>
  <si>
    <t>কমলা পাড়া</t>
  </si>
  <si>
    <t>Ali Mia Para</t>
  </si>
  <si>
    <t>আলী মিয়া পাড়া</t>
  </si>
  <si>
    <t>Konar Para</t>
  </si>
  <si>
    <t>Uttar Para</t>
  </si>
  <si>
    <t>উত্তর পাড়া</t>
  </si>
  <si>
    <t>Fakir Para</t>
  </si>
  <si>
    <t>ফকির পাড়া</t>
  </si>
  <si>
    <t>Mog Para</t>
  </si>
  <si>
    <t>Maheshkhali Para</t>
  </si>
  <si>
    <t>Naya Para</t>
  </si>
  <si>
    <t>নয়া পাড়া</t>
  </si>
  <si>
    <t>Poultry Farm</t>
  </si>
  <si>
    <t>পোল্ট্রি ফার্ম</t>
  </si>
  <si>
    <t>Bara Para</t>
  </si>
  <si>
    <t>Char Para</t>
  </si>
  <si>
    <t xml:space="preserve">চর পাড়া </t>
  </si>
  <si>
    <t>Badla Para</t>
  </si>
  <si>
    <t>Banskhali</t>
  </si>
  <si>
    <t>Banshkhali</t>
  </si>
  <si>
    <t>Bailchhari</t>
  </si>
  <si>
    <t>Baharchhara</t>
  </si>
  <si>
    <t>Banshkhali Pourasabha</t>
  </si>
  <si>
    <t>Chhanua</t>
  </si>
  <si>
    <t>Chambal</t>
  </si>
  <si>
    <t>Gandamara</t>
  </si>
  <si>
    <t>Kalipur</t>
  </si>
  <si>
    <t>Katharia</t>
  </si>
  <si>
    <t>Khankhanabad</t>
  </si>
  <si>
    <t>Puichhari</t>
  </si>
  <si>
    <t>Pukuria</t>
  </si>
  <si>
    <t>Saral</t>
  </si>
  <si>
    <t>Sadhanpur</t>
  </si>
  <si>
    <t>Sekherkhil</t>
  </si>
  <si>
    <t>Shilkup</t>
  </si>
  <si>
    <t>Chattogram</t>
  </si>
  <si>
    <t>Mir Para</t>
  </si>
  <si>
    <t>মীর পাড়া</t>
  </si>
  <si>
    <t>BAC101</t>
  </si>
  <si>
    <t>Suyagazi Para</t>
  </si>
  <si>
    <t>সুয়াগাজী পাড়া</t>
  </si>
  <si>
    <t>BAC102</t>
  </si>
  <si>
    <t>Maidar Para</t>
  </si>
  <si>
    <t>মাইদার পাড়া</t>
  </si>
  <si>
    <t>BAC103</t>
  </si>
  <si>
    <t>Pashchim Jelepara</t>
  </si>
  <si>
    <t>পশ্চিম জেলেপাড়া</t>
  </si>
  <si>
    <t>BAC104</t>
  </si>
  <si>
    <t>BAC105</t>
  </si>
  <si>
    <t>Pashchim Hindupara</t>
  </si>
  <si>
    <t>পশ্চিম হিন্দুপাড়া</t>
  </si>
  <si>
    <t>BAC201</t>
  </si>
  <si>
    <t>Miya Bari</t>
  </si>
  <si>
    <t>মিয়া বাড়ি</t>
  </si>
  <si>
    <t>BAC202</t>
  </si>
  <si>
    <t>Chowkidar Para</t>
  </si>
  <si>
    <t>চৌকিদার পাড়া</t>
  </si>
  <si>
    <t>BAC203</t>
  </si>
  <si>
    <t>Mandal Para</t>
  </si>
  <si>
    <t>মণ্ডল পাড়া</t>
  </si>
  <si>
    <t>BAC204</t>
  </si>
  <si>
    <t>Titakhan Chowdhury Para</t>
  </si>
  <si>
    <t>তিতাখান চৌধুরী পাড়া</t>
  </si>
  <si>
    <t>BAC205</t>
  </si>
  <si>
    <t>Bakkhani Para</t>
  </si>
  <si>
    <t>বাক্খনী পাড়া</t>
  </si>
  <si>
    <t>BAC301</t>
  </si>
  <si>
    <t>Monir Lamiyaji Khandaker Para</t>
  </si>
  <si>
    <t>মনির লামিয়াজী খন্দকার পাড়া</t>
  </si>
  <si>
    <t>BAC302</t>
  </si>
  <si>
    <t>Mirzakata Natun Para</t>
  </si>
  <si>
    <t>মির্জাকাটা নতুন পাড়া</t>
  </si>
  <si>
    <t>BAC303</t>
  </si>
  <si>
    <t>Satghar Para</t>
  </si>
  <si>
    <t>সাতঘর পাড়া</t>
  </si>
  <si>
    <t>BAC304</t>
  </si>
  <si>
    <t>মাঝের পাড়া</t>
  </si>
  <si>
    <t>BAC305</t>
  </si>
  <si>
    <t>উত্তর পাড়া</t>
  </si>
  <si>
    <t>BAC306</t>
  </si>
  <si>
    <t>মৌলভী পাড়া</t>
  </si>
  <si>
    <t>BAC401</t>
  </si>
  <si>
    <t>Mamtazer Baper Bari</t>
  </si>
  <si>
    <t>মমতাজের বাপের বাড়ী</t>
  </si>
  <si>
    <t>BAC402</t>
  </si>
  <si>
    <t>Abhayarkhil Madhyam Para</t>
  </si>
  <si>
    <t>অভ্যারখিল মধ্যম পাড়া</t>
  </si>
  <si>
    <t>BAC403</t>
  </si>
  <si>
    <t>Nasim Ali Chowkidar Bari</t>
  </si>
  <si>
    <t>নছিম আলী চৌকিদার বাড়ী</t>
  </si>
  <si>
    <t>BAC404</t>
  </si>
  <si>
    <t>Asunir Baper Bari</t>
  </si>
  <si>
    <t>আসুনির বাপের বাড়ি</t>
  </si>
  <si>
    <t>BAC405</t>
  </si>
  <si>
    <t>তালুকদার পাড়া</t>
  </si>
  <si>
    <t>BAC406</t>
  </si>
  <si>
    <t>Jhunu Mistryr Bari</t>
  </si>
  <si>
    <t>ঝুনু মিস্ত্রীর বাড়ী</t>
  </si>
  <si>
    <t>BAC407</t>
  </si>
  <si>
    <t>Abhayarkhil Purba Para</t>
  </si>
  <si>
    <t>অভ্যারখিল পূর্ব পাড়া</t>
  </si>
  <si>
    <t>BAC408</t>
  </si>
  <si>
    <t>Rudra Para</t>
  </si>
  <si>
    <t>রুদ্র পাড়া</t>
  </si>
  <si>
    <t>BAC501</t>
  </si>
  <si>
    <t>Hania Para</t>
  </si>
  <si>
    <t xml:space="preserve">হানিয়া পাড়া </t>
  </si>
  <si>
    <t>BAC502</t>
  </si>
  <si>
    <t>Tema Para</t>
  </si>
  <si>
    <t>টেমা পাড়া</t>
  </si>
  <si>
    <t>BAC503</t>
  </si>
  <si>
    <t>Purba Chechuria Hindu Para</t>
  </si>
  <si>
    <t>পূর্ব চেচুরিয়া হিন্দু পাড়া</t>
  </si>
  <si>
    <t>BAC504</t>
  </si>
  <si>
    <t>Chowdhury Para</t>
  </si>
  <si>
    <t>চৌধুরী পাড়া</t>
  </si>
  <si>
    <t>BAC601</t>
  </si>
  <si>
    <t>Khadula Para</t>
  </si>
  <si>
    <t xml:space="preserve">খদুলা পাড়া </t>
  </si>
  <si>
    <t>BAC602</t>
  </si>
  <si>
    <t>Purba Khadula Para</t>
  </si>
  <si>
    <t>পূর্ব খদুলা পাড়া</t>
  </si>
  <si>
    <t>BAC603</t>
  </si>
  <si>
    <t>Khandaker Para</t>
  </si>
  <si>
    <t>খন্দকার পাড়া</t>
  </si>
  <si>
    <t>BAC701</t>
  </si>
  <si>
    <t>Shil Para</t>
  </si>
  <si>
    <t>শীল পাড়া</t>
  </si>
  <si>
    <t>BAC702</t>
  </si>
  <si>
    <t>Tek Para</t>
  </si>
  <si>
    <t>টেক পাড়া</t>
  </si>
  <si>
    <t>BAC703</t>
  </si>
  <si>
    <t>Uttar Hindu Para</t>
  </si>
  <si>
    <t>উত্তর হিন্দু পাড়া</t>
  </si>
  <si>
    <t>BAC704</t>
  </si>
  <si>
    <t>Kulin Para</t>
  </si>
  <si>
    <t>কুলিন পাড়া</t>
  </si>
  <si>
    <t>BAC705</t>
  </si>
  <si>
    <t>BAC801</t>
  </si>
  <si>
    <t>BAC802</t>
  </si>
  <si>
    <t>Thema Para</t>
  </si>
  <si>
    <t>ঠেমা পাড়া</t>
  </si>
  <si>
    <t>BAC803</t>
  </si>
  <si>
    <t>BAC804</t>
  </si>
  <si>
    <t>Hujita Para</t>
  </si>
  <si>
    <t>হুজিতা পাড়া</t>
  </si>
  <si>
    <t>BAC805</t>
  </si>
  <si>
    <t>Fish Project</t>
  </si>
  <si>
    <t>ফিশ প্রজেক্ট</t>
  </si>
  <si>
    <t>BAC806</t>
  </si>
  <si>
    <t>Chechuria Ghona Para</t>
  </si>
  <si>
    <t>চেচুরিয়া ঘোনা পাড়া</t>
  </si>
  <si>
    <t>BAC901</t>
  </si>
  <si>
    <t>Pashchim Baharchhara</t>
  </si>
  <si>
    <t>পশ্চিম বাহারছড়া</t>
  </si>
  <si>
    <t>BAH101</t>
  </si>
  <si>
    <t>Uttar Baharchhara</t>
  </si>
  <si>
    <t>উত্তর বাহারছড়া</t>
  </si>
  <si>
    <t>BAH102</t>
  </si>
  <si>
    <t xml:space="preserve">
Dighir Para</t>
  </si>
  <si>
    <t>দীঘির পাড়া</t>
  </si>
  <si>
    <t>BAH103</t>
  </si>
  <si>
    <t>বাহারছড়া</t>
  </si>
  <si>
    <t>BAH201</t>
  </si>
  <si>
    <t>Uttar Ratnapur</t>
  </si>
  <si>
    <t>উত্তর রত্নপুর</t>
  </si>
  <si>
    <t>BAH202</t>
  </si>
  <si>
    <t>Ratnapur</t>
  </si>
  <si>
    <t>রত্নপুর</t>
  </si>
  <si>
    <t>BAH301</t>
  </si>
  <si>
    <t>Dakkhin Ratnapur</t>
  </si>
  <si>
    <t>দক্ষিণ রত্নপুর</t>
  </si>
  <si>
    <t>BAH302</t>
  </si>
  <si>
    <t>Banshkhala (Madhaym) Para</t>
  </si>
  <si>
    <t>বাঁশখালা (মধ্যম) পাড়া</t>
  </si>
  <si>
    <t>BAH401</t>
  </si>
  <si>
    <t>Pashchim Banshkhala</t>
  </si>
  <si>
    <t>পশ্চিম বাঁশখালা</t>
  </si>
  <si>
    <t>BAH402</t>
  </si>
  <si>
    <t>Purba Banshkhala</t>
  </si>
  <si>
    <t>পূর্ব বাঁশখালা</t>
  </si>
  <si>
    <t>BAH403</t>
  </si>
  <si>
    <t>BAH404</t>
  </si>
  <si>
    <t>Ilsha</t>
  </si>
  <si>
    <t>ইলশা</t>
  </si>
  <si>
    <t>BAH501</t>
  </si>
  <si>
    <t>Dakkhin Ilsha</t>
  </si>
  <si>
    <t>দক্ষিণ ইলশা</t>
  </si>
  <si>
    <t>BAH502</t>
  </si>
  <si>
    <t>BAH601</t>
  </si>
  <si>
    <t>Maij Para</t>
  </si>
  <si>
    <t>মাইজ পাড়া</t>
  </si>
  <si>
    <t>BAH602</t>
  </si>
  <si>
    <t>Dhandhaia Gazir Para</t>
  </si>
  <si>
    <t>ধাধাইয়া গাজির পাড়া</t>
  </si>
  <si>
    <t>BAH603</t>
  </si>
  <si>
    <t>BAH604</t>
  </si>
  <si>
    <t>BAH701</t>
  </si>
  <si>
    <t>Uttar Ilsha</t>
  </si>
  <si>
    <t>উত্তর ইলশা</t>
  </si>
  <si>
    <t>BAH702</t>
  </si>
  <si>
    <t>BAH801</t>
  </si>
  <si>
    <t>Pashchim Ilsha</t>
  </si>
  <si>
    <t>পশ্চিম ইলশা</t>
  </si>
  <si>
    <t>BAH802</t>
  </si>
  <si>
    <t>BAH803</t>
  </si>
  <si>
    <t>Chapachhari Pashchimongsho</t>
  </si>
  <si>
    <t>চাঁপাছড়ি পশ্চিমাংশ</t>
  </si>
  <si>
    <t>BAH804</t>
  </si>
  <si>
    <t>Purba Chapachhari</t>
  </si>
  <si>
    <t>পূর্ব চাঁপাছড়ি</t>
  </si>
  <si>
    <t>BAH901</t>
  </si>
  <si>
    <t>Aylar Baper Bari</t>
  </si>
  <si>
    <t>আইল্যার বাপের বাড়ী</t>
  </si>
  <si>
    <t>BAS101</t>
  </si>
  <si>
    <t>Bachur Baper Bari</t>
  </si>
  <si>
    <t>বাচুর বাপের বাড়ী</t>
  </si>
  <si>
    <t>BAS102</t>
  </si>
  <si>
    <t>Mohammad Ali Sikder Bari</t>
  </si>
  <si>
    <t>মোহাম্মদ আলী সিকদার বাড়ী</t>
  </si>
  <si>
    <t>BAS103</t>
  </si>
  <si>
    <t xml:space="preserve">Dayar Para </t>
  </si>
  <si>
    <t xml:space="preserve">দয়ার পাড়া  </t>
  </si>
  <si>
    <t>BAS104</t>
  </si>
  <si>
    <t xml:space="preserve">Billah Para </t>
  </si>
  <si>
    <t xml:space="preserve">বিল্লাহ পাড়া </t>
  </si>
  <si>
    <t>BAS105</t>
  </si>
  <si>
    <t>Shammi Baper Bari</t>
  </si>
  <si>
    <t>শাম্মী বাপের বাড়ী</t>
  </si>
  <si>
    <t>BAS106</t>
  </si>
  <si>
    <t>Mahmmud Hossain Master Bari</t>
  </si>
  <si>
    <t>মাহম্মুদ হোসেন মাস্টার বাড়ী</t>
  </si>
  <si>
    <t>BAS107</t>
  </si>
  <si>
    <t xml:space="preserve">Peyadar Para </t>
  </si>
  <si>
    <t xml:space="preserve">পেয়াদার পাড়া </t>
  </si>
  <si>
    <t>BAS108</t>
  </si>
  <si>
    <t>Bhagyar Baper Bari</t>
  </si>
  <si>
    <t>ভাগ্যের বাপের বাড়ী</t>
  </si>
  <si>
    <t>BAS109</t>
  </si>
  <si>
    <t>Maliar Baper Bari</t>
  </si>
  <si>
    <t>মলিয়ার বাপের বাড়ী</t>
  </si>
  <si>
    <t>BAS110</t>
  </si>
  <si>
    <t xml:space="preserve">Uttar Jaldi Bhadalia </t>
  </si>
  <si>
    <t>উত্তর জলদি ভাদালিয়া</t>
  </si>
  <si>
    <t>BAS111</t>
  </si>
  <si>
    <t>Maulana Momtazul Haquer Bari</t>
  </si>
  <si>
    <t>মাওলানা মমতাজুল হকের বাড়ি</t>
  </si>
  <si>
    <t>BAS112</t>
  </si>
  <si>
    <t>Maulana Shahabuddin Saheb Bari</t>
  </si>
  <si>
    <t>মাওলানা শাহাবুদ্দিন সাহেব বাড়ী</t>
  </si>
  <si>
    <t>BAS113</t>
  </si>
  <si>
    <t>Aimar Baper Bari</t>
  </si>
  <si>
    <t>আইমার বাপের বাড়ী</t>
  </si>
  <si>
    <t>BAS114</t>
  </si>
  <si>
    <t>Ahmed Hossainer Bari</t>
  </si>
  <si>
    <t>আহম্মদ হোসেনের বাড়ী</t>
  </si>
  <si>
    <t>BAS115</t>
  </si>
  <si>
    <t>Ekram Mia Bari</t>
  </si>
  <si>
    <t>একরাম মিয়া বাড়ী</t>
  </si>
  <si>
    <t>BAS116</t>
  </si>
  <si>
    <t>Najira Market</t>
  </si>
  <si>
    <t>নজিরা মার্কেট</t>
  </si>
  <si>
    <t>BAS117</t>
  </si>
  <si>
    <t>Patan Bahaddar Bari</t>
  </si>
  <si>
    <t>পতন বহাদ্দার বাড়ী</t>
  </si>
  <si>
    <t>BAS118</t>
  </si>
  <si>
    <t>Gura Tuni Para</t>
  </si>
  <si>
    <t>গুরা টুনি পাড়া</t>
  </si>
  <si>
    <t>BAS201</t>
  </si>
  <si>
    <t>Siddiq Keranir Bari</t>
  </si>
  <si>
    <t xml:space="preserve">সিদ্দিক কেরানীর বাড়ী </t>
  </si>
  <si>
    <t>BAS202</t>
  </si>
  <si>
    <t>Manikkya Mahuri Para</t>
  </si>
  <si>
    <t>মানিক্যা মহুরী পাড়া</t>
  </si>
  <si>
    <t>BAS203</t>
  </si>
  <si>
    <t>Khalil Shah Para</t>
  </si>
  <si>
    <t>খলিল শাহ পাড়া</t>
  </si>
  <si>
    <t>BAS204</t>
  </si>
  <si>
    <t>Yusuf Majhir Para</t>
  </si>
  <si>
    <t>ইউসুফ মাঝির পাড়া</t>
  </si>
  <si>
    <t>BAS205</t>
  </si>
  <si>
    <t>BAS206</t>
  </si>
  <si>
    <t>নোয়া পাড়া</t>
  </si>
  <si>
    <t>BAS301</t>
  </si>
  <si>
    <t>Neyazar Para</t>
  </si>
  <si>
    <t>নেয়াজর পাড়া</t>
  </si>
  <si>
    <t>BAS302</t>
  </si>
  <si>
    <t>Syed Bahar Ullah Para</t>
  </si>
  <si>
    <t>সৈয়দ বাহার উল্লাহ পাড়া</t>
  </si>
  <si>
    <t>BAS303</t>
  </si>
  <si>
    <t>Chumma Para</t>
  </si>
  <si>
    <t xml:space="preserve">ছুম্মা পাড়া </t>
  </si>
  <si>
    <t>BAS401</t>
  </si>
  <si>
    <t>Lashkar Para</t>
  </si>
  <si>
    <t>লস্কর পাড়া</t>
  </si>
  <si>
    <t>BAS402</t>
  </si>
  <si>
    <t>Mahaldar Para</t>
  </si>
  <si>
    <t>মহলদার পাড়া</t>
  </si>
  <si>
    <t>BAS403</t>
  </si>
  <si>
    <t>Dakkhin Banik Para</t>
  </si>
  <si>
    <t>দক্ষিণ বণিক পাড়া</t>
  </si>
  <si>
    <t>BAS404</t>
  </si>
  <si>
    <t>BAS405</t>
  </si>
  <si>
    <t>Monki Para</t>
  </si>
  <si>
    <t>মনকি পাড়া</t>
  </si>
  <si>
    <t>BAS406</t>
  </si>
  <si>
    <t>Uttar Banik Para</t>
  </si>
  <si>
    <t>উত্তর বণিক পাড়া</t>
  </si>
  <si>
    <t>BAS407</t>
  </si>
  <si>
    <t>BAS408</t>
  </si>
  <si>
    <t>Bahar Ullah Para (Part)</t>
  </si>
  <si>
    <t xml:space="preserve">বাহার উল্লাহ পাড়া (অংশ) </t>
  </si>
  <si>
    <t>BAS501</t>
  </si>
  <si>
    <t>BAS502</t>
  </si>
  <si>
    <t>Teli Para</t>
  </si>
  <si>
    <t>তেলী পাড়া</t>
  </si>
  <si>
    <t>BAS503</t>
  </si>
  <si>
    <t>সিকদার পাড়া</t>
  </si>
  <si>
    <t>BAS504</t>
  </si>
  <si>
    <t>Khondoker Para</t>
  </si>
  <si>
    <t>খোন্দকার পাড়া</t>
  </si>
  <si>
    <t>BAS505</t>
  </si>
  <si>
    <t>Bagicha Para</t>
  </si>
  <si>
    <t>বাগিচা পাড়া</t>
  </si>
  <si>
    <t>BAS506</t>
  </si>
  <si>
    <t>Dariya Para</t>
  </si>
  <si>
    <t>দাড়িয়া পাড়া</t>
  </si>
  <si>
    <t>BAS507</t>
  </si>
  <si>
    <t>Purba Para</t>
  </si>
  <si>
    <t>পূর্ব পাড়া</t>
  </si>
  <si>
    <t>BAS508</t>
  </si>
  <si>
    <t>Jangal Jaldi (Part)</t>
  </si>
  <si>
    <t>জঙ্গল জলদি (অংশ)</t>
  </si>
  <si>
    <t>BAS509</t>
  </si>
  <si>
    <t>BAS510</t>
  </si>
  <si>
    <t>BAS511</t>
  </si>
  <si>
    <t>Kebal Krishna Mahajan Para</t>
  </si>
  <si>
    <t>কেবল কৃষ্ণ মহাজন পাড়া</t>
  </si>
  <si>
    <t>BAS601</t>
  </si>
  <si>
    <t>কর্মকার পাড়া</t>
  </si>
  <si>
    <t>BAS602</t>
  </si>
  <si>
    <t>Jaladash Para</t>
  </si>
  <si>
    <t>জলদাশ পাড়া</t>
  </si>
  <si>
    <t>BAS603</t>
  </si>
  <si>
    <t>Upazila Parishad</t>
  </si>
  <si>
    <t>উপজেলা পরিষদ</t>
  </si>
  <si>
    <t>BAS604</t>
  </si>
  <si>
    <t>Dakkhin Brahman Para</t>
  </si>
  <si>
    <t>দক্ষিণ ব্রাহ্মণ পাড়া</t>
  </si>
  <si>
    <t>BAS605</t>
  </si>
  <si>
    <t>Dev Para</t>
  </si>
  <si>
    <t>দেব পাড়া</t>
  </si>
  <si>
    <t>BAS606</t>
  </si>
  <si>
    <t>Datta Para</t>
  </si>
  <si>
    <t>দত্ত পাড়া</t>
  </si>
  <si>
    <t>BAS607</t>
  </si>
  <si>
    <t>BAS608</t>
  </si>
  <si>
    <t>Kazi Para</t>
  </si>
  <si>
    <t>কাজী পাড়া</t>
  </si>
  <si>
    <t>BAS609</t>
  </si>
  <si>
    <t>Ruhulla Para</t>
  </si>
  <si>
    <t>রুহুল্লা পাড়া</t>
  </si>
  <si>
    <t>BAS610</t>
  </si>
  <si>
    <t>Natun Dighir Para</t>
  </si>
  <si>
    <t>নতুন দীঘির পাড়া</t>
  </si>
  <si>
    <t>BAS611</t>
  </si>
  <si>
    <t>Askaria Abashik Para</t>
  </si>
  <si>
    <t>আসকরিয়া আবাসিক পাড়া</t>
  </si>
  <si>
    <t>BAS701</t>
  </si>
  <si>
    <t>Dakkhin Askaria Para</t>
  </si>
  <si>
    <t>দক্ষিণ আসকরিয়া পাড়া</t>
  </si>
  <si>
    <t>BAS702</t>
  </si>
  <si>
    <t>BAS703</t>
  </si>
  <si>
    <t>Mahuri Para</t>
  </si>
  <si>
    <t>মহুরী পাড়া</t>
  </si>
  <si>
    <t>BAS704</t>
  </si>
  <si>
    <t>Uttar Askaria Para</t>
  </si>
  <si>
    <t>উত্তর আসকরিয়া পাড়া</t>
  </si>
  <si>
    <t>BAS705</t>
  </si>
  <si>
    <t>BAS706</t>
  </si>
  <si>
    <t>Mahajan Para</t>
  </si>
  <si>
    <t>মহাজন পাড়া</t>
  </si>
  <si>
    <t>BAS801</t>
  </si>
  <si>
    <t>Biswas Para</t>
  </si>
  <si>
    <t>বিশ্বাস পাড়া</t>
  </si>
  <si>
    <t>BAS802</t>
  </si>
  <si>
    <t>Shriram Mahajan Para</t>
  </si>
  <si>
    <t>শ্রীরাম মহাজন পাড়া</t>
  </si>
  <si>
    <t>BAS803</t>
  </si>
  <si>
    <t>BAS804</t>
  </si>
  <si>
    <t>Villager Para</t>
  </si>
  <si>
    <t>ভিলেজার পাড়া</t>
  </si>
  <si>
    <t>BAS805</t>
  </si>
  <si>
    <t>Kazir Para</t>
  </si>
  <si>
    <t>কাজীর পাড়া</t>
  </si>
  <si>
    <t>BAS806</t>
  </si>
  <si>
    <t>Dosari Para</t>
  </si>
  <si>
    <t>দোসরী পাড়া</t>
  </si>
  <si>
    <t>BAS901</t>
  </si>
  <si>
    <t>Rangiya Ghona</t>
  </si>
  <si>
    <t>রঙ্গিয়া ঘোনা</t>
  </si>
  <si>
    <t>BAS902</t>
  </si>
  <si>
    <t>BAS903</t>
  </si>
  <si>
    <t>BAS904</t>
  </si>
  <si>
    <t>Lashkar Maulavi Para</t>
  </si>
  <si>
    <t>লস্কর মৌলভী পাড়া</t>
  </si>
  <si>
    <t>CHH101</t>
  </si>
  <si>
    <t>Hanif Para</t>
  </si>
  <si>
    <t>হানিফ পাড়া</t>
  </si>
  <si>
    <t>CHH102</t>
  </si>
  <si>
    <t>Sufi Miyaji Para</t>
  </si>
  <si>
    <t>সুফি মিয়াজী পাড়া</t>
  </si>
  <si>
    <t>CHH103</t>
  </si>
  <si>
    <t>Mohabbat Ali Para</t>
  </si>
  <si>
    <t>মোহাব্বত আলী পাড়া</t>
  </si>
  <si>
    <t>CHH104</t>
  </si>
  <si>
    <t>Ismail Para</t>
  </si>
  <si>
    <t>ইসমাইল পাড়া</t>
  </si>
  <si>
    <t>CHH105</t>
  </si>
  <si>
    <t>Amin Sharif Para</t>
  </si>
  <si>
    <t>আমিন শরীফ পাড়া</t>
  </si>
  <si>
    <t>CHH106</t>
  </si>
  <si>
    <t>Kabir Sikder Para</t>
  </si>
  <si>
    <t>কবির সিকদার পাড়া</t>
  </si>
  <si>
    <t>CHH107</t>
  </si>
  <si>
    <t>Bachamia Para</t>
  </si>
  <si>
    <t>বাছামিয়া পাড়া</t>
  </si>
  <si>
    <t>CHH108</t>
  </si>
  <si>
    <t>Saleh Ahmed Sikder Para</t>
  </si>
  <si>
    <t>সালেহ আহম্মদ সিকদার পাড়া</t>
  </si>
  <si>
    <t>CHH109</t>
  </si>
  <si>
    <t>Khorshed Ali Chowdhury Para</t>
  </si>
  <si>
    <t>খোরশেদ আলী চৌধুরী পাড়া</t>
  </si>
  <si>
    <t>CHH110</t>
  </si>
  <si>
    <t>Shuklal Para</t>
  </si>
  <si>
    <t>শুকলাল পাড়া</t>
  </si>
  <si>
    <t>CHH201</t>
  </si>
  <si>
    <t>Mochon Fakir Para</t>
  </si>
  <si>
    <t>মছন ফকির পাড়া</t>
  </si>
  <si>
    <t>CHH202</t>
  </si>
  <si>
    <t>Napit Para</t>
  </si>
  <si>
    <t>নাপিত পাড়া</t>
  </si>
  <si>
    <t>CHH203</t>
  </si>
  <si>
    <t>Jogoda Baper Para</t>
  </si>
  <si>
    <t>জগদা বাপের পাড়া</t>
  </si>
  <si>
    <t>CHH204</t>
  </si>
  <si>
    <t>Amin Chairman Bari Para</t>
  </si>
  <si>
    <t>আমিন চেয়ারম্যানের বাড়ি পাড়া</t>
  </si>
  <si>
    <t>CHH205</t>
  </si>
  <si>
    <t>Hedayet Ali Para</t>
  </si>
  <si>
    <t>হেদায়েত আলী পাড়া</t>
  </si>
  <si>
    <t>CHH206</t>
  </si>
  <si>
    <t>Ishak Munshi Para</t>
  </si>
  <si>
    <t>ইসহাক মুন্সি পাড়া</t>
  </si>
  <si>
    <t>CHH207</t>
  </si>
  <si>
    <t>Madhukhali</t>
  </si>
  <si>
    <t>মধুখালী</t>
  </si>
  <si>
    <t>CHH208</t>
  </si>
  <si>
    <t>CHH209</t>
  </si>
  <si>
    <t>CHH210</t>
  </si>
  <si>
    <t>Jomila Para</t>
  </si>
  <si>
    <t>জমিলা পাড়া</t>
  </si>
  <si>
    <t>CHH301</t>
  </si>
  <si>
    <t>কাজী বাড়ি</t>
  </si>
  <si>
    <t>CHH302</t>
  </si>
  <si>
    <t>Charutia Para</t>
  </si>
  <si>
    <t>ছরুতিয়া পাড়া</t>
  </si>
  <si>
    <t>CHH303</t>
  </si>
  <si>
    <t>Haji Ali Mia Para</t>
  </si>
  <si>
    <t>হাজী আলী মিয়া পাড়া</t>
  </si>
  <si>
    <t>CHH304</t>
  </si>
  <si>
    <t>Shamboli Para</t>
  </si>
  <si>
    <t>শাম্বলী পাড়া</t>
  </si>
  <si>
    <t>CHH305</t>
  </si>
  <si>
    <t>Amir Para</t>
  </si>
  <si>
    <t>আমির পাড়া</t>
  </si>
  <si>
    <t>CHH306</t>
  </si>
  <si>
    <t>CHH307</t>
  </si>
  <si>
    <t>Sultan Sikder Para</t>
  </si>
  <si>
    <t>সুলতান সিকদার পাড়া</t>
  </si>
  <si>
    <t>CHH308</t>
  </si>
  <si>
    <t>CHH401</t>
  </si>
  <si>
    <t>Khash Para</t>
  </si>
  <si>
    <t>খাস পাড়া</t>
  </si>
  <si>
    <t>CHH402</t>
  </si>
  <si>
    <t>Wajkatun Para</t>
  </si>
  <si>
    <t>ওয়াজকাতুন পাড়া</t>
  </si>
  <si>
    <t>CHH403</t>
  </si>
  <si>
    <t>Korimjan Para</t>
  </si>
  <si>
    <t>করিমজান পাড়া</t>
  </si>
  <si>
    <t>CHH404</t>
  </si>
  <si>
    <t>Dakkhin Shuklal Para</t>
  </si>
  <si>
    <t>দক্ষিণ শুকলাল পাড়া</t>
  </si>
  <si>
    <t>CHH405</t>
  </si>
  <si>
    <t>Hasan Ali Sikder Para</t>
  </si>
  <si>
    <t>হাসান আলী শিকদার পাড়া</t>
  </si>
  <si>
    <t>CHH406</t>
  </si>
  <si>
    <t>Yakub Para</t>
  </si>
  <si>
    <t>ইয়াকুব পাড়া</t>
  </si>
  <si>
    <t>CHH407</t>
  </si>
  <si>
    <t>Sardar Para</t>
  </si>
  <si>
    <t>সর্দার পাড়া</t>
  </si>
  <si>
    <t>CHH408</t>
  </si>
  <si>
    <t>Hamar Ali Para</t>
  </si>
  <si>
    <t>হমর আলী পাড়া</t>
  </si>
  <si>
    <t>CHH409</t>
  </si>
  <si>
    <t>Madina Para</t>
  </si>
  <si>
    <t>মদিনা পাড়া</t>
  </si>
  <si>
    <t>CHH410</t>
  </si>
  <si>
    <t>Kala Chadpara</t>
  </si>
  <si>
    <t>কালা চাঁদপাড়া</t>
  </si>
  <si>
    <t>CHH411</t>
  </si>
  <si>
    <t>Kateb Para</t>
  </si>
  <si>
    <t>কাতেব পাড়া</t>
  </si>
  <si>
    <t>CHH501</t>
  </si>
  <si>
    <t>Ashraf Ali Para</t>
  </si>
  <si>
    <t>আশরাফ আলী পাড়া</t>
  </si>
  <si>
    <t>CHH502</t>
  </si>
  <si>
    <t>Shorofia Para</t>
  </si>
  <si>
    <t>শরীফিয়া পাড়া</t>
  </si>
  <si>
    <t>CHH503</t>
  </si>
  <si>
    <t>Foyejani Para</t>
  </si>
  <si>
    <t>ফৈয়াজানী পাড়া</t>
  </si>
  <si>
    <t>CHH504</t>
  </si>
  <si>
    <t>Haji Abdul Kader Para</t>
  </si>
  <si>
    <t>হাজী আবদুল কাদের পাড়া</t>
  </si>
  <si>
    <t>CHH505</t>
  </si>
  <si>
    <t>Bodu Baper Para</t>
  </si>
  <si>
    <t>বদু বাপের পাড়া</t>
  </si>
  <si>
    <t>CHH506</t>
  </si>
  <si>
    <t>Manu Miyaji Para</t>
  </si>
  <si>
    <t>মনু মিয়াজি পাড়া</t>
  </si>
  <si>
    <t>CHH507</t>
  </si>
  <si>
    <t>Abdullah Para</t>
  </si>
  <si>
    <t>আবদুল্লাহ পাড়া</t>
  </si>
  <si>
    <t>CHH508</t>
  </si>
  <si>
    <t>Shuklal Para Pashchimangsho</t>
  </si>
  <si>
    <t>শুকলাল পাড়া পশ্চিমাংশ</t>
  </si>
  <si>
    <t>CHH509</t>
  </si>
  <si>
    <t>Umed Ali Para</t>
  </si>
  <si>
    <t>উমেদ আলী পাড়া</t>
  </si>
  <si>
    <t>CHH510</t>
  </si>
  <si>
    <t>CHH511</t>
  </si>
  <si>
    <t>CHH601</t>
  </si>
  <si>
    <t>Jamila Para</t>
  </si>
  <si>
    <t>জামিলা পাড়া</t>
  </si>
  <si>
    <t>CHH602</t>
  </si>
  <si>
    <t>Amanullah Para</t>
  </si>
  <si>
    <t>আমানউল্লাহ পাড়া</t>
  </si>
  <si>
    <t>CHH603</t>
  </si>
  <si>
    <t>Kaloni Para</t>
  </si>
  <si>
    <t>কালোনী পাড়া</t>
  </si>
  <si>
    <t>CHH604</t>
  </si>
  <si>
    <t>Ator Ali Para</t>
  </si>
  <si>
    <t>আতর আলী পাড়া</t>
  </si>
  <si>
    <t>CHH605</t>
  </si>
  <si>
    <t>Kateb Para Uttorangsho</t>
  </si>
  <si>
    <t>কাতেব পাড়া উত্তরাংশ</t>
  </si>
  <si>
    <t>CHH606</t>
  </si>
  <si>
    <t>Purbo Matbor Para</t>
  </si>
  <si>
    <t>পূর্ব মাতবর পাড়া</t>
  </si>
  <si>
    <t>CHH607</t>
  </si>
  <si>
    <t>Pashchim Matbor Para</t>
  </si>
  <si>
    <t>পশ্চিম মাতবর পাড়া</t>
  </si>
  <si>
    <t>CHH608</t>
  </si>
  <si>
    <t>Abdul Mojid Para</t>
  </si>
  <si>
    <t>আবদুল মজিদ পাড়া</t>
  </si>
  <si>
    <t>CHH701</t>
  </si>
  <si>
    <t>Jamal Uddin Para</t>
  </si>
  <si>
    <t>জামাল উদ্দিন পাড়া</t>
  </si>
  <si>
    <t>CHH702</t>
  </si>
  <si>
    <t>Monnan Para</t>
  </si>
  <si>
    <t>মন্নান পাড়া</t>
  </si>
  <si>
    <t>CHH703</t>
  </si>
  <si>
    <t>Haji Ali Mia Sikder Para</t>
  </si>
  <si>
    <t>হাজী অলি মিয়া সিকদার পাড়া</t>
  </si>
  <si>
    <t>CHH704</t>
  </si>
  <si>
    <t>Haji Kala Mia Para</t>
  </si>
  <si>
    <t>হাজী কালা মিয়া পাড়া</t>
  </si>
  <si>
    <t>CHH705</t>
  </si>
  <si>
    <t>Haji Soleman Boli Para</t>
  </si>
  <si>
    <t>হাজী সোলেমান বলি পাড়া</t>
  </si>
  <si>
    <t>CHH706</t>
  </si>
  <si>
    <t>60 No. Para</t>
  </si>
  <si>
    <t>৬০ নং পাড়া</t>
  </si>
  <si>
    <t>CHH707</t>
  </si>
  <si>
    <t>Komor Ali Majhi Para</t>
  </si>
  <si>
    <t>কমর আলী মাঝি পাড়া</t>
  </si>
  <si>
    <t>CHH708</t>
  </si>
  <si>
    <t>Begomjan Para</t>
  </si>
  <si>
    <t>বেগমজান পাড়া</t>
  </si>
  <si>
    <t>CHH709</t>
  </si>
  <si>
    <t>Faizani Baper Bari</t>
  </si>
  <si>
    <t>ফয়জানী বাপের বাড়ী</t>
  </si>
  <si>
    <t>CHH710</t>
  </si>
  <si>
    <t>Nurul Kader Para</t>
  </si>
  <si>
    <t>নুরুল কাদের পাড়া</t>
  </si>
  <si>
    <t>CHH801</t>
  </si>
  <si>
    <t>Daraf Ali Sikder Para</t>
  </si>
  <si>
    <t>দরফ আলী সিকদার পাড়া</t>
  </si>
  <si>
    <t>CHH802</t>
  </si>
  <si>
    <t>CHH803</t>
  </si>
  <si>
    <t>Master Abdul Goni Para</t>
  </si>
  <si>
    <t>মাস্টার আবদুল গণি পাড়া</t>
  </si>
  <si>
    <t>CHH804</t>
  </si>
  <si>
    <t>Haji Osiuddin Para</t>
  </si>
  <si>
    <t>হাজী অছিউদ্দিন পাড়া</t>
  </si>
  <si>
    <t>CHH805</t>
  </si>
  <si>
    <t>Bashir Matobbor Para</t>
  </si>
  <si>
    <t>বশির মাতব্বর পাড়া</t>
  </si>
  <si>
    <t>CHH806</t>
  </si>
  <si>
    <t>Bechu Pondit Para</t>
  </si>
  <si>
    <t>বেছু পন্ডিত পাড়া</t>
  </si>
  <si>
    <t>CHH807</t>
  </si>
  <si>
    <t>Hafez Golam Kader Para</t>
  </si>
  <si>
    <t>হাফেজ গোলাম কাদের পাড়া</t>
  </si>
  <si>
    <t>CHH808</t>
  </si>
  <si>
    <t>Hafez Abdu Sattar Para</t>
  </si>
  <si>
    <t>হাফেজ আব্দু সাত্তার পাড়া</t>
  </si>
  <si>
    <t>CHH809</t>
  </si>
  <si>
    <t>Haji Chamiuddin Para</t>
  </si>
  <si>
    <t>হাজী ছমিউদ্দিন পাড়া</t>
  </si>
  <si>
    <t>CHH810</t>
  </si>
  <si>
    <t>CHH811</t>
  </si>
  <si>
    <t>Das para</t>
  </si>
  <si>
    <t>দাশ পাড়া</t>
  </si>
  <si>
    <t>CHH812</t>
  </si>
  <si>
    <t>Sujani Para</t>
  </si>
  <si>
    <t>সুজানী পাড়া</t>
  </si>
  <si>
    <t>CHH813</t>
  </si>
  <si>
    <t>Mohajer Para</t>
  </si>
  <si>
    <t>মোহাজের পাড়া</t>
  </si>
  <si>
    <t>CHH901</t>
  </si>
  <si>
    <t>01 No. Para</t>
  </si>
  <si>
    <t>০১ নং পাড়া</t>
  </si>
  <si>
    <t>CHH902</t>
  </si>
  <si>
    <t>CHH903</t>
  </si>
  <si>
    <t xml:space="preserve">Chemot Khali </t>
  </si>
  <si>
    <t>ছেমট খালী</t>
  </si>
  <si>
    <t>CHH904</t>
  </si>
  <si>
    <t>Joy Nagar Para</t>
  </si>
  <si>
    <t>জয় নগর পাড়া</t>
  </si>
  <si>
    <t>CHM101</t>
  </si>
  <si>
    <t>CHM102</t>
  </si>
  <si>
    <t>Baniya Ghona</t>
  </si>
  <si>
    <t>বাণিয়া ঘোনা</t>
  </si>
  <si>
    <t>CHM103</t>
  </si>
  <si>
    <t>CHM104</t>
  </si>
  <si>
    <t>CHM105</t>
  </si>
  <si>
    <t>Hajir Para</t>
  </si>
  <si>
    <t>হাজীর পাড়া</t>
  </si>
  <si>
    <t>CHM106</t>
  </si>
  <si>
    <t>Dakkhin Para</t>
  </si>
  <si>
    <t>দক্ষিণ পাড়া</t>
  </si>
  <si>
    <t>CHM107</t>
  </si>
  <si>
    <t>Aichamia Chowdhury Para</t>
  </si>
  <si>
    <t>আইছামিয়া চৌধুরী পাড়া</t>
  </si>
  <si>
    <t>CHM201</t>
  </si>
  <si>
    <t>Doctor Saber Para</t>
  </si>
  <si>
    <t>ডাক্তার সাবের পাড়া</t>
  </si>
  <si>
    <t>CHM202</t>
  </si>
  <si>
    <t>Maulavi Jamal Uddin Saheb Para</t>
  </si>
  <si>
    <t>মৌলভী জামাল উদ্দিন সাহেব পাড়া</t>
  </si>
  <si>
    <t>CHM203</t>
  </si>
  <si>
    <t>Haji Nur Uddin Para</t>
  </si>
  <si>
    <t>হাজী নূর উদ্দিন পাড়া</t>
  </si>
  <si>
    <t>CHM204</t>
  </si>
  <si>
    <t>Sukur Mohammad Sikder Para</t>
  </si>
  <si>
    <t>শুকুর মোঃ সিকদার পাড়া</t>
  </si>
  <si>
    <t>CHM205</t>
  </si>
  <si>
    <t>Saratiya Para</t>
  </si>
  <si>
    <t>সরতিয়া পাড়া</t>
  </si>
  <si>
    <t>CHM206</t>
  </si>
  <si>
    <t>Sawdagar Para</t>
  </si>
  <si>
    <t>সওদাগর পাড়া</t>
  </si>
  <si>
    <t>CHM207</t>
  </si>
  <si>
    <t>Chand Mia Para</t>
  </si>
  <si>
    <t>চাঁদ মিয়া পাড়া</t>
  </si>
  <si>
    <t>CHM208</t>
  </si>
  <si>
    <t>Baralia Para</t>
  </si>
  <si>
    <t>বাড়ালিয়া পাড়া</t>
  </si>
  <si>
    <t>CHM209</t>
  </si>
  <si>
    <t>নয়া পাড়া</t>
  </si>
  <si>
    <t>CHM210</t>
  </si>
  <si>
    <t>Hindu Chowdhury Para</t>
  </si>
  <si>
    <t>হিন্দু চৌধুরী পাড়া</t>
  </si>
  <si>
    <t>CHM211</t>
  </si>
  <si>
    <t>Golam Ali Sikder Para</t>
  </si>
  <si>
    <t>গোলাম আলী সিকদার পাড়া</t>
  </si>
  <si>
    <t>CHM212</t>
  </si>
  <si>
    <t>Afiya Baper Para</t>
  </si>
  <si>
    <t>আফিয়া বাপের পাড়া</t>
  </si>
  <si>
    <t>CHM213</t>
  </si>
  <si>
    <t>মধ্যম পাড়া</t>
  </si>
  <si>
    <t>CHM214</t>
  </si>
  <si>
    <t>Ahmadiya Para</t>
  </si>
  <si>
    <t>আহমদিয়া পাড়া</t>
  </si>
  <si>
    <t>CHM301</t>
  </si>
  <si>
    <t>CHM302</t>
  </si>
  <si>
    <t>CHM303</t>
  </si>
  <si>
    <t>CHM304</t>
  </si>
  <si>
    <t>CHM305</t>
  </si>
  <si>
    <t>Uttar Munshirkhil Para</t>
  </si>
  <si>
    <t>উত্তর মুন্সিরখীল পাড়া</t>
  </si>
  <si>
    <t>CHM306</t>
  </si>
  <si>
    <t>Bara Pukur Pashchim Para</t>
  </si>
  <si>
    <t>বড় পুকুর পশ্চিম পাড়া</t>
  </si>
  <si>
    <t>CHM307</t>
  </si>
  <si>
    <t>Purba Mahuri Para</t>
  </si>
  <si>
    <t>পূূর্ব মহুরী পাড়া</t>
  </si>
  <si>
    <t>CHM308</t>
  </si>
  <si>
    <t>Pashchim Mahuri Para</t>
  </si>
  <si>
    <t>পশ্চিম মহুরী পাড়া</t>
  </si>
  <si>
    <t>CHM309</t>
  </si>
  <si>
    <t>Bangla Bazar Dakkhin Para</t>
  </si>
  <si>
    <t>বাংলা বাজার দক্ষিণ পাড়া</t>
  </si>
  <si>
    <t>CHM310</t>
  </si>
  <si>
    <t>Bangla Bazar Purba Para</t>
  </si>
  <si>
    <t>বাংলা বাজার পূূর্ব পাড়া</t>
  </si>
  <si>
    <t>CHM311</t>
  </si>
  <si>
    <t>Sharif Manzil Para</t>
  </si>
  <si>
    <t>শরীফ মঞ্জিল পাড়া</t>
  </si>
  <si>
    <t>CHM401</t>
  </si>
  <si>
    <t>Purba Sandhi Para</t>
  </si>
  <si>
    <t>পূর্ব সন্ধি পাড়া</t>
  </si>
  <si>
    <t>CHM402</t>
  </si>
  <si>
    <t>Pashchim Sandhi Para</t>
  </si>
  <si>
    <t>পশ্চিম সন্ধি পাড়া</t>
  </si>
  <si>
    <t>CHM403</t>
  </si>
  <si>
    <t>Toila Para</t>
  </si>
  <si>
    <t>তৈলা পাড়া</t>
  </si>
  <si>
    <t>CHM404</t>
  </si>
  <si>
    <t>Kai-Majhi Para</t>
  </si>
  <si>
    <t>কৈ-মাঝি পাড়া</t>
  </si>
  <si>
    <t>CHM405</t>
  </si>
  <si>
    <t>Amin Chairman Para</t>
  </si>
  <si>
    <t>আমিন চেয়ারম্যান পাড়া</t>
  </si>
  <si>
    <t>CHM406</t>
  </si>
  <si>
    <t>চৌকিদার পাড়া</t>
  </si>
  <si>
    <t>CHM407</t>
  </si>
  <si>
    <t>Lohaye Para</t>
  </si>
  <si>
    <t>লোহায় পাড়া</t>
  </si>
  <si>
    <t>CHM408</t>
  </si>
  <si>
    <t>CHM409</t>
  </si>
  <si>
    <t>Khalil Para</t>
  </si>
  <si>
    <t>খলিল পাড়া</t>
  </si>
  <si>
    <t>CHM410</t>
  </si>
  <si>
    <t>Noori Baper Bari</t>
  </si>
  <si>
    <t>নূরী বাপের বাড়ি</t>
  </si>
  <si>
    <t>CHM411</t>
  </si>
  <si>
    <t>Nauchura Para</t>
  </si>
  <si>
    <t>নৌচূরা পাড়া</t>
  </si>
  <si>
    <t>CHM501</t>
  </si>
  <si>
    <t>CHM502</t>
  </si>
  <si>
    <t>Ajani Para</t>
  </si>
  <si>
    <t>আযানী পাড়া</t>
  </si>
  <si>
    <t>CHM503</t>
  </si>
  <si>
    <t>Sadeq Fakir Para</t>
  </si>
  <si>
    <t>সাদেক ফকির পাড়া</t>
  </si>
  <si>
    <t>CHM504</t>
  </si>
  <si>
    <t>Bodhu Baper Bari</t>
  </si>
  <si>
    <t>বধূ বাপের বাড়ি</t>
  </si>
  <si>
    <t>CHM505</t>
  </si>
  <si>
    <t>Saleh Ahmed Member Para</t>
  </si>
  <si>
    <t>সালেহ আহম্মদ মেম্বার পাড়া</t>
  </si>
  <si>
    <t>CHM506</t>
  </si>
  <si>
    <t>Omar Ali Sikder Para</t>
  </si>
  <si>
    <t>ওমর আলী সিকদার পাড়া</t>
  </si>
  <si>
    <t>CHM507</t>
  </si>
  <si>
    <t>Ansur Ali Para</t>
  </si>
  <si>
    <t>আনছুর আলী পাড়া</t>
  </si>
  <si>
    <t>CHM508</t>
  </si>
  <si>
    <t>Gharar Bari Para</t>
  </si>
  <si>
    <t>ঘারার বাড়ি পাড়া</t>
  </si>
  <si>
    <t>CHM509</t>
  </si>
  <si>
    <t>Madhyam Nath Para</t>
  </si>
  <si>
    <t>মধ্যম নাথ পাড়া</t>
  </si>
  <si>
    <t>CHM510</t>
  </si>
  <si>
    <t>Dakkhin Nath Para</t>
  </si>
  <si>
    <t>দক্ষিণ নাথ পাড়া</t>
  </si>
  <si>
    <t>CHM511</t>
  </si>
  <si>
    <t>Amir Hossain Member Para</t>
  </si>
  <si>
    <t>আমির হোসেন মেম্বার পাড়া</t>
  </si>
  <si>
    <t>CHM512</t>
  </si>
  <si>
    <t>Abdur Ali Sikder Para</t>
  </si>
  <si>
    <t>আব্দুর আলী সিকদার পাড়া</t>
  </si>
  <si>
    <t>CHM601</t>
  </si>
  <si>
    <t>Sonar Khil</t>
  </si>
  <si>
    <t>সোনার খীল</t>
  </si>
  <si>
    <t>CHM602</t>
  </si>
  <si>
    <t>Bara Muttar Para</t>
  </si>
  <si>
    <t>বড় মুত্তর পাড়া</t>
  </si>
  <si>
    <t>CHM603</t>
  </si>
  <si>
    <t>Duilya Jhiri</t>
  </si>
  <si>
    <t>দুইল্যা ঝিড়ি</t>
  </si>
  <si>
    <t>CHM604</t>
  </si>
  <si>
    <t>Jangal Chambal</t>
  </si>
  <si>
    <t>জঙ্গল চাম্বল</t>
  </si>
  <si>
    <t>CHM605</t>
  </si>
  <si>
    <t>CHM606</t>
  </si>
  <si>
    <t>Nath Para</t>
  </si>
  <si>
    <t>নাথ পাড়া</t>
  </si>
  <si>
    <t>CHM607</t>
  </si>
  <si>
    <t>Adarsha Gram</t>
  </si>
  <si>
    <t>আদর্শ গ্রাম</t>
  </si>
  <si>
    <t>CHM608</t>
  </si>
  <si>
    <t>Munsur Para</t>
  </si>
  <si>
    <t>মুনসুর পাড়া</t>
  </si>
  <si>
    <t>CHM609</t>
  </si>
  <si>
    <t>আযানী পাড়া</t>
  </si>
  <si>
    <t>CHM701</t>
  </si>
  <si>
    <t>Hindu Nath Para</t>
  </si>
  <si>
    <t>হিন্দু নাথ পাড়া</t>
  </si>
  <si>
    <t>CHM702</t>
  </si>
  <si>
    <t>CHM703</t>
  </si>
  <si>
    <t>CHM704</t>
  </si>
  <si>
    <t>Maleni Mura</t>
  </si>
  <si>
    <t>মালেনী মূড়া</t>
  </si>
  <si>
    <t>CHM705</t>
  </si>
  <si>
    <t>Patla Market</t>
  </si>
  <si>
    <t>পাতলা মার্কেট</t>
  </si>
  <si>
    <t>CHM706</t>
  </si>
  <si>
    <t>Khalifa Para</t>
  </si>
  <si>
    <t>খলিফা পাড়া</t>
  </si>
  <si>
    <t>CHM707</t>
  </si>
  <si>
    <t>CHM708</t>
  </si>
  <si>
    <t>Churalyar Para</t>
  </si>
  <si>
    <t>চুরাল্যার পাড়া</t>
  </si>
  <si>
    <t>CHM709</t>
  </si>
  <si>
    <t>টেলি পাড়া</t>
  </si>
  <si>
    <t>CHM710</t>
  </si>
  <si>
    <t>Mosha Market</t>
  </si>
  <si>
    <t>মোশা মার্কেট</t>
  </si>
  <si>
    <t>CHM711</t>
  </si>
  <si>
    <t>Chhararkul</t>
  </si>
  <si>
    <t>ছড়ারকূল</t>
  </si>
  <si>
    <t>CHM712</t>
  </si>
  <si>
    <t>Member Rashid Ahmed Bari</t>
  </si>
  <si>
    <t>মেম্বার রশীদ আহম্মদ বাড়ি</t>
  </si>
  <si>
    <t>CHM801</t>
  </si>
  <si>
    <t>CHM802</t>
  </si>
  <si>
    <t>Izzat Ali Chowdhury Para</t>
  </si>
  <si>
    <t>ইজ্জত আলী চৌধুরী পাড়া</t>
  </si>
  <si>
    <t>CHM803</t>
  </si>
  <si>
    <t>হাজী পাড়া</t>
  </si>
  <si>
    <t>CHM804</t>
  </si>
  <si>
    <t>Mawla Baper Bari</t>
  </si>
  <si>
    <t>মাওলা বাপের বাড়ি</t>
  </si>
  <si>
    <t>CHM805</t>
  </si>
  <si>
    <t>Abdul Hakim Sawdagar Bari</t>
  </si>
  <si>
    <t>আব্দুল হাকিম সওদাগর বাড়ি</t>
  </si>
  <si>
    <t>CHM806</t>
  </si>
  <si>
    <t>Abdul Gafur Sikder Bari</t>
  </si>
  <si>
    <t>আব্দুল গফুর সিকদার বাড়ি</t>
  </si>
  <si>
    <t>CHM807</t>
  </si>
  <si>
    <t>CHM808</t>
  </si>
  <si>
    <t>Mistri Bara Bari</t>
  </si>
  <si>
    <t>মিস্ত্রি বড় বাড়ি</t>
  </si>
  <si>
    <t>CHM809</t>
  </si>
  <si>
    <t>Haquedar Para</t>
  </si>
  <si>
    <t>হকদার পাড়া</t>
  </si>
  <si>
    <t>CHM810</t>
  </si>
  <si>
    <t>Himmat Ali Sikder Para</t>
  </si>
  <si>
    <t>হিম্মত আলী সিকদার পাড়া</t>
  </si>
  <si>
    <t>CHM811</t>
  </si>
  <si>
    <t>CHM901</t>
  </si>
  <si>
    <t>Miyaji Para</t>
  </si>
  <si>
    <t>মিয়াজী পাড়া</t>
  </si>
  <si>
    <t>CHM902</t>
  </si>
  <si>
    <t>CHM903</t>
  </si>
  <si>
    <t>Sayed Para</t>
  </si>
  <si>
    <t>সৈয়দ পাড়া</t>
  </si>
  <si>
    <t>CHM904</t>
  </si>
  <si>
    <t>Pashchim Hydari Para</t>
  </si>
  <si>
    <t>পশ্চিম হায়দারী পাড়া</t>
  </si>
  <si>
    <t>CHM905</t>
  </si>
  <si>
    <t>Purba Hydari Para</t>
  </si>
  <si>
    <t>পূর্ব হায়দারী পাড়া</t>
  </si>
  <si>
    <t>CHM906</t>
  </si>
  <si>
    <t>South Jangal Chambal</t>
  </si>
  <si>
    <t>দক্ষিণ জঙ্গল চাম্বল</t>
  </si>
  <si>
    <t>CHM907</t>
  </si>
  <si>
    <t>Saira Baper Para</t>
  </si>
  <si>
    <t>সাইরা বাপের পাড়া</t>
  </si>
  <si>
    <t>CHM908</t>
  </si>
  <si>
    <t>Natun Para (Purba)</t>
  </si>
  <si>
    <t>নতুন পাড়া (পূর্ব)</t>
  </si>
  <si>
    <t>CHM909</t>
  </si>
  <si>
    <t>CHM910</t>
  </si>
  <si>
    <t>Peshkar Para</t>
  </si>
  <si>
    <t>পেশকার পাড়া</t>
  </si>
  <si>
    <t>CHM911</t>
  </si>
  <si>
    <t>CHM912</t>
  </si>
  <si>
    <t>Jumman Bari</t>
  </si>
  <si>
    <t>জুম্মান বাড়ি</t>
  </si>
  <si>
    <t>CHM913</t>
  </si>
  <si>
    <t>CHM914</t>
  </si>
  <si>
    <t>চর পাড়া</t>
  </si>
  <si>
    <t>GAN101</t>
  </si>
  <si>
    <t>Khamar Para</t>
  </si>
  <si>
    <t>খামার পাড়া</t>
  </si>
  <si>
    <t>GAN102</t>
  </si>
  <si>
    <t>Samad Ali Matabbar Bari</t>
  </si>
  <si>
    <t>সমাদ আলী মাতাব্বর বাড়ি</t>
  </si>
  <si>
    <t>GAN103</t>
  </si>
  <si>
    <t>Raham Ali Majhi Bari</t>
  </si>
  <si>
    <t>রহম আলী মাঝি বাড়ি</t>
  </si>
  <si>
    <t>GAN104</t>
  </si>
  <si>
    <t>GAN105</t>
  </si>
  <si>
    <t>Matabbar Para</t>
  </si>
  <si>
    <t>মাতব্বর পাড়া</t>
  </si>
  <si>
    <t>GAN106</t>
  </si>
  <si>
    <t>Senayet Ali Bari</t>
  </si>
  <si>
    <t>সেনায়েত আলী বাড়ি</t>
  </si>
  <si>
    <t>GAN107</t>
  </si>
  <si>
    <t>Haider Ali Majhi Bari</t>
  </si>
  <si>
    <t>হায়দার আলী মাঝি বাড়ি</t>
  </si>
  <si>
    <t>GAN108</t>
  </si>
  <si>
    <t>Ruhul Amin Talukder Para</t>
  </si>
  <si>
    <t>রুহুল আমিন তালুকদার পাড়া</t>
  </si>
  <si>
    <t>GAN201</t>
  </si>
  <si>
    <t>Dhupi Para</t>
  </si>
  <si>
    <t>ধুপি পাড়া</t>
  </si>
  <si>
    <t>GAN202</t>
  </si>
  <si>
    <t>Rahmat Ali Bari</t>
  </si>
  <si>
    <t>রহমত আলী বাড়ী</t>
  </si>
  <si>
    <t>GAN203</t>
  </si>
  <si>
    <t>Aimar Para</t>
  </si>
  <si>
    <t>আইমার পাড়া</t>
  </si>
  <si>
    <t>GAN204</t>
  </si>
  <si>
    <t>Laitya Bor Bari</t>
  </si>
  <si>
    <t>লইত্যা বর বাড়ী</t>
  </si>
  <si>
    <t>GAN205</t>
  </si>
  <si>
    <t>Shahar Mullock Bari</t>
  </si>
  <si>
    <t>শহর মুল্লক বাড়ী</t>
  </si>
  <si>
    <t>GAN206</t>
  </si>
  <si>
    <t>Neyja Bar Bari</t>
  </si>
  <si>
    <t>নেইত্যা বর বাড়ী</t>
  </si>
  <si>
    <t>GAN207</t>
  </si>
  <si>
    <t>Member Shah Alam Bari</t>
  </si>
  <si>
    <t>মেম্বার শাহ আলম বাড়ী</t>
  </si>
  <si>
    <t>GAN208</t>
  </si>
  <si>
    <t>Chowdhury Bari</t>
  </si>
  <si>
    <t>চৌধুরী বাড়ী</t>
  </si>
  <si>
    <t>GAN209</t>
  </si>
  <si>
    <t xml:space="preserve">Haranir Bari </t>
  </si>
  <si>
    <t>হরনীর বাড়ি</t>
  </si>
  <si>
    <t>GAN301</t>
  </si>
  <si>
    <t>Badan Miyajir Bari</t>
  </si>
  <si>
    <t>বদন মিয়াজীর বাড়ী</t>
  </si>
  <si>
    <t>GAN302</t>
  </si>
  <si>
    <t>Ala Uddin Majhir Bari</t>
  </si>
  <si>
    <t>আলা উদ্দীন মাঝির বাড়ী</t>
  </si>
  <si>
    <t>GAN303</t>
  </si>
  <si>
    <t>Fatah Ali Matbbar Bari</t>
  </si>
  <si>
    <t>ফাতহ আলী মাতব্বর বাড়ী</t>
  </si>
  <si>
    <t>GAN304</t>
  </si>
  <si>
    <t>Muazzim Bari</t>
  </si>
  <si>
    <t>মুয়াজ্জিম বাড়ি</t>
  </si>
  <si>
    <t>GAN305</t>
  </si>
  <si>
    <t>Bilar Bari</t>
  </si>
  <si>
    <t>বিলার বাড়ি</t>
  </si>
  <si>
    <t>GAN306</t>
  </si>
  <si>
    <t>Shil Bari</t>
  </si>
  <si>
    <t>শীল বাড়ী</t>
  </si>
  <si>
    <t>GAN307</t>
  </si>
  <si>
    <t>Munshir Bari</t>
  </si>
  <si>
    <t>মুন্সীর বাড়ি</t>
  </si>
  <si>
    <t>GAN308</t>
  </si>
  <si>
    <t>Hongshor Ali Bari</t>
  </si>
  <si>
    <t>হংসর আলী বাড়ী</t>
  </si>
  <si>
    <t>GAN309</t>
  </si>
  <si>
    <t>Latu Sikder Notun Bari</t>
  </si>
  <si>
    <t>লাতু শিকদার নতুন বাড়ী</t>
  </si>
  <si>
    <t>GAN310</t>
  </si>
  <si>
    <t>Hedayet Alir Bari</t>
  </si>
  <si>
    <t>হেদায়েত আলীর বাড়ী</t>
  </si>
  <si>
    <t>GAN311</t>
  </si>
  <si>
    <t>GAN312</t>
  </si>
  <si>
    <t>Hajir Para Mujib Killa</t>
  </si>
  <si>
    <t>হাজীর পাড়া মুজিব কিল্লা</t>
  </si>
  <si>
    <t>GAN313</t>
  </si>
  <si>
    <t>Haji Ahmed Ali Bari</t>
  </si>
  <si>
    <t>হাজী আহমেদ আলী বাড়ি</t>
  </si>
  <si>
    <t>GAN401</t>
  </si>
  <si>
    <t>Beribadh Para</t>
  </si>
  <si>
    <t>বেরীবাধ পাড়া</t>
  </si>
  <si>
    <t>GAN402</t>
  </si>
  <si>
    <t>Chowki Sikder Bari</t>
  </si>
  <si>
    <t>চৌকি সিকদার বাড়ি</t>
  </si>
  <si>
    <t>GAN403</t>
  </si>
  <si>
    <t>Mariam Janer Baper Bari</t>
  </si>
  <si>
    <t>মরিয়ম জানের বাপের বাড়ি</t>
  </si>
  <si>
    <t>GAN404</t>
  </si>
  <si>
    <t>Jaydani Baper Bari</t>
  </si>
  <si>
    <t>জয়দানী বাপের বাড়ি</t>
  </si>
  <si>
    <t>GAN405</t>
  </si>
  <si>
    <t>Sajjani Baper Bari</t>
  </si>
  <si>
    <t>সাজ্জানী বাপের বাড়ি</t>
  </si>
  <si>
    <t>GAN406</t>
  </si>
  <si>
    <t>Shah Fateh Ali Bari</t>
  </si>
  <si>
    <t>শাহ ফাতেহ আলী বাড়ি</t>
  </si>
  <si>
    <t>GAN407</t>
  </si>
  <si>
    <t>MokbuHaji Natun Bari</t>
  </si>
  <si>
    <t>মকবুল হাজী নতুন বাড়ি</t>
  </si>
  <si>
    <t>GAN408</t>
  </si>
  <si>
    <t>Power Plant</t>
  </si>
  <si>
    <t>পাওয়ার প্ল্যান্ট</t>
  </si>
  <si>
    <t>GAN409</t>
  </si>
  <si>
    <t>Askar Ali Bari</t>
  </si>
  <si>
    <t>আসকর আলী বাড়ি</t>
  </si>
  <si>
    <t>GAN501</t>
  </si>
  <si>
    <t>Sadeq Ali Bari</t>
  </si>
  <si>
    <t>সাদেক আলী বাড়ি</t>
  </si>
  <si>
    <t>GAN502</t>
  </si>
  <si>
    <t>Mohijani Baper Bari</t>
  </si>
  <si>
    <t>মহিজানী বাপের বাড়ি</t>
  </si>
  <si>
    <t>GAN503</t>
  </si>
  <si>
    <t>Fate Ali Bari</t>
  </si>
  <si>
    <t>ফতে আলী বাড়ি</t>
  </si>
  <si>
    <t>GAN504</t>
  </si>
  <si>
    <t>Suyar Baper Bari</t>
  </si>
  <si>
    <t>সূয়ার বাপের বাড়ি</t>
  </si>
  <si>
    <t>GAN505</t>
  </si>
  <si>
    <t>Kazi Senayat Ali Bari</t>
  </si>
  <si>
    <t>কাজী সেনায়ত আলী বাড়ি</t>
  </si>
  <si>
    <t>GAN506</t>
  </si>
  <si>
    <t>Sikder Bari</t>
  </si>
  <si>
    <t>সিকদার বাড়ি</t>
  </si>
  <si>
    <t>GAN507</t>
  </si>
  <si>
    <t>Ali Hossain Contractor Bari</t>
  </si>
  <si>
    <t>আলী হোসেন কন্ট্রাক্টর বাড়ি</t>
  </si>
  <si>
    <t>GAN601</t>
  </si>
  <si>
    <t>Master Kashem Bari</t>
  </si>
  <si>
    <t>মাস্টার কাশেম বাড়ি</t>
  </si>
  <si>
    <t>GAN602</t>
  </si>
  <si>
    <t>Guramiya Bari</t>
  </si>
  <si>
    <t>গুড়ামিয়া বাড়ি</t>
  </si>
  <si>
    <t>GAN603</t>
  </si>
  <si>
    <t>Waz Uddin Bari</t>
  </si>
  <si>
    <t>ওয়াজ উদ্দিন বাড়ি</t>
  </si>
  <si>
    <t>GAN604</t>
  </si>
  <si>
    <t>Rahat Ali</t>
  </si>
  <si>
    <t>রাহাত আলী</t>
  </si>
  <si>
    <t>GAN605</t>
  </si>
  <si>
    <t>Chakidar Para</t>
  </si>
  <si>
    <t>চকিদার পাড়া</t>
  </si>
  <si>
    <t>GAN606</t>
  </si>
  <si>
    <t>GAN607</t>
  </si>
  <si>
    <t>Daraf Ali Sikder Bari</t>
  </si>
  <si>
    <t>দরফ আলী সিকদার বাড়ি</t>
  </si>
  <si>
    <t>GAN701</t>
  </si>
  <si>
    <t>Chamad Ali Sikder Bari</t>
  </si>
  <si>
    <t>ছমদ আলী সিকদার বাড়ি</t>
  </si>
  <si>
    <t>GAN702</t>
  </si>
  <si>
    <t>Lal Puri Bari</t>
  </si>
  <si>
    <t>লাল পুরি বাড়ি</t>
  </si>
  <si>
    <t>GAN703</t>
  </si>
  <si>
    <t>Mujib Balir Bari</t>
  </si>
  <si>
    <t>মুজিব বলির বাড়ি</t>
  </si>
  <si>
    <t>GAN704</t>
  </si>
  <si>
    <t>Bashir Ahmed Bari</t>
  </si>
  <si>
    <t>বশির আহম্মেদ বাড়ি</t>
  </si>
  <si>
    <t>GAN705</t>
  </si>
  <si>
    <t>GAN706</t>
  </si>
  <si>
    <t>Mizan Ali Bari</t>
  </si>
  <si>
    <t>মিজান আলী বাড়ী</t>
  </si>
  <si>
    <t>GAN801</t>
  </si>
  <si>
    <t>Izzat Ali Bari</t>
  </si>
  <si>
    <t>ইজ্জত আলী বাড়ী</t>
  </si>
  <si>
    <t>GAN802</t>
  </si>
  <si>
    <t>Muna Sikder Bari</t>
  </si>
  <si>
    <t>মুনা সিকদার বাড়ী</t>
  </si>
  <si>
    <t>GAN803</t>
  </si>
  <si>
    <t>Chana Ullah Talukder Bari</t>
  </si>
  <si>
    <t>চনা উল্লাহ তালুকদার বাড়ী</t>
  </si>
  <si>
    <t>GAN804</t>
  </si>
  <si>
    <t>Abdul Gani Talukder Bari</t>
  </si>
  <si>
    <t>আব্দুল গনি তালুকদার বাড়ী</t>
  </si>
  <si>
    <t>GAN805</t>
  </si>
  <si>
    <t>Hajj Abdul Salam Sikder Bari</t>
  </si>
  <si>
    <t>হাজী আব্দুল সালাম সিকদার বাড়ী</t>
  </si>
  <si>
    <t>GAN806</t>
  </si>
  <si>
    <t>Kader Box Bari</t>
  </si>
  <si>
    <t>কাদের বক্স বাড়ী</t>
  </si>
  <si>
    <t>GAN807</t>
  </si>
  <si>
    <t>Emdad Mia Para</t>
  </si>
  <si>
    <t>এমদাদ মিয়া পাড়া</t>
  </si>
  <si>
    <t>GAN808</t>
  </si>
  <si>
    <t>Mofzal Ahmed Bari</t>
  </si>
  <si>
    <t>মফজাল আহম্মদ বাড়ী</t>
  </si>
  <si>
    <t>GAN809</t>
  </si>
  <si>
    <t>Abul Khair Bari</t>
  </si>
  <si>
    <t>আবুল খায়ের বাড়ী</t>
  </si>
  <si>
    <t>GAN810</t>
  </si>
  <si>
    <t>Dallyar Bari</t>
  </si>
  <si>
    <t>দল্ল্যার বাড়ী</t>
  </si>
  <si>
    <t>GAN811</t>
  </si>
  <si>
    <t>Samad Ali Sikder Notun Bari</t>
  </si>
  <si>
    <t>সমদ আলী সিকদার নতুন বাড়ি</t>
  </si>
  <si>
    <t>GAN901</t>
  </si>
  <si>
    <t>Fakirer Bari</t>
  </si>
  <si>
    <t>ফকিরের বাড়ি</t>
  </si>
  <si>
    <t>GAN902</t>
  </si>
  <si>
    <t>Dalil Ahmmed Bari</t>
  </si>
  <si>
    <t>দলিল আহম্মদ বাড়ি</t>
  </si>
  <si>
    <t>GAN903</t>
  </si>
  <si>
    <t>GAN904</t>
  </si>
  <si>
    <t>GAN905</t>
  </si>
  <si>
    <t>Patenga Para</t>
  </si>
  <si>
    <t>পতেঙ্গা পাড়া</t>
  </si>
  <si>
    <t>GAN906</t>
  </si>
  <si>
    <t>Patlar Bari</t>
  </si>
  <si>
    <t>পাতলার বাড়ি</t>
  </si>
  <si>
    <t>GAN907</t>
  </si>
  <si>
    <t>Pechar Bari Para</t>
  </si>
  <si>
    <t>পেচার বাড়ি পাড়া</t>
  </si>
  <si>
    <t>GAN908</t>
  </si>
  <si>
    <t>Kalu Balir Bari</t>
  </si>
  <si>
    <t>কালু বলীর বাড়ি</t>
  </si>
  <si>
    <t>GAN909</t>
  </si>
  <si>
    <t>Khatkhali Bazar Para</t>
  </si>
  <si>
    <t>খাটখালী বাজার পাড়া</t>
  </si>
  <si>
    <t>GAN910</t>
  </si>
  <si>
    <t>জলদাশ পাড়া</t>
  </si>
  <si>
    <t>GAN911</t>
  </si>
  <si>
    <t>Bhasanya Dokan Para Purba Gunagari</t>
  </si>
  <si>
    <t>ভাসান্যা দোকান পাড়া পূর্ব গুনাগরী</t>
  </si>
  <si>
    <t>KAL101</t>
  </si>
  <si>
    <t>Dolmapir Madrasa Para Purba Gunagari</t>
  </si>
  <si>
    <t>ডলমপীর মাদ্রাসা পাড়া পূর্ব গুনাগরী</t>
  </si>
  <si>
    <t>KAL102</t>
  </si>
  <si>
    <t>Christian Office Area</t>
  </si>
  <si>
    <t>খ্রিস্টান অফিস এরিয়া</t>
  </si>
  <si>
    <t>KAL103</t>
  </si>
  <si>
    <t>Bash Gunia Para Jangal Gunagari</t>
  </si>
  <si>
    <t>বাঁশ গুনিয়া পাড়া জঙ্গল গুনাগরী</t>
  </si>
  <si>
    <t>KAL104</t>
  </si>
  <si>
    <t>Charmoholla Adorshogram Jangal Gunagari</t>
  </si>
  <si>
    <t>চার মহিল্লা আদর্শ গ্রাম জঙ্গল গুনাগরী</t>
  </si>
  <si>
    <t>KAL105</t>
  </si>
  <si>
    <t>Rajar Para Purba Gunagari</t>
  </si>
  <si>
    <t>রাজার পাড়া পূর্ব গুনাগরী</t>
  </si>
  <si>
    <t>KAL106</t>
  </si>
  <si>
    <t>Banik Para Purba Gunagari</t>
  </si>
  <si>
    <t>বণিক পাড়া পূর্ব গুনাগরী</t>
  </si>
  <si>
    <t>KAL107</t>
  </si>
  <si>
    <t>Gunagari Bazar and Union Parishad</t>
  </si>
  <si>
    <t>গুনাগরী বাজার ও ইউনিয়ন পরিষদ</t>
  </si>
  <si>
    <t>KAL108</t>
  </si>
  <si>
    <t>Chan Mia Chowdhury Bari</t>
  </si>
  <si>
    <t>চান মিয়া চৌধুরী বাড়ী</t>
  </si>
  <si>
    <t>KAL201</t>
  </si>
  <si>
    <t>Shahjirbari</t>
  </si>
  <si>
    <t>শাহজীরবাড়ী</t>
  </si>
  <si>
    <t>KAL202</t>
  </si>
  <si>
    <t>Daulat Fakir Para</t>
  </si>
  <si>
    <t>দৌলত ফকির পাড়া</t>
  </si>
  <si>
    <t>KAL203</t>
  </si>
  <si>
    <t>Jahuz Para</t>
  </si>
  <si>
    <t>জহুজ পাড়া</t>
  </si>
  <si>
    <t>KAL204</t>
  </si>
  <si>
    <t>Afzal Amir Bari</t>
  </si>
  <si>
    <t>আফজল আমীর বাড়ী</t>
  </si>
  <si>
    <t>KAL205</t>
  </si>
  <si>
    <t>Azim Uddin Muhuri Bari</t>
  </si>
  <si>
    <t>আজিম উদ্দিন মুহুরী বাড়ী</t>
  </si>
  <si>
    <t>KAL206</t>
  </si>
  <si>
    <t>KAL207</t>
  </si>
  <si>
    <t>KAL208</t>
  </si>
  <si>
    <t>Chaiyar Bari</t>
  </si>
  <si>
    <t>ছইয়্যার বাড়ী</t>
  </si>
  <si>
    <t>KAL209</t>
  </si>
  <si>
    <t>Nidagazi Para</t>
  </si>
  <si>
    <t>নিদাগাজী পাড়া</t>
  </si>
  <si>
    <t>KAL301</t>
  </si>
  <si>
    <t>জেলে পাড়া</t>
  </si>
  <si>
    <t>KAL302</t>
  </si>
  <si>
    <t>Ujjal Saudagar Bari</t>
  </si>
  <si>
    <t>উজ্জল সওদাগর বাড়ী</t>
  </si>
  <si>
    <t>KAL303</t>
  </si>
  <si>
    <t>Muhuri Para</t>
  </si>
  <si>
    <t>মুহুরী পাড়া</t>
  </si>
  <si>
    <t>KAL304</t>
  </si>
  <si>
    <t xml:space="preserve">Sarkar Para Dhupi Para </t>
  </si>
  <si>
    <t>সরকার পাড়া ধূপি পাড়া</t>
  </si>
  <si>
    <t>KAL305</t>
  </si>
  <si>
    <t>Surja Master Bari</t>
  </si>
  <si>
    <t>সূর্য মাষ্টার বাড়ী</t>
  </si>
  <si>
    <t>KAL306</t>
  </si>
  <si>
    <t xml:space="preserve">Shilpara Pashchim </t>
  </si>
  <si>
    <t>শীলপাড়া পশ্চিম</t>
  </si>
  <si>
    <t>KAL307</t>
  </si>
  <si>
    <t>Dharmacharan Mahajan Bari</t>
  </si>
  <si>
    <t>ধর্মচরন মহাজন বাড়ী</t>
  </si>
  <si>
    <t>KAL308</t>
  </si>
  <si>
    <t>বণিক পাড়া</t>
  </si>
  <si>
    <t>KAL309</t>
  </si>
  <si>
    <t>KAL310</t>
  </si>
  <si>
    <t>Ramdas Munshir Bari</t>
  </si>
  <si>
    <t>রামদাশ মুন্সীর বাড়ি</t>
  </si>
  <si>
    <t>KAL311</t>
  </si>
  <si>
    <t>Katghar Para</t>
  </si>
  <si>
    <t>কাঠঘর পাড়া</t>
  </si>
  <si>
    <t>KAL401</t>
  </si>
  <si>
    <t>Shaheed Sujan Club Para</t>
  </si>
  <si>
    <t>শহীদ সুজন ক্লাব পাড়া</t>
  </si>
  <si>
    <t>KAL402</t>
  </si>
  <si>
    <t>Abhijat Club Para</t>
  </si>
  <si>
    <t>অভিজাত ক্লাব পাড়া</t>
  </si>
  <si>
    <t>KAL403</t>
  </si>
  <si>
    <t>Elias Para</t>
  </si>
  <si>
    <t>ইলিয়াস পাড়া</t>
  </si>
  <si>
    <t>KAL404</t>
  </si>
  <si>
    <t>Pal Para</t>
  </si>
  <si>
    <t>পাল পাড়া</t>
  </si>
  <si>
    <t>KAL405</t>
  </si>
  <si>
    <t>Pashchim Para</t>
  </si>
  <si>
    <t>পশ্চিম পাড়া</t>
  </si>
  <si>
    <t>KAL406</t>
  </si>
  <si>
    <t>KAL407</t>
  </si>
  <si>
    <t>Annar Ali Bari</t>
  </si>
  <si>
    <t>আন্নার আলী বাড়ি</t>
  </si>
  <si>
    <t>KAL408</t>
  </si>
  <si>
    <t>Nasir Mohammad Para</t>
  </si>
  <si>
    <t>নাসির মোহাম্মদ পাড়া</t>
  </si>
  <si>
    <t>KAL409</t>
  </si>
  <si>
    <t>Kathghar Para Purba</t>
  </si>
  <si>
    <t>কাঠঘর পাড়া পূর্ব</t>
  </si>
  <si>
    <t>KAL501</t>
  </si>
  <si>
    <t>Sikandar Miyaji Para</t>
  </si>
  <si>
    <t>সিকান্দার মিয়াজী পাড়া</t>
  </si>
  <si>
    <t>KAL502</t>
  </si>
  <si>
    <t>Nahir Mohammad Para Purba</t>
  </si>
  <si>
    <t>নাহির মোহাম্মদ পাড়া পূর্ব</t>
  </si>
  <si>
    <t>KAL503</t>
  </si>
  <si>
    <t>Nanu Fakir Para</t>
  </si>
  <si>
    <t>নানু ফকির পাড়া</t>
  </si>
  <si>
    <t>KAL504</t>
  </si>
  <si>
    <t>Chaliyar Baper Para</t>
  </si>
  <si>
    <t>ছলিয়ার বাপের পাড়া</t>
  </si>
  <si>
    <t>KAL505</t>
  </si>
  <si>
    <t>Gunur Baper Para</t>
  </si>
  <si>
    <t>গুনুর বাপের পাড়া</t>
  </si>
  <si>
    <t>KAL506</t>
  </si>
  <si>
    <t>KAL507</t>
  </si>
  <si>
    <t>Satkania Para</t>
  </si>
  <si>
    <t>সাতকানিয়া পাড়া</t>
  </si>
  <si>
    <t>KAL508</t>
  </si>
  <si>
    <t>Kadaillyaro Para</t>
  </si>
  <si>
    <t>কদইল্ল্যারো পাড়া</t>
  </si>
  <si>
    <t>KAL509</t>
  </si>
  <si>
    <t>Osimuddin Miyaji Para</t>
  </si>
  <si>
    <t>ওসিমউদ্দীন মিয়াজী পাড়া</t>
  </si>
  <si>
    <t>KAL510</t>
  </si>
  <si>
    <t>Madya-Mura Para</t>
  </si>
  <si>
    <t>মদ্য-মুড়া পাড়া</t>
  </si>
  <si>
    <t>KAL511</t>
  </si>
  <si>
    <t>Rishidam Para</t>
  </si>
  <si>
    <t>ঋষিদাম পাড়া</t>
  </si>
  <si>
    <t>KAL601</t>
  </si>
  <si>
    <t>Hashia Para</t>
  </si>
  <si>
    <t>হাছিয়া পাড়া</t>
  </si>
  <si>
    <t>KAL602</t>
  </si>
  <si>
    <t>Maulavi Para Purba Kokdandi</t>
  </si>
  <si>
    <t>মৌলভী পাড়া পূর্ব কোকদণ্ডী</t>
  </si>
  <si>
    <t>KAL603</t>
  </si>
  <si>
    <t>Gulistan Para</t>
  </si>
  <si>
    <t>গুলিস্তান পাড়া</t>
  </si>
  <si>
    <t>KAL604</t>
  </si>
  <si>
    <t>KAL605</t>
  </si>
  <si>
    <t>KAL606</t>
  </si>
  <si>
    <t>KAL607</t>
  </si>
  <si>
    <t>Khedamura Para Purba Kokdandi</t>
  </si>
  <si>
    <t>খেদামূড়া পাড়া পূর্ব কোকদণ্ডী</t>
  </si>
  <si>
    <t>KAL608</t>
  </si>
  <si>
    <t>Rustam Ali Para</t>
  </si>
  <si>
    <t>রুস্তম আলী পাড়া</t>
  </si>
  <si>
    <t>KAL701</t>
  </si>
  <si>
    <t>Yar Mohammad Para</t>
  </si>
  <si>
    <t>ইয়ার মোহাম্মদ পাড়া</t>
  </si>
  <si>
    <t>KAL702</t>
  </si>
  <si>
    <t>KAL703</t>
  </si>
  <si>
    <t>KAL704</t>
  </si>
  <si>
    <t>KAL705</t>
  </si>
  <si>
    <t>KAL706</t>
  </si>
  <si>
    <t>KAL707</t>
  </si>
  <si>
    <t>Baghuwan Para</t>
  </si>
  <si>
    <t>বাঘুওয়ান পাড়া</t>
  </si>
  <si>
    <t>KAL708</t>
  </si>
  <si>
    <t>Rashid Para</t>
  </si>
  <si>
    <t>রশিদ পাড়া</t>
  </si>
  <si>
    <t>KAL801</t>
  </si>
  <si>
    <t>Dhor Para</t>
  </si>
  <si>
    <t>ধর পাড়া</t>
  </si>
  <si>
    <t>KAL802</t>
  </si>
  <si>
    <t>বড় পাড়া</t>
  </si>
  <si>
    <t>KAL803</t>
  </si>
  <si>
    <t>Hakim Mia Shah Bari</t>
  </si>
  <si>
    <t>হাকিম মিয়া শাহ বাড়ী</t>
  </si>
  <si>
    <t>KAL804</t>
  </si>
  <si>
    <t>KAL805</t>
  </si>
  <si>
    <t>Forest Office Para</t>
  </si>
  <si>
    <t>ফরেস্ট অফিস পাড়া</t>
  </si>
  <si>
    <t>KAL806</t>
  </si>
  <si>
    <t>KAL807</t>
  </si>
  <si>
    <t>Jambaksu Fakir Para</t>
  </si>
  <si>
    <t>জামবকসু ফকির পাড়া</t>
  </si>
  <si>
    <t>KAL808</t>
  </si>
  <si>
    <t>Sattay Bari</t>
  </si>
  <si>
    <t>সাত্তায়ে বাড়ী</t>
  </si>
  <si>
    <t>KAL809</t>
  </si>
  <si>
    <t>ফকির পাড়া</t>
  </si>
  <si>
    <t>KAL901</t>
  </si>
  <si>
    <t>Ali Baper Bari</t>
  </si>
  <si>
    <t>অলি বাপের বাড়ী</t>
  </si>
  <si>
    <t>KAL902</t>
  </si>
  <si>
    <t>KAL903</t>
  </si>
  <si>
    <t>KAL904</t>
  </si>
  <si>
    <t>KAL905</t>
  </si>
  <si>
    <t>Sabur Para</t>
  </si>
  <si>
    <t>সবূর পাড়া</t>
  </si>
  <si>
    <t>KAL906</t>
  </si>
  <si>
    <t>Jula Para</t>
  </si>
  <si>
    <t>জুলা পাড়া</t>
  </si>
  <si>
    <t>KAL907</t>
  </si>
  <si>
    <t>KAL908</t>
  </si>
  <si>
    <t>KAL909</t>
  </si>
  <si>
    <t>Saju Baper Bari</t>
  </si>
  <si>
    <t>সাজু বাপের বাড়ী</t>
  </si>
  <si>
    <t>KAL910</t>
  </si>
  <si>
    <t>মগ পাড়া</t>
  </si>
  <si>
    <t>KAL911</t>
  </si>
  <si>
    <t>Safyan Para</t>
  </si>
  <si>
    <t>ছফেয়ান পাড়া</t>
  </si>
  <si>
    <t>KAT101</t>
  </si>
  <si>
    <t>Sadek Ahmed Chowdhury Para</t>
  </si>
  <si>
    <t>ছাদেক আহম্মদ চৌধুরী পাড়া</t>
  </si>
  <si>
    <t>KAT102</t>
  </si>
  <si>
    <t>Hasan Balir Para</t>
  </si>
  <si>
    <t>হাছন বলির পাড়া</t>
  </si>
  <si>
    <t>KAT103</t>
  </si>
  <si>
    <t>KAT104</t>
  </si>
  <si>
    <t>Haliapara</t>
  </si>
  <si>
    <t>হালিয়াপাড়া</t>
  </si>
  <si>
    <t>KAT105</t>
  </si>
  <si>
    <t>KAT201</t>
  </si>
  <si>
    <t>Umed Ali Sikder Para</t>
  </si>
  <si>
    <t>উমেদ আলী সিকদার পাড়া</t>
  </si>
  <si>
    <t>KAT202</t>
  </si>
  <si>
    <t>Maulana Bajal Ahmad Para</t>
  </si>
  <si>
    <t>মৌলনা বজল আহমদ পাড়া</t>
  </si>
  <si>
    <t>KAT203</t>
  </si>
  <si>
    <t>Hossen Sikder Para</t>
  </si>
  <si>
    <t>হোছেন সিকদার পাড়া</t>
  </si>
  <si>
    <t>KAT204</t>
  </si>
  <si>
    <t>KAT205</t>
  </si>
  <si>
    <t>KAT206</t>
  </si>
  <si>
    <t>Alisha (RA) Para</t>
  </si>
  <si>
    <t>অলিশাহ (রহঃ) পাড়া</t>
  </si>
  <si>
    <t>KAT301</t>
  </si>
  <si>
    <t>Mundar Para</t>
  </si>
  <si>
    <t>মুন্দার পাড়া</t>
  </si>
  <si>
    <t>KAT302</t>
  </si>
  <si>
    <t>Amir Uddin Mirzar Para</t>
  </si>
  <si>
    <t>আমির উদ্দিন মির্জার পাড়া</t>
  </si>
  <si>
    <t>KAT303</t>
  </si>
  <si>
    <t>KAT304</t>
  </si>
  <si>
    <t>KAT305</t>
  </si>
  <si>
    <t>Shafiq Chairman Para</t>
  </si>
  <si>
    <t>শফিক চেয়ারম্যান পাড়া</t>
  </si>
  <si>
    <t>KAT306</t>
  </si>
  <si>
    <t>Pukchailya Para and Goljani Para</t>
  </si>
  <si>
    <t>পুকচাইল্যা পাড়া ও গোলজানী পাড়া</t>
  </si>
  <si>
    <t>KAT401</t>
  </si>
  <si>
    <t>Dalilur Rahman Para</t>
  </si>
  <si>
    <t>দলিলুর রহমান পাড়া</t>
  </si>
  <si>
    <t>KAT402</t>
  </si>
  <si>
    <t>Jawadar Para</t>
  </si>
  <si>
    <t>জওদার পাড়া</t>
  </si>
  <si>
    <t>KAT403</t>
  </si>
  <si>
    <t>KAT404</t>
  </si>
  <si>
    <t>Madhya Manik Pathan Para</t>
  </si>
  <si>
    <t>মধ্য মানিক পাঠান পাড়া</t>
  </si>
  <si>
    <t>KAT405</t>
  </si>
  <si>
    <t>Pashchim Katharia</t>
  </si>
  <si>
    <t>পশ্চিম কাথরিয়া</t>
  </si>
  <si>
    <t>KAT501</t>
  </si>
  <si>
    <t>KAT502</t>
  </si>
  <si>
    <t>KAT503</t>
  </si>
  <si>
    <t>Goyas Chowdhury Para</t>
  </si>
  <si>
    <t>গোঁয়াছ চৌধুরী পাড়া</t>
  </si>
  <si>
    <t>KAT504</t>
  </si>
  <si>
    <t>Dakkhin Katharia</t>
  </si>
  <si>
    <t>দক্ষিণ কাথরিয়া</t>
  </si>
  <si>
    <t>KAT505</t>
  </si>
  <si>
    <t>Bai Majhi Para</t>
  </si>
  <si>
    <t>বাই মাঝি পাড়া</t>
  </si>
  <si>
    <t>KAT506</t>
  </si>
  <si>
    <t>Chaul Bepari Para</t>
  </si>
  <si>
    <t>চাউল বেপারী পাড়া</t>
  </si>
  <si>
    <t>KAT601</t>
  </si>
  <si>
    <t>Degree Para</t>
  </si>
  <si>
    <t>ডিগ্রী পাড়া</t>
  </si>
  <si>
    <t>KAT602</t>
  </si>
  <si>
    <t>KAT603</t>
  </si>
  <si>
    <t>Lokman Sikder Para</t>
  </si>
  <si>
    <t>লোকমান সিকদার পাড়া</t>
  </si>
  <si>
    <t>KAT604</t>
  </si>
  <si>
    <t>KAT605</t>
  </si>
  <si>
    <t>Jakumar Para</t>
  </si>
  <si>
    <t>জকুমার পাড়া</t>
  </si>
  <si>
    <t>KAT701</t>
  </si>
  <si>
    <t>Tafazzal Ahmed Chowdhury Para</t>
  </si>
  <si>
    <t>তফজ্জল আহমদ চৌধুরী পাড়া</t>
  </si>
  <si>
    <t>KAT702</t>
  </si>
  <si>
    <t>KAT703</t>
  </si>
  <si>
    <t>Jainar Para</t>
  </si>
  <si>
    <t>জৈনার পাড়া</t>
  </si>
  <si>
    <t>KAT704</t>
  </si>
  <si>
    <t>Newaj Chowdhury Para</t>
  </si>
  <si>
    <t>নেওয়াজ চৌধুরী পাড়া</t>
  </si>
  <si>
    <t>KAT705</t>
  </si>
  <si>
    <t>Dular Baper Para</t>
  </si>
  <si>
    <t>দুলার বাপের পাড়া</t>
  </si>
  <si>
    <t>KAT706</t>
  </si>
  <si>
    <t>Purba Baraitali</t>
  </si>
  <si>
    <t>পূর্ব বরইতলী</t>
  </si>
  <si>
    <t>KAT801</t>
  </si>
  <si>
    <t>Pashchim Baraitali</t>
  </si>
  <si>
    <t>পশ্চিম বরইতলী</t>
  </si>
  <si>
    <t>KAT802</t>
  </si>
  <si>
    <t>KAT803</t>
  </si>
  <si>
    <t>KAT901</t>
  </si>
  <si>
    <t>KAT902</t>
  </si>
  <si>
    <t>KAT903</t>
  </si>
  <si>
    <t>KAT904</t>
  </si>
  <si>
    <t>Kalagazi Para</t>
  </si>
  <si>
    <t>কালাগাজী পাড়া</t>
  </si>
  <si>
    <t>KHN101</t>
  </si>
  <si>
    <t>Jamal Molla Para</t>
  </si>
  <si>
    <t>জামাল মোল্লা পাড়া</t>
  </si>
  <si>
    <t>KHN102</t>
  </si>
  <si>
    <t>KHN103</t>
  </si>
  <si>
    <t>Gausia Para</t>
  </si>
  <si>
    <t>গাউসিয়া পাড়া</t>
  </si>
  <si>
    <t>KHN104</t>
  </si>
  <si>
    <t>Maich Para</t>
  </si>
  <si>
    <t>মাইছ পাড়া</t>
  </si>
  <si>
    <t>KHN105</t>
  </si>
  <si>
    <t>Rashid Chowdhury Para</t>
  </si>
  <si>
    <t>রশিদ চৌধুরী পাড়া</t>
  </si>
  <si>
    <t>KHN106</t>
  </si>
  <si>
    <t>Samad Ali Para</t>
  </si>
  <si>
    <t>সমদ আলী পাড়া</t>
  </si>
  <si>
    <t>KHN107</t>
  </si>
  <si>
    <t>Khosla Para</t>
  </si>
  <si>
    <t>খোসলা পাড়া</t>
  </si>
  <si>
    <t>KHN201</t>
  </si>
  <si>
    <t>Sheikh Para</t>
  </si>
  <si>
    <t>শেখ পাড়া</t>
  </si>
  <si>
    <t>KHN202</t>
  </si>
  <si>
    <t>Subedar Para</t>
  </si>
  <si>
    <t>সুবেদার পাড়া</t>
  </si>
  <si>
    <t>KHN203</t>
  </si>
  <si>
    <t>Adur Para</t>
  </si>
  <si>
    <t>আদুর পাড়া</t>
  </si>
  <si>
    <t>KHN204</t>
  </si>
  <si>
    <t>Kunyaar Para</t>
  </si>
  <si>
    <t>কূন্যার পাড়া</t>
  </si>
  <si>
    <t>KHN205</t>
  </si>
  <si>
    <t>KHN206</t>
  </si>
  <si>
    <t>Douhali Para</t>
  </si>
  <si>
    <t>দৌহালি পাড়া</t>
  </si>
  <si>
    <t>KHN207</t>
  </si>
  <si>
    <t>Tahsildar</t>
  </si>
  <si>
    <t>তহসিলদার</t>
  </si>
  <si>
    <t>KHN208</t>
  </si>
  <si>
    <t>KHN209</t>
  </si>
  <si>
    <t>Dakkhin Premesia Rosangi Para</t>
  </si>
  <si>
    <t>দক্ষিণ প্রেমেসিয়া রোসাংঙ্গী পাড়া</t>
  </si>
  <si>
    <t>KHN301</t>
  </si>
  <si>
    <t>KHN401</t>
  </si>
  <si>
    <t>KHN402</t>
  </si>
  <si>
    <t>KHN403</t>
  </si>
  <si>
    <t>Azam Para</t>
  </si>
  <si>
    <t>আজম পাড়া</t>
  </si>
  <si>
    <t>KHN404</t>
  </si>
  <si>
    <t>Gani Para</t>
  </si>
  <si>
    <t>গণি পাড়া</t>
  </si>
  <si>
    <t>KHN405</t>
  </si>
  <si>
    <t>Palwan Para</t>
  </si>
  <si>
    <t>পলোয়ান পাড়া</t>
  </si>
  <si>
    <t>KHN501</t>
  </si>
  <si>
    <t>Munsi Para</t>
  </si>
  <si>
    <t>মুন্সী পাড়া</t>
  </si>
  <si>
    <t>KHN502</t>
  </si>
  <si>
    <t>KHN503</t>
  </si>
  <si>
    <t>KHN601</t>
  </si>
  <si>
    <t>Chan Molla Para</t>
  </si>
  <si>
    <t>চাঁন মোল্লা পাড়া</t>
  </si>
  <si>
    <t>KHN602</t>
  </si>
  <si>
    <t>Samadar Para</t>
  </si>
  <si>
    <t>সমদর পাড়া</t>
  </si>
  <si>
    <t>KHN603</t>
  </si>
  <si>
    <t>Badur Para</t>
  </si>
  <si>
    <t>বদূর পাড়া</t>
  </si>
  <si>
    <t>KHN604</t>
  </si>
  <si>
    <t>Rahmat Ali Muhuri Para</t>
  </si>
  <si>
    <t>রহমত আলী মুহুরী পাড়া</t>
  </si>
  <si>
    <t>KHN605</t>
  </si>
  <si>
    <t>Askar Ali Para</t>
  </si>
  <si>
    <t>আসকর আলী পাড়া</t>
  </si>
  <si>
    <t>KHN606</t>
  </si>
  <si>
    <t>আবদুল্লাহ পাড়া</t>
  </si>
  <si>
    <t>KHN607</t>
  </si>
  <si>
    <t>Fatehar Para</t>
  </si>
  <si>
    <t>ফতেয়ার পাড়া</t>
  </si>
  <si>
    <t>KHN608</t>
  </si>
  <si>
    <t>Ghara Haji Para</t>
  </si>
  <si>
    <t>ঘরা হাজী পাড়া</t>
  </si>
  <si>
    <t>KHN609</t>
  </si>
  <si>
    <t>Sundapi Para</t>
  </si>
  <si>
    <t>সুন্দপী পাড়া</t>
  </si>
  <si>
    <t>KHN701</t>
  </si>
  <si>
    <t>KHN702</t>
  </si>
  <si>
    <t>KHN703</t>
  </si>
  <si>
    <t>Rosangi Para</t>
  </si>
  <si>
    <t>রোসাংঙ্গী পাড়া</t>
  </si>
  <si>
    <t>KHN704</t>
  </si>
  <si>
    <t>Rahmat Nagar</t>
  </si>
  <si>
    <t>রহমত নগর</t>
  </si>
  <si>
    <t>KHN801</t>
  </si>
  <si>
    <t>Darga Para</t>
  </si>
  <si>
    <t>দারগা পাড়া</t>
  </si>
  <si>
    <t>KHN802</t>
  </si>
  <si>
    <t>Guchha Gram</t>
  </si>
  <si>
    <t>গুচ্ছ গ্রাম</t>
  </si>
  <si>
    <t>KHN803</t>
  </si>
  <si>
    <t>Burahazir Para</t>
  </si>
  <si>
    <t>বুরাহাজীর পাড়া</t>
  </si>
  <si>
    <t>KHN804</t>
  </si>
  <si>
    <t>KHN805</t>
  </si>
  <si>
    <t>Sair Mohammad Para</t>
  </si>
  <si>
    <t>সাইর মোহাম্মদ পাড়া</t>
  </si>
  <si>
    <t>KHN806</t>
  </si>
  <si>
    <t>Mokami Para</t>
  </si>
  <si>
    <t>মোকামী পাড়া</t>
  </si>
  <si>
    <t>KHN807</t>
  </si>
  <si>
    <t>Lala Dighir Para</t>
  </si>
  <si>
    <t>লালা দীঘির পাড়া</t>
  </si>
  <si>
    <t>KHN808</t>
  </si>
  <si>
    <t>KHN809</t>
  </si>
  <si>
    <t>Site Para</t>
  </si>
  <si>
    <t>সাইট পাড়া</t>
  </si>
  <si>
    <t>KHN810</t>
  </si>
  <si>
    <t>KHN811</t>
  </si>
  <si>
    <t>KHN901</t>
  </si>
  <si>
    <t>Yusuf Ali Para</t>
  </si>
  <si>
    <t>ইউসুফ আলী পাড়া</t>
  </si>
  <si>
    <t>KHN902</t>
  </si>
  <si>
    <t>Sadiq Ali Para</t>
  </si>
  <si>
    <t>সাদিক আলী পাড়া</t>
  </si>
  <si>
    <t>KHN903</t>
  </si>
  <si>
    <t>Ekram Chowdhury Para</t>
  </si>
  <si>
    <t>একরাম চৌধুরী পাড়া</t>
  </si>
  <si>
    <t>KHN904</t>
  </si>
  <si>
    <t>Mowlar Para</t>
  </si>
  <si>
    <t>মওলার পাড়া</t>
  </si>
  <si>
    <t>PUI101</t>
  </si>
  <si>
    <t>PUI102</t>
  </si>
  <si>
    <t>Miyar Ghona</t>
  </si>
  <si>
    <t>মিয়ার ঘোনা</t>
  </si>
  <si>
    <t>PUI103</t>
  </si>
  <si>
    <t>Abdur Para</t>
  </si>
  <si>
    <t>আব্দুর পাড়া</t>
  </si>
  <si>
    <t>PUI104</t>
  </si>
  <si>
    <t>Pairang Kata</t>
  </si>
  <si>
    <t>পাইরাং কাটা</t>
  </si>
  <si>
    <t>PUI105</t>
  </si>
  <si>
    <t>Bahna Kata</t>
  </si>
  <si>
    <t>বহনা কাটা</t>
  </si>
  <si>
    <t>PUI106</t>
  </si>
  <si>
    <t>PUI107</t>
  </si>
  <si>
    <t>Kaibartya Para</t>
  </si>
  <si>
    <t>কৈবর্ত্য পাড়া</t>
  </si>
  <si>
    <t>PUI108</t>
  </si>
  <si>
    <t>PUI201</t>
  </si>
  <si>
    <t>PUI202</t>
  </si>
  <si>
    <t>PUI203</t>
  </si>
  <si>
    <t>Rowai Para</t>
  </si>
  <si>
    <t>রোয়াই পাড়া</t>
  </si>
  <si>
    <t>PUI204</t>
  </si>
  <si>
    <t>Telia Kata</t>
  </si>
  <si>
    <t xml:space="preserve">টেলিয়া কাটা </t>
  </si>
  <si>
    <t>PUI205</t>
  </si>
  <si>
    <t>Arab Shah Ghona</t>
  </si>
  <si>
    <t>আরব শাহ ঘোনা</t>
  </si>
  <si>
    <t>PUI206</t>
  </si>
  <si>
    <t>Rowai Para-2</t>
  </si>
  <si>
    <t>রোয়াই পাড়া-২</t>
  </si>
  <si>
    <t>PUI207</t>
  </si>
  <si>
    <t>Shachia Para</t>
  </si>
  <si>
    <t>শাছিয়া পাড়া</t>
  </si>
  <si>
    <t>PUI301</t>
  </si>
  <si>
    <t>Saiyar Para</t>
  </si>
  <si>
    <t>সাইয়ার পাড়া</t>
  </si>
  <si>
    <t>PUI302</t>
  </si>
  <si>
    <t>Abdur Rahman Fakir Para</t>
  </si>
  <si>
    <t>আব্দুর রহমান ফকির পাড়া</t>
  </si>
  <si>
    <t>PUI303</t>
  </si>
  <si>
    <t>Monjan and Noora Baper Para</t>
  </si>
  <si>
    <t>মন্জান ও নূরা বাপের পাড়া</t>
  </si>
  <si>
    <t>PUI304</t>
  </si>
  <si>
    <t>PUI305</t>
  </si>
  <si>
    <t>Haidari and Sikder Para</t>
  </si>
  <si>
    <t>হাইদারী ও সিকদার পাড়া</t>
  </si>
  <si>
    <t>PUI306</t>
  </si>
  <si>
    <t>Pandit Kata</t>
  </si>
  <si>
    <t>পন্ডিত কাটা</t>
  </si>
  <si>
    <t>PUI307</t>
  </si>
  <si>
    <t>Office Tila</t>
  </si>
  <si>
    <t>অফিস টিলা</t>
  </si>
  <si>
    <t>PUI401</t>
  </si>
  <si>
    <t>PUI402</t>
  </si>
  <si>
    <t>PUI403</t>
  </si>
  <si>
    <t>PUI404</t>
  </si>
  <si>
    <t>Purba Jangal Puichhari</t>
  </si>
  <si>
    <t>পূর্ব জঙ্গল পুইছড়ি</t>
  </si>
  <si>
    <t>PUI501</t>
  </si>
  <si>
    <t>Uttar Puichhari</t>
  </si>
  <si>
    <t>উত্তর পুইছড়ি</t>
  </si>
  <si>
    <t>PUI601</t>
  </si>
  <si>
    <t>PUI602</t>
  </si>
  <si>
    <t>PUI604</t>
  </si>
  <si>
    <t>PUI605</t>
  </si>
  <si>
    <t>Qutub Uddin Member Bari</t>
  </si>
  <si>
    <t>কতুব উদ্দিন মেম্বার বাড়ি</t>
  </si>
  <si>
    <t>PUI606</t>
  </si>
  <si>
    <t>Jangal Napora</t>
  </si>
  <si>
    <t>জঙ্গল নাপোড়া</t>
  </si>
  <si>
    <t>PUI701</t>
  </si>
  <si>
    <t>Purba Chalia Para</t>
  </si>
  <si>
    <t>পূর্ব চালিয়া পাড়া</t>
  </si>
  <si>
    <t>PUI702</t>
  </si>
  <si>
    <t>PUI703</t>
  </si>
  <si>
    <t>Ismail Master Para</t>
  </si>
  <si>
    <t>ইসমাইল মাস্টার পাড়া</t>
  </si>
  <si>
    <t>PUI704</t>
  </si>
  <si>
    <t>Napora</t>
  </si>
  <si>
    <t>নাপোড়া</t>
  </si>
  <si>
    <t>PUI801</t>
  </si>
  <si>
    <t>PUI802</t>
  </si>
  <si>
    <t>Shamsia Ghona</t>
  </si>
  <si>
    <t>শামসিয়া ঘোনা</t>
  </si>
  <si>
    <t>PUI803</t>
  </si>
  <si>
    <t>PUI804</t>
  </si>
  <si>
    <t>PUI805</t>
  </si>
  <si>
    <t>Pashchim Napora</t>
  </si>
  <si>
    <t>পশ্চিম নাপোড়া</t>
  </si>
  <si>
    <t>PUI901</t>
  </si>
  <si>
    <t>PUK101</t>
  </si>
  <si>
    <t>PUK102</t>
  </si>
  <si>
    <t>Al Noor and Yousuf Agro Farm</t>
  </si>
  <si>
    <t>আল নূর এন্ড ইউসুফ এগ্রো ফার্ম</t>
  </si>
  <si>
    <t>PUK103</t>
  </si>
  <si>
    <t>PUK104</t>
  </si>
  <si>
    <t>PUK201</t>
  </si>
  <si>
    <t>PUK202</t>
  </si>
  <si>
    <t>PUK203</t>
  </si>
  <si>
    <t>PUK204</t>
  </si>
  <si>
    <t>PUK205</t>
  </si>
  <si>
    <t>Macher Project</t>
  </si>
  <si>
    <t>মাছের প্রজেক্ট</t>
  </si>
  <si>
    <t>PUK206</t>
  </si>
  <si>
    <t>Uttar Hajigaon</t>
  </si>
  <si>
    <t>উত্তর হাজীগাঁও</t>
  </si>
  <si>
    <t>PUK301</t>
  </si>
  <si>
    <t>Dakkhin Hajigaon</t>
  </si>
  <si>
    <t>দক্ষিণ হাজীগাঁও</t>
  </si>
  <si>
    <t>PUK302</t>
  </si>
  <si>
    <t>PUK401</t>
  </si>
  <si>
    <t>Abdul Mabud Saudagar Para</t>
  </si>
  <si>
    <t>আব্দুল মাবুদ সওদাগর পাড়া</t>
  </si>
  <si>
    <t>PUK402</t>
  </si>
  <si>
    <t>Badu Miyaji Para</t>
  </si>
  <si>
    <t>বদু মিয়াজী পাড়া</t>
  </si>
  <si>
    <t>PUK403</t>
  </si>
  <si>
    <t>Chan Khalifa Para</t>
  </si>
  <si>
    <t>চাঁন খলিফা পাড়া</t>
  </si>
  <si>
    <t>PUK404</t>
  </si>
  <si>
    <t>Chairman Bari Chandrapur</t>
  </si>
  <si>
    <t>চেয়ারম্যান বাড়ী চন্দ্রপুর</t>
  </si>
  <si>
    <t>PUK405</t>
  </si>
  <si>
    <t>PUK406</t>
  </si>
  <si>
    <t>Fechu Master Bari</t>
  </si>
  <si>
    <t>ফেছু মাস্টার বাড়ী</t>
  </si>
  <si>
    <t>PUK407</t>
  </si>
  <si>
    <t>Pashchim Center Para</t>
  </si>
  <si>
    <t>পশ্চিম সেন্টার পাড়া</t>
  </si>
  <si>
    <t>PUK408</t>
  </si>
  <si>
    <t>Purba Center Para</t>
  </si>
  <si>
    <t>পূর্ব সেন্টার পাড়া</t>
  </si>
  <si>
    <t>PUK409</t>
  </si>
  <si>
    <t>PUK410</t>
  </si>
  <si>
    <t>PUK411</t>
  </si>
  <si>
    <t>Natmura Pashchimangsho</t>
  </si>
  <si>
    <t xml:space="preserve">নাটমুড়া পশ্চিমাংশ </t>
  </si>
  <si>
    <t>PUK501</t>
  </si>
  <si>
    <t>Chandpur Uttarangsho</t>
  </si>
  <si>
    <t>চাঁদপুর উত্তরাংশ</t>
  </si>
  <si>
    <t>PUK502</t>
  </si>
  <si>
    <t xml:space="preserve">Pashchim Pukuria (Tecchipara) </t>
  </si>
  <si>
    <t xml:space="preserve">পশ্চিম পুকুরিয়া (তেচ্ছিপাড়া) </t>
  </si>
  <si>
    <t>PUK601</t>
  </si>
  <si>
    <t>PUK602</t>
  </si>
  <si>
    <t>Rajamura</t>
  </si>
  <si>
    <t>রাজামুড়া</t>
  </si>
  <si>
    <t>PUK603</t>
  </si>
  <si>
    <t>PUK604</t>
  </si>
  <si>
    <t>Natmura</t>
  </si>
  <si>
    <t>নাটমুড়া</t>
  </si>
  <si>
    <t>PUK605</t>
  </si>
  <si>
    <t>Mahajan Bari Hindu Para</t>
  </si>
  <si>
    <t xml:space="preserve">মহাজন বাড়ি হিন্দু পাড়া </t>
  </si>
  <si>
    <t>PUK606</t>
  </si>
  <si>
    <t>PUK607</t>
  </si>
  <si>
    <t>Kulan Para</t>
  </si>
  <si>
    <t>কুলান পাড়া</t>
  </si>
  <si>
    <t>PUK701</t>
  </si>
  <si>
    <t>PUK702</t>
  </si>
  <si>
    <t xml:space="preserve">Chharrakul </t>
  </si>
  <si>
    <t xml:space="preserve">ছড়ারকূল </t>
  </si>
  <si>
    <t>PUK703</t>
  </si>
  <si>
    <t>Khandaker Para and Tele Para</t>
  </si>
  <si>
    <t>খন্দকার পাড়া এবং টেলি পাড়া</t>
  </si>
  <si>
    <t>PUK704</t>
  </si>
  <si>
    <t>Pallan Para</t>
  </si>
  <si>
    <t>পল্লান পাড়া</t>
  </si>
  <si>
    <t>PUK705</t>
  </si>
  <si>
    <t>Sabuj Para</t>
  </si>
  <si>
    <t>সবুজ পাড়া</t>
  </si>
  <si>
    <t>PUK706</t>
  </si>
  <si>
    <t>Lakkhideva</t>
  </si>
  <si>
    <t>লক্ষীদেবা</t>
  </si>
  <si>
    <t>PUK707</t>
  </si>
  <si>
    <t>Cha Bagan</t>
  </si>
  <si>
    <t>চা বাগান</t>
  </si>
  <si>
    <t>PUK708</t>
  </si>
  <si>
    <t>PUK709</t>
  </si>
  <si>
    <t>Roaja Para</t>
  </si>
  <si>
    <t>রোয়াজা পাড়া</t>
  </si>
  <si>
    <t>PUK801</t>
  </si>
  <si>
    <t>PUK802</t>
  </si>
  <si>
    <t>PUK803</t>
  </si>
  <si>
    <t>PUK804</t>
  </si>
  <si>
    <t>Uttar Pukuria</t>
  </si>
  <si>
    <t>উত্তর পুকুরিয়া</t>
  </si>
  <si>
    <t>PUK901</t>
  </si>
  <si>
    <t>Sikder Agro</t>
  </si>
  <si>
    <t>সিকদার এগ্রো</t>
  </si>
  <si>
    <t>PUK902</t>
  </si>
  <si>
    <t>Muralir Tek</t>
  </si>
  <si>
    <t>মুরালির টেক</t>
  </si>
  <si>
    <t>SAA101</t>
  </si>
  <si>
    <t>Chowkidar Shamsur Bari</t>
  </si>
  <si>
    <t>চৌকিদার শামসুর বাড়ি</t>
  </si>
  <si>
    <t>SAA102</t>
  </si>
  <si>
    <t>SAA103</t>
  </si>
  <si>
    <t>SAA104</t>
  </si>
  <si>
    <t>SAA105</t>
  </si>
  <si>
    <t>Uttor Saral Para</t>
  </si>
  <si>
    <t>উত্তর সরল পাড়া</t>
  </si>
  <si>
    <t>SAA106</t>
  </si>
  <si>
    <t>Natun Bazar Dakkhin Ongsho Elaka</t>
  </si>
  <si>
    <t>নতুন বাজার দক্ষিণপাশ এলাকা</t>
  </si>
  <si>
    <t>SAA107</t>
  </si>
  <si>
    <t>Dhaiya Majhi Bari and Khalkul Elaka</t>
  </si>
  <si>
    <t>ধইয়্যা মাঝি বাড়ি ও খালকূল এলাকা</t>
  </si>
  <si>
    <t>SAA108</t>
  </si>
  <si>
    <t>Member Kamrul Alam Bari</t>
  </si>
  <si>
    <t>মেম্বার কামরুল আলম বাড়ি</t>
  </si>
  <si>
    <t>SAA109</t>
  </si>
  <si>
    <t>SAA201</t>
  </si>
  <si>
    <t>SAA202</t>
  </si>
  <si>
    <t>Sachiber Bari</t>
  </si>
  <si>
    <t>সচিবের বাড়ী</t>
  </si>
  <si>
    <t>SAA203</t>
  </si>
  <si>
    <t>SAA204</t>
  </si>
  <si>
    <t>Ambal Ali Bari</t>
  </si>
  <si>
    <t>আম্বল আলী বাড়ি</t>
  </si>
  <si>
    <t>SAA205</t>
  </si>
  <si>
    <t>Barkat Ali Majhi Bari</t>
  </si>
  <si>
    <t>বরকত আলী মাঝি বাড়ি</t>
  </si>
  <si>
    <t>SAA206</t>
  </si>
  <si>
    <t>Khajir Khil</t>
  </si>
  <si>
    <t>খাজির খীল</t>
  </si>
  <si>
    <t>SAA207</t>
  </si>
  <si>
    <t>Doiyar Bari</t>
  </si>
  <si>
    <t>দৈয়র বাড়ি</t>
  </si>
  <si>
    <t>SAA208</t>
  </si>
  <si>
    <t>SAA209</t>
  </si>
  <si>
    <t>Bachaya Bari</t>
  </si>
  <si>
    <t>বাচায়া বাড়ি</t>
  </si>
  <si>
    <t>SAA210</t>
  </si>
  <si>
    <t>Maulavi Sikandar Shah Bari</t>
  </si>
  <si>
    <t>মৌলভী সিকান্দার শাহ বাড়ি</t>
  </si>
  <si>
    <t>SAA211</t>
  </si>
  <si>
    <t>Abdul Sobhan Miyaji Bari</t>
  </si>
  <si>
    <t>আব্দুল সোবহান মিয়াজী বাড়ি</t>
  </si>
  <si>
    <t>SAA212</t>
  </si>
  <si>
    <t>Abdul Kader Bari</t>
  </si>
  <si>
    <t>আব্দুল কাদের বাড়ি</t>
  </si>
  <si>
    <t>SAA213</t>
  </si>
  <si>
    <t>Khaleda Para</t>
  </si>
  <si>
    <t>খালেদা পাড়া</t>
  </si>
  <si>
    <t>SAA301</t>
  </si>
  <si>
    <t>Payajjani Bara Bari</t>
  </si>
  <si>
    <t>পেয়াজ্জানী বড় বাড়ী</t>
  </si>
  <si>
    <t>SAA302</t>
  </si>
  <si>
    <t>Rabbat Ali Bari</t>
  </si>
  <si>
    <t>রব্বত আলীর বাড়ী</t>
  </si>
  <si>
    <t>SAA303</t>
  </si>
  <si>
    <t>Hossain Ali Talukder Bari</t>
  </si>
  <si>
    <t>হোসেন আলী তালুকদার বাড়ী</t>
  </si>
  <si>
    <t>SAA304</t>
  </si>
  <si>
    <t>Master Ali Ahmed Bari</t>
  </si>
  <si>
    <t>মাস্টার আলী আহম্মদ বাড়ী</t>
  </si>
  <si>
    <t>SAA305</t>
  </si>
  <si>
    <t>কোনার পাড়া</t>
  </si>
  <si>
    <t>SAA306</t>
  </si>
  <si>
    <t>Purba Kahar Ghona</t>
  </si>
  <si>
    <t>পূর্ব কাহার ঘোনা</t>
  </si>
  <si>
    <t>SAA401</t>
  </si>
  <si>
    <t>Pashchim Kahar Ghona</t>
  </si>
  <si>
    <t>পশ্চিম কাহার ঘোনা</t>
  </si>
  <si>
    <t>SAA402</t>
  </si>
  <si>
    <t>SAA501</t>
  </si>
  <si>
    <t>Tannar Para</t>
  </si>
  <si>
    <t>তন্যার পাড়া</t>
  </si>
  <si>
    <t>SAA502</t>
  </si>
  <si>
    <t>Khalaichhar Para</t>
  </si>
  <si>
    <t>খালাইচ্ছর পাড়া</t>
  </si>
  <si>
    <t>SAA503</t>
  </si>
  <si>
    <t>Shatghor Para</t>
  </si>
  <si>
    <t>ষাটঘর পাড়া</t>
  </si>
  <si>
    <t>SAA504</t>
  </si>
  <si>
    <t>Pashchim Asighor Para</t>
  </si>
  <si>
    <t>পশ্চিম আশিঘর পাড়া</t>
  </si>
  <si>
    <t>SAA505</t>
  </si>
  <si>
    <t>SAA506</t>
  </si>
  <si>
    <t>Ashighar Para</t>
  </si>
  <si>
    <t>আশিঘর পাড়া</t>
  </si>
  <si>
    <t>SAA507</t>
  </si>
  <si>
    <t>Baynakata</t>
  </si>
  <si>
    <t>বয়নাকাটা</t>
  </si>
  <si>
    <t>SAA601</t>
  </si>
  <si>
    <t>Minjiritala</t>
  </si>
  <si>
    <t>মিনঝিরিতলা</t>
  </si>
  <si>
    <t>SAA602</t>
  </si>
  <si>
    <t>SAA603</t>
  </si>
  <si>
    <t>SAA604</t>
  </si>
  <si>
    <t>Qasim Ali Majhi Para</t>
  </si>
  <si>
    <t>কাসিম আলী মাঝির পাড়া</t>
  </si>
  <si>
    <t>SAA605</t>
  </si>
  <si>
    <t>Al Amaniya Rah Maniya Hashemiya Qaderia Madrasah Para</t>
  </si>
  <si>
    <t>আল আমানিয়া রহ মানিয়া হাসেমীয়া কাদেরিয়া মাদ্রাসা পাড়া</t>
  </si>
  <si>
    <t>SAA701</t>
  </si>
  <si>
    <t>Kanangur Khil Jame Masjid Para</t>
  </si>
  <si>
    <t>কাননগুর খীল জামে মসজিদ পাড়া</t>
  </si>
  <si>
    <t>SAA702</t>
  </si>
  <si>
    <t>SAA703</t>
  </si>
  <si>
    <t>Maulana Nasir Uddin Shah R.A. Para</t>
  </si>
  <si>
    <t>মাওলানা নাছির উদ্দিন শাহ রঃ পাড়া</t>
  </si>
  <si>
    <t>SAA801</t>
  </si>
  <si>
    <t>Master Fazal Karim Para</t>
  </si>
  <si>
    <t>মাস্টার ফজল করিম পাড়া</t>
  </si>
  <si>
    <t>SAA802</t>
  </si>
  <si>
    <t>Jaliaghata Para</t>
  </si>
  <si>
    <t>জালিয়াঘাটা পাড়া</t>
  </si>
  <si>
    <t>SAA803</t>
  </si>
  <si>
    <t>Shah Majidiya Madrasha Songlogno Para</t>
  </si>
  <si>
    <t>শাহ মজিদিয়া মাদ্রাসা সংলগ্ন পাড়া</t>
  </si>
  <si>
    <t>SAA804</t>
  </si>
  <si>
    <t>Tin Mathar Bari</t>
  </si>
  <si>
    <t>তিন মাথার বাড়ী</t>
  </si>
  <si>
    <t>SAA805</t>
  </si>
  <si>
    <t>Boxshu Miyaji Para</t>
  </si>
  <si>
    <t>বক্সু মিয়াজী পাড়া</t>
  </si>
  <si>
    <t>SAA806</t>
  </si>
  <si>
    <t>Mohammadiya Para</t>
  </si>
  <si>
    <t>মোহাম্মদিয়া পাড়া</t>
  </si>
  <si>
    <t>SAA807</t>
  </si>
  <si>
    <t>SAA901</t>
  </si>
  <si>
    <t>Chariya Para</t>
  </si>
  <si>
    <t>ছাড়িয়া পাড়া</t>
  </si>
  <si>
    <t>SAA902</t>
  </si>
  <si>
    <t>SAA903</t>
  </si>
  <si>
    <t>Abbas Para</t>
  </si>
  <si>
    <t>আব্বাস পাড়া</t>
  </si>
  <si>
    <t>SAA904</t>
  </si>
  <si>
    <t>SAA905</t>
  </si>
  <si>
    <t>Bara Pukur Para</t>
  </si>
  <si>
    <t>বড় পুকুর পাড়া</t>
  </si>
  <si>
    <t>SAA906</t>
  </si>
  <si>
    <t>Banik Para Uttarangsho</t>
  </si>
  <si>
    <t>বণিক পাড়া উত্তারংশ</t>
  </si>
  <si>
    <t>SAA907</t>
  </si>
  <si>
    <t>Abdul Bari Chowdhury Bari</t>
  </si>
  <si>
    <t>আব্দুল বারী চৌধুরী বাড়ী</t>
  </si>
  <si>
    <t>SAA908</t>
  </si>
  <si>
    <t>Balur Char Para</t>
  </si>
  <si>
    <t>বালুর চর পাড়া</t>
  </si>
  <si>
    <t>SAA909</t>
  </si>
  <si>
    <t>চুম্মা পাড়া</t>
  </si>
  <si>
    <t>SAA910</t>
  </si>
  <si>
    <t>SAA911</t>
  </si>
  <si>
    <t>SAA912</t>
  </si>
  <si>
    <t>Bahadur Para</t>
  </si>
  <si>
    <t>বাহাদুর পাড়া</t>
  </si>
  <si>
    <t>SAA913</t>
  </si>
  <si>
    <t>Kamola Bibi Para</t>
  </si>
  <si>
    <t>কমলা বিবি পাড়া</t>
  </si>
  <si>
    <t>SAA914</t>
  </si>
  <si>
    <t>Chumi Uddin Bari</t>
  </si>
  <si>
    <t>ছুমি উদ্দিন বাড়ি</t>
  </si>
  <si>
    <t>SAA915</t>
  </si>
  <si>
    <t>Naveen Mahajan Para</t>
  </si>
  <si>
    <t>নবীন মহাজন পাড়া</t>
  </si>
  <si>
    <t>SAH101</t>
  </si>
  <si>
    <t>Guajar Para</t>
  </si>
  <si>
    <t>গুয়াজার পাড়া</t>
  </si>
  <si>
    <t>SAH102</t>
  </si>
  <si>
    <t>Phul Para (Kalgazir Bari)</t>
  </si>
  <si>
    <t>ফুল পাড়া (কালগাজীর বাড়ি)</t>
  </si>
  <si>
    <t>SAH103</t>
  </si>
  <si>
    <t>Mazar Para</t>
  </si>
  <si>
    <t>মাজার পাড়া</t>
  </si>
  <si>
    <t>SAH104</t>
  </si>
  <si>
    <t>SAH105</t>
  </si>
  <si>
    <t>Banrupa</t>
  </si>
  <si>
    <t>বনরুপা</t>
  </si>
  <si>
    <t>SAH106</t>
  </si>
  <si>
    <t>Bautye Para</t>
  </si>
  <si>
    <t>বাউট্যে পাড়া</t>
  </si>
  <si>
    <t>SAH107</t>
  </si>
  <si>
    <t>Naya Dighir Par Dakkhin Para</t>
  </si>
  <si>
    <t>নয়া দীঘির পাড় দক্ষিণ পাড়া</t>
  </si>
  <si>
    <t>SAH108</t>
  </si>
  <si>
    <t>Hadir Para</t>
  </si>
  <si>
    <t>হাদীর পাড়া</t>
  </si>
  <si>
    <t>SAH201</t>
  </si>
  <si>
    <t>Ghasiar Para</t>
  </si>
  <si>
    <t>ঘাসিয়ার পাড়া</t>
  </si>
  <si>
    <t>SAH202</t>
  </si>
  <si>
    <t>SAH203</t>
  </si>
  <si>
    <t>Karigar Para</t>
  </si>
  <si>
    <t>কারিগর পাড়া</t>
  </si>
  <si>
    <t>SAH204</t>
  </si>
  <si>
    <t>SAH205</t>
  </si>
  <si>
    <t>Ashray Prakalpa</t>
  </si>
  <si>
    <t>আশ্রয় প্রকল্প</t>
  </si>
  <si>
    <t>SAH206</t>
  </si>
  <si>
    <t>SAH207</t>
  </si>
  <si>
    <t>Banarupa Abashik</t>
  </si>
  <si>
    <t>বনরুপা আবাসিক</t>
  </si>
  <si>
    <t>SAH208</t>
  </si>
  <si>
    <t>Madhavi Para</t>
  </si>
  <si>
    <t>মাধবী পাড়া</t>
  </si>
  <si>
    <t>SAH209</t>
  </si>
  <si>
    <t>SAH210</t>
  </si>
  <si>
    <t>Bailgaon Para</t>
  </si>
  <si>
    <t>বৈলগাঁও পাড়া</t>
  </si>
  <si>
    <t>SAH211</t>
  </si>
  <si>
    <t>Khorda Para</t>
  </si>
  <si>
    <t>খোর্দ পাড়া</t>
  </si>
  <si>
    <t>SAH301</t>
  </si>
  <si>
    <t>SAH302</t>
  </si>
  <si>
    <t>Rata Uttar Para</t>
  </si>
  <si>
    <t>রাতা উত্তর পাড়া</t>
  </si>
  <si>
    <t>SAH303</t>
  </si>
  <si>
    <t>Rata Dakkhin Para</t>
  </si>
  <si>
    <t>রাতা দক্ষিণ পাড়া</t>
  </si>
  <si>
    <t>SAH304</t>
  </si>
  <si>
    <t>Bholamara Uttar Para</t>
  </si>
  <si>
    <t>ভোলামারা উত্তর পাড়া</t>
  </si>
  <si>
    <t>SAH305</t>
  </si>
  <si>
    <t>Bholamara Dakkhin Para</t>
  </si>
  <si>
    <t>ভোলামারা দক্ষিণ পাড়া</t>
  </si>
  <si>
    <t>SAH306</t>
  </si>
  <si>
    <t>Chamiuddin Palli</t>
  </si>
  <si>
    <t>ছমিউদ্দিন পল্লী</t>
  </si>
  <si>
    <t>SAH401</t>
  </si>
  <si>
    <t>Kanarajar Bhita</t>
  </si>
  <si>
    <t>কানারাজার ভিটা</t>
  </si>
  <si>
    <t>SAH402</t>
  </si>
  <si>
    <t>Banigram Purba Para</t>
  </si>
  <si>
    <t>বাণীগ্রাম পূর্ব পাড়া</t>
  </si>
  <si>
    <t>SAH403</t>
  </si>
  <si>
    <t>SAH404</t>
  </si>
  <si>
    <t>Kachujom Para</t>
  </si>
  <si>
    <t>কচুজোম পাড়া</t>
  </si>
  <si>
    <t>SAH405</t>
  </si>
  <si>
    <t>Shib  Narayangiri Akhera</t>
  </si>
  <si>
    <t>শিব নারায়নগীরী আখেরা</t>
  </si>
  <si>
    <t>SAH406</t>
  </si>
  <si>
    <t>Doctor Para</t>
  </si>
  <si>
    <t>ডাক্তার পাড়া</t>
  </si>
  <si>
    <t>SAH407</t>
  </si>
  <si>
    <t>Jamadar Para</t>
  </si>
  <si>
    <t>জমাদার পাড়া</t>
  </si>
  <si>
    <t>SAH408</t>
  </si>
  <si>
    <t>Banigram Pashchim Para</t>
  </si>
  <si>
    <t>বাণীগ্রাম পশ্চিম পাড়া</t>
  </si>
  <si>
    <t>SAH409</t>
  </si>
  <si>
    <t>বাজার পাড়া</t>
  </si>
  <si>
    <t>SAH410</t>
  </si>
  <si>
    <t>মহেশখালী পাড়া</t>
  </si>
  <si>
    <t>SAH501</t>
  </si>
  <si>
    <t>Namah Para</t>
  </si>
  <si>
    <t>নমঃ পাড়া</t>
  </si>
  <si>
    <t>SAH502</t>
  </si>
  <si>
    <t>Brahman Para</t>
  </si>
  <si>
    <t>ব্রাক্ষণ পাড়া</t>
  </si>
  <si>
    <t>SAH503</t>
  </si>
  <si>
    <t>Banigram Latmani Para (Washington)</t>
  </si>
  <si>
    <t>বাণীগ্রাম লটমনি পাড়া (ওয়াশিংটন)</t>
  </si>
  <si>
    <t>SAH504</t>
  </si>
  <si>
    <t>Ashcharja Para</t>
  </si>
  <si>
    <t>আশ্চার্য্য পাড়া</t>
  </si>
  <si>
    <t>SAH505</t>
  </si>
  <si>
    <t>SAH506</t>
  </si>
  <si>
    <t>Hangsha Para</t>
  </si>
  <si>
    <t>হংস পাড়া</t>
  </si>
  <si>
    <t>SAH507</t>
  </si>
  <si>
    <t>Dakkhin Banigram</t>
  </si>
  <si>
    <t>দক্ষিণ বাণীগ্রাম</t>
  </si>
  <si>
    <t>SAH508</t>
  </si>
  <si>
    <t>Sahadev Para (Talukdar Para)</t>
  </si>
  <si>
    <t>সহদেব পাড়া (তালুকদার পাড়া)</t>
  </si>
  <si>
    <t>SAH509</t>
  </si>
  <si>
    <t>SAH510</t>
  </si>
  <si>
    <t>Banigram Madhaym Para</t>
  </si>
  <si>
    <t>বাণীগ্রাম মধ্যম পাড়া</t>
  </si>
  <si>
    <t>SAH511</t>
  </si>
  <si>
    <t>SAH512</t>
  </si>
  <si>
    <t>Latmani Uttar Dakkhin Tila</t>
  </si>
  <si>
    <t>লটমণি উত্তর দক্ষিণ টিলা</t>
  </si>
  <si>
    <t>SAH513</t>
  </si>
  <si>
    <t>Kumar Ghat</t>
  </si>
  <si>
    <t>কুমার ঘাত</t>
  </si>
  <si>
    <t>SAH601</t>
  </si>
  <si>
    <t>SAH602</t>
  </si>
  <si>
    <t>Peyada Para</t>
  </si>
  <si>
    <t>পেয়াদা পাড়া</t>
  </si>
  <si>
    <t>SAH603</t>
  </si>
  <si>
    <t>Duari Para</t>
  </si>
  <si>
    <t>দূয়ারি পাড়া</t>
  </si>
  <si>
    <t>SAH604</t>
  </si>
  <si>
    <t>Maulavi Ghona</t>
  </si>
  <si>
    <t>মৌলভী ঘোনা</t>
  </si>
  <si>
    <t>SAH605</t>
  </si>
  <si>
    <t>Mali Para</t>
  </si>
  <si>
    <t>মালী পাড়া</t>
  </si>
  <si>
    <t>SAH606</t>
  </si>
  <si>
    <t>Pani Ghatha</t>
  </si>
  <si>
    <t>পানি ঘাঁঠা</t>
  </si>
  <si>
    <t>SAH607</t>
  </si>
  <si>
    <t>SAH701</t>
  </si>
  <si>
    <t>SAH702</t>
  </si>
  <si>
    <t>Noazi Chowdhury Para</t>
  </si>
  <si>
    <t>নোয়াজী চৌধুরী পাড়া</t>
  </si>
  <si>
    <t>SAH703</t>
  </si>
  <si>
    <t>SAH704</t>
  </si>
  <si>
    <t>SAH705</t>
  </si>
  <si>
    <t>DC Solemon Chowdhury Bari</t>
  </si>
  <si>
    <t>ডি সি সোলেমান চৌধুরী বাড়ী</t>
  </si>
  <si>
    <t>SAH706</t>
  </si>
  <si>
    <t>Khalil Munshi Bari Para</t>
  </si>
  <si>
    <t>খলিল মুন্সী বাড়ী</t>
  </si>
  <si>
    <t>SAH707</t>
  </si>
  <si>
    <t>Becharam Para</t>
  </si>
  <si>
    <t>বেচারাম পাড়া</t>
  </si>
  <si>
    <t>SAH708</t>
  </si>
  <si>
    <t>Sayed Memberer Bari</t>
  </si>
  <si>
    <t>সৈয়দ মেম্বারের বাড়ী</t>
  </si>
  <si>
    <t>SAH709</t>
  </si>
  <si>
    <t>Kazir Bari</t>
  </si>
  <si>
    <t>কাজীর বাড়ি</t>
  </si>
  <si>
    <t>SAH710</t>
  </si>
  <si>
    <t>Kamal Uddin Majumdar Bari</t>
  </si>
  <si>
    <t>কামাল উদ্দিন মজুমদার বাড়ী</t>
  </si>
  <si>
    <t>SAH711</t>
  </si>
  <si>
    <t>Bichainya Para</t>
  </si>
  <si>
    <t>বিছিন্যা পাড়া</t>
  </si>
  <si>
    <t>SAH801</t>
  </si>
  <si>
    <t>Mir Bari Para</t>
  </si>
  <si>
    <t>মীর বাড়ি পাড়া</t>
  </si>
  <si>
    <t>SAH802</t>
  </si>
  <si>
    <t>SAH803</t>
  </si>
  <si>
    <t>Teila Para</t>
  </si>
  <si>
    <t>টেইলা পাড়া</t>
  </si>
  <si>
    <t>SAH901</t>
  </si>
  <si>
    <t>SAH902</t>
  </si>
  <si>
    <t>SAH903</t>
  </si>
  <si>
    <t>SAH904</t>
  </si>
  <si>
    <t>Bara Ghona</t>
  </si>
  <si>
    <t xml:space="preserve">বড় ঘোনা </t>
  </si>
  <si>
    <t>SAH905</t>
  </si>
  <si>
    <t>Ashraf Ali Bari</t>
  </si>
  <si>
    <t>আশরাফ আলী বাড়ী</t>
  </si>
  <si>
    <t>SAH906</t>
  </si>
  <si>
    <t>SAH907</t>
  </si>
  <si>
    <t>SAH908</t>
  </si>
  <si>
    <t>SAH909</t>
  </si>
  <si>
    <t>SAH910</t>
  </si>
  <si>
    <t>SAH911</t>
  </si>
  <si>
    <t>SAH912</t>
  </si>
  <si>
    <t>SAH913</t>
  </si>
  <si>
    <t>Boddar Para</t>
  </si>
  <si>
    <t>বদ্দার পাড়া</t>
  </si>
  <si>
    <t>SEK101</t>
  </si>
  <si>
    <t>SEK102</t>
  </si>
  <si>
    <t>Sam Sikder Para</t>
  </si>
  <si>
    <t>সাম সিকদার পাড়া</t>
  </si>
  <si>
    <t>SEK103</t>
  </si>
  <si>
    <t>Batar Para</t>
  </si>
  <si>
    <t>বাতার পাড়া</t>
  </si>
  <si>
    <t>SEK201</t>
  </si>
  <si>
    <t>SEK202</t>
  </si>
  <si>
    <t>Kachari Para</t>
  </si>
  <si>
    <t>কাচারী পাড়া</t>
  </si>
  <si>
    <t>SEK203</t>
  </si>
  <si>
    <t>Petan Miyaji Para</t>
  </si>
  <si>
    <t>পেটান মিয়াজী পাড়া</t>
  </si>
  <si>
    <t>SEK204</t>
  </si>
  <si>
    <t>Bochar Para</t>
  </si>
  <si>
    <t>বোচার পাড়া</t>
  </si>
  <si>
    <t>SEK301</t>
  </si>
  <si>
    <t>SEK302</t>
  </si>
  <si>
    <t>Tajor Mulluk Sikder Para</t>
  </si>
  <si>
    <t>তাজর মুল্লুক সিকদার পাড়া</t>
  </si>
  <si>
    <t>SEK401</t>
  </si>
  <si>
    <t>Sipahi Pukur Para</t>
  </si>
  <si>
    <t>সিপাহী পুকুর পাড়া</t>
  </si>
  <si>
    <t>SEK402</t>
  </si>
  <si>
    <t>Sonai Baper Para</t>
  </si>
  <si>
    <t>সোনাই বাপের পাড়া</t>
  </si>
  <si>
    <t>SEK403</t>
  </si>
  <si>
    <t>নাথ পাড়া</t>
  </si>
  <si>
    <t>SEK404</t>
  </si>
  <si>
    <t>SEK405</t>
  </si>
  <si>
    <t>খামার পাড়া</t>
  </si>
  <si>
    <t>SEK406</t>
  </si>
  <si>
    <t>Toju Baper Para</t>
  </si>
  <si>
    <t>তজু বাপের পাড়া</t>
  </si>
  <si>
    <t>SEK501</t>
  </si>
  <si>
    <t>Ansur Ali Miyaji Para</t>
  </si>
  <si>
    <t>আনছুর আলী মিয়াজী পাড়া</t>
  </si>
  <si>
    <t>SEK502</t>
  </si>
  <si>
    <t>SEK503</t>
  </si>
  <si>
    <t>Mosharaf Ali Sikder Para</t>
  </si>
  <si>
    <t>মোশারফ আলী সিকদার পাড়া</t>
  </si>
  <si>
    <t>SEK504</t>
  </si>
  <si>
    <t>Mosharaf Ali Dakkhin Para</t>
  </si>
  <si>
    <t>মোশারফ আলী দক্ষিণ পাড়া</t>
  </si>
  <si>
    <t>SEK505</t>
  </si>
  <si>
    <t>SEK601</t>
  </si>
  <si>
    <t>Tara Kinkar Sikder Para</t>
  </si>
  <si>
    <t>তারা কিংকর সিকদার পাড়া</t>
  </si>
  <si>
    <t>SEK602</t>
  </si>
  <si>
    <t>Alibali Para</t>
  </si>
  <si>
    <t>আলীবলি পাড়া</t>
  </si>
  <si>
    <t>SEK603</t>
  </si>
  <si>
    <t>Guillakhali</t>
  </si>
  <si>
    <t>গুইল্যাখালী</t>
  </si>
  <si>
    <t>SEK701</t>
  </si>
  <si>
    <t>Bolai Majhir Para</t>
  </si>
  <si>
    <t>বলই মাঝির পাড়া</t>
  </si>
  <si>
    <t>SEK702</t>
  </si>
  <si>
    <t>SEK703</t>
  </si>
  <si>
    <t>Hazi Tajumul Ali Para</t>
  </si>
  <si>
    <t>হাজী তজুমুল আলী পাড়া</t>
  </si>
  <si>
    <t>SEK704</t>
  </si>
  <si>
    <t>Bahmanikhil</t>
  </si>
  <si>
    <t>বাহমনিখীল</t>
  </si>
  <si>
    <t>SEK801</t>
  </si>
  <si>
    <t>SEK802</t>
  </si>
  <si>
    <t>Konakhali</t>
  </si>
  <si>
    <t>কোনাখালী</t>
  </si>
  <si>
    <t>SEK803</t>
  </si>
  <si>
    <t>SEK804</t>
  </si>
  <si>
    <t>Madhu Matabbar Bari</t>
  </si>
  <si>
    <t>মধু মাতব্বর বাড়ি</t>
  </si>
  <si>
    <t>SEK805</t>
  </si>
  <si>
    <t>Lal Jiban</t>
  </si>
  <si>
    <t>লাল জীবন</t>
  </si>
  <si>
    <t>SEK901</t>
  </si>
  <si>
    <t>SEK902</t>
  </si>
  <si>
    <t>Hedayat Ali Baper Bari</t>
  </si>
  <si>
    <t>হেদায়ত আলী বাপের বাড়ি</t>
  </si>
  <si>
    <t>SEK903</t>
  </si>
  <si>
    <t>Thanda Baper Bari</t>
  </si>
  <si>
    <t>ঠান্ডা বাপের বাড়ি</t>
  </si>
  <si>
    <t>SEK904</t>
  </si>
  <si>
    <t>Chhamd Mia Baper Bari</t>
  </si>
  <si>
    <t>ছমদ মিয়া বাপের বাড়ি</t>
  </si>
  <si>
    <t>SEK905</t>
  </si>
  <si>
    <t>SEK906</t>
  </si>
  <si>
    <t>SHI101</t>
  </si>
  <si>
    <t>SHI102</t>
  </si>
  <si>
    <t>Head Para</t>
  </si>
  <si>
    <t>হেড পাড়া</t>
  </si>
  <si>
    <t>SHI201</t>
  </si>
  <si>
    <t>Tabli Para</t>
  </si>
  <si>
    <t>তবলী পাড়া</t>
  </si>
  <si>
    <t>SHI202</t>
  </si>
  <si>
    <t>Shapla Para</t>
  </si>
  <si>
    <t>শাপলা পাড়া</t>
  </si>
  <si>
    <t>SHI203</t>
  </si>
  <si>
    <t>Muhuri Pukur Para</t>
  </si>
  <si>
    <t>মুহুরী পুকুর পাড়া</t>
  </si>
  <si>
    <t>SHI204</t>
  </si>
  <si>
    <t>SHI205</t>
  </si>
  <si>
    <t>Mohalla Para</t>
  </si>
  <si>
    <t>মহল্লা পাড়া</t>
  </si>
  <si>
    <t>SHI301</t>
  </si>
  <si>
    <t>Pele Haji Para</t>
  </si>
  <si>
    <t>পেলে হাজী পাড়া</t>
  </si>
  <si>
    <t>SHI302</t>
  </si>
  <si>
    <t>Golap Jani Baper Bari</t>
  </si>
  <si>
    <t>গোলাপ জানী বাপের বাড়ি</t>
  </si>
  <si>
    <t>SHI303</t>
  </si>
  <si>
    <t>Amir Jani Bor Bari</t>
  </si>
  <si>
    <t>আমির জানি বর বাড়ী</t>
  </si>
  <si>
    <t>SHI304</t>
  </si>
  <si>
    <t>Amir Hamza Baper Bari</t>
  </si>
  <si>
    <t>আমির হামজা বাপের বাড়ী</t>
  </si>
  <si>
    <t>SHI305</t>
  </si>
  <si>
    <t>Akhtarer Bari</t>
  </si>
  <si>
    <t>আক্তারের বাড়ি</t>
  </si>
  <si>
    <t>SHI306</t>
  </si>
  <si>
    <t>Neyamat Ali Sikder Para</t>
  </si>
  <si>
    <t>নেয়ামত আলী সিকদার পাড়া</t>
  </si>
  <si>
    <t>SHI307</t>
  </si>
  <si>
    <t>SHI401</t>
  </si>
  <si>
    <t>SHI402</t>
  </si>
  <si>
    <t>Anjuman Para</t>
  </si>
  <si>
    <t>আনজুমান পাড়া</t>
  </si>
  <si>
    <t>SHI403</t>
  </si>
  <si>
    <t>Mauddar Para</t>
  </si>
  <si>
    <t>মউদ্দার পাড়া</t>
  </si>
  <si>
    <t>SHI404</t>
  </si>
  <si>
    <t>Ali Sikder Para</t>
  </si>
  <si>
    <t>আলী সিকদার পাড়া</t>
  </si>
  <si>
    <t>SHI501</t>
  </si>
  <si>
    <t>Kanu Cherang Para</t>
  </si>
  <si>
    <t>কানু চেরাং পাড়া</t>
  </si>
  <si>
    <t>SHI502</t>
  </si>
  <si>
    <t>Seinya Para</t>
  </si>
  <si>
    <t>সেইন্ন্যা পাড়া</t>
  </si>
  <si>
    <t>SHI503</t>
  </si>
  <si>
    <t>Shaheb Mia Baper Bari</t>
  </si>
  <si>
    <t>সাহেব মিয়া বাপের বাড়ী</t>
  </si>
  <si>
    <t>SHI504</t>
  </si>
  <si>
    <t>Moazzin Para</t>
  </si>
  <si>
    <t>মোয়াজ্জিন পাড়া</t>
  </si>
  <si>
    <t>SHI505</t>
  </si>
  <si>
    <t>Mohabbat Ali Sikder Bari</t>
  </si>
  <si>
    <t>মোহাব্বত আলী সিকদার বাড়ী</t>
  </si>
  <si>
    <t>SHI506</t>
  </si>
  <si>
    <t>SHI601</t>
  </si>
  <si>
    <t>SHI701</t>
  </si>
  <si>
    <t>SHI702</t>
  </si>
  <si>
    <t>Chartia Para</t>
  </si>
  <si>
    <t>চরতিয়া পাড়া</t>
  </si>
  <si>
    <t>SHI703</t>
  </si>
  <si>
    <t>Nanayar Para</t>
  </si>
  <si>
    <t>ননাইয়ার পাড়া</t>
  </si>
  <si>
    <t>SHI704</t>
  </si>
  <si>
    <t>SHI705</t>
  </si>
  <si>
    <t>দাশ পাড়া</t>
  </si>
  <si>
    <t>SHI706</t>
  </si>
  <si>
    <t>Ahmed Safa Memberer Para</t>
  </si>
  <si>
    <t>আহমদ ছফা মেম্বারের পাড়া</t>
  </si>
  <si>
    <t>SHI707</t>
  </si>
  <si>
    <t>Zari Baper Para</t>
  </si>
  <si>
    <t>জরি বাপের পাড়া</t>
  </si>
  <si>
    <t>SHI708</t>
  </si>
  <si>
    <t>Shyamoli Para</t>
  </si>
  <si>
    <t>শ্যামলী পাড়া</t>
  </si>
  <si>
    <t>SHI709</t>
  </si>
  <si>
    <t>Nuruddin Sikder Para</t>
  </si>
  <si>
    <t>নুরুদ্দীন সিকদার পাড়া</t>
  </si>
  <si>
    <t>SHI710</t>
  </si>
  <si>
    <t>Rahmat Ullah Member Para</t>
  </si>
  <si>
    <t>রহমত উল্লাহ মেম্বার পাড়া</t>
  </si>
  <si>
    <t>SHI711</t>
  </si>
  <si>
    <t>Nazira Baper Bari</t>
  </si>
  <si>
    <t>নাজিরা বাপের বাড়ী</t>
  </si>
  <si>
    <t>SHI712</t>
  </si>
  <si>
    <t>Ashu Baper Para</t>
  </si>
  <si>
    <t>আশু বাপের পাড়া</t>
  </si>
  <si>
    <t>SHI713</t>
  </si>
  <si>
    <t>Barua Para Pashchimangsho</t>
  </si>
  <si>
    <t>বড়ুয়া পাড়া পশ্চিমাংশ</t>
  </si>
  <si>
    <t>SHI801</t>
  </si>
  <si>
    <t>Shamshul Alam Chairman Bari</t>
  </si>
  <si>
    <t>শামশুল আলম চেয়ারম্যান বাড়ী</t>
  </si>
  <si>
    <t>SHI802</t>
  </si>
  <si>
    <t>Senayet Ali Para</t>
  </si>
  <si>
    <t>সেনায়েত আলী পাড়া</t>
  </si>
  <si>
    <t>SHI803</t>
  </si>
  <si>
    <t>Rustom Ali Majhir Para</t>
  </si>
  <si>
    <t>রুস্তম আলী মাঝির পাড়া</t>
  </si>
  <si>
    <t>SHI804</t>
  </si>
  <si>
    <t>Zaker Memberer Bari</t>
  </si>
  <si>
    <t>জাকের মেম্বারের বাড়ী</t>
  </si>
  <si>
    <t>SHI805</t>
  </si>
  <si>
    <t>SHI806</t>
  </si>
  <si>
    <t>Yusuf Ali Munshi Bari</t>
  </si>
  <si>
    <t>ইউসুফ আলী মুন্সির বাড়ী</t>
  </si>
  <si>
    <t>SHI807</t>
  </si>
  <si>
    <t>SHI901</t>
  </si>
  <si>
    <t>Dalar Para</t>
  </si>
  <si>
    <t>ডালার পাড়া</t>
  </si>
  <si>
    <t>SHI902</t>
  </si>
  <si>
    <t>SHI903</t>
  </si>
  <si>
    <t>Mirza Bari</t>
  </si>
  <si>
    <t>মির্জা বাড়ী</t>
  </si>
  <si>
    <t>SHI904</t>
  </si>
  <si>
    <t>SHI905</t>
  </si>
  <si>
    <t>SHI906</t>
  </si>
  <si>
    <t>Lalurmar Para</t>
  </si>
  <si>
    <t>লালুরমার পাড়া</t>
  </si>
  <si>
    <t>SHI907</t>
  </si>
  <si>
    <t>Baksu Baper Para</t>
  </si>
  <si>
    <t>বকসু বাপের পাড়া</t>
  </si>
  <si>
    <t>SHI908</t>
  </si>
  <si>
    <t>বদলা পাড়া</t>
  </si>
  <si>
    <t>SHI909</t>
  </si>
  <si>
    <t>Karlya Mura</t>
  </si>
  <si>
    <t>করল্যা মুড়া</t>
  </si>
  <si>
    <t>SHI910</t>
  </si>
  <si>
    <t>SHI911</t>
  </si>
  <si>
    <t>Eco Park</t>
  </si>
  <si>
    <t>ইকো পার্ক</t>
  </si>
  <si>
    <t>SHI912</t>
  </si>
  <si>
    <t>SHI913</t>
  </si>
  <si>
    <t>SHI914</t>
  </si>
  <si>
    <t>SHI915</t>
  </si>
  <si>
    <t>SHI916</t>
  </si>
  <si>
    <t>Chintaharan Bagan Para</t>
  </si>
  <si>
    <t>চিন্তাহরণ বাগান পাড়া</t>
  </si>
  <si>
    <t>SHI917</t>
  </si>
  <si>
    <t>Country</t>
  </si>
  <si>
    <t>Division</t>
  </si>
  <si>
    <t>Bangladesh</t>
  </si>
  <si>
    <t>HH Number</t>
  </si>
  <si>
    <t>Ward No</t>
  </si>
  <si>
    <t>Anowara</t>
  </si>
  <si>
    <t>Katakhali</t>
  </si>
  <si>
    <t>Rehena Akter</t>
  </si>
  <si>
    <t>Pouroshava</t>
  </si>
  <si>
    <t>Islamabad</t>
  </si>
  <si>
    <t>Nali Day</t>
  </si>
  <si>
    <t>Boalgoan</t>
  </si>
  <si>
    <t>Kilpara</t>
  </si>
  <si>
    <t>Dhanpura</t>
  </si>
  <si>
    <t>Uttar Bilpur</t>
  </si>
  <si>
    <t>Dakkin Anowara</t>
  </si>
  <si>
    <t>Purbo Anowara</t>
  </si>
  <si>
    <t>Dakkin Bilpur</t>
  </si>
  <si>
    <t>Bilpur</t>
  </si>
  <si>
    <t>Paccim Anowara</t>
  </si>
  <si>
    <t>Haildhar</t>
  </si>
  <si>
    <t>Anika Bishows</t>
  </si>
  <si>
    <t>Khaskama</t>
  </si>
  <si>
    <t>Gujura</t>
  </si>
  <si>
    <t>Kunirbil</t>
  </si>
  <si>
    <t>Malghor</t>
  </si>
  <si>
    <t>Hatikhain</t>
  </si>
  <si>
    <t>South Echakali</t>
  </si>
  <si>
    <t>North Echakali</t>
  </si>
  <si>
    <t>Pirkhain</t>
  </si>
  <si>
    <t>Battali</t>
  </si>
  <si>
    <t>Zinati Rahena Minu</t>
  </si>
  <si>
    <t>Chapatali</t>
  </si>
  <si>
    <t>Chira Bottoli</t>
  </si>
  <si>
    <t>Nurpara</t>
  </si>
  <si>
    <t>Wardarpara</t>
  </si>
  <si>
    <t>Shapmara Para</t>
  </si>
  <si>
    <t>Airmongol</t>
  </si>
  <si>
    <t>Tulatoli</t>
  </si>
  <si>
    <t>East Bariya</t>
  </si>
  <si>
    <t>West Bariya</t>
  </si>
  <si>
    <t>Chaturi</t>
  </si>
  <si>
    <t>Nasmin Akter</t>
  </si>
  <si>
    <t>Mohotorpara</t>
  </si>
  <si>
    <t>Kainpura</t>
  </si>
  <si>
    <t>Keyaghor</t>
  </si>
  <si>
    <t>Chatari</t>
  </si>
  <si>
    <t>Singhara</t>
  </si>
  <si>
    <t>Belchura</t>
  </si>
  <si>
    <t>Paccim Kainnyara</t>
  </si>
  <si>
    <t>Rudura</t>
  </si>
  <si>
    <t>Dumuria</t>
  </si>
  <si>
    <t>Bairag</t>
  </si>
  <si>
    <t>Minuwara Begum</t>
  </si>
  <si>
    <t>Badalpura</t>
  </si>
  <si>
    <t>North Bairag</t>
  </si>
  <si>
    <t>South Bairag</t>
  </si>
  <si>
    <t>Guapanchok</t>
  </si>
  <si>
    <t>North Guapanchok</t>
  </si>
  <si>
    <t>Bondor</t>
  </si>
  <si>
    <t>Muhammadpur</t>
  </si>
  <si>
    <t>North Bondor</t>
  </si>
  <si>
    <t>Amanullah para</t>
  </si>
  <si>
    <t>Barakhain</t>
  </si>
  <si>
    <t>Fahima Akter</t>
  </si>
  <si>
    <t>Jheory</t>
  </si>
  <si>
    <t>Naidondi</t>
  </si>
  <si>
    <t>Sholkata</t>
  </si>
  <si>
    <t>Shilaigara</t>
  </si>
  <si>
    <t>Sayedkuchiya</t>
  </si>
  <si>
    <t>Hazigoan</t>
  </si>
  <si>
    <t>Padmapara</t>
  </si>
  <si>
    <t>Tailardwip</t>
  </si>
  <si>
    <t>Barumchara</t>
  </si>
  <si>
    <t>Anjana Choudari</t>
  </si>
  <si>
    <t>North Barumchara</t>
  </si>
  <si>
    <t>East Barumchara</t>
  </si>
  <si>
    <t>South Barumchara</t>
  </si>
  <si>
    <t>Noldia</t>
  </si>
  <si>
    <t>West Barumchara</t>
  </si>
  <si>
    <t>Barumchara-1</t>
  </si>
  <si>
    <t>Barumchara-2</t>
  </si>
  <si>
    <t>Barumchara-3</t>
  </si>
  <si>
    <t>Barumchara-4</t>
  </si>
  <si>
    <t>Barashat</t>
  </si>
  <si>
    <t>Monowara Begum</t>
  </si>
  <si>
    <t>Gobadia</t>
  </si>
  <si>
    <t>Paccimchal</t>
  </si>
  <si>
    <t>Chalitoli</t>
  </si>
  <si>
    <t>Dudkumra</t>
  </si>
  <si>
    <t>Goalia</t>
  </si>
  <si>
    <t>Boalia</t>
  </si>
  <si>
    <t>West Tulatoli</t>
  </si>
  <si>
    <t>Gundippara</t>
  </si>
  <si>
    <t>Raypur</t>
  </si>
  <si>
    <t>Ripun Ara Begum</t>
  </si>
  <si>
    <t>Sarenga</t>
  </si>
  <si>
    <t>North Paruapara</t>
  </si>
  <si>
    <t>Dovashihat</t>
  </si>
  <si>
    <t>Korddo Gohira</t>
  </si>
  <si>
    <t>Daksinpara</t>
  </si>
  <si>
    <t>Chunnapara</t>
  </si>
  <si>
    <t>Gohira</t>
  </si>
  <si>
    <t>South Gohira</t>
  </si>
  <si>
    <t>Juidandi</t>
  </si>
  <si>
    <t>North Juidandi</t>
  </si>
  <si>
    <t>Kuruskul</t>
  </si>
  <si>
    <t>South Juidandi</t>
  </si>
  <si>
    <t>East Juidandi</t>
  </si>
  <si>
    <t>West Juidandi</t>
  </si>
  <si>
    <t>Juidandi-1</t>
  </si>
  <si>
    <t>Juidandi-2</t>
  </si>
  <si>
    <t>Juidandi-3</t>
  </si>
  <si>
    <t>Poraikora</t>
  </si>
  <si>
    <t>Akhee Dabi</t>
  </si>
  <si>
    <t>Bhingrol</t>
  </si>
  <si>
    <t>Kaikhain</t>
  </si>
  <si>
    <t>Bathuapara</t>
  </si>
  <si>
    <t>Mahata</t>
  </si>
  <si>
    <t>Talsara</t>
  </si>
  <si>
    <t>Dewtala</t>
  </si>
  <si>
    <t>Shilalia</t>
  </si>
  <si>
    <t>Oshkhain</t>
  </si>
  <si>
    <t>Boalkhali</t>
  </si>
  <si>
    <t>West Gomdandi</t>
  </si>
  <si>
    <t>Mamotaz Begum</t>
  </si>
  <si>
    <t>Hajir Char</t>
  </si>
  <si>
    <t>Baddar Para</t>
  </si>
  <si>
    <t>Charkhidhir pur</t>
  </si>
  <si>
    <t>Charkhijir pur</t>
  </si>
  <si>
    <t>Paschim Gomdandi</t>
  </si>
  <si>
    <t>Raykhali pull</t>
  </si>
  <si>
    <t>Jomadhar hut</t>
  </si>
  <si>
    <t>Bepari Para</t>
  </si>
  <si>
    <t>Full tall</t>
  </si>
  <si>
    <t>Kalurghat</t>
  </si>
  <si>
    <t>Monosa Para</t>
  </si>
  <si>
    <t>East Gomdandi</t>
  </si>
  <si>
    <t>Manna sen</t>
  </si>
  <si>
    <t>Purba Gomdadi</t>
  </si>
  <si>
    <t>Dorogpara</t>
  </si>
  <si>
    <t>Mojahid Para</t>
  </si>
  <si>
    <t>Mukti Para</t>
  </si>
  <si>
    <t>sondip Para</t>
  </si>
  <si>
    <t>Bohoddar para</t>
  </si>
  <si>
    <t>Munsi para</t>
  </si>
  <si>
    <t>Shek Para</t>
  </si>
  <si>
    <t>Bangla Para</t>
  </si>
  <si>
    <t>Kardhurkhil</t>
  </si>
  <si>
    <t>Shahinur Akter</t>
  </si>
  <si>
    <t>Karlurghat</t>
  </si>
  <si>
    <t>Depoti Para</t>
  </si>
  <si>
    <t>Shikdar Para</t>
  </si>
  <si>
    <t>Moddho Kondhorkhil</t>
  </si>
  <si>
    <t>Lala Gigi</t>
  </si>
  <si>
    <t>Jugi Para</t>
  </si>
  <si>
    <t>Imam Nagor</t>
  </si>
  <si>
    <t>Purba Kardharkhil</t>
  </si>
  <si>
    <t>Ahlla Koroldanga</t>
  </si>
  <si>
    <t>Tanju Akter</t>
  </si>
  <si>
    <t>Uttor Koroldenga</t>
  </si>
  <si>
    <t>Bokter Para</t>
  </si>
  <si>
    <t>Dokhin Koroldenga</t>
  </si>
  <si>
    <t>Talukdhar Para</t>
  </si>
  <si>
    <t>Moddo koroldenga</t>
  </si>
  <si>
    <t>4,5</t>
  </si>
  <si>
    <t>Uttor Vorsi</t>
  </si>
  <si>
    <t>Sen para</t>
  </si>
  <si>
    <t>Seik Chawdory Para</t>
  </si>
  <si>
    <t>Boddho Para</t>
  </si>
  <si>
    <t>Saroatali</t>
  </si>
  <si>
    <t>Meherunessa</t>
  </si>
  <si>
    <t>Sondandi</t>
  </si>
  <si>
    <t>Sarutali</t>
  </si>
  <si>
    <t>Bengura</t>
  </si>
  <si>
    <t>Kohoro bag</t>
  </si>
  <si>
    <t>Kitabchor</t>
  </si>
  <si>
    <t>7,8</t>
  </si>
  <si>
    <t>Emamollar chor</t>
  </si>
  <si>
    <t>Konjori</t>
  </si>
  <si>
    <t>1,2</t>
  </si>
  <si>
    <t>Palashi Dey</t>
  </si>
  <si>
    <t>Purba Sakpura</t>
  </si>
  <si>
    <t>Sakpura</t>
  </si>
  <si>
    <t>Gosh khill</t>
  </si>
  <si>
    <t>Acherjee Para</t>
  </si>
  <si>
    <t>Moddo Sakpura</t>
  </si>
  <si>
    <t>Nath para</t>
  </si>
  <si>
    <t>Pachim Sakpura</t>
  </si>
  <si>
    <t>Anispar</t>
  </si>
  <si>
    <t>Teli Par</t>
  </si>
  <si>
    <t>Popadia</t>
  </si>
  <si>
    <t>MithuProva Palit</t>
  </si>
  <si>
    <t>saidpur</t>
  </si>
  <si>
    <t>Akubdandi</t>
  </si>
  <si>
    <t>Shorif Para</t>
  </si>
  <si>
    <t>Kahar Para</t>
  </si>
  <si>
    <t>Akolia</t>
  </si>
  <si>
    <t>Tal tol</t>
  </si>
  <si>
    <t>Bidugram</t>
  </si>
  <si>
    <t>Shreepur Kharandwip</t>
  </si>
  <si>
    <t>Sabita Dey</t>
  </si>
  <si>
    <t>Pochim Kharandwip</t>
  </si>
  <si>
    <t>Shreepur</t>
  </si>
  <si>
    <t>Bosak Para</t>
  </si>
  <si>
    <t>Karigor Para</t>
  </si>
  <si>
    <t>Kohinur Akter</t>
  </si>
  <si>
    <t>dokhin Joitha Pura</t>
  </si>
  <si>
    <t>shek Para</t>
  </si>
  <si>
    <t>Mohot Bari</t>
  </si>
  <si>
    <t>Hat Khula</t>
  </si>
  <si>
    <t>Mastar Para</t>
  </si>
  <si>
    <t>Fhother Khil</t>
  </si>
  <si>
    <t>Charandwip</t>
  </si>
  <si>
    <t>Fokhirakhali</t>
  </si>
  <si>
    <t>Pathan Para</t>
  </si>
  <si>
    <t>Seik Para</t>
  </si>
  <si>
    <t>Sayoid Nagor</t>
  </si>
  <si>
    <t xml:space="preserve">Moddo Sayoid </t>
  </si>
  <si>
    <t>Purba Sayoid Nagor</t>
  </si>
  <si>
    <t>Sikdar Para</t>
  </si>
  <si>
    <t>Gatiyal Para</t>
  </si>
  <si>
    <t>Sorif Para</t>
  </si>
  <si>
    <t>Amuchia</t>
  </si>
  <si>
    <t>Bogachora</t>
  </si>
  <si>
    <t>Kharanjo Para</t>
  </si>
  <si>
    <t>Dorola</t>
  </si>
  <si>
    <t>6,7</t>
  </si>
  <si>
    <t>Kanungo Para</t>
  </si>
  <si>
    <t>Kalairhut</t>
  </si>
  <si>
    <t>Kanudigir Par</t>
  </si>
  <si>
    <t>sandwip Para</t>
  </si>
  <si>
    <t>Gucha Gram</t>
  </si>
  <si>
    <t>Chandanaish</t>
  </si>
  <si>
    <t>Dhopachari</t>
  </si>
  <si>
    <t>Jasmin Akter</t>
  </si>
  <si>
    <t>Purbo Dhopachari</t>
  </si>
  <si>
    <t>Songkher Kul</t>
  </si>
  <si>
    <t>Jannatul Ferdaws</t>
  </si>
  <si>
    <t>Mager Para</t>
  </si>
  <si>
    <t>Santir Bazar</t>
  </si>
  <si>
    <t>Mongloti tripura</t>
  </si>
  <si>
    <t>Chiamenpara</t>
  </si>
  <si>
    <t>Modhuchhara</t>
  </si>
  <si>
    <t>Pochim Champ Para</t>
  </si>
  <si>
    <t>Barkhola Para</t>
  </si>
  <si>
    <t>Umme Habiba</t>
  </si>
  <si>
    <t>Madham Para</t>
  </si>
  <si>
    <t>Dokkin Chiringgata</t>
  </si>
  <si>
    <t>Dohazari</t>
  </si>
  <si>
    <t>Nomita Dabi</t>
  </si>
  <si>
    <t>Chagachar</t>
  </si>
  <si>
    <t>Barudkhana</t>
  </si>
  <si>
    <t>Eid pukuria</t>
  </si>
  <si>
    <t>Sadar</t>
  </si>
  <si>
    <t>Hasondondi</t>
  </si>
  <si>
    <t>Paschim Jamirjuri</t>
  </si>
  <si>
    <t>Raijuara</t>
  </si>
  <si>
    <t>Purbo Jamirjuri</t>
  </si>
  <si>
    <t>Diakul</t>
  </si>
  <si>
    <t>Kanchonabad</t>
  </si>
  <si>
    <t>Sharmin Akter</t>
  </si>
  <si>
    <t>Porchim Alahabad</t>
  </si>
  <si>
    <t>Tali para</t>
  </si>
  <si>
    <t>Shahasufi Rasid talukder bari</t>
  </si>
  <si>
    <t>Muradabad</t>
  </si>
  <si>
    <t>Purbo Alahabad</t>
  </si>
  <si>
    <t>Uttor Kanchannagar</t>
  </si>
  <si>
    <t>Madham Kanchannagar</t>
  </si>
  <si>
    <t>Dokkin Kanchannagar</t>
  </si>
  <si>
    <t>Lot Alahabad</t>
  </si>
  <si>
    <t>Hasimpur</t>
  </si>
  <si>
    <t>Asmaul Husna</t>
  </si>
  <si>
    <t>Borma Para</t>
  </si>
  <si>
    <t>Gudarkul</t>
  </si>
  <si>
    <t>Khuniar Para</t>
  </si>
  <si>
    <t>Mozaher Pra</t>
  </si>
  <si>
    <t>Ronu Dey</t>
  </si>
  <si>
    <t>Mitro Para</t>
  </si>
  <si>
    <t>Bhandari Para</t>
  </si>
  <si>
    <t>Sipahi Para</t>
  </si>
  <si>
    <t>Sonaichari kul</t>
  </si>
  <si>
    <t>Boro Para</t>
  </si>
  <si>
    <t>Satbaria</t>
  </si>
  <si>
    <t>Kisnorani Dabi</t>
  </si>
  <si>
    <t>Baharom Para</t>
  </si>
  <si>
    <t>Munshi Bhita</t>
  </si>
  <si>
    <t>Dhonar Para</t>
  </si>
  <si>
    <t>Hazir Para</t>
  </si>
  <si>
    <t>Mohammad Khali</t>
  </si>
  <si>
    <t>Nagarpara</t>
  </si>
  <si>
    <t>Nasirkul</t>
  </si>
  <si>
    <t>Hasan Dondi</t>
  </si>
  <si>
    <t>Bailtoly</t>
  </si>
  <si>
    <t>Porchim Bailtoly</t>
  </si>
  <si>
    <t>Burir Dokan</t>
  </si>
  <si>
    <t>Bhuiyan para</t>
  </si>
  <si>
    <t>Dokkin Bailtoly</t>
  </si>
  <si>
    <t>Dippara</t>
  </si>
  <si>
    <t>Pochim Zafrabad</t>
  </si>
  <si>
    <t>Modham Zafrabad</t>
  </si>
  <si>
    <t>Dokkin Zafrabad</t>
  </si>
  <si>
    <t>Muhurir Hat</t>
  </si>
  <si>
    <t>Barama</t>
  </si>
  <si>
    <t>Pochim Kasua</t>
  </si>
  <si>
    <t>Madham Kasua</t>
  </si>
  <si>
    <t>Purbo Kasua</t>
  </si>
  <si>
    <t>Bainjuri</t>
  </si>
  <si>
    <t>Sarondi</t>
  </si>
  <si>
    <t>Rawlibag</t>
  </si>
  <si>
    <t>Maikath</t>
  </si>
  <si>
    <t>Boro Ma</t>
  </si>
  <si>
    <t>Bata Jhuri</t>
  </si>
  <si>
    <t>Barkal</t>
  </si>
  <si>
    <t>Dokkin Barkal</t>
  </si>
  <si>
    <t>Uttor Barkal</t>
  </si>
  <si>
    <t>Shekchandir Para</t>
  </si>
  <si>
    <t>Kanaimadari</t>
  </si>
  <si>
    <t>Purbo Kanaimadari</t>
  </si>
  <si>
    <t>Pochim Pathandondi</t>
  </si>
  <si>
    <t>Modham Pathandondi</t>
  </si>
  <si>
    <t>Purba Pathandondi</t>
  </si>
  <si>
    <t>Kulal Danga</t>
  </si>
  <si>
    <t>Joara</t>
  </si>
  <si>
    <t>Sikder para</t>
  </si>
  <si>
    <t>Fatanagor</t>
  </si>
  <si>
    <t>Bhuo hazar bari</t>
  </si>
  <si>
    <t>Kazi Bari Dakkhin Para</t>
  </si>
  <si>
    <t>Mohammad pur Maizpara</t>
  </si>
  <si>
    <t>Moh. Pur Purbapara</t>
  </si>
  <si>
    <t>Mukundo goser bari</t>
  </si>
  <si>
    <t>Hazir para</t>
  </si>
  <si>
    <t>Molana bari</t>
  </si>
  <si>
    <t>Badurpara</t>
  </si>
  <si>
    <t>Chawdhuri Para</t>
  </si>
  <si>
    <t>Purba Juara</t>
  </si>
  <si>
    <t>Noapara</t>
  </si>
  <si>
    <t>Dokkin Harala</t>
  </si>
  <si>
    <t>Dokkin Juara</t>
  </si>
  <si>
    <t>Sikderpara</t>
  </si>
  <si>
    <t>Daskin Gachhbaria</t>
  </si>
  <si>
    <t>Gachhbaria</t>
  </si>
  <si>
    <t>Fatikchhari</t>
  </si>
  <si>
    <t>Bazan Bazar</t>
  </si>
  <si>
    <t>Roksana Akter</t>
  </si>
  <si>
    <t>Gojaria</t>
  </si>
  <si>
    <t>East Gajaria</t>
  </si>
  <si>
    <t>Lalmai</t>
  </si>
  <si>
    <t>Alompur</t>
  </si>
  <si>
    <t>Motinnagar</t>
  </si>
  <si>
    <t>Razia Begum</t>
  </si>
  <si>
    <t>Udaypathar</t>
  </si>
  <si>
    <t>Patachari</t>
  </si>
  <si>
    <t>Mahammadpur</t>
  </si>
  <si>
    <t>Rokeya Begum</t>
  </si>
  <si>
    <t>Haludia</t>
  </si>
  <si>
    <t>Adermanik</t>
  </si>
  <si>
    <t>Puran Ramgar</t>
  </si>
  <si>
    <t>Chikonerkhil</t>
  </si>
  <si>
    <t>Shikderkhil</t>
  </si>
  <si>
    <t>Razarghat</t>
  </si>
  <si>
    <t>Islampur</t>
  </si>
  <si>
    <t>Hitirkheda</t>
  </si>
  <si>
    <t>Jubaida Akter</t>
  </si>
  <si>
    <t>Bot tali</t>
  </si>
  <si>
    <t>Ramgarh Tea Gourden</t>
  </si>
  <si>
    <t>Rasulpur</t>
  </si>
  <si>
    <t>Nur pur</t>
  </si>
  <si>
    <t>Panuya</t>
  </si>
  <si>
    <t>Naydolang</t>
  </si>
  <si>
    <t>Harbattoli</t>
  </si>
  <si>
    <t>Datmara</t>
  </si>
  <si>
    <t>Hasina Begum</t>
  </si>
  <si>
    <t>Heakow</t>
  </si>
  <si>
    <t>Subalchari</t>
  </si>
  <si>
    <t>Shipra Rani Dey</t>
  </si>
  <si>
    <t>Ratonapur</t>
  </si>
  <si>
    <t>Sadinagar</t>
  </si>
  <si>
    <t>Hasnabad</t>
  </si>
  <si>
    <t>Komillapara</t>
  </si>
  <si>
    <t>Kalakum</t>
  </si>
  <si>
    <t>Asma Akter</t>
  </si>
  <si>
    <t>Purbasoni</t>
  </si>
  <si>
    <t>Nicchinta</t>
  </si>
  <si>
    <t>Muslimpara</t>
  </si>
  <si>
    <t>Boroitoli</t>
  </si>
  <si>
    <t>purba Datmara(Soni)</t>
  </si>
  <si>
    <t>Purbo Ratnapur</t>
  </si>
  <si>
    <t>Champa Rani Dey</t>
  </si>
  <si>
    <t>Poschim Hasnabad</t>
  </si>
  <si>
    <t>Purbo Tarko</t>
  </si>
  <si>
    <t>Baro Betua</t>
  </si>
  <si>
    <t>Jhiltoli</t>
  </si>
  <si>
    <t>Kanchona</t>
  </si>
  <si>
    <t>Narayonhat</t>
  </si>
  <si>
    <t>Nila Rani Debi</t>
  </si>
  <si>
    <t>Dhamarkhil</t>
  </si>
  <si>
    <t>Hapania</t>
  </si>
  <si>
    <t>Mohanagar</t>
  </si>
  <si>
    <t>Lutfun Nahar</t>
  </si>
  <si>
    <t>Jujkhola</t>
  </si>
  <si>
    <t>Hirinmara</t>
  </si>
  <si>
    <t>Sundorpur</t>
  </si>
  <si>
    <t>Khurshida</t>
  </si>
  <si>
    <t>Shet chara</t>
  </si>
  <si>
    <t>Chanpur</t>
  </si>
  <si>
    <t>Edil Pur</t>
  </si>
  <si>
    <t>Anjona Dey</t>
  </si>
  <si>
    <t>Soilo Kupa</t>
  </si>
  <si>
    <t>Khamar vita</t>
  </si>
  <si>
    <t>Napchun Chabagan</t>
  </si>
  <si>
    <t>Kulal Para</t>
  </si>
  <si>
    <t>Dokkin Jujkhola</t>
  </si>
  <si>
    <t>Dolarkhil</t>
  </si>
  <si>
    <t>Ansara Begum</t>
  </si>
  <si>
    <t>Badurkhil</t>
  </si>
  <si>
    <t>Kattosa</t>
  </si>
  <si>
    <t>Goravanga</t>
  </si>
  <si>
    <t>Sapmara</t>
  </si>
  <si>
    <t>Kanchannagar</t>
  </si>
  <si>
    <t>Shila Dey</t>
  </si>
  <si>
    <t>3,4</t>
  </si>
  <si>
    <t>Khondakerpara</t>
  </si>
  <si>
    <t>Manikpur</t>
  </si>
  <si>
    <t>Monoara Begum</t>
  </si>
  <si>
    <t>Uttar Kanchon Nagar</t>
  </si>
  <si>
    <t>Dokkhin Kanchon Nagar</t>
  </si>
  <si>
    <t>Shesh Manikpur</t>
  </si>
  <si>
    <t>Challachar</t>
  </si>
  <si>
    <t>Lelang</t>
  </si>
  <si>
    <t>1.,2,.3</t>
  </si>
  <si>
    <t>Ankur Bala Nath</t>
  </si>
  <si>
    <t>Shahnagar</t>
  </si>
  <si>
    <t>kutubchari</t>
  </si>
  <si>
    <t>Japrabad</t>
  </si>
  <si>
    <t>8,9</t>
  </si>
  <si>
    <t>Kochuyatila(gopalgata)</t>
  </si>
  <si>
    <t>Bhujpur</t>
  </si>
  <si>
    <t>Baby Akter</t>
  </si>
  <si>
    <t>Adarshagram</t>
  </si>
  <si>
    <t>Paklichari</t>
  </si>
  <si>
    <t>Roshainghona</t>
  </si>
  <si>
    <t>Purbo BhujPur</t>
  </si>
  <si>
    <t>Poshchim BhujPur</t>
  </si>
  <si>
    <t>Punditbari</t>
  </si>
  <si>
    <t>Irin Parvin</t>
  </si>
  <si>
    <t>Singhoria</t>
  </si>
  <si>
    <t>Chukidertila</t>
  </si>
  <si>
    <t>AzimPur</t>
  </si>
  <si>
    <t>Beparipara</t>
  </si>
  <si>
    <t>kotbaria</t>
  </si>
  <si>
    <t>Koya Chabagan</t>
  </si>
  <si>
    <t>Dakkhin BhujPur</t>
  </si>
  <si>
    <t>Cha bagan</t>
  </si>
  <si>
    <t>Mijpara</t>
  </si>
  <si>
    <t>Rosanggiri</t>
  </si>
  <si>
    <t>1,2,3,4,5,6,7</t>
  </si>
  <si>
    <t>Nilu Barua</t>
  </si>
  <si>
    <t>Monshibari</t>
  </si>
  <si>
    <t>Babulmembarbari</t>
  </si>
  <si>
    <t>Dhurong</t>
  </si>
  <si>
    <t>Daspara</t>
  </si>
  <si>
    <t>8,</t>
  </si>
  <si>
    <t>Boruabari</t>
  </si>
  <si>
    <t>3,4,5,6</t>
  </si>
  <si>
    <t>Masterbari</t>
  </si>
  <si>
    <t>Harualchari</t>
  </si>
  <si>
    <t>Momotaj Begum</t>
  </si>
  <si>
    <t>Poshchim Andarmanik</t>
  </si>
  <si>
    <t>Hazari Khil</t>
  </si>
  <si>
    <t>Lambabil</t>
  </si>
  <si>
    <t>Rabar Dram</t>
  </si>
  <si>
    <t>Purba Andarmanik</t>
  </si>
  <si>
    <t>Shusmita Dey</t>
  </si>
  <si>
    <t>Purba Harualchari</t>
  </si>
  <si>
    <t>Purba Hazari Khil</t>
  </si>
  <si>
    <t>Uttar Lambabil</t>
  </si>
  <si>
    <t>Purbo Fatickchari</t>
  </si>
  <si>
    <t>Sujangar chabagan</t>
  </si>
  <si>
    <t>Elahirchabagan</t>
  </si>
  <si>
    <t>Tilapara</t>
  </si>
  <si>
    <t>Paindong</t>
  </si>
  <si>
    <t>Ranjita Dey</t>
  </si>
  <si>
    <t>Haichokia</t>
  </si>
  <si>
    <t>Dolu</t>
  </si>
  <si>
    <t>soito kua</t>
  </si>
  <si>
    <t>Bera Jali</t>
  </si>
  <si>
    <t>Adorso gram</t>
  </si>
  <si>
    <t>Khochiyarbari</t>
  </si>
  <si>
    <t>Boriapara</t>
  </si>
  <si>
    <t>Doulatpur</t>
  </si>
  <si>
    <t>5,6,7,8,9</t>
  </si>
  <si>
    <t>Shila Datta</t>
  </si>
  <si>
    <t>Nazir Hat</t>
  </si>
  <si>
    <t>1,2,3,4</t>
  </si>
  <si>
    <t>Dharmapur</t>
  </si>
  <si>
    <t>Shumpa Dhar</t>
  </si>
  <si>
    <t>Dharmapur Barua Para</t>
  </si>
  <si>
    <t>Uttar Dharma Pur</t>
  </si>
  <si>
    <t>Dakkhin Dharma Pur</t>
  </si>
  <si>
    <t>Poshchim Dharma Pur</t>
  </si>
  <si>
    <t>Sabanbari</t>
  </si>
  <si>
    <t>Abutalokderbari</t>
  </si>
  <si>
    <t>Hidupara</t>
  </si>
  <si>
    <t>Boruapara</t>
  </si>
  <si>
    <t>Bilalmazaribari</t>
  </si>
  <si>
    <t>Nachirbari</t>
  </si>
  <si>
    <t>Mondapara</t>
  </si>
  <si>
    <t>Baktopur</t>
  </si>
  <si>
    <t>1,2,3,4,5,6,7,8</t>
  </si>
  <si>
    <t>Bina Banik</t>
  </si>
  <si>
    <t>Rangamatia</t>
  </si>
  <si>
    <t>1,2,3,4,5,6,9</t>
  </si>
  <si>
    <t>Dokkhin Rangamatia</t>
  </si>
  <si>
    <t>7,8,</t>
  </si>
  <si>
    <t>Uttar Rangamatia</t>
  </si>
  <si>
    <t>Shundorpur</t>
  </si>
  <si>
    <t>Baro Selunia</t>
  </si>
  <si>
    <t>2,3</t>
  </si>
  <si>
    <t>Soto Silonia</t>
  </si>
  <si>
    <t>Poshchim Sundor pur</t>
  </si>
  <si>
    <t>Dokkhin Sundor Por</t>
  </si>
  <si>
    <t>Suabil</t>
  </si>
  <si>
    <t>Lovely Akter</t>
  </si>
  <si>
    <t>Baromasia</t>
  </si>
  <si>
    <t>3,4,</t>
  </si>
  <si>
    <t>Sovon Sari</t>
  </si>
  <si>
    <t>Purbo Suabil</t>
  </si>
  <si>
    <t>Poschim Suabil</t>
  </si>
  <si>
    <t>Kamalpara</t>
  </si>
  <si>
    <t>Nanupur</t>
  </si>
  <si>
    <t>Nelu Barua</t>
  </si>
  <si>
    <t>Dakkhin Khiram</t>
  </si>
  <si>
    <t>uttar Khiram</t>
  </si>
  <si>
    <t>Reserve Para</t>
  </si>
  <si>
    <t>Monuponditbari</t>
  </si>
  <si>
    <t>Mobarokalibari</t>
  </si>
  <si>
    <t>Khokadakterbari</t>
  </si>
  <si>
    <t>Baharuddinbari</t>
  </si>
  <si>
    <t>BhuFokirbari</t>
  </si>
  <si>
    <t>Rohomotbari</t>
  </si>
  <si>
    <t>Habilderbari</t>
  </si>
  <si>
    <t>Mita Chakma</t>
  </si>
  <si>
    <t>Dalkata</t>
  </si>
  <si>
    <t>Dalkatanotunbari</t>
  </si>
  <si>
    <t>Elinimohajonbari</t>
  </si>
  <si>
    <t>Nurnagarayubalibari</t>
  </si>
  <si>
    <t>Nathpara</t>
  </si>
  <si>
    <t>Nirodmasterbari</t>
  </si>
  <si>
    <t>Bangshamitrapara</t>
  </si>
  <si>
    <t>Mohorumpara</t>
  </si>
  <si>
    <t>Mojolkeranibari</t>
  </si>
  <si>
    <t>Echakmemberbari</t>
  </si>
  <si>
    <t>Bonikpara</t>
  </si>
  <si>
    <t>Abbasbari</t>
  </si>
  <si>
    <t>Rijappara</t>
  </si>
  <si>
    <t>Lotifmemberbari</t>
  </si>
  <si>
    <t>Chikontalukerbari</t>
  </si>
  <si>
    <t>Modorcharimokkata</t>
  </si>
  <si>
    <t>Bojolmohammadbari</t>
  </si>
  <si>
    <t>Nurnagar</t>
  </si>
  <si>
    <t>Hanibaperbari</t>
  </si>
  <si>
    <t>Monronjonbari</t>
  </si>
  <si>
    <t>Prempur</t>
  </si>
  <si>
    <t>Akasbari</t>
  </si>
  <si>
    <t>Sundippara</t>
  </si>
  <si>
    <t>Nurnagarpara</t>
  </si>
  <si>
    <t>Suyatpara</t>
  </si>
  <si>
    <t>Lamachari</t>
  </si>
  <si>
    <t>Rulaminerbari</t>
  </si>
  <si>
    <t>Abdullahpur</t>
  </si>
  <si>
    <t>1,2,3,4,5,6,7,8,9</t>
  </si>
  <si>
    <t>Monju Barua</t>
  </si>
  <si>
    <t>Abdullah Pur</t>
  </si>
  <si>
    <t>Jafotnagor</t>
  </si>
  <si>
    <t>9,8,7,6</t>
  </si>
  <si>
    <t>Fateh Pur</t>
  </si>
  <si>
    <t>5,4,3,2</t>
  </si>
  <si>
    <t>JahanPur</t>
  </si>
  <si>
    <t>Shomitirhat</t>
  </si>
  <si>
    <t>Nischintapur</t>
  </si>
  <si>
    <t>Uttar Nischintapur</t>
  </si>
  <si>
    <t>Dokkhin Nischintapur</t>
  </si>
  <si>
    <t>Moddho Nischintapur</t>
  </si>
  <si>
    <t>Okhara (Samitir Hat)</t>
  </si>
  <si>
    <t>Purbo Dhalai</t>
  </si>
  <si>
    <t>Sadek Nagar</t>
  </si>
  <si>
    <t>Hathazari</t>
  </si>
  <si>
    <t>Farhadabad</t>
  </si>
  <si>
    <t>Ruma Akter</t>
  </si>
  <si>
    <t>Udaliya</t>
  </si>
  <si>
    <t>Jangal Udaliya</t>
  </si>
  <si>
    <t>South Udaliya</t>
  </si>
  <si>
    <t>Jahanara Begum</t>
  </si>
  <si>
    <t>Mahamudabad</t>
  </si>
  <si>
    <t>Choto Kanchanpur</t>
  </si>
  <si>
    <t>Mondakini</t>
  </si>
  <si>
    <t>West Farhadabad</t>
  </si>
  <si>
    <t>Dholoi</t>
  </si>
  <si>
    <t>Minu Akter</t>
  </si>
  <si>
    <t>Poshcim dholoi</t>
  </si>
  <si>
    <t>shafinagar</t>
  </si>
  <si>
    <t>Nazma Begum</t>
  </si>
  <si>
    <t>Enayetpur</t>
  </si>
  <si>
    <t>sonaikul</t>
  </si>
  <si>
    <t>Mirzapur</t>
  </si>
  <si>
    <t>Rinko Biswas</t>
  </si>
  <si>
    <t>Hashimnagar</t>
  </si>
  <si>
    <t>pahartali</t>
  </si>
  <si>
    <t>charia</t>
  </si>
  <si>
    <t>Jangal Charia</t>
  </si>
  <si>
    <t>muradpur</t>
  </si>
  <si>
    <t>Gomanmordon</t>
  </si>
  <si>
    <t>sadeknagar</t>
  </si>
  <si>
    <t>balukhali</t>
  </si>
  <si>
    <t>roudropur</t>
  </si>
  <si>
    <t>gomanmordon</t>
  </si>
  <si>
    <t>purbo gomanmordon</t>
  </si>
  <si>
    <t>dokshin gomanmordon</t>
  </si>
  <si>
    <t>Nangolmora</t>
  </si>
  <si>
    <t>Fatema Begum</t>
  </si>
  <si>
    <t>Chipatoli</t>
  </si>
  <si>
    <t>Riya Barua</t>
  </si>
  <si>
    <t>chipatoli</t>
  </si>
  <si>
    <t>kajerkhil</t>
  </si>
  <si>
    <t>Tinko Shil</t>
  </si>
  <si>
    <t>Chandrapur</t>
  </si>
  <si>
    <t>sujanaagar</t>
  </si>
  <si>
    <t>mirerkhil</t>
  </si>
  <si>
    <t>dokshin mirerkhil</t>
  </si>
  <si>
    <t>mohammadpur</t>
  </si>
  <si>
    <t>alampur</t>
  </si>
  <si>
    <t>alipur</t>
  </si>
  <si>
    <t>pashchim dewannagar</t>
  </si>
  <si>
    <t>Rina Devi</t>
  </si>
  <si>
    <t>Fatika</t>
  </si>
  <si>
    <t>Mekhol</t>
  </si>
  <si>
    <t>Rahimpur</t>
  </si>
  <si>
    <t>Mozaffarpur</t>
  </si>
  <si>
    <t>Ruhullapur</t>
  </si>
  <si>
    <t>Uttar Mekhal</t>
  </si>
  <si>
    <t>Mekhal</t>
  </si>
  <si>
    <t>Gorduara</t>
  </si>
  <si>
    <t>Uttar Madrasha</t>
  </si>
  <si>
    <t>Mita Chakraborty</t>
  </si>
  <si>
    <t>Mahaluma</t>
  </si>
  <si>
    <t>Uttar madrasha</t>
  </si>
  <si>
    <t>Barigona</t>
  </si>
  <si>
    <t>Fatehpur</t>
  </si>
  <si>
    <t>Ratna Barua</t>
  </si>
  <si>
    <t>Pashchim patti</t>
  </si>
  <si>
    <t>Jobra</t>
  </si>
  <si>
    <t>mithacharaa</t>
  </si>
  <si>
    <t>maizpatti</t>
  </si>
  <si>
    <t>mithanalaa</t>
  </si>
  <si>
    <t>bhabaniporaa</t>
  </si>
  <si>
    <t>modhurgona</t>
  </si>
  <si>
    <t>Chikondondi</t>
  </si>
  <si>
    <t>Mino Datta</t>
  </si>
  <si>
    <t>Fateyabad</t>
  </si>
  <si>
    <t>Nehalpur</t>
  </si>
  <si>
    <t>dakshin Madrasha</t>
  </si>
  <si>
    <t>Boaliarkul</t>
  </si>
  <si>
    <t>Moddhom madrasha</t>
  </si>
  <si>
    <t>dokshin madrasha</t>
  </si>
  <si>
    <t>Shikarpur</t>
  </si>
  <si>
    <t>Rahena Begum</t>
  </si>
  <si>
    <t>Bathua</t>
  </si>
  <si>
    <t>Quaish</t>
  </si>
  <si>
    <t>Burishchar</t>
  </si>
  <si>
    <t>Uttar Burisshchar</t>
  </si>
  <si>
    <t>Maddham Burishchar</t>
  </si>
  <si>
    <t>Dakshin Burishchar</t>
  </si>
  <si>
    <t>Karnafuli</t>
  </si>
  <si>
    <t>shikalbaha</t>
  </si>
  <si>
    <t>Farida Begum</t>
  </si>
  <si>
    <t>Shoshi Para</t>
  </si>
  <si>
    <t>Abdul Para</t>
  </si>
  <si>
    <t>Hatta Para</t>
  </si>
  <si>
    <t>Bokhtiar Para</t>
  </si>
  <si>
    <t>Hazi Para</t>
  </si>
  <si>
    <t>Tuna Para</t>
  </si>
  <si>
    <t>Gonda Para</t>
  </si>
  <si>
    <t>Mizzi Para</t>
  </si>
  <si>
    <t>Sultan Para</t>
  </si>
  <si>
    <t>Middle Para</t>
  </si>
  <si>
    <t>Dighir Para</t>
  </si>
  <si>
    <t>Uttor Para</t>
  </si>
  <si>
    <t>Papia Para</t>
  </si>
  <si>
    <t>Notun Para</t>
  </si>
  <si>
    <t>Habildar Para</t>
  </si>
  <si>
    <t>Roshi Para</t>
  </si>
  <si>
    <t>Middle Shikolbaha</t>
  </si>
  <si>
    <t>Purbo Shikolbaha</t>
  </si>
  <si>
    <t>Adorsho Para</t>
  </si>
  <si>
    <t>Jamal Para</t>
  </si>
  <si>
    <t>Nilufa Akter</t>
  </si>
  <si>
    <t>Jannat Para</t>
  </si>
  <si>
    <t>Dorbar Para</t>
  </si>
  <si>
    <t>Badamtol</t>
  </si>
  <si>
    <t>Fokira Moshjid</t>
  </si>
  <si>
    <t>Chowmuhoni</t>
  </si>
  <si>
    <t>Bou Bazar</t>
  </si>
  <si>
    <t>Moddho Para</t>
  </si>
  <si>
    <t>Purbo Para</t>
  </si>
  <si>
    <t>Char Pathatghata</t>
  </si>
  <si>
    <t>Resighned(SK)</t>
  </si>
  <si>
    <t>Dokkhin-Purbo Para</t>
  </si>
  <si>
    <t>Doyamar Para</t>
  </si>
  <si>
    <t>West Para</t>
  </si>
  <si>
    <t>Baroilla Para</t>
  </si>
  <si>
    <t>Mohsen Para</t>
  </si>
  <si>
    <t>Madrasha Para</t>
  </si>
  <si>
    <t>Ajimpara</t>
  </si>
  <si>
    <t>Dokkhin Para</t>
  </si>
  <si>
    <t>Tahmina</t>
  </si>
  <si>
    <t>Khoajnogor</t>
  </si>
  <si>
    <t>Nisu Akter</t>
  </si>
  <si>
    <t>Esanogor</t>
  </si>
  <si>
    <t>Shirin Akter</t>
  </si>
  <si>
    <t>Jebunnesa Nadia</t>
  </si>
  <si>
    <t>Daroga Para</t>
  </si>
  <si>
    <t>Priya Akter</t>
  </si>
  <si>
    <t>Dokkhin-West Para</t>
  </si>
  <si>
    <t>Rebeka Sultana</t>
  </si>
  <si>
    <t>Monir Para</t>
  </si>
  <si>
    <t>Char Lakshya</t>
  </si>
  <si>
    <t>Rohima</t>
  </si>
  <si>
    <t>West Charforid</t>
  </si>
  <si>
    <t>Mahfuja</t>
  </si>
  <si>
    <t>East Charforid</t>
  </si>
  <si>
    <t>Jannatul Ferdouse</t>
  </si>
  <si>
    <t>North Char Lakshya</t>
  </si>
  <si>
    <t>Rajia Begum</t>
  </si>
  <si>
    <t>Middle Char Lakshya</t>
  </si>
  <si>
    <t>Halima</t>
  </si>
  <si>
    <t>South Charlaksyha</t>
  </si>
  <si>
    <t>Chanuara</t>
  </si>
  <si>
    <t>Goal Para</t>
  </si>
  <si>
    <t>West Charlakshya</t>
  </si>
  <si>
    <t>Moli Para</t>
  </si>
  <si>
    <t>Nimtol</t>
  </si>
  <si>
    <t>Julda</t>
  </si>
  <si>
    <t>Sufiya Akter</t>
  </si>
  <si>
    <t>North Dangarchor</t>
  </si>
  <si>
    <t>Mid Dangarchor</t>
  </si>
  <si>
    <t>South Dangarchor</t>
  </si>
  <si>
    <t>East Juldha</t>
  </si>
  <si>
    <t>Chairman Para</t>
  </si>
  <si>
    <t>Jamtala</t>
  </si>
  <si>
    <t>Juldha</t>
  </si>
  <si>
    <t>Paeipergora</t>
  </si>
  <si>
    <t>North Juldha</t>
  </si>
  <si>
    <t>Barouthan</t>
  </si>
  <si>
    <t>Shefu Rani Das</t>
  </si>
  <si>
    <t>W.Doulatpur</t>
  </si>
  <si>
    <t>East Doulatpur</t>
  </si>
  <si>
    <t>W.Shahamirpur</t>
  </si>
  <si>
    <t>N.shahamirpur</t>
  </si>
  <si>
    <t>Shahamirpur</t>
  </si>
  <si>
    <t>S.Shahamirpur</t>
  </si>
  <si>
    <t>Barauthan</t>
  </si>
  <si>
    <t>N.Barauthan</t>
  </si>
  <si>
    <t>Lohagara</t>
  </si>
  <si>
    <t>Barahatia</t>
  </si>
  <si>
    <t>Srity Khona Rodro</t>
  </si>
  <si>
    <t>Senerhat</t>
  </si>
  <si>
    <t>Haoridar Gona</t>
  </si>
  <si>
    <t>Vobanipur</t>
  </si>
  <si>
    <t>Hadurpara</t>
  </si>
  <si>
    <t>Chakfirani</t>
  </si>
  <si>
    <t>Shahina Akter</t>
  </si>
  <si>
    <t>Cumiragona</t>
  </si>
  <si>
    <t>Loskar</t>
  </si>
  <si>
    <t>Amtoli</t>
  </si>
  <si>
    <t>Mogdigir Par</t>
  </si>
  <si>
    <t>Gonarmor</t>
  </si>
  <si>
    <t>Amirabad</t>
  </si>
  <si>
    <t>Toki Bissash</t>
  </si>
  <si>
    <t>Netun Bazar</t>
  </si>
  <si>
    <t>Possim Amirabad</t>
  </si>
  <si>
    <t>Master Hat</t>
  </si>
  <si>
    <t>Gaytree Pal</t>
  </si>
  <si>
    <t>DolUkul</t>
  </si>
  <si>
    <t>Hazarbiga</t>
  </si>
  <si>
    <t>Moddo Amirabad</t>
  </si>
  <si>
    <t>Mohalder para</t>
  </si>
  <si>
    <t>Shilpe Das</t>
  </si>
  <si>
    <t>Uttor Amirabad</t>
  </si>
  <si>
    <t>Mollik Sobhan</t>
  </si>
  <si>
    <t>Sukchari</t>
  </si>
  <si>
    <t>Hasir para</t>
  </si>
  <si>
    <t>South Sukchari</t>
  </si>
  <si>
    <t>Padua</t>
  </si>
  <si>
    <t>Kakoli Barua</t>
  </si>
  <si>
    <t>Uttor Padua</t>
  </si>
  <si>
    <t>Takurdigi</t>
  </si>
  <si>
    <t>Nijtaluk</t>
  </si>
  <si>
    <t>Tewarekil</t>
  </si>
  <si>
    <t>Jangal Padua</t>
  </si>
  <si>
    <t>Nagada</t>
  </si>
  <si>
    <t>Rahana Akter</t>
  </si>
  <si>
    <t>Foriadi Kul</t>
  </si>
  <si>
    <t>Bagmua</t>
  </si>
  <si>
    <t>Sogira Para</t>
  </si>
  <si>
    <t>Monshidigir Par</t>
  </si>
  <si>
    <t>Dholibila</t>
  </si>
  <si>
    <t>Adarmanik</t>
  </si>
  <si>
    <t>Charamba</t>
  </si>
  <si>
    <t>Mita Chowdhary</t>
  </si>
  <si>
    <t>Mojider Para</t>
  </si>
  <si>
    <t>Atiarpara</t>
  </si>
  <si>
    <t>Jan Md Para</t>
  </si>
  <si>
    <t>Telibila</t>
  </si>
  <si>
    <t>Kaluar Para</t>
  </si>
  <si>
    <t>Bijiysree Barua</t>
  </si>
  <si>
    <t>Maizbila</t>
  </si>
  <si>
    <t>Noarbila</t>
  </si>
  <si>
    <t>Razgata</t>
  </si>
  <si>
    <t>Bibibila</t>
  </si>
  <si>
    <t>Kulauzan</t>
  </si>
  <si>
    <t>Shapla devi</t>
  </si>
  <si>
    <t>Hindur hat</t>
  </si>
  <si>
    <t>Horina Bil</t>
  </si>
  <si>
    <t>Possim Kulauzan</t>
  </si>
  <si>
    <t>Rina Akter</t>
  </si>
  <si>
    <t>Uttor Kulauzan</t>
  </si>
  <si>
    <t>West Kulauzan</t>
  </si>
  <si>
    <t>Popy das</t>
  </si>
  <si>
    <t>Rasulabad Para</t>
  </si>
  <si>
    <t>Lokkonirkil</t>
  </si>
  <si>
    <t>Bolipara</t>
  </si>
  <si>
    <t>Joynagar</t>
  </si>
  <si>
    <t>Adarchar</t>
  </si>
  <si>
    <t>Lohagara Sadar</t>
  </si>
  <si>
    <t>Jinnat Rehena Rowshan</t>
  </si>
  <si>
    <t>Darbeshat</t>
  </si>
  <si>
    <t>Ujirvita</t>
  </si>
  <si>
    <t>Nijertak</t>
  </si>
  <si>
    <t>Kamar Pokor</t>
  </si>
  <si>
    <t>Lohardigir Par</t>
  </si>
  <si>
    <t>Ukkila Para</t>
  </si>
  <si>
    <t>Sowdagar Para</t>
  </si>
  <si>
    <t>Satgodia</t>
  </si>
  <si>
    <t>Billa Para</t>
  </si>
  <si>
    <t>Putibila</t>
  </si>
  <si>
    <t>Shano Barua</t>
  </si>
  <si>
    <t>Paharchanda</t>
  </si>
  <si>
    <t>Possim Gorostan</t>
  </si>
  <si>
    <t>Porbo Gorostan</t>
  </si>
  <si>
    <t>Yeasmin</t>
  </si>
  <si>
    <t>Soriya</t>
  </si>
  <si>
    <t>Tatipara</t>
  </si>
  <si>
    <t>Possim Tatipara</t>
  </si>
  <si>
    <t>Shano Barua -01</t>
  </si>
  <si>
    <t>Jibin Mohori</t>
  </si>
  <si>
    <t>satgaria</t>
  </si>
  <si>
    <t>Chunity</t>
  </si>
  <si>
    <t>Jesmin Akter</t>
  </si>
  <si>
    <t>Pantrisha</t>
  </si>
  <si>
    <t>Naricha</t>
  </si>
  <si>
    <t>Faranga</t>
  </si>
  <si>
    <t>Chanderkhul</t>
  </si>
  <si>
    <t>Nasrin Akter</t>
  </si>
  <si>
    <t>Mirkhil</t>
  </si>
  <si>
    <t>Rang Pahar</t>
  </si>
  <si>
    <t>Shatghar</t>
  </si>
  <si>
    <t>2,1</t>
  </si>
  <si>
    <t>Sufi Nagar</t>
  </si>
  <si>
    <t>Adonagar</t>
  </si>
  <si>
    <t>Pinki Barua</t>
  </si>
  <si>
    <t>Uttor Harina</t>
  </si>
  <si>
    <t>South Horina</t>
  </si>
  <si>
    <t>Dolokul</t>
  </si>
  <si>
    <t>Rinki Barua</t>
  </si>
  <si>
    <t>Mosodia</t>
  </si>
  <si>
    <t>Khulpagli</t>
  </si>
  <si>
    <t>Rasider Ghona</t>
  </si>
  <si>
    <t>Chender Phoni</t>
  </si>
  <si>
    <t>Mirsharai</t>
  </si>
  <si>
    <t>Korerhat</t>
  </si>
  <si>
    <t>Madhuri Rani</t>
  </si>
  <si>
    <t>Joypur purbajor</t>
  </si>
  <si>
    <t>Katagong</t>
  </si>
  <si>
    <t>West Jor</t>
  </si>
  <si>
    <t>Habilderbasha</t>
  </si>
  <si>
    <t>Nasima Akter</t>
  </si>
  <si>
    <t>Sattorua</t>
  </si>
  <si>
    <t>Garamara</t>
  </si>
  <si>
    <t>Samnarkhil</t>
  </si>
  <si>
    <t>Parven Akter</t>
  </si>
  <si>
    <t>Jiltoli</t>
  </si>
  <si>
    <t>Tripura para</t>
  </si>
  <si>
    <t>Shahana Akter</t>
  </si>
  <si>
    <t>Rahmatpur</t>
  </si>
  <si>
    <t>Narayanchari</t>
  </si>
  <si>
    <t>Gujapara</t>
  </si>
  <si>
    <t>Hokkavanga</t>
  </si>
  <si>
    <t>Asumchari</t>
  </si>
  <si>
    <t>Mogpathor</t>
  </si>
  <si>
    <t>Koila</t>
  </si>
  <si>
    <t>West Sonai</t>
  </si>
  <si>
    <t>Gulchari</t>
  </si>
  <si>
    <t>Purba Olinagar</t>
  </si>
  <si>
    <t>Madhuri</t>
  </si>
  <si>
    <t>Khiyagona</t>
  </si>
  <si>
    <t>Laltila</t>
  </si>
  <si>
    <t>Nalko</t>
  </si>
  <si>
    <t>Vabani</t>
  </si>
  <si>
    <t>Kalapani</t>
  </si>
  <si>
    <t>Bodha</t>
  </si>
  <si>
    <t>South Alinagar</t>
  </si>
  <si>
    <t>Villiger para</t>
  </si>
  <si>
    <t>Bishwa tila</t>
  </si>
  <si>
    <t>Khorbatila</t>
  </si>
  <si>
    <t>Kalagona</t>
  </si>
  <si>
    <t>Maddha Gram</t>
  </si>
  <si>
    <t>Lichutala</t>
  </si>
  <si>
    <t>Taligram</t>
  </si>
  <si>
    <t>Alin nagar</t>
  </si>
  <si>
    <t>Hinguli</t>
  </si>
  <si>
    <t>Ruma Nandi</t>
  </si>
  <si>
    <t>Azam Nagar</t>
  </si>
  <si>
    <t>Azam Nagar Middle</t>
  </si>
  <si>
    <t>Mohammadpur</t>
  </si>
  <si>
    <t>Mahadinagar</t>
  </si>
  <si>
    <t>Purba islampur</t>
  </si>
  <si>
    <t>Maddam Jamalpur</t>
  </si>
  <si>
    <t>Jamalpur</t>
  </si>
  <si>
    <t>Paschim Hinguli</t>
  </si>
  <si>
    <t>South Jamalpur</t>
  </si>
  <si>
    <t>Noton para</t>
  </si>
  <si>
    <t>Purba Hinguli</t>
  </si>
  <si>
    <t>Jorargonj</t>
  </si>
  <si>
    <t>Ferdusi Akter</t>
  </si>
  <si>
    <t>Tajpur</t>
  </si>
  <si>
    <t>Gobindapur</t>
  </si>
  <si>
    <t>Bhagabatpur</t>
  </si>
  <si>
    <t>Paragolpur</t>
  </si>
  <si>
    <t>Khilmurari</t>
  </si>
  <si>
    <t>Gopinathpur</t>
  </si>
  <si>
    <t>Maddam Sonapahar</t>
  </si>
  <si>
    <t>Nandan para</t>
  </si>
  <si>
    <t>Dhum</t>
  </si>
  <si>
    <t>Jharna Archarjo</t>
  </si>
  <si>
    <t>Purba Mubarakgona</t>
  </si>
  <si>
    <t>Shenigram</t>
  </si>
  <si>
    <t>Naharpur</t>
  </si>
  <si>
    <t>Maddam Naharpur</t>
  </si>
  <si>
    <t>Dakkhin Naharpur</t>
  </si>
  <si>
    <t>Mohajon hat</t>
  </si>
  <si>
    <t>North Mobarakghona</t>
  </si>
  <si>
    <t>Bangla bazar</t>
  </si>
  <si>
    <t>Osmanpur</t>
  </si>
  <si>
    <t>Purba mongam</t>
  </si>
  <si>
    <t>Paschim mongam</t>
  </si>
  <si>
    <t>Rogondi para</t>
  </si>
  <si>
    <t>Mongong</t>
  </si>
  <si>
    <t>East Shahebpur</t>
  </si>
  <si>
    <t>Paschim Shahed para</t>
  </si>
  <si>
    <t>West Shahebpur</t>
  </si>
  <si>
    <t>Patakat</t>
  </si>
  <si>
    <t>Ichakhali</t>
  </si>
  <si>
    <t>Joy Nagar</t>
  </si>
  <si>
    <t>Bhuyia Gram</t>
  </si>
  <si>
    <t>Munshi gram</t>
  </si>
  <si>
    <t>Jomaddar gram</t>
  </si>
  <si>
    <t>Shahebbi nbagar</t>
  </si>
  <si>
    <t>Uttar Ichakhali</t>
  </si>
  <si>
    <t>Jolonpul</t>
  </si>
  <si>
    <t>Deu khali</t>
  </si>
  <si>
    <t>Jolodas para</t>
  </si>
  <si>
    <t>Katachara</t>
  </si>
  <si>
    <t>Anjona Rani</t>
  </si>
  <si>
    <t>Oradpur</t>
  </si>
  <si>
    <t>Temuhoni</t>
  </si>
  <si>
    <t>Tetoiya</t>
  </si>
  <si>
    <t>Goratali</t>
  </si>
  <si>
    <t>Purba Tetoiya</t>
  </si>
  <si>
    <t>Uttar Katachara</t>
  </si>
  <si>
    <t>Bamon Sundar</t>
  </si>
  <si>
    <t>Baroiyakhali</t>
  </si>
  <si>
    <t>Durgapur</t>
  </si>
  <si>
    <t>Kumkum Datto</t>
  </si>
  <si>
    <t>Jonardapur</t>
  </si>
  <si>
    <t>Sikher janardanpur</t>
  </si>
  <si>
    <t>Gopalpur</t>
  </si>
  <si>
    <t>Muraripur</t>
  </si>
  <si>
    <t>Shekerpur</t>
  </si>
  <si>
    <t>Purbo Roypur</t>
  </si>
  <si>
    <t>Hazisarai</t>
  </si>
  <si>
    <t>Raghunathpur</t>
  </si>
  <si>
    <t>Durgapur(Mohamaya)</t>
  </si>
  <si>
    <t>Horihorpur</t>
  </si>
  <si>
    <t>Shekher para</t>
  </si>
  <si>
    <t>Raipur</t>
  </si>
  <si>
    <t>Horialpur</t>
  </si>
  <si>
    <t>West Durgapur</t>
  </si>
  <si>
    <t>Mirsarai</t>
  </si>
  <si>
    <t>Pakhi Rani</t>
  </si>
  <si>
    <t>Mothbaria</t>
  </si>
  <si>
    <t>Purba Mothbaria</t>
  </si>
  <si>
    <t>Amantoli</t>
  </si>
  <si>
    <t>Mithachora</t>
  </si>
  <si>
    <t>Dakhin Talbaria</t>
  </si>
  <si>
    <t>Jorponi</t>
  </si>
  <si>
    <t>Goriech</t>
  </si>
  <si>
    <t>Bansbagan</t>
  </si>
  <si>
    <t>Sripur</t>
  </si>
  <si>
    <t>Abunagar</t>
  </si>
  <si>
    <t>Uttar Talbaria</t>
  </si>
  <si>
    <t>Maddam Talbaria</t>
  </si>
  <si>
    <t>Manderbaria</t>
  </si>
  <si>
    <t>Chy para</t>
  </si>
  <si>
    <t>Jafrabad</t>
  </si>
  <si>
    <t>Tarakatia</t>
  </si>
  <si>
    <t>Sayedpur</t>
  </si>
  <si>
    <t>Baghola</t>
  </si>
  <si>
    <t>Mithanila</t>
  </si>
  <si>
    <t>Purba Mithanala</t>
  </si>
  <si>
    <t>Rajapur</t>
  </si>
  <si>
    <t>Jomadam Gram</t>
  </si>
  <si>
    <t>Dakkhin Talbaria</t>
  </si>
  <si>
    <t>Jolan para</t>
  </si>
  <si>
    <t>Rahmadabad</t>
  </si>
  <si>
    <t>Mithanala</t>
  </si>
  <si>
    <t>Paschim Mithanala</t>
  </si>
  <si>
    <t>Purba Moliash</t>
  </si>
  <si>
    <t>Greenal</t>
  </si>
  <si>
    <t>Paschim Moliash</t>
  </si>
  <si>
    <t>Mogadia</t>
  </si>
  <si>
    <t>Tulsi Rani Das</t>
  </si>
  <si>
    <t>Mohanondabad</t>
  </si>
  <si>
    <t>Sarengpara</t>
  </si>
  <si>
    <t>Hasemnagar</t>
  </si>
  <si>
    <t>Surma para</t>
  </si>
  <si>
    <t>Sarkar tola</t>
  </si>
  <si>
    <t>Tinghoriya</t>
  </si>
  <si>
    <t>Dargapara</t>
  </si>
  <si>
    <t>Kachua</t>
  </si>
  <si>
    <t>Khaiyachara</t>
  </si>
  <si>
    <t>Paschim +East Khaiyachara</t>
  </si>
  <si>
    <t>Dakhin Ambaria</t>
  </si>
  <si>
    <t>Maddam Ambaria</t>
  </si>
  <si>
    <t>Takeya para</t>
  </si>
  <si>
    <t>Vendar Para</t>
  </si>
  <si>
    <t>Kathal Bagan</t>
  </si>
  <si>
    <t>Uttar Ambaria</t>
  </si>
  <si>
    <t>purba polmogara</t>
  </si>
  <si>
    <t>Mestaluk</t>
  </si>
  <si>
    <t>Fanafuni</t>
  </si>
  <si>
    <t>Paschim polmagra</t>
  </si>
  <si>
    <t>Mossijidia</t>
  </si>
  <si>
    <t>Paschim Charakol</t>
  </si>
  <si>
    <t>Charakol</t>
  </si>
  <si>
    <t>Mayani</t>
  </si>
  <si>
    <t>Saidali</t>
  </si>
  <si>
    <t>Monu Bhuapara</t>
  </si>
  <si>
    <t>purba Mayani</t>
  </si>
  <si>
    <t>Modhom Mayani</t>
  </si>
  <si>
    <t>Paschim Mayani</t>
  </si>
  <si>
    <t>Banur para</t>
  </si>
  <si>
    <t>Vewaja para</t>
  </si>
  <si>
    <t>Hayaitkandi</t>
  </si>
  <si>
    <t>Supta Borua</t>
  </si>
  <si>
    <t>North hayaithkandi</t>
  </si>
  <si>
    <t>Nababpur</t>
  </si>
  <si>
    <t>Kechua</t>
  </si>
  <si>
    <t>South hayaithkandi</t>
  </si>
  <si>
    <t>Domdoma</t>
  </si>
  <si>
    <t>Talbariya</t>
  </si>
  <si>
    <t>Baliyadi</t>
  </si>
  <si>
    <t>Paschim Hayatkandi</t>
  </si>
  <si>
    <t>Paschim nababpur</t>
  </si>
  <si>
    <t>Burma para</t>
  </si>
  <si>
    <t>Wahedpur</t>
  </si>
  <si>
    <t>Gasbariya</t>
  </si>
  <si>
    <t>Farfaria</t>
  </si>
  <si>
    <t>Bujurgo ummad nagar</t>
  </si>
  <si>
    <t>Dakkhin wahedpur</t>
  </si>
  <si>
    <t>Sabbriya</t>
  </si>
  <si>
    <t>Shakertek</t>
  </si>
  <si>
    <t>North Wahedpur</t>
  </si>
  <si>
    <t>Maddam Wahedpur</t>
  </si>
  <si>
    <t>Lichu bagan</t>
  </si>
  <si>
    <t>Choto kamaldaha</t>
  </si>
  <si>
    <t>Ichamoti</t>
  </si>
  <si>
    <t>Barakamaldaha</t>
  </si>
  <si>
    <t>Khaiyaria</t>
  </si>
  <si>
    <t>Saherkhali</t>
  </si>
  <si>
    <t>-</t>
  </si>
  <si>
    <t>Uttar Shaherkhali</t>
  </si>
  <si>
    <t>Maddam Shaherkhali</t>
  </si>
  <si>
    <t>Dakkhin Shaherkhali</t>
  </si>
  <si>
    <t>Kurgaon</t>
  </si>
  <si>
    <t>Dhumkhali</t>
  </si>
  <si>
    <t>Bogachotol</t>
  </si>
  <si>
    <t>Gojariya</t>
  </si>
  <si>
    <t>Patiya</t>
  </si>
  <si>
    <t xml:space="preserve">Kalishar </t>
  </si>
  <si>
    <t>Lucky Chakroborty</t>
  </si>
  <si>
    <t>Mordhopara</t>
  </si>
  <si>
    <t>Probopara</t>
  </si>
  <si>
    <t>Khilpara</t>
  </si>
  <si>
    <t>Ennapara</t>
  </si>
  <si>
    <t>Sharmapara</t>
  </si>
  <si>
    <t>Shilpara</t>
  </si>
  <si>
    <t>Sardarpara</t>
  </si>
  <si>
    <t>Dhuapara</t>
  </si>
  <si>
    <t>Brammonpara</t>
  </si>
  <si>
    <t>Chumki Chakroborty</t>
  </si>
  <si>
    <t>Suklodaspara</t>
  </si>
  <si>
    <t>Purboratonpur</t>
  </si>
  <si>
    <t>Moutala</t>
  </si>
  <si>
    <t>Ratonpur</t>
  </si>
  <si>
    <t>Kharona</t>
  </si>
  <si>
    <t>Irin akter</t>
  </si>
  <si>
    <t>Senpara</t>
  </si>
  <si>
    <t>Mohazon Para</t>
  </si>
  <si>
    <t>Banzopara</t>
  </si>
  <si>
    <t>Kochui</t>
  </si>
  <si>
    <t>Shridampara</t>
  </si>
  <si>
    <t>Forkanioa Para</t>
  </si>
  <si>
    <t>Bayandi[ara</t>
  </si>
  <si>
    <t>Nandipara</t>
  </si>
  <si>
    <t>Kumar Para</t>
  </si>
  <si>
    <t>Talpara</t>
  </si>
  <si>
    <t>Sapmara Asray Kandro</t>
  </si>
  <si>
    <t>Rangunia</t>
  </si>
  <si>
    <t>Kodala</t>
  </si>
  <si>
    <t>Mina Barua</t>
  </si>
  <si>
    <t>Tea Garden</t>
  </si>
  <si>
    <t>Dhopaghat</t>
  </si>
  <si>
    <t>Munshi Bari</t>
  </si>
  <si>
    <t>Rajanagar</t>
  </si>
  <si>
    <t>Shikdar Bari</t>
  </si>
  <si>
    <t>Purba Kodala</t>
  </si>
  <si>
    <t>Mohammodpur</t>
  </si>
  <si>
    <t>Shawndippara</t>
  </si>
  <si>
    <t>Shilock</t>
  </si>
  <si>
    <t>Rajapara</t>
  </si>
  <si>
    <t>Maijpara</t>
  </si>
  <si>
    <t>West shilok</t>
  </si>
  <si>
    <t>Rastarmatha</t>
  </si>
  <si>
    <t>Anwara Begum</t>
  </si>
  <si>
    <t>Fokiraghat</t>
  </si>
  <si>
    <t>Notuar Tila</t>
  </si>
  <si>
    <t>Pakhiar Tila</t>
  </si>
  <si>
    <t>Shilok</t>
  </si>
  <si>
    <t>Minagazir Tila</t>
  </si>
  <si>
    <t>Jungle Bogabili</t>
  </si>
  <si>
    <t>Bogabili</t>
  </si>
  <si>
    <t>Rajghatarkul</t>
  </si>
  <si>
    <t>Bharanchari</t>
  </si>
  <si>
    <t>Thandachari</t>
  </si>
  <si>
    <t>Shialbukka</t>
  </si>
  <si>
    <t>Rajghata</t>
  </si>
  <si>
    <t>Middle Ghagra</t>
  </si>
  <si>
    <t>Halimpur</t>
  </si>
  <si>
    <t>North Betchari</t>
  </si>
  <si>
    <t>Monju Das</t>
  </si>
  <si>
    <t>Sadikkabil/Rayssabil</t>
  </si>
  <si>
    <t>Mogachari</t>
  </si>
  <si>
    <t>Gabtol</t>
  </si>
  <si>
    <t>Khamargo Para</t>
  </si>
  <si>
    <t>Pair Mohammad house</t>
  </si>
  <si>
    <t>Dharmagoda/ Gol Mohammad para</t>
  </si>
  <si>
    <t>S. Rajanogar</t>
  </si>
  <si>
    <t>Rajarhat</t>
  </si>
  <si>
    <t>Khondolia Para</t>
  </si>
  <si>
    <t>Shikdar para</t>
  </si>
  <si>
    <t>Sonargoan</t>
  </si>
  <si>
    <t>Sadeker Para</t>
  </si>
  <si>
    <t>Soyod bari</t>
  </si>
  <si>
    <t>Khorshed Taluk</t>
  </si>
  <si>
    <t>pourasova</t>
  </si>
  <si>
    <t>North Noagoan</t>
  </si>
  <si>
    <t>Fakirkhill</t>
  </si>
  <si>
    <t>Jungle Ghatchek</t>
  </si>
  <si>
    <t>South Ghatchek</t>
  </si>
  <si>
    <t>North Ghatchek</t>
  </si>
  <si>
    <t>Debkinandan</t>
  </si>
  <si>
    <t>Esamoti</t>
  </si>
  <si>
    <t>Rotna Barua</t>
  </si>
  <si>
    <t>Narishcha</t>
  </si>
  <si>
    <t>North Padua</t>
  </si>
  <si>
    <t>Horihor</t>
  </si>
  <si>
    <t>Jomadar tila</t>
  </si>
  <si>
    <t>Jomadar Tila</t>
  </si>
  <si>
    <t>Happy Barua</t>
  </si>
  <si>
    <t>Ronjona Dey</t>
  </si>
  <si>
    <t>West Khurushia</t>
  </si>
  <si>
    <t>East Khurushia</t>
  </si>
  <si>
    <t>Shukhbilash</t>
  </si>
  <si>
    <t>Napit Pukuria</t>
  </si>
  <si>
    <t>Betagi</t>
  </si>
  <si>
    <t>West Betagi</t>
  </si>
  <si>
    <t>North Betagi</t>
  </si>
  <si>
    <t>Middle Betagi</t>
  </si>
  <si>
    <t>Noth Betagi</t>
  </si>
  <si>
    <t>Barua para</t>
  </si>
  <si>
    <t>Tin Soudia</t>
  </si>
  <si>
    <t>Chengkhali</t>
  </si>
  <si>
    <t>Kaukhali</t>
  </si>
  <si>
    <t>Gungunia Betagi</t>
  </si>
  <si>
    <t>Sharafbata</t>
  </si>
  <si>
    <t>Mirerkhill</t>
  </si>
  <si>
    <t>Hazarikhill</t>
  </si>
  <si>
    <t>Sayoda kamrun nur</t>
  </si>
  <si>
    <t>Kolir baper bari</t>
  </si>
  <si>
    <t>Soyodur khill</t>
  </si>
  <si>
    <t>Tokimiajir bari</t>
  </si>
  <si>
    <t>Lalmia Shawdagar bari</t>
  </si>
  <si>
    <t>Bhumir khill</t>
  </si>
  <si>
    <t>Kazi para</t>
  </si>
  <si>
    <t>Purba Sharafbhata</t>
  </si>
  <si>
    <t>Morium nogar</t>
  </si>
  <si>
    <t>East Soyod bari</t>
  </si>
  <si>
    <t>Rashidia para</t>
  </si>
  <si>
    <t>Amiriapara Panchbari</t>
  </si>
  <si>
    <t>Morom para</t>
  </si>
  <si>
    <t>Fulgazi para</t>
  </si>
  <si>
    <t>Forasdanga</t>
  </si>
  <si>
    <t>Nojorer Tila</t>
  </si>
  <si>
    <t>Lalanogar</t>
  </si>
  <si>
    <t>Bashonalir bari</t>
  </si>
  <si>
    <t>Nisarmar bari</t>
  </si>
  <si>
    <t>Kurmaikul</t>
  </si>
  <si>
    <t>Rajok Shikdar para</t>
  </si>
  <si>
    <t>Bondarajpara</t>
  </si>
  <si>
    <t>Alamshah para</t>
  </si>
  <si>
    <t>Ghagra Khilmogol</t>
  </si>
  <si>
    <t>Woahed akbor para</t>
  </si>
  <si>
    <t>Pekuar kool</t>
  </si>
  <si>
    <t>Pumra</t>
  </si>
  <si>
    <t>Hazi para</t>
  </si>
  <si>
    <t>Saini para</t>
  </si>
  <si>
    <t>Hilagazi Para</t>
  </si>
  <si>
    <t>Roshaipara</t>
  </si>
  <si>
    <t>Nababipara</t>
  </si>
  <si>
    <t>Tita Gazi para</t>
  </si>
  <si>
    <t>Bacha shah Nagar</t>
  </si>
  <si>
    <t>Chandragona</t>
  </si>
  <si>
    <t>Kadamtali</t>
  </si>
  <si>
    <t>West Kodomtoli</t>
  </si>
  <si>
    <t>Adur para</t>
  </si>
  <si>
    <t>Sufigram</t>
  </si>
  <si>
    <t>Hajigram</t>
  </si>
  <si>
    <t>Nobogram</t>
  </si>
  <si>
    <t>Dobhashi Bazar</t>
  </si>
  <si>
    <t>Bonogram</t>
  </si>
  <si>
    <t>Shonirbar</t>
  </si>
  <si>
    <t>Asrayan prokolpo</t>
  </si>
  <si>
    <t>Mohammad para</t>
  </si>
  <si>
    <t>Mojumdar para</t>
  </si>
  <si>
    <t>South Anushikdar para</t>
  </si>
  <si>
    <t>Gouropodo doctor bari</t>
  </si>
  <si>
    <t>Shantinikaton</t>
  </si>
  <si>
    <t>Brohmottor</t>
  </si>
  <si>
    <t>Mojumdar khill</t>
  </si>
  <si>
    <t>Parua</t>
  </si>
  <si>
    <t>North parua</t>
  </si>
  <si>
    <t>Jorifa Begum</t>
  </si>
  <si>
    <t>Saiod Nagar</t>
  </si>
  <si>
    <t>Saiod nagar</t>
  </si>
  <si>
    <t>Middle parua</t>
  </si>
  <si>
    <t>Jungle parua</t>
  </si>
  <si>
    <t>Kokania</t>
  </si>
  <si>
    <t>Shahabdi nagar</t>
  </si>
  <si>
    <t>East shahabdi nagar</t>
  </si>
  <si>
    <t>Hosnabad</t>
  </si>
  <si>
    <t>Gahgra Khillmogol</t>
  </si>
  <si>
    <t>Khillmogol Gazalia</t>
  </si>
  <si>
    <t>Khillmogol</t>
  </si>
  <si>
    <t>Kaji Shahida</t>
  </si>
  <si>
    <t>East Khillmogol</t>
  </si>
  <si>
    <t>Khargola</t>
  </si>
  <si>
    <t>Soth Nishchintapur</t>
  </si>
  <si>
    <t>West Nishchintapur</t>
  </si>
  <si>
    <t>Fuittagoda</t>
  </si>
  <si>
    <t>Shegunbagan</t>
  </si>
  <si>
    <t>Raozan</t>
  </si>
  <si>
    <t>Holodyia</t>
  </si>
  <si>
    <t>Sadona chakma</t>
  </si>
  <si>
    <t>Rokeya yeasmin</t>
  </si>
  <si>
    <t>Uttar Satta</t>
  </si>
  <si>
    <t>Kulsuma akter</t>
  </si>
  <si>
    <t>Purba Khiram</t>
  </si>
  <si>
    <t>Ruksana</t>
  </si>
  <si>
    <t>Holodia</t>
  </si>
  <si>
    <t>Roshida akter</t>
  </si>
  <si>
    <t>Garjania matabbar bari</t>
  </si>
  <si>
    <t>Salina akter</t>
  </si>
  <si>
    <t>Abdul Gafur master Bari</t>
  </si>
  <si>
    <t>Sumita chakma</t>
  </si>
  <si>
    <t>Anowara begum</t>
  </si>
  <si>
    <t>Badsha bari</t>
  </si>
  <si>
    <t>Ruma akter</t>
  </si>
  <si>
    <t>Adam shahar bari</t>
  </si>
  <si>
    <t>Seno ara begum</t>
  </si>
  <si>
    <t>Yasin Nagar</t>
  </si>
  <si>
    <t>Rasheda begum</t>
  </si>
  <si>
    <t>Brindabonpur</t>
  </si>
  <si>
    <t>Kohinur Begum</t>
  </si>
  <si>
    <t>Banarosh</t>
  </si>
  <si>
    <t>Nasima akter</t>
  </si>
  <si>
    <t>Jani Pathor</t>
  </si>
  <si>
    <t>Dabua</t>
  </si>
  <si>
    <t>Ratna rani nomo</t>
  </si>
  <si>
    <t>Sajeda begum</t>
  </si>
  <si>
    <t>Purba Dabua</t>
  </si>
  <si>
    <t>Rumi akter</t>
  </si>
  <si>
    <t>Hasan khali</t>
  </si>
  <si>
    <t>Rita Das</t>
  </si>
  <si>
    <t>Kalampati</t>
  </si>
  <si>
    <t>Shamim akter</t>
  </si>
  <si>
    <t>Supriya das</t>
  </si>
  <si>
    <t>Gita dey</t>
  </si>
  <si>
    <t>Kekdair</t>
  </si>
  <si>
    <t>Simu chy</t>
  </si>
  <si>
    <t>Suranga</t>
  </si>
  <si>
    <t>Onkhur dey</t>
  </si>
  <si>
    <t>Hingala</t>
  </si>
  <si>
    <t>Pahartali</t>
  </si>
  <si>
    <t>Lucky rudra</t>
  </si>
  <si>
    <t>Suma sarker</t>
  </si>
  <si>
    <t>Khoiyakhali</t>
  </si>
  <si>
    <t>Apu paul</t>
  </si>
  <si>
    <t>Unsattar Para</t>
  </si>
  <si>
    <t>Tebu paul</t>
  </si>
  <si>
    <t>Dewanpur</t>
  </si>
  <si>
    <t>Salma khatun</t>
  </si>
  <si>
    <t>Dalainagar</t>
  </si>
  <si>
    <t>Jorna dey</t>
  </si>
  <si>
    <t>Kotoalighona</t>
  </si>
  <si>
    <t>Pourosova</t>
  </si>
  <si>
    <t>Tumpa sorma</t>
  </si>
  <si>
    <t>Shipra khastogir</t>
  </si>
  <si>
    <t>Sultanpur</t>
  </si>
  <si>
    <t>Shika Mitra</t>
  </si>
  <si>
    <t>Chitiapara</t>
  </si>
  <si>
    <t>Rujina akter</t>
  </si>
  <si>
    <t>Satta para</t>
  </si>
  <si>
    <t>Shuva mohajon</t>
  </si>
  <si>
    <t>Shaha Nagar</t>
  </si>
  <si>
    <t>Anjona dash</t>
  </si>
  <si>
    <t>Alirkhil</t>
  </si>
  <si>
    <t>Prantika das</t>
  </si>
  <si>
    <t>Roji akter</t>
  </si>
  <si>
    <t>Sapolonga</t>
  </si>
  <si>
    <t>Sheli palith</t>
  </si>
  <si>
    <t>Deuwa para</t>
  </si>
  <si>
    <t>Parbin</t>
  </si>
  <si>
    <t>Paschim Raojan</t>
  </si>
  <si>
    <t>Nomita shil</t>
  </si>
  <si>
    <t>Jungle Raojan</t>
  </si>
  <si>
    <t>Bagoan</t>
  </si>
  <si>
    <t>Saheda begum</t>
  </si>
  <si>
    <t>Gaschi</t>
  </si>
  <si>
    <t>Shilpi mutshoddi</t>
  </si>
  <si>
    <t>Paskhain</t>
  </si>
  <si>
    <t>Shibu dash</t>
  </si>
  <si>
    <t>Swarosati</t>
  </si>
  <si>
    <t>Koiyapara</t>
  </si>
  <si>
    <t>Mukta das</t>
  </si>
  <si>
    <t>MangalKhali</t>
  </si>
  <si>
    <t>Suma chy</t>
  </si>
  <si>
    <t>Moammadpur</t>
  </si>
  <si>
    <t>Shimu Dey</t>
  </si>
  <si>
    <t>Paschim Raojan maji para</t>
  </si>
  <si>
    <t>Nomita dey</t>
  </si>
  <si>
    <t>Banik para</t>
  </si>
  <si>
    <t>Purnima gosh</t>
  </si>
  <si>
    <t>Joy nagar</t>
  </si>
  <si>
    <t>Ronjana chy</t>
  </si>
  <si>
    <t>Shamser Nagar</t>
  </si>
  <si>
    <t>Aunju Das</t>
  </si>
  <si>
    <t>Keutia</t>
  </si>
  <si>
    <t>Rina akter</t>
  </si>
  <si>
    <t>Khalilabad</t>
  </si>
  <si>
    <t>Binajuri</t>
  </si>
  <si>
    <t>Dezy barua</t>
  </si>
  <si>
    <t>Edilpur</t>
  </si>
  <si>
    <t>Tinku sarkar</t>
  </si>
  <si>
    <t>Maduri barua</t>
  </si>
  <si>
    <t>Jamurain</t>
  </si>
  <si>
    <t>Sarmin akter</t>
  </si>
  <si>
    <t>Lengara</t>
  </si>
  <si>
    <t>Kadalpur</t>
  </si>
  <si>
    <t>Rupsha shill</t>
  </si>
  <si>
    <t>Roksana akter</t>
  </si>
  <si>
    <t>Paschim Kadalpur</t>
  </si>
  <si>
    <t>Shelu akter</t>
  </si>
  <si>
    <t>Dakkhin Kadalpur</t>
  </si>
  <si>
    <t>Shimul Akter</t>
  </si>
  <si>
    <t>Lakkhi acharja</t>
  </si>
  <si>
    <t>Purba Kadalpur</t>
  </si>
  <si>
    <t>Chinu chakroborti</t>
  </si>
  <si>
    <t>Moddo Kadalpur</t>
  </si>
  <si>
    <t>Paschim Gujra</t>
  </si>
  <si>
    <t>Parvin Akter</t>
  </si>
  <si>
    <t>Rubi akter</t>
  </si>
  <si>
    <t>Hoarapara</t>
  </si>
  <si>
    <t>Gita borua</t>
  </si>
  <si>
    <t>Bara Thakur para</t>
  </si>
  <si>
    <t>Deluara begum</t>
  </si>
  <si>
    <t>Mohammadia para</t>
  </si>
  <si>
    <t>Purba Gujra</t>
  </si>
  <si>
    <t>Shapla Borua</t>
  </si>
  <si>
    <t>Pushpo borua</t>
  </si>
  <si>
    <t>Adhar Manik</t>
  </si>
  <si>
    <t>Ratna borua</t>
  </si>
  <si>
    <t>Krisna dey</t>
  </si>
  <si>
    <t>Uttar Gujra</t>
  </si>
  <si>
    <t>Urkirchar</t>
  </si>
  <si>
    <t>Sonia akter</t>
  </si>
  <si>
    <t>Pushpo bonik</t>
  </si>
  <si>
    <t>Khalifarghona</t>
  </si>
  <si>
    <t>Sultana Anika</t>
  </si>
  <si>
    <t>Uttar taka khali</t>
  </si>
  <si>
    <t>Soyda yesmin</t>
  </si>
  <si>
    <t>Abur khil</t>
  </si>
  <si>
    <t>Arju begum</t>
  </si>
  <si>
    <t>Roksana</t>
  </si>
  <si>
    <t>Maddam Urkirchar</t>
  </si>
  <si>
    <t>Shamshur Nahar</t>
  </si>
  <si>
    <t>Paschim Urkirchar</t>
  </si>
  <si>
    <t>Jannatul Ferdous</t>
  </si>
  <si>
    <t>Harpara</t>
  </si>
  <si>
    <t>Nurnahar</t>
  </si>
  <si>
    <t>Sira para</t>
  </si>
  <si>
    <t>Raiziya sultana</t>
  </si>
  <si>
    <t>Purba Urkirchar</t>
  </si>
  <si>
    <t>Chikdair</t>
  </si>
  <si>
    <t>Sayeda husnus Sadeka</t>
  </si>
  <si>
    <t>Rokeya begum</t>
  </si>
  <si>
    <t>Dahkhin satta</t>
  </si>
  <si>
    <t>Rasheda Akter</t>
  </si>
  <si>
    <t>Nowajishpur</t>
  </si>
  <si>
    <t>Samim akter</t>
  </si>
  <si>
    <t>Rina nath</t>
  </si>
  <si>
    <t>Fateh nagar</t>
  </si>
  <si>
    <t>Monuwara begum</t>
  </si>
  <si>
    <t>Nadimpur</t>
  </si>
  <si>
    <t>Suporna Dhor</t>
  </si>
  <si>
    <t>Poiyapara</t>
  </si>
  <si>
    <t>Momtaz begum</t>
  </si>
  <si>
    <t>Noyapara</t>
  </si>
  <si>
    <t>Silpi ashcorjo</t>
  </si>
  <si>
    <t>Kochokhain</t>
  </si>
  <si>
    <t>Satkania</t>
  </si>
  <si>
    <t>Choraty</t>
  </si>
  <si>
    <t>Anima Rani Aice</t>
  </si>
  <si>
    <t>South Tulatali</t>
  </si>
  <si>
    <t>Durduri</t>
  </si>
  <si>
    <t>Pani Choraty</t>
  </si>
  <si>
    <t>South Chaoraty</t>
  </si>
  <si>
    <t>Sadaha</t>
  </si>
  <si>
    <t>Nasrin Sultana Lima</t>
  </si>
  <si>
    <t>Monohar chy</t>
  </si>
  <si>
    <t>Taslima Akther</t>
  </si>
  <si>
    <t>Fojur para</t>
  </si>
  <si>
    <t>Asroyon</t>
  </si>
  <si>
    <t>Kuddar kewchia</t>
  </si>
  <si>
    <t>South Sondipon</t>
  </si>
  <si>
    <t>North Sondipon</t>
  </si>
  <si>
    <t>Purangor</t>
  </si>
  <si>
    <t>Boitoroni</t>
  </si>
  <si>
    <t>Moneyabad</t>
  </si>
  <si>
    <t>Ucor bill</t>
  </si>
  <si>
    <t>Fakir Khil</t>
  </si>
  <si>
    <t>Shil Gata</t>
  </si>
  <si>
    <t>Sahanaj Begum</t>
  </si>
  <si>
    <t>South Moneyabad</t>
  </si>
  <si>
    <t>Madarsah</t>
  </si>
  <si>
    <t>South Madarsah</t>
  </si>
  <si>
    <t>Babu Nagor</t>
  </si>
  <si>
    <t>Rupnagor</t>
  </si>
  <si>
    <t>North Madarsah</t>
  </si>
  <si>
    <t>Bazalia</t>
  </si>
  <si>
    <t>Purbo Bazalia</t>
  </si>
  <si>
    <t>Uttor Bazalia</t>
  </si>
  <si>
    <t>Amiliash</t>
  </si>
  <si>
    <t>Purbo Dalo</t>
  </si>
  <si>
    <t>Dharmopur</t>
  </si>
  <si>
    <t>Shuvra Chowdhury</t>
  </si>
  <si>
    <t>Ewchia</t>
  </si>
  <si>
    <t>Kusnur Begum</t>
  </si>
  <si>
    <t>Chankula</t>
  </si>
  <si>
    <t>Karaya Nagor</t>
  </si>
  <si>
    <t>Sonakania</t>
  </si>
  <si>
    <t>Seuli Akther</t>
  </si>
  <si>
    <t>Hatiya kul</t>
  </si>
  <si>
    <t>Holdar pul</t>
  </si>
  <si>
    <t>Suipura</t>
  </si>
  <si>
    <t>kanchana</t>
  </si>
  <si>
    <t>Nondi Bari</t>
  </si>
  <si>
    <t>Latapir Bazar</t>
  </si>
  <si>
    <t>Pacchim Amiliash</t>
  </si>
  <si>
    <t>Puroshava</t>
  </si>
  <si>
    <t>Sahin Akther</t>
  </si>
  <si>
    <t>Chor Para</t>
  </si>
  <si>
    <t xml:space="preserve"> Akhi Barua</t>
  </si>
  <si>
    <t>Pacchim Bzalia</t>
  </si>
  <si>
    <t>Akhi Barua</t>
  </si>
  <si>
    <t>Bakor Ali Bill</t>
  </si>
  <si>
    <t>Mia bari</t>
  </si>
  <si>
    <t>sonakania</t>
  </si>
  <si>
    <t>Garangia</t>
  </si>
  <si>
    <t>Takur Digi</t>
  </si>
  <si>
    <t>Puroangor</t>
  </si>
  <si>
    <t>Moddom Purangor</t>
  </si>
  <si>
    <t>Kodom Toli</t>
  </si>
  <si>
    <t>Kali Nagor</t>
  </si>
  <si>
    <t>Samiti gor</t>
  </si>
  <si>
    <t>Purbo Madarsah</t>
  </si>
  <si>
    <t>Rampur</t>
  </si>
  <si>
    <t>Rupkania</t>
  </si>
  <si>
    <t>Kewchia</t>
  </si>
  <si>
    <t>Barunchara</t>
  </si>
  <si>
    <t>Barduara</t>
  </si>
  <si>
    <t>Nalua</t>
  </si>
  <si>
    <t>Raseda Begum</t>
  </si>
  <si>
    <t>Marfala</t>
  </si>
  <si>
    <t>Khagaria</t>
  </si>
  <si>
    <t>Akbar para</t>
  </si>
  <si>
    <t>Jurar Kul</t>
  </si>
  <si>
    <t>Uttor Barua Para</t>
  </si>
  <si>
    <t>Jonar Kewchia</t>
  </si>
  <si>
    <t>Sitakunda</t>
  </si>
  <si>
    <t>Saiyedpur</t>
  </si>
  <si>
    <t>Slama Akter</t>
  </si>
  <si>
    <t>Uttar Boga Chattar</t>
  </si>
  <si>
    <t>Dakkhin Boga Chattar</t>
  </si>
  <si>
    <t>Razia Sultana</t>
  </si>
  <si>
    <t>Bakkhali</t>
  </si>
  <si>
    <t>Madder dari</t>
  </si>
  <si>
    <t>Uttar Sayedpur</t>
  </si>
  <si>
    <t>Paschim Sayedpur</t>
  </si>
  <si>
    <t>Dakhin Sayedpur</t>
  </si>
  <si>
    <t>Jafor nagar</t>
  </si>
  <si>
    <t>Alakulipur</t>
  </si>
  <si>
    <t>Kedarkhil</t>
  </si>
  <si>
    <t>Purba Sayedpur</t>
  </si>
  <si>
    <t>Bhariyadhala</t>
  </si>
  <si>
    <t>Toma Paik</t>
  </si>
  <si>
    <t>Paschim Lalanagar</t>
  </si>
  <si>
    <t>Purba Lalanagar</t>
  </si>
  <si>
    <t>Kalabariya</t>
  </si>
  <si>
    <t>Purba dharmapur</t>
  </si>
  <si>
    <t>Paschim dharmapur</t>
  </si>
  <si>
    <t>Purba Rahmatnagar</t>
  </si>
  <si>
    <t>Dakhin Fedainagar</t>
  </si>
  <si>
    <t>Uttar Fedainagar</t>
  </si>
  <si>
    <t>Mohalonka</t>
  </si>
  <si>
    <t>Bohorpur</t>
  </si>
  <si>
    <t>Teriyail</t>
  </si>
  <si>
    <t>Uttar Rahamatnagar</t>
  </si>
  <si>
    <t>Ahamadullah Miaji Bari</t>
  </si>
  <si>
    <t>Boidhya Bari</t>
  </si>
  <si>
    <t>Lal miah Haji Bari</t>
  </si>
  <si>
    <t>Mojaffar Chairman Bari</t>
  </si>
  <si>
    <t>Muradpur</t>
  </si>
  <si>
    <t>Basarat Nagar</t>
  </si>
  <si>
    <t>Uttar bhaterkhil</t>
  </si>
  <si>
    <t>Lucky Das</t>
  </si>
  <si>
    <t>Golabaria</t>
  </si>
  <si>
    <t>Bhaterkhil</t>
  </si>
  <si>
    <t>Guliyakhali</t>
  </si>
  <si>
    <t>Paschim Muradpur</t>
  </si>
  <si>
    <t>Uttar Muradpur</t>
  </si>
  <si>
    <t>Guptakhali</t>
  </si>
  <si>
    <t>Purba Muradpur</t>
  </si>
  <si>
    <t>Barobkunda</t>
  </si>
  <si>
    <t>Archana Devi</t>
  </si>
  <si>
    <t>Hati lota</t>
  </si>
  <si>
    <t>Bhaiyer Khil</t>
  </si>
  <si>
    <t>Mandaritola</t>
  </si>
  <si>
    <t>Maddam Mahmudabad</t>
  </si>
  <si>
    <t>Anantapur</t>
  </si>
  <si>
    <t>Oli Nagar</t>
  </si>
  <si>
    <t>Hasem Nagar</t>
  </si>
  <si>
    <t>Dakhin Mahmudabad</t>
  </si>
  <si>
    <t>Noralia</t>
  </si>
  <si>
    <t>Bansbaria</t>
  </si>
  <si>
    <t>Rupali Devi</t>
  </si>
  <si>
    <t>Uttar Bansbaria</t>
  </si>
  <si>
    <t>Nonabil</t>
  </si>
  <si>
    <t>Abu Nagar</t>
  </si>
  <si>
    <t>Dakkhin Bansbaria</t>
  </si>
  <si>
    <t>Purba Bansbaria</t>
  </si>
  <si>
    <t>Maddam Samader para</t>
  </si>
  <si>
    <t>Dakhin Bansbaria</t>
  </si>
  <si>
    <t>Boaliakul</t>
  </si>
  <si>
    <t>Akilpur</t>
  </si>
  <si>
    <t>Kumira</t>
  </si>
  <si>
    <t>Panna Akter</t>
  </si>
  <si>
    <t>Mogpukur</t>
  </si>
  <si>
    <t>Mosojidda</t>
  </si>
  <si>
    <t>Choto kumira</t>
  </si>
  <si>
    <t>Hinguri para</t>
  </si>
  <si>
    <t>Kaji para</t>
  </si>
  <si>
    <t>Rahamatpur</t>
  </si>
  <si>
    <t>New Raja pur</t>
  </si>
  <si>
    <t>Lohar pul</t>
  </si>
  <si>
    <t>Kot para</t>
  </si>
  <si>
    <t>Alekdia</t>
  </si>
  <si>
    <t>Sonaichari</t>
  </si>
  <si>
    <t>Cenoara Begum</t>
  </si>
  <si>
    <t>Goramara</t>
  </si>
  <si>
    <t>Moddom Goramara</t>
  </si>
  <si>
    <t>Dakkhin Goramara</t>
  </si>
  <si>
    <t>Purba Sonaichary</t>
  </si>
  <si>
    <t>Maddam Sonaichary</t>
  </si>
  <si>
    <t>Dakkhin Sonaichary</t>
  </si>
  <si>
    <t>Shitalpur</t>
  </si>
  <si>
    <t>Sign board</t>
  </si>
  <si>
    <t>Hajari bil</t>
  </si>
  <si>
    <t>Lalbag</t>
  </si>
  <si>
    <t>Kesob pur</t>
  </si>
  <si>
    <t>Bhatiyari</t>
  </si>
  <si>
    <t>Riku Das</t>
  </si>
  <si>
    <t>Kodom Rosol</t>
  </si>
  <si>
    <t>Jahanabad</t>
  </si>
  <si>
    <t>Khadem para</t>
  </si>
  <si>
    <t>Purba Bhatiyari</t>
  </si>
  <si>
    <t>Paschim Bhatiyari</t>
  </si>
  <si>
    <t>Maddam Bhatiyari</t>
  </si>
  <si>
    <t>Imam Nagar</t>
  </si>
  <si>
    <t>Tulatuli</t>
  </si>
  <si>
    <t>Dakkhin Bhatiyari</t>
  </si>
  <si>
    <t>Sabita Mojumder</t>
  </si>
  <si>
    <t>Nunachara</t>
  </si>
  <si>
    <t>Yakub Nagar</t>
  </si>
  <si>
    <t>Panthichila</t>
  </si>
  <si>
    <t>Sheikh para</t>
  </si>
  <si>
    <t>Sheikh Nagar</t>
  </si>
  <si>
    <t>Dakkhin Mahadevpur</t>
  </si>
  <si>
    <t>Maddam Mahadevpur</t>
  </si>
  <si>
    <t>Mahadevpur</t>
  </si>
  <si>
    <t>Naluapara</t>
  </si>
  <si>
    <t>Moulovi para</t>
  </si>
  <si>
    <t>Purba Amirabad</t>
  </si>
  <si>
    <t>Shibpur</t>
  </si>
  <si>
    <t>Edulpur</t>
  </si>
  <si>
    <t>Salimpur</t>
  </si>
  <si>
    <t>Jalil</t>
  </si>
  <si>
    <t>Abdullah Ghata</t>
  </si>
  <si>
    <t>Fouzdarhat</t>
  </si>
  <si>
    <t>Kalu shah nagar</t>
  </si>
  <si>
    <t>Fakir hat</t>
  </si>
  <si>
    <t>Dakkhin Salimpur</t>
  </si>
  <si>
    <t>Latifpur</t>
  </si>
  <si>
    <t>Kali hat</t>
  </si>
  <si>
    <t>Upazila Name</t>
  </si>
  <si>
    <t>Malaria Case-2026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</si>
</sst>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m\-d"/>
    <numFmt numFmtId="165" formatCode="0.000000"/>
    <numFmt numFmtId="166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 applyAlignment="1"/>
    <xf numFmtId="0" fontId="4" fillId="0" borderId="0" xfId="0" applyFont="1" applyAlignment="1">
      <alignment horizontal="center"/>
    </xf>
    <xf numFmtId="1" fontId="0" fillId="0" borderId="0" xfId="0" applyNumberFormat="1" applyFont="1" applyAlignment="1">
      <alignment horizontal="right"/>
    </xf>
    <xf numFmtId="0" fontId="0" fillId="0" borderId="0" xfId="0" applyFont="1"/>
    <xf numFmtId="0" fontId="5" fillId="0" borderId="0" xfId="0" applyFont="1" applyFill="1" applyAlignme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1" fontId="0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/>
    <xf numFmtId="0" fontId="0" fillId="0" borderId="0" xfId="0" applyFont="1" applyFill="1" applyBorder="1"/>
    <xf numFmtId="0" fontId="0" fillId="0" borderId="0" xfId="0" applyFont="1" applyAlignment="1">
      <alignment wrapText="1"/>
    </xf>
    <xf numFmtId="0" fontId="5" fillId="2" borderId="0" xfId="0" applyFont="1" applyFill="1" applyBorder="1" applyAlignment="1"/>
    <xf numFmtId="0" fontId="3" fillId="0" borderId="2" xfId="0" applyFont="1" applyBorder="1" applyAlignment="1"/>
    <xf numFmtId="0" fontId="3" fillId="5" borderId="2" xfId="0" applyFont="1" applyFill="1" applyBorder="1" applyAlignment="1"/>
    <xf numFmtId="49" fontId="2" fillId="0" borderId="2" xfId="0" applyNumberFormat="1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0" borderId="2" xfId="0" applyFont="1" applyBorder="1" applyAlignment="1"/>
    <xf numFmtId="0" fontId="3" fillId="5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right"/>
    </xf>
    <xf numFmtId="0" fontId="10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0" borderId="2" xfId="0" applyFont="1" applyBorder="1"/>
    <xf numFmtId="0" fontId="9" fillId="2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0" fillId="0" borderId="2" xfId="0" applyFont="1" applyBorder="1"/>
    <xf numFmtId="0" fontId="7" fillId="0" borderId="2" xfId="0" applyFont="1" applyBorder="1" applyAlignment="1">
      <alignment horizontal="center"/>
    </xf>
    <xf numFmtId="0" fontId="7" fillId="2" borderId="2" xfId="0" applyFont="1" applyFill="1" applyBorder="1"/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/>
    <xf numFmtId="0" fontId="3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2" xfId="0" applyFont="1" applyFill="1" applyBorder="1" applyAlignment="1"/>
    <xf numFmtId="49" fontId="0" fillId="0" borderId="2" xfId="0" applyNumberFormat="1" applyBorder="1" applyAlignment="1">
      <alignment horizontal="left"/>
    </xf>
    <xf numFmtId="0" fontId="4" fillId="7" borderId="0" xfId="0" applyFont="1" applyFill="1" applyBorder="1" applyAlignment="1"/>
    <xf numFmtId="1" fontId="1" fillId="7" borderId="0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3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0" fillId="0" borderId="0" xfId="0" applyFont="1" applyProtection="1"/>
    <xf numFmtId="165" fontId="0" fillId="0" borderId="2" xfId="0" applyNumberFormat="1" applyBorder="1"/>
    <xf numFmtId="49" fontId="2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0" fontId="4" fillId="3" borderId="3" xfId="0" applyFont="1" applyFill="1" applyBorder="1" applyAlignment="1" applyProtection="1">
      <alignment horizontal="center" vertical="center" wrapText="1"/>
    </xf>
    <xf numFmtId="0" fontId="3" fillId="0" borderId="2" xfId="0" applyFont="1" applyBorder="1" applyAlignment="1" applyProtection="1"/>
    <xf numFmtId="0" fontId="1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49" fontId="12" fillId="0" borderId="2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0" fontId="4" fillId="3" borderId="3" xfId="0" applyFont="1" applyFill="1" applyBorder="1" applyAlignment="1">
      <alignment horizontal="center" vertical="center" textRotation="90" wrapText="1"/>
    </xf>
    <xf numFmtId="0" fontId="6" fillId="3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 applyProtection="1">
      <alignment horizontal="right"/>
    </xf>
    <xf numFmtId="0" fontId="4" fillId="3" borderId="7" xfId="0" applyFont="1" applyFill="1" applyBorder="1" applyAlignment="1" applyProtection="1">
      <alignment horizontal="center" vertical="center" wrapText="1"/>
    </xf>
    <xf numFmtId="0" fontId="3" fillId="5" borderId="8" xfId="0" applyFont="1" applyFill="1" applyBorder="1" applyAlignment="1" applyProtection="1">
      <alignment horizontal="left"/>
    </xf>
    <xf numFmtId="0" fontId="4" fillId="0" borderId="1" xfId="0" applyFont="1" applyBorder="1" applyAlignment="1" applyProtection="1">
      <alignment horizontal="center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textRotation="90" wrapText="1"/>
    </xf>
    <xf numFmtId="0" fontId="4" fillId="3" borderId="11" xfId="0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 applyProtection="1">
      <alignment horizontal="right"/>
    </xf>
    <xf numFmtId="0" fontId="0" fillId="9" borderId="12" xfId="0" applyFill="1" applyBorder="1" applyAlignment="1">
      <alignment horizontal="left"/>
    </xf>
    <xf numFmtId="0" fontId="0" fillId="9" borderId="2" xfId="0" applyFill="1" applyBorder="1" applyAlignment="1">
      <alignment horizontal="center" vertical="center"/>
    </xf>
    <xf numFmtId="166" fontId="14" fillId="9" borderId="2" xfId="1" applyNumberFormat="1" applyFont="1" applyFill="1" applyBorder="1" applyAlignment="1">
      <alignment horizontal="left" vertical="center"/>
    </xf>
    <xf numFmtId="0" fontId="0" fillId="9" borderId="12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0" fontId="0" fillId="9" borderId="2" xfId="0" applyFill="1" applyBorder="1" applyAlignment="1">
      <alignment horizontal="center"/>
    </xf>
    <xf numFmtId="0" fontId="4" fillId="5" borderId="13" xfId="0" applyFont="1" applyFill="1" applyBorder="1" applyAlignment="1" applyProtection="1">
      <alignment horizontal="right"/>
    </xf>
    <xf numFmtId="0" fontId="3" fillId="5" borderId="13" xfId="0" applyFont="1" applyFill="1" applyBorder="1" applyAlignment="1" applyProtection="1">
      <alignment horizontal="left"/>
    </xf>
    <xf numFmtId="0" fontId="0" fillId="9" borderId="14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9" borderId="5" xfId="0" applyFill="1" applyBorder="1" applyAlignment="1">
      <alignment horizontal="center"/>
    </xf>
    <xf numFmtId="166" fontId="14" fillId="9" borderId="5" xfId="1" applyNumberFormat="1" applyFont="1" applyFill="1" applyBorder="1" applyAlignment="1">
      <alignment horizontal="left" vertical="center"/>
    </xf>
    <xf numFmtId="0" fontId="0" fillId="9" borderId="5" xfId="0" applyFill="1" applyBorder="1" applyAlignment="1">
      <alignment horizontal="center" vertical="center"/>
    </xf>
    <xf numFmtId="0" fontId="3" fillId="5" borderId="5" xfId="0" applyFont="1" applyFill="1" applyBorder="1" applyAlignment="1"/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5" borderId="2" xfId="0" applyFont="1" applyFill="1" applyBorder="1" applyAlignment="1" applyProtection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0" xfId="0" applyFont="1" applyFill="1" applyBorder="1" applyAlignment="1" applyProtection="1">
      <alignment horizontal="center" wrapText="1"/>
    </xf>
    <xf numFmtId="0" fontId="4" fillId="0" borderId="1" xfId="0" applyFont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 wrapText="1"/>
    </xf>
    <xf numFmtId="0" fontId="4" fillId="0" borderId="1" xfId="0" applyFont="1" applyBorder="1" applyAlignment="1" applyProtection="1">
      <alignment horizontal="center"/>
    </xf>
    <xf numFmtId="1" fontId="1" fillId="0" borderId="0" xfId="0" applyNumberFormat="1" applyFont="1" applyFill="1" applyBorder="1" applyAlignment="1">
      <alignment horizontal="right"/>
    </xf>
    <xf numFmtId="0" fontId="4" fillId="10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3174980" y="691705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52144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268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93292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887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887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268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887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152144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268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18</xdr:col>
      <xdr:colOff>0</xdr:colOff>
      <xdr:row>33</xdr:row>
      <xdr:rowOff>104775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26820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71778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3014960" y="6825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2054840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33</xdr:row>
      <xdr:rowOff>104775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429BE3-3A2C-44D0-A354-D689CC077688}"/>
            </a:ext>
          </a:extLst>
        </xdr:cNvPr>
        <xdr:cNvSpPr txBox="1"/>
      </xdr:nvSpPr>
      <xdr:spPr>
        <a:xfrm>
          <a:off x="14493240" y="72675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6"/>
  <sheetViews>
    <sheetView workbookViewId="0">
      <pane xSplit="12" ySplit="6" topLeftCell="AA7" activePane="bottomRight" state="frozen"/>
      <selection pane="topRight" activeCell="M1" sqref="M1"/>
      <selection pane="bottomLeft" activeCell="A6" sqref="A6"/>
      <selection pane="bottomRight" sqref="A1:XFD5"/>
    </sheetView>
  </sheetViews>
  <sheetFormatPr defaultRowHeight="14.4" x14ac:dyDescent="0.3"/>
  <cols>
    <col min="3" max="3" width="13.44140625" customWidth="1"/>
    <col min="4" max="4" width="14.21875" customWidth="1"/>
    <col min="8" max="8" width="22" customWidth="1"/>
    <col min="11" max="11" width="20.5546875" customWidth="1"/>
    <col min="21" max="32" width="4.77734375" customWidth="1"/>
  </cols>
  <sheetData>
    <row r="1" spans="1:36" ht="14.4" customHeight="1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COUNTIF(I7:I425,"SK(H)")</f>
        <v>0</v>
      </c>
      <c r="J1" s="50" t="s">
        <v>1</v>
      </c>
      <c r="K1" s="50">
        <f>COUNTA(J7:J441)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COUNTIF(I7:I426,"SHW(H)")</f>
        <v>0</v>
      </c>
      <c r="J2" s="50" t="s">
        <v>5</v>
      </c>
      <c r="K2" s="50">
        <f>COUNTA(K7:K106)</f>
        <v>100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2442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2442</v>
      </c>
      <c r="F7" s="91" t="s">
        <v>2442</v>
      </c>
      <c r="G7" s="92">
        <v>1</v>
      </c>
      <c r="H7" s="91" t="s">
        <v>2447</v>
      </c>
      <c r="I7" s="91"/>
      <c r="J7" s="91"/>
      <c r="K7" s="93" t="s">
        <v>2448</v>
      </c>
      <c r="L7" s="93"/>
      <c r="M7" s="93"/>
      <c r="N7" s="93"/>
      <c r="O7" s="93"/>
      <c r="P7" s="92">
        <v>2620</v>
      </c>
      <c r="Q7" s="92">
        <v>510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2442</v>
      </c>
      <c r="F8" s="91" t="s">
        <v>2442</v>
      </c>
      <c r="G8" s="92">
        <v>2</v>
      </c>
      <c r="H8" s="91" t="s">
        <v>2447</v>
      </c>
      <c r="I8" s="91"/>
      <c r="J8" s="96"/>
      <c r="K8" s="93" t="s">
        <v>2449</v>
      </c>
      <c r="L8" s="93"/>
      <c r="M8" s="93"/>
      <c r="N8" s="93"/>
      <c r="O8" s="93"/>
      <c r="P8" s="92">
        <v>1780</v>
      </c>
      <c r="Q8" s="92">
        <v>290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2442</v>
      </c>
      <c r="F9" s="91" t="s">
        <v>2442</v>
      </c>
      <c r="G9" s="92">
        <v>3</v>
      </c>
      <c r="H9" s="91" t="s">
        <v>2447</v>
      </c>
      <c r="I9" s="91"/>
      <c r="J9" s="96"/>
      <c r="K9" s="93" t="s">
        <v>2450</v>
      </c>
      <c r="L9" s="93"/>
      <c r="M9" s="93"/>
      <c r="N9" s="93"/>
      <c r="O9" s="93"/>
      <c r="P9" s="92">
        <v>1313</v>
      </c>
      <c r="Q9" s="92">
        <v>235</v>
      </c>
      <c r="R9" s="92"/>
      <c r="S9" s="97">
        <v>0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2442</v>
      </c>
      <c r="F10" s="91" t="s">
        <v>2442</v>
      </c>
      <c r="G10" s="92">
        <v>7</v>
      </c>
      <c r="H10" s="91" t="s">
        <v>2447</v>
      </c>
      <c r="I10" s="91"/>
      <c r="J10" s="96"/>
      <c r="K10" s="93" t="s">
        <v>2451</v>
      </c>
      <c r="L10" s="93"/>
      <c r="M10" s="93"/>
      <c r="N10" s="93"/>
      <c r="O10" s="93"/>
      <c r="P10" s="92">
        <v>1750</v>
      </c>
      <c r="Q10" s="92">
        <v>364</v>
      </c>
      <c r="R10" s="92"/>
      <c r="S10" s="97">
        <v>0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2442</v>
      </c>
      <c r="F11" s="91" t="s">
        <v>2442</v>
      </c>
      <c r="G11" s="92">
        <v>4</v>
      </c>
      <c r="H11" s="91" t="s">
        <v>2447</v>
      </c>
      <c r="I11" s="91"/>
      <c r="J11" s="96"/>
      <c r="K11" s="93" t="s">
        <v>2452</v>
      </c>
      <c r="L11" s="93"/>
      <c r="M11" s="93"/>
      <c r="N11" s="93"/>
      <c r="O11" s="93"/>
      <c r="P11" s="92">
        <v>2265</v>
      </c>
      <c r="Q11" s="92">
        <v>339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2442</v>
      </c>
      <c r="F12" s="91" t="s">
        <v>2442</v>
      </c>
      <c r="G12" s="92">
        <v>5</v>
      </c>
      <c r="H12" s="96" t="s">
        <v>2447</v>
      </c>
      <c r="I12" s="96"/>
      <c r="J12" s="96"/>
      <c r="K12" s="93" t="s">
        <v>2453</v>
      </c>
      <c r="L12" s="93"/>
      <c r="M12" s="93"/>
      <c r="N12" s="93"/>
      <c r="O12" s="93"/>
      <c r="P12" s="92">
        <v>1773</v>
      </c>
      <c r="Q12" s="92">
        <v>351</v>
      </c>
      <c r="R12" s="92"/>
      <c r="S12" s="97">
        <v>0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2442</v>
      </c>
      <c r="F13" s="91" t="s">
        <v>2442</v>
      </c>
      <c r="G13" s="92">
        <v>8</v>
      </c>
      <c r="H13" s="96" t="s">
        <v>2447</v>
      </c>
      <c r="I13" s="96"/>
      <c r="J13" s="96"/>
      <c r="K13" s="93" t="s">
        <v>2454</v>
      </c>
      <c r="L13" s="93"/>
      <c r="M13" s="93"/>
      <c r="N13" s="93"/>
      <c r="O13" s="93"/>
      <c r="P13" s="92">
        <v>2556</v>
      </c>
      <c r="Q13" s="92">
        <v>423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2442</v>
      </c>
      <c r="F14" s="91" t="s">
        <v>2442</v>
      </c>
      <c r="G14" s="92">
        <v>9</v>
      </c>
      <c r="H14" s="96" t="s">
        <v>2447</v>
      </c>
      <c r="I14" s="96"/>
      <c r="J14" s="96"/>
      <c r="K14" s="93" t="s">
        <v>2455</v>
      </c>
      <c r="L14" s="93"/>
      <c r="M14" s="93"/>
      <c r="N14" s="93"/>
      <c r="O14" s="93"/>
      <c r="P14" s="92">
        <v>2640</v>
      </c>
      <c r="Q14" s="92">
        <v>468</v>
      </c>
      <c r="R14" s="92"/>
      <c r="S14" s="97">
        <v>0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2442</v>
      </c>
      <c r="F15" s="91" t="s">
        <v>2442</v>
      </c>
      <c r="G15" s="92">
        <v>6</v>
      </c>
      <c r="H15" s="96" t="s">
        <v>2447</v>
      </c>
      <c r="I15" s="96"/>
      <c r="J15" s="96"/>
      <c r="K15" s="93" t="s">
        <v>2456</v>
      </c>
      <c r="L15" s="93"/>
      <c r="M15" s="93"/>
      <c r="N15" s="93"/>
      <c r="O15" s="93"/>
      <c r="P15" s="92">
        <v>2213</v>
      </c>
      <c r="Q15" s="92">
        <v>426</v>
      </c>
      <c r="R15" s="92"/>
      <c r="S15" s="97">
        <v>0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2442</v>
      </c>
      <c r="F16" s="91" t="s">
        <v>2457</v>
      </c>
      <c r="G16" s="92">
        <v>1</v>
      </c>
      <c r="H16" s="96" t="s">
        <v>2458</v>
      </c>
      <c r="I16" s="96"/>
      <c r="J16" s="96"/>
      <c r="K16" s="93" t="s">
        <v>2459</v>
      </c>
      <c r="L16" s="93"/>
      <c r="M16" s="93"/>
      <c r="N16" s="93"/>
      <c r="O16" s="93"/>
      <c r="P16" s="92">
        <v>3904</v>
      </c>
      <c r="Q16" s="92">
        <v>681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2442</v>
      </c>
      <c r="F17" s="91" t="s">
        <v>2457</v>
      </c>
      <c r="G17" s="92">
        <v>2</v>
      </c>
      <c r="H17" s="96" t="s">
        <v>2458</v>
      </c>
      <c r="I17" s="96"/>
      <c r="J17" s="96"/>
      <c r="K17" s="93" t="s">
        <v>2460</v>
      </c>
      <c r="L17" s="93"/>
      <c r="M17" s="93"/>
      <c r="N17" s="93"/>
      <c r="O17" s="93"/>
      <c r="P17" s="92">
        <v>3243</v>
      </c>
      <c r="Q17" s="92">
        <v>537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2442</v>
      </c>
      <c r="F18" s="91" t="s">
        <v>2457</v>
      </c>
      <c r="G18" s="92">
        <v>3</v>
      </c>
      <c r="H18" s="96" t="s">
        <v>2458</v>
      </c>
      <c r="I18" s="96"/>
      <c r="J18" s="96"/>
      <c r="K18" s="93" t="s">
        <v>2461</v>
      </c>
      <c r="L18" s="93"/>
      <c r="M18" s="93"/>
      <c r="N18" s="93"/>
      <c r="O18" s="93"/>
      <c r="P18" s="92">
        <v>2451</v>
      </c>
      <c r="Q18" s="92">
        <v>425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2442</v>
      </c>
      <c r="F19" s="91" t="s">
        <v>2457</v>
      </c>
      <c r="G19" s="92">
        <v>4</v>
      </c>
      <c r="H19" s="96" t="s">
        <v>2458</v>
      </c>
      <c r="I19" s="96"/>
      <c r="J19" s="96"/>
      <c r="K19" s="93" t="s">
        <v>2462</v>
      </c>
      <c r="L19" s="93"/>
      <c r="M19" s="93"/>
      <c r="N19" s="93"/>
      <c r="O19" s="93"/>
      <c r="P19" s="92">
        <v>1990</v>
      </c>
      <c r="Q19" s="92">
        <v>378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2442</v>
      </c>
      <c r="F20" s="91" t="s">
        <v>2457</v>
      </c>
      <c r="G20" s="92">
        <v>5</v>
      </c>
      <c r="H20" s="96" t="s">
        <v>2458</v>
      </c>
      <c r="I20" s="96"/>
      <c r="J20" s="96"/>
      <c r="K20" s="93" t="s">
        <v>2463</v>
      </c>
      <c r="L20" s="93"/>
      <c r="M20" s="93"/>
      <c r="N20" s="93"/>
      <c r="O20" s="93"/>
      <c r="P20" s="92">
        <v>2345</v>
      </c>
      <c r="Q20" s="92">
        <v>410</v>
      </c>
      <c r="R20" s="92"/>
      <c r="S20" s="97">
        <v>0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2442</v>
      </c>
      <c r="F21" s="91" t="s">
        <v>2457</v>
      </c>
      <c r="G21" s="97">
        <v>6</v>
      </c>
      <c r="H21" s="96" t="s">
        <v>2458</v>
      </c>
      <c r="I21" s="96"/>
      <c r="J21" s="96"/>
      <c r="K21" s="93" t="s">
        <v>2464</v>
      </c>
      <c r="L21" s="93"/>
      <c r="M21" s="93"/>
      <c r="N21" s="93"/>
      <c r="O21" s="93"/>
      <c r="P21" s="92">
        <v>2701</v>
      </c>
      <c r="Q21" s="92">
        <v>493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2442</v>
      </c>
      <c r="F22" s="91" t="s">
        <v>2457</v>
      </c>
      <c r="G22" s="92">
        <v>7</v>
      </c>
      <c r="H22" s="96" t="s">
        <v>2458</v>
      </c>
      <c r="I22" s="96"/>
      <c r="J22" s="96"/>
      <c r="K22" s="93" t="s">
        <v>2457</v>
      </c>
      <c r="L22" s="93"/>
      <c r="M22" s="93"/>
      <c r="N22" s="93"/>
      <c r="O22" s="93"/>
      <c r="P22" s="92">
        <v>7692</v>
      </c>
      <c r="Q22" s="92">
        <v>1354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2442</v>
      </c>
      <c r="F23" s="91" t="s">
        <v>2457</v>
      </c>
      <c r="G23" s="92">
        <v>8</v>
      </c>
      <c r="H23" s="96" t="s">
        <v>2458</v>
      </c>
      <c r="I23" s="96"/>
      <c r="J23" s="96"/>
      <c r="K23" s="93" t="s">
        <v>2465</v>
      </c>
      <c r="L23" s="93"/>
      <c r="M23" s="93"/>
      <c r="N23" s="93"/>
      <c r="O23" s="93"/>
      <c r="P23" s="92">
        <v>1675</v>
      </c>
      <c r="Q23" s="92">
        <v>284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2442</v>
      </c>
      <c r="F24" s="91" t="s">
        <v>2457</v>
      </c>
      <c r="G24" s="92">
        <v>9</v>
      </c>
      <c r="H24" s="96" t="s">
        <v>2458</v>
      </c>
      <c r="I24" s="96"/>
      <c r="J24" s="96"/>
      <c r="K24" s="93" t="s">
        <v>2466</v>
      </c>
      <c r="L24" s="93"/>
      <c r="M24" s="93"/>
      <c r="N24" s="93"/>
      <c r="O24" s="93"/>
      <c r="P24" s="92">
        <v>2790</v>
      </c>
      <c r="Q24" s="92">
        <v>482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2442</v>
      </c>
      <c r="F25" s="91" t="s">
        <v>2467</v>
      </c>
      <c r="G25" s="97">
        <v>1</v>
      </c>
      <c r="H25" s="96" t="s">
        <v>2468</v>
      </c>
      <c r="I25" s="96"/>
      <c r="J25" s="96"/>
      <c r="K25" s="93" t="s">
        <v>2467</v>
      </c>
      <c r="L25" s="93"/>
      <c r="M25" s="93"/>
      <c r="N25" s="93"/>
      <c r="O25" s="93"/>
      <c r="P25" s="92">
        <v>8761</v>
      </c>
      <c r="Q25" s="92">
        <v>1472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2442</v>
      </c>
      <c r="F26" s="91" t="s">
        <v>2467</v>
      </c>
      <c r="G26" s="97">
        <v>2</v>
      </c>
      <c r="H26" s="96" t="s">
        <v>2468</v>
      </c>
      <c r="I26" s="96"/>
      <c r="J26" s="96"/>
      <c r="K26" s="93" t="s">
        <v>2469</v>
      </c>
      <c r="L26" s="93"/>
      <c r="M26" s="93"/>
      <c r="N26" s="93"/>
      <c r="O26" s="93"/>
      <c r="P26" s="92">
        <v>2610</v>
      </c>
      <c r="Q26" s="92">
        <v>486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2442</v>
      </c>
      <c r="F27" s="91" t="s">
        <v>2467</v>
      </c>
      <c r="G27" s="97">
        <v>3</v>
      </c>
      <c r="H27" s="96" t="s">
        <v>2468</v>
      </c>
      <c r="I27" s="96"/>
      <c r="J27" s="96"/>
      <c r="K27" s="93" t="s">
        <v>2470</v>
      </c>
      <c r="L27" s="93"/>
      <c r="M27" s="93"/>
      <c r="N27" s="93"/>
      <c r="O27" s="93"/>
      <c r="P27" s="92">
        <v>4087</v>
      </c>
      <c r="Q27" s="92">
        <v>708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2442</v>
      </c>
      <c r="F28" s="91" t="s">
        <v>2467</v>
      </c>
      <c r="G28" s="97">
        <v>4</v>
      </c>
      <c r="H28" s="96" t="s">
        <v>2468</v>
      </c>
      <c r="I28" s="96"/>
      <c r="J28" s="96"/>
      <c r="K28" s="93" t="s">
        <v>2471</v>
      </c>
      <c r="L28" s="93"/>
      <c r="M28" s="93"/>
      <c r="N28" s="93"/>
      <c r="O28" s="93"/>
      <c r="P28" s="92">
        <v>2713</v>
      </c>
      <c r="Q28" s="92">
        <v>430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2442</v>
      </c>
      <c r="F29" s="91" t="s">
        <v>2467</v>
      </c>
      <c r="G29" s="97">
        <v>5</v>
      </c>
      <c r="H29" s="96" t="s">
        <v>2468</v>
      </c>
      <c r="I29" s="96"/>
      <c r="J29" s="96"/>
      <c r="K29" s="93" t="s">
        <v>2472</v>
      </c>
      <c r="L29" s="93"/>
      <c r="M29" s="93"/>
      <c r="N29" s="93"/>
      <c r="O29" s="93"/>
      <c r="P29" s="92">
        <v>2236</v>
      </c>
      <c r="Q29" s="92">
        <v>355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2442</v>
      </c>
      <c r="F30" s="91" t="s">
        <v>2467</v>
      </c>
      <c r="G30" s="97">
        <v>5</v>
      </c>
      <c r="H30" s="96" t="s">
        <v>2468</v>
      </c>
      <c r="I30" s="96"/>
      <c r="J30" s="96"/>
      <c r="K30" s="93" t="s">
        <v>2473</v>
      </c>
      <c r="L30" s="93"/>
      <c r="M30" s="93"/>
      <c r="N30" s="93"/>
      <c r="O30" s="93"/>
      <c r="P30" s="92">
        <v>1952</v>
      </c>
      <c r="Q30" s="92">
        <v>365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2442</v>
      </c>
      <c r="F31" s="91" t="s">
        <v>2467</v>
      </c>
      <c r="G31" s="97">
        <v>6</v>
      </c>
      <c r="H31" s="96" t="s">
        <v>2468</v>
      </c>
      <c r="I31" s="96"/>
      <c r="J31" s="96"/>
      <c r="K31" s="93" t="s">
        <v>2474</v>
      </c>
      <c r="L31" s="93"/>
      <c r="M31" s="93"/>
      <c r="N31" s="93"/>
      <c r="O31" s="93"/>
      <c r="P31" s="92">
        <v>3064</v>
      </c>
      <c r="Q31" s="92">
        <v>491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2442</v>
      </c>
      <c r="F32" s="96" t="s">
        <v>2467</v>
      </c>
      <c r="G32" s="97">
        <v>7</v>
      </c>
      <c r="H32" s="96" t="s">
        <v>2468</v>
      </c>
      <c r="I32" s="96"/>
      <c r="J32" s="96"/>
      <c r="K32" s="93" t="s">
        <v>2475</v>
      </c>
      <c r="L32" s="93"/>
      <c r="M32" s="93"/>
      <c r="N32" s="93"/>
      <c r="O32" s="93"/>
      <c r="P32" s="92">
        <v>1919</v>
      </c>
      <c r="Q32" s="92">
        <v>280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2442</v>
      </c>
      <c r="F33" s="96" t="s">
        <v>2467</v>
      </c>
      <c r="G33" s="97">
        <v>8</v>
      </c>
      <c r="H33" s="96" t="s">
        <v>2468</v>
      </c>
      <c r="I33" s="96"/>
      <c r="J33" s="96"/>
      <c r="K33" s="93" t="s">
        <v>2476</v>
      </c>
      <c r="L33" s="93"/>
      <c r="M33" s="93"/>
      <c r="N33" s="93"/>
      <c r="O33" s="93"/>
      <c r="P33" s="92">
        <v>3144</v>
      </c>
      <c r="Q33" s="92">
        <v>458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2442</v>
      </c>
      <c r="F34" s="96" t="s">
        <v>2467</v>
      </c>
      <c r="G34" s="97">
        <v>9</v>
      </c>
      <c r="H34" s="96" t="s">
        <v>2468</v>
      </c>
      <c r="I34" s="96"/>
      <c r="J34" s="96"/>
      <c r="K34" s="93" t="s">
        <v>2477</v>
      </c>
      <c r="L34" s="93"/>
      <c r="M34" s="93"/>
      <c r="N34" s="93"/>
      <c r="O34" s="93"/>
      <c r="P34" s="92">
        <v>2780</v>
      </c>
      <c r="Q34" s="92">
        <v>582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2442</v>
      </c>
      <c r="F35" s="96" t="s">
        <v>2478</v>
      </c>
      <c r="G35" s="97">
        <v>1</v>
      </c>
      <c r="H35" s="96" t="s">
        <v>2479</v>
      </c>
      <c r="I35" s="96"/>
      <c r="J35" s="96"/>
      <c r="K35" s="93" t="s">
        <v>2480</v>
      </c>
      <c r="L35" s="93"/>
      <c r="M35" s="93"/>
      <c r="N35" s="93"/>
      <c r="O35" s="93"/>
      <c r="P35" s="92">
        <v>2294</v>
      </c>
      <c r="Q35" s="92">
        <v>413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2442</v>
      </c>
      <c r="F36" s="96" t="s">
        <v>2478</v>
      </c>
      <c r="G36" s="97">
        <v>2</v>
      </c>
      <c r="H36" s="96" t="s">
        <v>2479</v>
      </c>
      <c r="I36" s="96"/>
      <c r="J36" s="96"/>
      <c r="K36" s="93" t="s">
        <v>2481</v>
      </c>
      <c r="L36" s="93"/>
      <c r="M36" s="93"/>
      <c r="N36" s="93"/>
      <c r="O36" s="93"/>
      <c r="P36" s="92">
        <v>3803</v>
      </c>
      <c r="Q36" s="92">
        <v>586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2442</v>
      </c>
      <c r="F37" s="96" t="s">
        <v>2478</v>
      </c>
      <c r="G37" s="97">
        <v>3</v>
      </c>
      <c r="H37" s="96" t="s">
        <v>2479</v>
      </c>
      <c r="I37" s="96"/>
      <c r="J37" s="96"/>
      <c r="K37" s="93" t="s">
        <v>2482</v>
      </c>
      <c r="L37" s="93"/>
      <c r="M37" s="93"/>
      <c r="N37" s="93"/>
      <c r="O37" s="93"/>
      <c r="P37" s="92">
        <v>1845</v>
      </c>
      <c r="Q37" s="92">
        <v>296</v>
      </c>
      <c r="R37" s="92"/>
      <c r="S37" s="97">
        <v>0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2442</v>
      </c>
      <c r="F38" s="96" t="s">
        <v>2478</v>
      </c>
      <c r="G38" s="97">
        <v>4</v>
      </c>
      <c r="H38" s="96" t="s">
        <v>2479</v>
      </c>
      <c r="I38" s="96"/>
      <c r="J38" s="96"/>
      <c r="K38" s="93" t="s">
        <v>2483</v>
      </c>
      <c r="L38" s="93"/>
      <c r="M38" s="93"/>
      <c r="N38" s="93"/>
      <c r="O38" s="93"/>
      <c r="P38" s="92">
        <v>3586</v>
      </c>
      <c r="Q38" s="92">
        <v>615</v>
      </c>
      <c r="R38" s="92"/>
      <c r="S38" s="97">
        <v>0</v>
      </c>
      <c r="T38" s="97">
        <v>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2442</v>
      </c>
      <c r="F39" s="96" t="s">
        <v>2478</v>
      </c>
      <c r="G39" s="97">
        <v>5</v>
      </c>
      <c r="H39" s="96" t="s">
        <v>2479</v>
      </c>
      <c r="I39" s="96"/>
      <c r="J39" s="96"/>
      <c r="K39" s="93" t="s">
        <v>2484</v>
      </c>
      <c r="L39" s="93"/>
      <c r="M39" s="93"/>
      <c r="N39" s="93"/>
      <c r="O39" s="93"/>
      <c r="P39" s="92">
        <v>3732</v>
      </c>
      <c r="Q39" s="92">
        <v>605</v>
      </c>
      <c r="R39" s="92"/>
      <c r="S39" s="97">
        <v>0</v>
      </c>
      <c r="T39" s="97">
        <v>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2442</v>
      </c>
      <c r="F40" s="96" t="s">
        <v>2478</v>
      </c>
      <c r="G40" s="97">
        <v>6</v>
      </c>
      <c r="H40" s="96" t="s">
        <v>2479</v>
      </c>
      <c r="I40" s="96"/>
      <c r="J40" s="96"/>
      <c r="K40" s="93" t="s">
        <v>2485</v>
      </c>
      <c r="L40" s="93"/>
      <c r="M40" s="93"/>
      <c r="N40" s="93"/>
      <c r="O40" s="93"/>
      <c r="P40" s="92">
        <v>1320</v>
      </c>
      <c r="Q40" s="92">
        <v>210</v>
      </c>
      <c r="R40" s="92"/>
      <c r="S40" s="97">
        <v>0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2442</v>
      </c>
      <c r="F41" s="96" t="s">
        <v>2478</v>
      </c>
      <c r="G41" s="97">
        <v>7</v>
      </c>
      <c r="H41" s="96" t="s">
        <v>2479</v>
      </c>
      <c r="I41" s="96"/>
      <c r="J41" s="96"/>
      <c r="K41" s="93" t="s">
        <v>2486</v>
      </c>
      <c r="L41" s="93"/>
      <c r="M41" s="93"/>
      <c r="N41" s="93"/>
      <c r="O41" s="93"/>
      <c r="P41" s="92">
        <v>2087</v>
      </c>
      <c r="Q41" s="92">
        <v>360</v>
      </c>
      <c r="R41" s="92"/>
      <c r="S41" s="97">
        <v>0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2442</v>
      </c>
      <c r="F42" s="96" t="s">
        <v>2478</v>
      </c>
      <c r="G42" s="97">
        <v>8</v>
      </c>
      <c r="H42" s="96" t="s">
        <v>2479</v>
      </c>
      <c r="I42" s="96"/>
      <c r="J42" s="96"/>
      <c r="K42" s="93" t="s">
        <v>2487</v>
      </c>
      <c r="L42" s="93"/>
      <c r="M42" s="93"/>
      <c r="N42" s="93"/>
      <c r="O42" s="93"/>
      <c r="P42" s="92">
        <v>1896</v>
      </c>
      <c r="Q42" s="92">
        <v>280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2442</v>
      </c>
      <c r="F43" s="96" t="s">
        <v>2478</v>
      </c>
      <c r="G43" s="97">
        <v>9</v>
      </c>
      <c r="H43" s="96" t="s">
        <v>2479</v>
      </c>
      <c r="I43" s="96"/>
      <c r="J43" s="96"/>
      <c r="K43" s="93" t="s">
        <v>2488</v>
      </c>
      <c r="L43" s="93"/>
      <c r="M43" s="93"/>
      <c r="N43" s="93"/>
      <c r="O43" s="93"/>
      <c r="P43" s="92">
        <v>2203</v>
      </c>
      <c r="Q43" s="92">
        <v>365</v>
      </c>
      <c r="R43" s="92"/>
      <c r="S43" s="97">
        <v>0</v>
      </c>
      <c r="T43" s="97">
        <v>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2442</v>
      </c>
      <c r="F44" s="96" t="s">
        <v>2489</v>
      </c>
      <c r="G44" s="97">
        <v>1</v>
      </c>
      <c r="H44" s="96" t="s">
        <v>2490</v>
      </c>
      <c r="I44" s="96"/>
      <c r="J44" s="96"/>
      <c r="K44" s="93" t="s">
        <v>2491</v>
      </c>
      <c r="L44" s="93"/>
      <c r="M44" s="93"/>
      <c r="N44" s="93"/>
      <c r="O44" s="93"/>
      <c r="P44" s="92">
        <v>5310</v>
      </c>
      <c r="Q44" s="92">
        <v>781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2442</v>
      </c>
      <c r="F45" s="96" t="s">
        <v>2489</v>
      </c>
      <c r="G45" s="97">
        <v>2</v>
      </c>
      <c r="H45" s="96" t="s">
        <v>2490</v>
      </c>
      <c r="I45" s="96"/>
      <c r="J45" s="96"/>
      <c r="K45" s="93" t="s">
        <v>2492</v>
      </c>
      <c r="L45" s="93"/>
      <c r="M45" s="93"/>
      <c r="N45" s="93"/>
      <c r="O45" s="93"/>
      <c r="P45" s="92">
        <v>3250</v>
      </c>
      <c r="Q45" s="92">
        <v>536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2442</v>
      </c>
      <c r="F46" s="96" t="s">
        <v>2489</v>
      </c>
      <c r="G46" s="97">
        <v>3</v>
      </c>
      <c r="H46" s="96" t="s">
        <v>2490</v>
      </c>
      <c r="I46" s="96"/>
      <c r="J46" s="96"/>
      <c r="K46" s="93" t="s">
        <v>2493</v>
      </c>
      <c r="L46" s="93"/>
      <c r="M46" s="93"/>
      <c r="N46" s="93"/>
      <c r="O46" s="93"/>
      <c r="P46" s="92">
        <v>2033</v>
      </c>
      <c r="Q46" s="92">
        <v>340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2442</v>
      </c>
      <c r="F47" s="96" t="s">
        <v>2489</v>
      </c>
      <c r="G47" s="97">
        <v>4</v>
      </c>
      <c r="H47" s="96" t="s">
        <v>2490</v>
      </c>
      <c r="I47" s="96"/>
      <c r="J47" s="96"/>
      <c r="K47" s="93" t="s">
        <v>2494</v>
      </c>
      <c r="L47" s="93"/>
      <c r="M47" s="93"/>
      <c r="N47" s="93"/>
      <c r="O47" s="93"/>
      <c r="P47" s="92">
        <v>3364</v>
      </c>
      <c r="Q47" s="92">
        <v>529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2442</v>
      </c>
      <c r="F48" s="96" t="s">
        <v>2489</v>
      </c>
      <c r="G48" s="97">
        <v>5</v>
      </c>
      <c r="H48" s="96" t="s">
        <v>2490</v>
      </c>
      <c r="I48" s="96"/>
      <c r="J48" s="96"/>
      <c r="K48" s="93" t="s">
        <v>2495</v>
      </c>
      <c r="L48" s="93"/>
      <c r="M48" s="93"/>
      <c r="N48" s="93"/>
      <c r="O48" s="93"/>
      <c r="P48" s="92">
        <v>1990</v>
      </c>
      <c r="Q48" s="92">
        <v>310</v>
      </c>
      <c r="R48" s="92"/>
      <c r="S48" s="97">
        <v>0</v>
      </c>
      <c r="T48" s="97">
        <v>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2442</v>
      </c>
      <c r="F49" s="96" t="s">
        <v>2489</v>
      </c>
      <c r="G49" s="97">
        <v>6</v>
      </c>
      <c r="H49" s="96" t="s">
        <v>2490</v>
      </c>
      <c r="I49" s="96"/>
      <c r="J49" s="96"/>
      <c r="K49" s="93" t="s">
        <v>2496</v>
      </c>
      <c r="L49" s="93"/>
      <c r="M49" s="93"/>
      <c r="N49" s="93"/>
      <c r="O49" s="93"/>
      <c r="P49" s="92">
        <v>6309</v>
      </c>
      <c r="Q49" s="92">
        <v>1090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2442</v>
      </c>
      <c r="F50" s="96" t="s">
        <v>2489</v>
      </c>
      <c r="G50" s="97">
        <v>7</v>
      </c>
      <c r="H50" s="96" t="s">
        <v>2490</v>
      </c>
      <c r="I50" s="96"/>
      <c r="J50" s="96"/>
      <c r="K50" s="93" t="s">
        <v>2497</v>
      </c>
      <c r="L50" s="93"/>
      <c r="M50" s="93"/>
      <c r="N50" s="93"/>
      <c r="O50" s="93"/>
      <c r="P50" s="92">
        <v>3134</v>
      </c>
      <c r="Q50" s="92">
        <v>536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2442</v>
      </c>
      <c r="F51" s="96" t="s">
        <v>2489</v>
      </c>
      <c r="G51" s="97">
        <v>8</v>
      </c>
      <c r="H51" s="96" t="s">
        <v>2490</v>
      </c>
      <c r="I51" s="96"/>
      <c r="J51" s="96"/>
      <c r="K51" s="93" t="s">
        <v>2498</v>
      </c>
      <c r="L51" s="93"/>
      <c r="M51" s="93"/>
      <c r="N51" s="93"/>
      <c r="O51" s="93"/>
      <c r="P51" s="92">
        <v>1825</v>
      </c>
      <c r="Q51" s="92">
        <v>299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2442</v>
      </c>
      <c r="F52" s="96" t="s">
        <v>2489</v>
      </c>
      <c r="G52" s="97">
        <v>9</v>
      </c>
      <c r="H52" s="96" t="s">
        <v>2490</v>
      </c>
      <c r="I52" s="96"/>
      <c r="J52" s="96"/>
      <c r="K52" s="93" t="s">
        <v>2499</v>
      </c>
      <c r="L52" s="93"/>
      <c r="M52" s="93"/>
      <c r="N52" s="93"/>
      <c r="O52" s="93"/>
      <c r="P52" s="92">
        <v>3130</v>
      </c>
      <c r="Q52" s="92">
        <v>589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2442</v>
      </c>
      <c r="F53" s="96" t="s">
        <v>2500</v>
      </c>
      <c r="G53" s="97">
        <v>1</v>
      </c>
      <c r="H53" s="96" t="s">
        <v>2501</v>
      </c>
      <c r="I53" s="96"/>
      <c r="J53" s="96"/>
      <c r="K53" s="93" t="s">
        <v>2502</v>
      </c>
      <c r="L53" s="93"/>
      <c r="M53" s="93"/>
      <c r="N53" s="93"/>
      <c r="O53" s="93"/>
      <c r="P53" s="92">
        <v>3551</v>
      </c>
      <c r="Q53" s="92">
        <v>561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2442</v>
      </c>
      <c r="F54" s="96" t="s">
        <v>2500</v>
      </c>
      <c r="G54" s="97">
        <v>2</v>
      </c>
      <c r="H54" s="96" t="s">
        <v>2501</v>
      </c>
      <c r="I54" s="96"/>
      <c r="J54" s="96"/>
      <c r="K54" s="93" t="s">
        <v>2503</v>
      </c>
      <c r="L54" s="93"/>
      <c r="M54" s="93"/>
      <c r="N54" s="93"/>
      <c r="O54" s="93"/>
      <c r="P54" s="92">
        <v>3844</v>
      </c>
      <c r="Q54" s="92">
        <v>610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2442</v>
      </c>
      <c r="F55" s="96" t="s">
        <v>2500</v>
      </c>
      <c r="G55" s="97">
        <v>3</v>
      </c>
      <c r="H55" s="96" t="s">
        <v>2501</v>
      </c>
      <c r="I55" s="96"/>
      <c r="J55" s="96"/>
      <c r="K55" s="93" t="s">
        <v>2504</v>
      </c>
      <c r="L55" s="93"/>
      <c r="M55" s="93"/>
      <c r="N55" s="93"/>
      <c r="O55" s="93"/>
      <c r="P55" s="92">
        <v>4457</v>
      </c>
      <c r="Q55" s="92">
        <v>712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2442</v>
      </c>
      <c r="F56" s="96" t="s">
        <v>2500</v>
      </c>
      <c r="G56" s="97">
        <v>4</v>
      </c>
      <c r="H56" s="96" t="s">
        <v>2501</v>
      </c>
      <c r="I56" s="96"/>
      <c r="J56" s="96"/>
      <c r="K56" s="93" t="s">
        <v>2505</v>
      </c>
      <c r="L56" s="93"/>
      <c r="M56" s="93"/>
      <c r="N56" s="93"/>
      <c r="O56" s="93"/>
      <c r="P56" s="92">
        <v>5481</v>
      </c>
      <c r="Q56" s="92">
        <v>855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2442</v>
      </c>
      <c r="F57" s="96" t="s">
        <v>2500</v>
      </c>
      <c r="G57" s="97">
        <v>5</v>
      </c>
      <c r="H57" s="96" t="s">
        <v>2501</v>
      </c>
      <c r="I57" s="96"/>
      <c r="J57" s="96"/>
      <c r="K57" s="93" t="s">
        <v>2506</v>
      </c>
      <c r="L57" s="93"/>
      <c r="M57" s="93"/>
      <c r="N57" s="93"/>
      <c r="O57" s="93"/>
      <c r="P57" s="92">
        <v>4441</v>
      </c>
      <c r="Q57" s="92">
        <v>825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2442</v>
      </c>
      <c r="F58" s="96" t="s">
        <v>2500</v>
      </c>
      <c r="G58" s="97">
        <v>6</v>
      </c>
      <c r="H58" s="96" t="s">
        <v>2501</v>
      </c>
      <c r="I58" s="96"/>
      <c r="J58" s="96"/>
      <c r="K58" s="93" t="s">
        <v>2507</v>
      </c>
      <c r="L58" s="93"/>
      <c r="M58" s="93"/>
      <c r="N58" s="93"/>
      <c r="O58" s="93"/>
      <c r="P58" s="92">
        <v>2485</v>
      </c>
      <c r="Q58" s="92">
        <v>443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2442</v>
      </c>
      <c r="F59" s="96" t="s">
        <v>2500</v>
      </c>
      <c r="G59" s="97">
        <v>7</v>
      </c>
      <c r="H59" s="96" t="s">
        <v>2501</v>
      </c>
      <c r="I59" s="96"/>
      <c r="J59" s="96"/>
      <c r="K59" s="93" t="s">
        <v>2500</v>
      </c>
      <c r="L59" s="93"/>
      <c r="M59" s="93"/>
      <c r="N59" s="93"/>
      <c r="O59" s="93"/>
      <c r="P59" s="92">
        <v>4539</v>
      </c>
      <c r="Q59" s="92">
        <v>725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2442</v>
      </c>
      <c r="F60" s="96" t="s">
        <v>2500</v>
      </c>
      <c r="G60" s="97">
        <v>8</v>
      </c>
      <c r="H60" s="96" t="s">
        <v>2501</v>
      </c>
      <c r="I60" s="96"/>
      <c r="J60" s="96"/>
      <c r="K60" s="93" t="s">
        <v>2508</v>
      </c>
      <c r="L60" s="93"/>
      <c r="M60" s="93"/>
      <c r="N60" s="93"/>
      <c r="O60" s="93"/>
      <c r="P60" s="92">
        <v>3250</v>
      </c>
      <c r="Q60" s="92">
        <v>532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2442</v>
      </c>
      <c r="F61" s="96" t="s">
        <v>2500</v>
      </c>
      <c r="G61" s="97">
        <v>9</v>
      </c>
      <c r="H61" s="96" t="s">
        <v>2501</v>
      </c>
      <c r="I61" s="96"/>
      <c r="J61" s="96"/>
      <c r="K61" s="93" t="s">
        <v>2509</v>
      </c>
      <c r="L61" s="93"/>
      <c r="M61" s="93"/>
      <c r="N61" s="93"/>
      <c r="O61" s="93"/>
      <c r="P61" s="92">
        <v>4096</v>
      </c>
      <c r="Q61" s="92">
        <v>592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2442</v>
      </c>
      <c r="F62" s="96" t="s">
        <v>2510</v>
      </c>
      <c r="G62" s="97">
        <v>9</v>
      </c>
      <c r="H62" s="96" t="s">
        <v>2511</v>
      </c>
      <c r="I62" s="96"/>
      <c r="J62" s="96"/>
      <c r="K62" s="93" t="s">
        <v>2512</v>
      </c>
      <c r="L62" s="93"/>
      <c r="M62" s="93"/>
      <c r="N62" s="93"/>
      <c r="O62" s="93"/>
      <c r="P62" s="92">
        <v>3774</v>
      </c>
      <c r="Q62" s="92">
        <v>633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2442</v>
      </c>
      <c r="F63" s="96" t="s">
        <v>2510</v>
      </c>
      <c r="G63" s="97">
        <v>8</v>
      </c>
      <c r="H63" s="96" t="s">
        <v>2511</v>
      </c>
      <c r="I63" s="96"/>
      <c r="J63" s="96"/>
      <c r="K63" s="93" t="s">
        <v>2513</v>
      </c>
      <c r="L63" s="93"/>
      <c r="M63" s="93"/>
      <c r="N63" s="93"/>
      <c r="O63" s="93"/>
      <c r="P63" s="92">
        <v>3742</v>
      </c>
      <c r="Q63" s="92">
        <v>600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2442</v>
      </c>
      <c r="F64" s="96" t="s">
        <v>2510</v>
      </c>
      <c r="G64" s="97">
        <v>1</v>
      </c>
      <c r="H64" s="96" t="s">
        <v>2511</v>
      </c>
      <c r="I64" s="96"/>
      <c r="J64" s="96"/>
      <c r="K64" s="93" t="s">
        <v>2514</v>
      </c>
      <c r="L64" s="93"/>
      <c r="M64" s="93"/>
      <c r="N64" s="93"/>
      <c r="O64" s="93"/>
      <c r="P64" s="92">
        <v>4139</v>
      </c>
      <c r="Q64" s="92">
        <v>702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2442</v>
      </c>
      <c r="F65" s="96" t="s">
        <v>2510</v>
      </c>
      <c r="G65" s="97">
        <v>4</v>
      </c>
      <c r="H65" s="96" t="s">
        <v>2511</v>
      </c>
      <c r="I65" s="96"/>
      <c r="J65" s="96"/>
      <c r="K65" s="93" t="s">
        <v>2515</v>
      </c>
      <c r="L65" s="93"/>
      <c r="M65" s="93"/>
      <c r="N65" s="93"/>
      <c r="O65" s="93"/>
      <c r="P65" s="92">
        <v>4310</v>
      </c>
      <c r="Q65" s="92">
        <v>698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2442</v>
      </c>
      <c r="F66" s="96" t="s">
        <v>2510</v>
      </c>
      <c r="G66" s="97">
        <v>2</v>
      </c>
      <c r="H66" s="96" t="s">
        <v>2511</v>
      </c>
      <c r="I66" s="96"/>
      <c r="J66" s="96"/>
      <c r="K66" s="93" t="s">
        <v>2516</v>
      </c>
      <c r="L66" s="93"/>
      <c r="M66" s="93"/>
      <c r="N66" s="93"/>
      <c r="O66" s="93"/>
      <c r="P66" s="92">
        <v>4315</v>
      </c>
      <c r="Q66" s="92">
        <v>741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2442</v>
      </c>
      <c r="F67" s="96" t="s">
        <v>2510</v>
      </c>
      <c r="G67" s="97">
        <v>3</v>
      </c>
      <c r="H67" s="96" t="s">
        <v>2511</v>
      </c>
      <c r="I67" s="96"/>
      <c r="J67" s="96"/>
      <c r="K67" s="93" t="s">
        <v>2517</v>
      </c>
      <c r="L67" s="93"/>
      <c r="M67" s="93"/>
      <c r="N67" s="93"/>
      <c r="O67" s="93"/>
      <c r="P67" s="92">
        <v>3458</v>
      </c>
      <c r="Q67" s="92">
        <v>559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2442</v>
      </c>
      <c r="F68" s="96" t="s">
        <v>2510</v>
      </c>
      <c r="G68" s="97">
        <v>5</v>
      </c>
      <c r="H68" s="96" t="s">
        <v>2511</v>
      </c>
      <c r="I68" s="96"/>
      <c r="J68" s="96"/>
      <c r="K68" s="93" t="s">
        <v>2518</v>
      </c>
      <c r="L68" s="93"/>
      <c r="M68" s="93"/>
      <c r="N68" s="93"/>
      <c r="O68" s="93"/>
      <c r="P68" s="92">
        <v>3040</v>
      </c>
      <c r="Q68" s="92">
        <v>504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2442</v>
      </c>
      <c r="F69" s="96" t="s">
        <v>2510</v>
      </c>
      <c r="G69" s="97">
        <v>6</v>
      </c>
      <c r="H69" s="96" t="s">
        <v>2511</v>
      </c>
      <c r="I69" s="96"/>
      <c r="J69" s="96"/>
      <c r="K69" s="93" t="s">
        <v>2519</v>
      </c>
      <c r="L69" s="93"/>
      <c r="M69" s="93"/>
      <c r="N69" s="93"/>
      <c r="O69" s="93"/>
      <c r="P69" s="92">
        <v>3846</v>
      </c>
      <c r="Q69" s="92">
        <v>515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2442</v>
      </c>
      <c r="F70" s="96" t="s">
        <v>2510</v>
      </c>
      <c r="G70" s="97">
        <v>7</v>
      </c>
      <c r="H70" s="96" t="s">
        <v>2511</v>
      </c>
      <c r="I70" s="96"/>
      <c r="J70" s="96"/>
      <c r="K70" s="93" t="s">
        <v>2520</v>
      </c>
      <c r="L70" s="93"/>
      <c r="M70" s="93"/>
      <c r="N70" s="93"/>
      <c r="O70" s="93"/>
      <c r="P70" s="92">
        <v>4350</v>
      </c>
      <c r="Q70" s="92">
        <v>617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2442</v>
      </c>
      <c r="F71" s="96" t="s">
        <v>2521</v>
      </c>
      <c r="G71" s="97">
        <v>1</v>
      </c>
      <c r="H71" s="96" t="s">
        <v>2522</v>
      </c>
      <c r="I71" s="96"/>
      <c r="J71" s="96"/>
      <c r="K71" s="93" t="s">
        <v>2523</v>
      </c>
      <c r="L71" s="93"/>
      <c r="M71" s="93"/>
      <c r="N71" s="93"/>
      <c r="O71" s="93"/>
      <c r="P71" s="92">
        <v>4667</v>
      </c>
      <c r="Q71" s="92">
        <v>736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2442</v>
      </c>
      <c r="F72" s="96" t="s">
        <v>2521</v>
      </c>
      <c r="G72" s="97">
        <v>2</v>
      </c>
      <c r="H72" s="96" t="s">
        <v>2522</v>
      </c>
      <c r="I72" s="96"/>
      <c r="J72" s="96"/>
      <c r="K72" s="93" t="s">
        <v>2524</v>
      </c>
      <c r="L72" s="93"/>
      <c r="M72" s="93"/>
      <c r="N72" s="93"/>
      <c r="O72" s="93"/>
      <c r="P72" s="92">
        <v>2139</v>
      </c>
      <c r="Q72" s="92">
        <v>325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2442</v>
      </c>
      <c r="F73" s="96" t="s">
        <v>2521</v>
      </c>
      <c r="G73" s="97">
        <v>3</v>
      </c>
      <c r="H73" s="96" t="s">
        <v>2522</v>
      </c>
      <c r="I73" s="96"/>
      <c r="J73" s="96"/>
      <c r="K73" s="93" t="s">
        <v>2525</v>
      </c>
      <c r="L73" s="93"/>
      <c r="M73" s="93"/>
      <c r="N73" s="93"/>
      <c r="O73" s="93"/>
      <c r="P73" s="92">
        <v>2710</v>
      </c>
      <c r="Q73" s="92">
        <v>463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2442</v>
      </c>
      <c r="F74" s="96" t="s">
        <v>2521</v>
      </c>
      <c r="G74" s="97">
        <v>4</v>
      </c>
      <c r="H74" s="96" t="s">
        <v>2522</v>
      </c>
      <c r="I74" s="96"/>
      <c r="J74" s="96"/>
      <c r="K74" s="93" t="s">
        <v>2526</v>
      </c>
      <c r="L74" s="93"/>
      <c r="M74" s="93"/>
      <c r="N74" s="93"/>
      <c r="O74" s="93"/>
      <c r="P74" s="92">
        <v>4863</v>
      </c>
      <c r="Q74" s="92">
        <v>762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2442</v>
      </c>
      <c r="F75" s="96" t="s">
        <v>2521</v>
      </c>
      <c r="G75" s="97">
        <v>5</v>
      </c>
      <c r="H75" s="96" t="s">
        <v>2522</v>
      </c>
      <c r="I75" s="96"/>
      <c r="J75" s="96"/>
      <c r="K75" s="93" t="s">
        <v>2527</v>
      </c>
      <c r="L75" s="93"/>
      <c r="M75" s="93"/>
      <c r="N75" s="93"/>
      <c r="O75" s="93"/>
      <c r="P75" s="92">
        <v>3125</v>
      </c>
      <c r="Q75" s="92">
        <v>436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2442</v>
      </c>
      <c r="F76" s="96" t="s">
        <v>2521</v>
      </c>
      <c r="G76" s="97">
        <v>6</v>
      </c>
      <c r="H76" s="96" t="s">
        <v>2522</v>
      </c>
      <c r="I76" s="96"/>
      <c r="J76" s="96"/>
      <c r="K76" s="93" t="s">
        <v>2528</v>
      </c>
      <c r="L76" s="93"/>
      <c r="M76" s="93"/>
      <c r="N76" s="93"/>
      <c r="O76" s="93"/>
      <c r="P76" s="92">
        <v>3140</v>
      </c>
      <c r="Q76" s="92">
        <v>482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2442</v>
      </c>
      <c r="F77" s="96" t="s">
        <v>2521</v>
      </c>
      <c r="G77" s="97">
        <v>7</v>
      </c>
      <c r="H77" s="96" t="s">
        <v>2522</v>
      </c>
      <c r="I77" s="96"/>
      <c r="J77" s="96"/>
      <c r="K77" s="93" t="s">
        <v>2521</v>
      </c>
      <c r="L77" s="93"/>
      <c r="M77" s="93"/>
      <c r="N77" s="93"/>
      <c r="O77" s="93"/>
      <c r="P77" s="92">
        <v>4521</v>
      </c>
      <c r="Q77" s="92">
        <v>702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2442</v>
      </c>
      <c r="F78" s="96" t="s">
        <v>2521</v>
      </c>
      <c r="G78" s="97">
        <v>8</v>
      </c>
      <c r="H78" s="96" t="s">
        <v>2522</v>
      </c>
      <c r="I78" s="96"/>
      <c r="J78" s="96"/>
      <c r="K78" s="93" t="s">
        <v>2529</v>
      </c>
      <c r="L78" s="93"/>
      <c r="M78" s="93"/>
      <c r="N78" s="93"/>
      <c r="O78" s="93"/>
      <c r="P78" s="92">
        <v>2075</v>
      </c>
      <c r="Q78" s="92">
        <v>293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2442</v>
      </c>
      <c r="F79" s="96" t="s">
        <v>2521</v>
      </c>
      <c r="G79" s="97">
        <v>9</v>
      </c>
      <c r="H79" s="96" t="s">
        <v>2522</v>
      </c>
      <c r="I79" s="96"/>
      <c r="J79" s="96"/>
      <c r="K79" s="93" t="s">
        <v>2530</v>
      </c>
      <c r="L79" s="93"/>
      <c r="M79" s="93"/>
      <c r="N79" s="93"/>
      <c r="O79" s="93"/>
      <c r="P79" s="92">
        <v>3893</v>
      </c>
      <c r="Q79" s="92">
        <v>543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2442</v>
      </c>
      <c r="F80" s="96" t="s">
        <v>2531</v>
      </c>
      <c r="G80" s="97">
        <v>2</v>
      </c>
      <c r="H80" s="96" t="s">
        <v>2532</v>
      </c>
      <c r="I80" s="96"/>
      <c r="J80" s="96"/>
      <c r="K80" s="93" t="s">
        <v>2531</v>
      </c>
      <c r="L80" s="93"/>
      <c r="M80" s="93"/>
      <c r="N80" s="93"/>
      <c r="O80" s="93"/>
      <c r="P80" s="92">
        <v>5365</v>
      </c>
      <c r="Q80" s="92">
        <v>991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2442</v>
      </c>
      <c r="F81" s="96" t="s">
        <v>2531</v>
      </c>
      <c r="G81" s="97">
        <v>5</v>
      </c>
      <c r="H81" s="96" t="s">
        <v>2532</v>
      </c>
      <c r="I81" s="96"/>
      <c r="J81" s="96"/>
      <c r="K81" s="93" t="s">
        <v>2533</v>
      </c>
      <c r="L81" s="93"/>
      <c r="M81" s="93"/>
      <c r="N81" s="93"/>
      <c r="O81" s="93"/>
      <c r="P81" s="92">
        <v>3845</v>
      </c>
      <c r="Q81" s="92">
        <v>513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2442</v>
      </c>
      <c r="F82" s="96" t="s">
        <v>2531</v>
      </c>
      <c r="G82" s="97">
        <v>6</v>
      </c>
      <c r="H82" s="96" t="s">
        <v>2532</v>
      </c>
      <c r="I82" s="96"/>
      <c r="J82" s="96"/>
      <c r="K82" s="93" t="s">
        <v>2534</v>
      </c>
      <c r="L82" s="93"/>
      <c r="M82" s="93"/>
      <c r="N82" s="93"/>
      <c r="O82" s="93"/>
      <c r="P82" s="92">
        <v>3420</v>
      </c>
      <c r="Q82" s="92">
        <v>610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2442</v>
      </c>
      <c r="F83" s="96" t="s">
        <v>2531</v>
      </c>
      <c r="G83" s="97">
        <v>7</v>
      </c>
      <c r="H83" s="96" t="s">
        <v>2532</v>
      </c>
      <c r="I83" s="96"/>
      <c r="J83" s="96"/>
      <c r="K83" s="93" t="s">
        <v>2535</v>
      </c>
      <c r="L83" s="93"/>
      <c r="M83" s="93"/>
      <c r="N83" s="93"/>
      <c r="O83" s="93"/>
      <c r="P83" s="92">
        <v>2945</v>
      </c>
      <c r="Q83" s="92">
        <v>531</v>
      </c>
      <c r="R83" s="92"/>
      <c r="S83" s="97">
        <v>0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2442</v>
      </c>
      <c r="F84" s="96" t="s">
        <v>2531</v>
      </c>
      <c r="G84" s="97">
        <v>1</v>
      </c>
      <c r="H84" s="96" t="s">
        <v>2532</v>
      </c>
      <c r="I84" s="96"/>
      <c r="J84" s="96"/>
      <c r="K84" s="93" t="s">
        <v>2536</v>
      </c>
      <c r="L84" s="93"/>
      <c r="M84" s="93"/>
      <c r="N84" s="93"/>
      <c r="O84" s="93"/>
      <c r="P84" s="92">
        <v>4053</v>
      </c>
      <c r="Q84" s="92">
        <v>683</v>
      </c>
      <c r="R84" s="92"/>
      <c r="S84" s="97">
        <v>0</v>
      </c>
      <c r="T84" s="97">
        <v>0</v>
      </c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2442</v>
      </c>
      <c r="F85" s="96" t="s">
        <v>2531</v>
      </c>
      <c r="G85" s="97">
        <v>8</v>
      </c>
      <c r="H85" s="96" t="s">
        <v>2532</v>
      </c>
      <c r="I85" s="96"/>
      <c r="J85" s="96"/>
      <c r="K85" s="93" t="s">
        <v>2537</v>
      </c>
      <c r="L85" s="93"/>
      <c r="M85" s="93"/>
      <c r="N85" s="93"/>
      <c r="O85" s="93"/>
      <c r="P85" s="92">
        <v>4801</v>
      </c>
      <c r="Q85" s="92">
        <v>808</v>
      </c>
      <c r="R85" s="92"/>
      <c r="S85" s="97">
        <v>0</v>
      </c>
      <c r="T85" s="97">
        <v>0</v>
      </c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2442</v>
      </c>
      <c r="F86" s="96" t="s">
        <v>2531</v>
      </c>
      <c r="G86" s="97">
        <v>9</v>
      </c>
      <c r="H86" s="96" t="s">
        <v>2532</v>
      </c>
      <c r="I86" s="96"/>
      <c r="J86" s="96"/>
      <c r="K86" s="93" t="s">
        <v>2538</v>
      </c>
      <c r="L86" s="93"/>
      <c r="M86" s="93"/>
      <c r="N86" s="93"/>
      <c r="O86" s="93"/>
      <c r="P86" s="92">
        <v>5030</v>
      </c>
      <c r="Q86" s="92">
        <v>908</v>
      </c>
      <c r="R86" s="92"/>
      <c r="S86" s="97">
        <v>0</v>
      </c>
      <c r="T86" s="97">
        <v>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2442</v>
      </c>
      <c r="F87" s="96" t="s">
        <v>2531</v>
      </c>
      <c r="G87" s="97">
        <v>3</v>
      </c>
      <c r="H87" s="96" t="s">
        <v>2532</v>
      </c>
      <c r="I87" s="96"/>
      <c r="J87" s="96"/>
      <c r="K87" s="93" t="s">
        <v>2539</v>
      </c>
      <c r="L87" s="93"/>
      <c r="M87" s="93"/>
      <c r="N87" s="93"/>
      <c r="O87" s="93"/>
      <c r="P87" s="92">
        <v>4153</v>
      </c>
      <c r="Q87" s="92">
        <v>761</v>
      </c>
      <c r="R87" s="92"/>
      <c r="S87" s="97">
        <v>0</v>
      </c>
      <c r="T87" s="97">
        <v>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2442</v>
      </c>
      <c r="F88" s="96" t="s">
        <v>2531</v>
      </c>
      <c r="G88" s="97">
        <v>4</v>
      </c>
      <c r="H88" s="96" t="s">
        <v>2532</v>
      </c>
      <c r="I88" s="96"/>
      <c r="J88" s="96"/>
      <c r="K88" s="93" t="s">
        <v>2540</v>
      </c>
      <c r="L88" s="93"/>
      <c r="M88" s="93"/>
      <c r="N88" s="93"/>
      <c r="O88" s="93"/>
      <c r="P88" s="92">
        <v>7644</v>
      </c>
      <c r="Q88" s="92">
        <v>1309</v>
      </c>
      <c r="R88" s="92"/>
      <c r="S88" s="97">
        <v>0</v>
      </c>
      <c r="T88" s="97">
        <v>0</v>
      </c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2442</v>
      </c>
      <c r="F89" s="96" t="s">
        <v>2541</v>
      </c>
      <c r="G89" s="97">
        <v>1</v>
      </c>
      <c r="H89" s="96"/>
      <c r="I89" s="96"/>
      <c r="J89" s="96"/>
      <c r="K89" s="93" t="s">
        <v>2541</v>
      </c>
      <c r="L89" s="93"/>
      <c r="M89" s="93"/>
      <c r="N89" s="93"/>
      <c r="O89" s="93"/>
      <c r="P89" s="92">
        <v>2594</v>
      </c>
      <c r="Q89" s="92">
        <v>417</v>
      </c>
      <c r="R89" s="92"/>
      <c r="S89" s="97">
        <v>0</v>
      </c>
      <c r="T89" s="97">
        <v>0</v>
      </c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2442</v>
      </c>
      <c r="F90" s="96" t="s">
        <v>2541</v>
      </c>
      <c r="G90" s="97">
        <v>2</v>
      </c>
      <c r="H90" s="96"/>
      <c r="I90" s="96"/>
      <c r="J90" s="96"/>
      <c r="K90" s="93" t="s">
        <v>2542</v>
      </c>
      <c r="L90" s="93"/>
      <c r="M90" s="93"/>
      <c r="N90" s="93"/>
      <c r="O90" s="93"/>
      <c r="P90" s="92">
        <v>3350</v>
      </c>
      <c r="Q90" s="92">
        <v>495</v>
      </c>
      <c r="R90" s="92"/>
      <c r="S90" s="97">
        <v>0</v>
      </c>
      <c r="T90" s="97">
        <v>0</v>
      </c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2442</v>
      </c>
      <c r="F91" s="96" t="s">
        <v>2541</v>
      </c>
      <c r="G91" s="97">
        <v>7</v>
      </c>
      <c r="H91" s="96"/>
      <c r="I91" s="96"/>
      <c r="J91" s="96"/>
      <c r="K91" s="93" t="s">
        <v>2543</v>
      </c>
      <c r="L91" s="93"/>
      <c r="M91" s="93"/>
      <c r="N91" s="93"/>
      <c r="O91" s="93"/>
      <c r="P91" s="92">
        <v>3265</v>
      </c>
      <c r="Q91" s="92">
        <v>511</v>
      </c>
      <c r="R91" s="92"/>
      <c r="S91" s="97">
        <v>0</v>
      </c>
      <c r="T91" s="97">
        <v>0</v>
      </c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2442</v>
      </c>
      <c r="F92" s="96" t="s">
        <v>2541</v>
      </c>
      <c r="G92" s="97">
        <v>5</v>
      </c>
      <c r="H92" s="96"/>
      <c r="I92" s="96"/>
      <c r="J92" s="96"/>
      <c r="K92" s="93" t="s">
        <v>2544</v>
      </c>
      <c r="L92" s="93"/>
      <c r="M92" s="93"/>
      <c r="N92" s="93"/>
      <c r="O92" s="93"/>
      <c r="P92" s="92">
        <v>3010</v>
      </c>
      <c r="Q92" s="92">
        <v>437</v>
      </c>
      <c r="R92" s="92"/>
      <c r="S92" s="97">
        <v>0</v>
      </c>
      <c r="T92" s="97">
        <v>0</v>
      </c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2442</v>
      </c>
      <c r="F93" s="96" t="s">
        <v>2541</v>
      </c>
      <c r="G93" s="97">
        <v>6</v>
      </c>
      <c r="H93" s="96"/>
      <c r="I93" s="96"/>
      <c r="J93" s="96"/>
      <c r="K93" s="93" t="s">
        <v>2545</v>
      </c>
      <c r="L93" s="93"/>
      <c r="M93" s="93"/>
      <c r="N93" s="93"/>
      <c r="O93" s="93"/>
      <c r="P93" s="92">
        <v>3025</v>
      </c>
      <c r="Q93" s="92">
        <v>499</v>
      </c>
      <c r="R93" s="92"/>
      <c r="S93" s="97">
        <v>0</v>
      </c>
      <c r="T93" s="97">
        <v>0</v>
      </c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2442</v>
      </c>
      <c r="F94" s="96" t="s">
        <v>2541</v>
      </c>
      <c r="G94" s="97">
        <v>4</v>
      </c>
      <c r="H94" s="96"/>
      <c r="I94" s="96"/>
      <c r="J94" s="96"/>
      <c r="K94" s="93" t="s">
        <v>2546</v>
      </c>
      <c r="L94" s="93"/>
      <c r="M94" s="93"/>
      <c r="N94" s="93"/>
      <c r="O94" s="93"/>
      <c r="P94" s="92">
        <v>2354</v>
      </c>
      <c r="Q94" s="92">
        <v>512</v>
      </c>
      <c r="R94" s="92"/>
      <c r="S94" s="97">
        <v>0</v>
      </c>
      <c r="T94" s="97">
        <v>0</v>
      </c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2442</v>
      </c>
      <c r="F95" s="96" t="s">
        <v>2541</v>
      </c>
      <c r="G95" s="97">
        <v>3</v>
      </c>
      <c r="H95" s="96"/>
      <c r="I95" s="96"/>
      <c r="J95" s="96"/>
      <c r="K95" s="93" t="s">
        <v>2547</v>
      </c>
      <c r="L95" s="93"/>
      <c r="M95" s="93"/>
      <c r="N95" s="93"/>
      <c r="O95" s="93"/>
      <c r="P95" s="92">
        <v>1840</v>
      </c>
      <c r="Q95" s="92">
        <v>296</v>
      </c>
      <c r="R95" s="92"/>
      <c r="S95" s="97">
        <v>0</v>
      </c>
      <c r="T95" s="97">
        <v>0</v>
      </c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2442</v>
      </c>
      <c r="F96" s="96" t="s">
        <v>2541</v>
      </c>
      <c r="G96" s="97">
        <v>8</v>
      </c>
      <c r="H96" s="96"/>
      <c r="I96" s="96"/>
      <c r="J96" s="96"/>
      <c r="K96" s="93" t="s">
        <v>2548</v>
      </c>
      <c r="L96" s="93"/>
      <c r="M96" s="93"/>
      <c r="N96" s="93"/>
      <c r="O96" s="93"/>
      <c r="P96" s="92">
        <v>1250</v>
      </c>
      <c r="Q96" s="92">
        <v>185</v>
      </c>
      <c r="R96" s="92"/>
      <c r="S96" s="97">
        <v>0</v>
      </c>
      <c r="T96" s="97">
        <v>0</v>
      </c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0">
        <v>91</v>
      </c>
      <c r="B97" s="79" t="s">
        <v>2439</v>
      </c>
      <c r="C97" s="79" t="s">
        <v>117</v>
      </c>
      <c r="D97" s="79" t="s">
        <v>117</v>
      </c>
      <c r="E97" s="91" t="s">
        <v>2442</v>
      </c>
      <c r="F97" s="96" t="s">
        <v>2541</v>
      </c>
      <c r="G97" s="97">
        <v>9</v>
      </c>
      <c r="H97" s="96"/>
      <c r="I97" s="96"/>
      <c r="J97" s="96"/>
      <c r="K97" s="93" t="s">
        <v>2549</v>
      </c>
      <c r="L97" s="93"/>
      <c r="M97" s="93"/>
      <c r="N97" s="93"/>
      <c r="O97" s="93"/>
      <c r="P97" s="92">
        <v>1730</v>
      </c>
      <c r="Q97" s="92">
        <v>298</v>
      </c>
      <c r="R97" s="92"/>
      <c r="S97" s="97">
        <v>0</v>
      </c>
      <c r="T97" s="97">
        <v>0</v>
      </c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7"/>
      <c r="AH97" s="24"/>
      <c r="AI97" s="25"/>
      <c r="AJ97" s="25"/>
    </row>
    <row r="98" spans="1:36" x14ac:dyDescent="0.3">
      <c r="A98" s="90">
        <v>92</v>
      </c>
      <c r="B98" s="79" t="s">
        <v>2439</v>
      </c>
      <c r="C98" s="79" t="s">
        <v>117</v>
      </c>
      <c r="D98" s="79" t="s">
        <v>117</v>
      </c>
      <c r="E98" s="91" t="s">
        <v>2442</v>
      </c>
      <c r="F98" s="96" t="s">
        <v>2550</v>
      </c>
      <c r="G98" s="97">
        <v>1</v>
      </c>
      <c r="H98" s="96" t="s">
        <v>2551</v>
      </c>
      <c r="I98" s="96"/>
      <c r="J98" s="96"/>
      <c r="K98" s="93" t="s">
        <v>2550</v>
      </c>
      <c r="L98" s="93"/>
      <c r="M98" s="93"/>
      <c r="N98" s="93"/>
      <c r="O98" s="93"/>
      <c r="P98" s="92">
        <v>5513</v>
      </c>
      <c r="Q98" s="92">
        <v>909</v>
      </c>
      <c r="R98" s="92"/>
      <c r="S98" s="97">
        <v>0</v>
      </c>
      <c r="T98" s="97">
        <v>0</v>
      </c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17"/>
      <c r="AH98" s="24"/>
      <c r="AI98" s="25"/>
      <c r="AJ98" s="25"/>
    </row>
    <row r="99" spans="1:36" x14ac:dyDescent="0.3">
      <c r="A99" s="90">
        <v>93</v>
      </c>
      <c r="B99" s="79" t="s">
        <v>2439</v>
      </c>
      <c r="C99" s="79" t="s">
        <v>117</v>
      </c>
      <c r="D99" s="79" t="s">
        <v>117</v>
      </c>
      <c r="E99" s="91" t="s">
        <v>2442</v>
      </c>
      <c r="F99" s="96" t="s">
        <v>2550</v>
      </c>
      <c r="G99" s="97">
        <v>2</v>
      </c>
      <c r="H99" s="96" t="s">
        <v>2551</v>
      </c>
      <c r="I99" s="96"/>
      <c r="J99" s="96"/>
      <c r="K99" s="93" t="s">
        <v>2552</v>
      </c>
      <c r="L99" s="93"/>
      <c r="M99" s="93"/>
      <c r="N99" s="93"/>
      <c r="O99" s="93"/>
      <c r="P99" s="92">
        <v>2793</v>
      </c>
      <c r="Q99" s="92">
        <v>479</v>
      </c>
      <c r="R99" s="92"/>
      <c r="S99" s="97">
        <v>0</v>
      </c>
      <c r="T99" s="97">
        <v>0</v>
      </c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17"/>
      <c r="AH99" s="24"/>
      <c r="AI99" s="25"/>
      <c r="AJ99" s="25"/>
    </row>
    <row r="100" spans="1:36" x14ac:dyDescent="0.3">
      <c r="A100" s="90">
        <v>94</v>
      </c>
      <c r="B100" s="79" t="s">
        <v>2439</v>
      </c>
      <c r="C100" s="79" t="s">
        <v>117</v>
      </c>
      <c r="D100" s="79" t="s">
        <v>117</v>
      </c>
      <c r="E100" s="91" t="s">
        <v>2442</v>
      </c>
      <c r="F100" s="96" t="s">
        <v>2550</v>
      </c>
      <c r="G100" s="97">
        <v>3</v>
      </c>
      <c r="H100" s="96" t="s">
        <v>2551</v>
      </c>
      <c r="I100" s="96"/>
      <c r="J100" s="96"/>
      <c r="K100" s="93" t="s">
        <v>2553</v>
      </c>
      <c r="L100" s="93"/>
      <c r="M100" s="93"/>
      <c r="N100" s="93"/>
      <c r="O100" s="93"/>
      <c r="P100" s="92">
        <v>2920</v>
      </c>
      <c r="Q100" s="92">
        <v>501</v>
      </c>
      <c r="R100" s="92"/>
      <c r="S100" s="97">
        <v>0</v>
      </c>
      <c r="T100" s="97">
        <v>0</v>
      </c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17"/>
      <c r="AH100" s="24"/>
      <c r="AI100" s="25"/>
      <c r="AJ100" s="25"/>
    </row>
    <row r="101" spans="1:36" x14ac:dyDescent="0.3">
      <c r="A101" s="90">
        <v>95</v>
      </c>
      <c r="B101" s="79" t="s">
        <v>2439</v>
      </c>
      <c r="C101" s="79" t="s">
        <v>117</v>
      </c>
      <c r="D101" s="79" t="s">
        <v>117</v>
      </c>
      <c r="E101" s="91" t="s">
        <v>2442</v>
      </c>
      <c r="F101" s="96" t="s">
        <v>2550</v>
      </c>
      <c r="G101" s="97">
        <v>4</v>
      </c>
      <c r="H101" s="96" t="s">
        <v>2551</v>
      </c>
      <c r="I101" s="96"/>
      <c r="J101" s="96"/>
      <c r="K101" s="93" t="s">
        <v>2554</v>
      </c>
      <c r="L101" s="93"/>
      <c r="M101" s="93"/>
      <c r="N101" s="93"/>
      <c r="O101" s="93"/>
      <c r="P101" s="92">
        <v>3260</v>
      </c>
      <c r="Q101" s="92">
        <v>601</v>
      </c>
      <c r="R101" s="92"/>
      <c r="S101" s="97">
        <v>0</v>
      </c>
      <c r="T101" s="97">
        <v>0</v>
      </c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17"/>
      <c r="AH101" s="24"/>
      <c r="AI101" s="25"/>
      <c r="AJ101" s="25"/>
    </row>
    <row r="102" spans="1:36" x14ac:dyDescent="0.3">
      <c r="A102" s="90">
        <v>96</v>
      </c>
      <c r="B102" s="79" t="s">
        <v>2439</v>
      </c>
      <c r="C102" s="79" t="s">
        <v>117</v>
      </c>
      <c r="D102" s="79" t="s">
        <v>117</v>
      </c>
      <c r="E102" s="91" t="s">
        <v>2442</v>
      </c>
      <c r="F102" s="96" t="s">
        <v>2550</v>
      </c>
      <c r="G102" s="97">
        <v>5</v>
      </c>
      <c r="H102" s="96" t="s">
        <v>2551</v>
      </c>
      <c r="I102" s="96"/>
      <c r="J102" s="96"/>
      <c r="K102" s="93" t="s">
        <v>2555</v>
      </c>
      <c r="L102" s="93"/>
      <c r="M102" s="93"/>
      <c r="N102" s="93"/>
      <c r="O102" s="93"/>
      <c r="P102" s="92">
        <v>4188</v>
      </c>
      <c r="Q102" s="92">
        <v>699</v>
      </c>
      <c r="R102" s="92"/>
      <c r="S102" s="97">
        <v>0</v>
      </c>
      <c r="T102" s="97">
        <v>0</v>
      </c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17"/>
      <c r="AH102" s="24"/>
      <c r="AI102" s="25"/>
      <c r="AJ102" s="25"/>
    </row>
    <row r="103" spans="1:36" x14ac:dyDescent="0.3">
      <c r="A103" s="90">
        <v>97</v>
      </c>
      <c r="B103" s="79" t="s">
        <v>2439</v>
      </c>
      <c r="C103" s="79" t="s">
        <v>117</v>
      </c>
      <c r="D103" s="79" t="s">
        <v>117</v>
      </c>
      <c r="E103" s="91" t="s">
        <v>2442</v>
      </c>
      <c r="F103" s="96" t="s">
        <v>2550</v>
      </c>
      <c r="G103" s="97">
        <v>6</v>
      </c>
      <c r="H103" s="96" t="s">
        <v>2551</v>
      </c>
      <c r="I103" s="96"/>
      <c r="J103" s="96"/>
      <c r="K103" s="93" t="s">
        <v>2556</v>
      </c>
      <c r="L103" s="93"/>
      <c r="M103" s="93"/>
      <c r="N103" s="93"/>
      <c r="O103" s="93"/>
      <c r="P103" s="92">
        <v>3104</v>
      </c>
      <c r="Q103" s="92">
        <v>506</v>
      </c>
      <c r="R103" s="92"/>
      <c r="S103" s="97">
        <v>0</v>
      </c>
      <c r="T103" s="97">
        <v>0</v>
      </c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17"/>
      <c r="AH103" s="24"/>
      <c r="AI103" s="25"/>
      <c r="AJ103" s="25"/>
    </row>
    <row r="104" spans="1:36" x14ac:dyDescent="0.3">
      <c r="A104" s="90">
        <v>98</v>
      </c>
      <c r="B104" s="79" t="s">
        <v>2439</v>
      </c>
      <c r="C104" s="79" t="s">
        <v>117</v>
      </c>
      <c r="D104" s="79" t="s">
        <v>117</v>
      </c>
      <c r="E104" s="91" t="s">
        <v>2442</v>
      </c>
      <c r="F104" s="96" t="s">
        <v>2550</v>
      </c>
      <c r="G104" s="97">
        <v>7</v>
      </c>
      <c r="H104" s="96" t="s">
        <v>2551</v>
      </c>
      <c r="I104" s="96"/>
      <c r="J104" s="96"/>
      <c r="K104" s="93" t="s">
        <v>2557</v>
      </c>
      <c r="L104" s="93"/>
      <c r="M104" s="93"/>
      <c r="N104" s="93"/>
      <c r="O104" s="93"/>
      <c r="P104" s="92">
        <v>2435</v>
      </c>
      <c r="Q104" s="92">
        <v>428</v>
      </c>
      <c r="R104" s="92"/>
      <c r="S104" s="97">
        <v>0</v>
      </c>
      <c r="T104" s="97">
        <v>0</v>
      </c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17"/>
      <c r="AH104" s="24"/>
      <c r="AI104" s="25"/>
      <c r="AJ104" s="25"/>
    </row>
    <row r="105" spans="1:36" x14ac:dyDescent="0.3">
      <c r="A105" s="90">
        <v>99</v>
      </c>
      <c r="B105" s="79" t="s">
        <v>2439</v>
      </c>
      <c r="C105" s="79" t="s">
        <v>117</v>
      </c>
      <c r="D105" s="79" t="s">
        <v>117</v>
      </c>
      <c r="E105" s="91" t="s">
        <v>2442</v>
      </c>
      <c r="F105" s="96" t="s">
        <v>2550</v>
      </c>
      <c r="G105" s="97">
        <v>8</v>
      </c>
      <c r="H105" s="96" t="s">
        <v>2551</v>
      </c>
      <c r="I105" s="96"/>
      <c r="J105" s="96"/>
      <c r="K105" s="93" t="s">
        <v>2558</v>
      </c>
      <c r="L105" s="93"/>
      <c r="M105" s="93"/>
      <c r="N105" s="93"/>
      <c r="O105" s="93"/>
      <c r="P105" s="92">
        <v>2903</v>
      </c>
      <c r="Q105" s="92">
        <v>522</v>
      </c>
      <c r="R105" s="92"/>
      <c r="S105" s="97">
        <v>0</v>
      </c>
      <c r="T105" s="97">
        <v>0</v>
      </c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17"/>
      <c r="AH105" s="24"/>
      <c r="AI105" s="25"/>
      <c r="AJ105" s="25"/>
    </row>
    <row r="106" spans="1:36" x14ac:dyDescent="0.3">
      <c r="A106" s="90">
        <v>100</v>
      </c>
      <c r="B106" s="79" t="s">
        <v>2439</v>
      </c>
      <c r="C106" s="79" t="s">
        <v>117</v>
      </c>
      <c r="D106" s="79" t="s">
        <v>117</v>
      </c>
      <c r="E106" s="91" t="s">
        <v>2442</v>
      </c>
      <c r="F106" s="96" t="s">
        <v>2550</v>
      </c>
      <c r="G106" s="97">
        <v>9</v>
      </c>
      <c r="H106" s="96" t="s">
        <v>2551</v>
      </c>
      <c r="I106" s="96"/>
      <c r="J106" s="96"/>
      <c r="K106" s="93" t="s">
        <v>2559</v>
      </c>
      <c r="L106" s="93"/>
      <c r="M106" s="93"/>
      <c r="N106" s="93"/>
      <c r="O106" s="93"/>
      <c r="P106" s="92">
        <v>1304</v>
      </c>
      <c r="Q106" s="92">
        <v>237</v>
      </c>
      <c r="R106" s="92"/>
      <c r="S106" s="97">
        <v>0</v>
      </c>
      <c r="T106" s="97">
        <v>0</v>
      </c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7"/>
      <c r="AH106" s="24"/>
      <c r="AI106" s="25"/>
      <c r="AJ106" s="25"/>
    </row>
  </sheetData>
  <mergeCells count="3">
    <mergeCell ref="G1:G2"/>
    <mergeCell ref="A5:D5"/>
    <mergeCell ref="U5:AF5"/>
  </mergeCells>
  <conditionalFormatting sqref="M7:M106">
    <cfRule type="duplicateValues" dxfId="14" priority="3"/>
  </conditionalFormatting>
  <dataValidations count="1">
    <dataValidation type="list" allowBlank="1" showInputMessage="1" showErrorMessage="1" sqref="E7:E106">
      <formula1>INDIRECT($B7)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34"/>
  <sheetViews>
    <sheetView workbookViewId="0">
      <pane xSplit="12" ySplit="6" topLeftCell="AB7" activePane="bottomRight" state="frozen"/>
      <selection pane="topRight" activeCell="K1" sqref="K1"/>
      <selection pane="bottomLeft" activeCell="A6" sqref="A6"/>
      <selection pane="bottomRight" activeCell="U5" sqref="U5:AF5"/>
    </sheetView>
  </sheetViews>
  <sheetFormatPr defaultRowHeight="14.4" x14ac:dyDescent="0.3"/>
  <cols>
    <col min="1" max="1" width="4.109375" style="59" customWidth="1"/>
    <col min="2" max="2" width="10.77734375" style="59" customWidth="1"/>
    <col min="3" max="3" width="12.109375" style="59" customWidth="1"/>
    <col min="4" max="4" width="12.5546875" style="59" customWidth="1"/>
    <col min="5" max="5" width="11" style="59" customWidth="1"/>
    <col min="6" max="6" width="13.33203125" style="59" customWidth="1"/>
    <col min="7" max="7" width="6.88671875" style="59" customWidth="1"/>
    <col min="8" max="8" width="19.6640625" style="4" customWidth="1"/>
    <col min="9" max="9" width="7.21875" style="4" customWidth="1"/>
    <col min="10" max="10" width="15.6640625" style="4" customWidth="1"/>
    <col min="11" max="11" width="22" style="4" customWidth="1"/>
    <col min="12" max="12" width="19.21875" style="4" customWidth="1"/>
    <col min="13" max="13" width="8.33203125" style="4" customWidth="1"/>
    <col min="14" max="14" width="9.6640625" style="4" customWidth="1"/>
    <col min="15" max="15" width="10.44140625" style="4" customWidth="1"/>
    <col min="16" max="17" width="8.6640625" style="4" customWidth="1"/>
    <col min="18" max="18" width="7.33203125" style="4" customWidth="1"/>
    <col min="19" max="19" width="7.44140625" style="4" customWidth="1"/>
    <col min="20" max="20" width="7.33203125" style="4" customWidth="1"/>
    <col min="21" max="32" width="4.77734375" style="4" customWidth="1"/>
    <col min="33" max="33" width="15" style="4" customWidth="1"/>
    <col min="34" max="16384" width="8.88671875" style="4"/>
  </cols>
  <sheetData>
    <row r="1" spans="1:36" s="13" customFormat="1" ht="14.4" customHeight="1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COUNTIF(I7:I812,"SK(H)")</f>
        <v>0</v>
      </c>
      <c r="J1" s="50" t="s">
        <v>1</v>
      </c>
      <c r="K1" s="50">
        <f>COUNTA(J7:J828)</f>
        <v>0</v>
      </c>
      <c r="L1" s="9"/>
      <c r="M1" s="9"/>
      <c r="N1" s="9"/>
      <c r="O1" s="9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s="13" customFormat="1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COUNTIF(I7:I813,"SHW(H)")</f>
        <v>0</v>
      </c>
      <c r="J2" s="50" t="s">
        <v>5</v>
      </c>
      <c r="K2" s="50">
        <f>COUNTA(K7:K934)</f>
        <v>928</v>
      </c>
      <c r="L2" s="9"/>
      <c r="M2" s="9"/>
      <c r="N2" s="9"/>
      <c r="O2" s="9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s="13" customFormat="1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s="13" customFormat="1" x14ac:dyDescent="0.3">
      <c r="A4" s="55"/>
      <c r="B4" s="55"/>
      <c r="C4" s="55"/>
      <c r="D4" s="55"/>
      <c r="E4" s="58"/>
      <c r="F4" s="58"/>
      <c r="G4" s="55"/>
      <c r="H4" s="8"/>
      <c r="I4" s="8"/>
      <c r="K4" s="11"/>
      <c r="L4" s="11"/>
      <c r="M4" s="11"/>
      <c r="N4" s="11"/>
      <c r="O4" s="11"/>
      <c r="Z4" s="11"/>
      <c r="AA4" s="8"/>
      <c r="AB4" s="8"/>
      <c r="AC4" s="8"/>
      <c r="AD4" s="11"/>
      <c r="AE4" s="11"/>
      <c r="AG4" s="11"/>
      <c r="AH4" s="10"/>
    </row>
    <row r="5" spans="1:36" ht="19.8" customHeight="1" x14ac:dyDescent="0.3">
      <c r="A5" s="114" t="s">
        <v>7</v>
      </c>
      <c r="B5" s="114"/>
      <c r="C5" s="114"/>
      <c r="D5" s="114"/>
      <c r="E5" s="112" t="s">
        <v>100</v>
      </c>
      <c r="F5" s="112"/>
      <c r="G5" s="112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s="14" customFormat="1" ht="84.6" customHeight="1" x14ac:dyDescent="0.3">
      <c r="A6" s="69" t="s">
        <v>8</v>
      </c>
      <c r="B6" s="78" t="s">
        <v>2437</v>
      </c>
      <c r="C6" s="78" t="s">
        <v>2438</v>
      </c>
      <c r="D6" s="64" t="s">
        <v>9</v>
      </c>
      <c r="E6" s="64" t="s">
        <v>10</v>
      </c>
      <c r="F6" s="64" t="s">
        <v>11</v>
      </c>
      <c r="G6" s="70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5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71" t="s">
        <v>26</v>
      </c>
      <c r="V6" s="72" t="s">
        <v>27</v>
      </c>
      <c r="W6" s="72" t="s">
        <v>16</v>
      </c>
      <c r="X6" s="72" t="s">
        <v>17</v>
      </c>
      <c r="Y6" s="72" t="s">
        <v>18</v>
      </c>
      <c r="Z6" s="72" t="s">
        <v>19</v>
      </c>
      <c r="AA6" s="72" t="s">
        <v>20</v>
      </c>
      <c r="AB6" s="72" t="s">
        <v>28</v>
      </c>
      <c r="AC6" s="72" t="s">
        <v>29</v>
      </c>
      <c r="AD6" s="72" t="s">
        <v>30</v>
      </c>
      <c r="AE6" s="72" t="s">
        <v>31</v>
      </c>
      <c r="AF6" s="72" t="s">
        <v>32</v>
      </c>
      <c r="AG6" s="73" t="s">
        <v>25</v>
      </c>
      <c r="AH6" s="74" t="s">
        <v>24</v>
      </c>
      <c r="AI6" s="75" t="s">
        <v>21</v>
      </c>
      <c r="AJ6" s="76" t="s">
        <v>22</v>
      </c>
    </row>
    <row r="7" spans="1:36" ht="15.6" x14ac:dyDescent="0.3">
      <c r="A7" s="77">
        <v>1</v>
      </c>
      <c r="B7" s="79" t="s">
        <v>2439</v>
      </c>
      <c r="C7" s="79" t="s">
        <v>117</v>
      </c>
      <c r="D7" s="65" t="s">
        <v>117</v>
      </c>
      <c r="E7" s="67" t="s">
        <v>101</v>
      </c>
      <c r="F7" s="67" t="s">
        <v>102</v>
      </c>
      <c r="G7" s="18" t="s">
        <v>41</v>
      </c>
      <c r="H7" s="20"/>
      <c r="I7" s="20"/>
      <c r="J7" s="21"/>
      <c r="K7" s="18" t="s">
        <v>118</v>
      </c>
      <c r="L7" s="18" t="s">
        <v>119</v>
      </c>
      <c r="M7" s="67" t="s">
        <v>120</v>
      </c>
      <c r="N7" s="60">
        <v>22.049157000000001</v>
      </c>
      <c r="O7" s="60">
        <v>91.941091999999998</v>
      </c>
      <c r="P7" s="62">
        <v>600</v>
      </c>
      <c r="Q7" s="62"/>
      <c r="R7" s="18"/>
      <c r="S7" s="18"/>
      <c r="T7" s="22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16"/>
      <c r="AH7" s="24"/>
      <c r="AI7" s="25"/>
      <c r="AJ7" s="25"/>
    </row>
    <row r="8" spans="1:36" ht="15.6" x14ac:dyDescent="0.3">
      <c r="A8" s="77">
        <v>2</v>
      </c>
      <c r="B8" s="79" t="s">
        <v>2439</v>
      </c>
      <c r="C8" s="79" t="s">
        <v>117</v>
      </c>
      <c r="D8" s="65" t="s">
        <v>117</v>
      </c>
      <c r="E8" s="67" t="s">
        <v>101</v>
      </c>
      <c r="F8" s="67" t="s">
        <v>102</v>
      </c>
      <c r="G8" s="18" t="s">
        <v>41</v>
      </c>
      <c r="H8" s="20"/>
      <c r="I8" s="20"/>
      <c r="J8" s="21"/>
      <c r="K8" s="67" t="s">
        <v>121</v>
      </c>
      <c r="L8" s="67" t="s">
        <v>122</v>
      </c>
      <c r="M8" s="67" t="s">
        <v>123</v>
      </c>
      <c r="N8" s="60">
        <v>22.048459999999999</v>
      </c>
      <c r="O8" s="60">
        <v>91.939531000000002</v>
      </c>
      <c r="P8" s="62">
        <v>250</v>
      </c>
      <c r="Q8" s="62"/>
      <c r="R8" s="18"/>
      <c r="S8" s="18"/>
      <c r="T8" s="22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17"/>
      <c r="AH8" s="24"/>
      <c r="AI8" s="25"/>
      <c r="AJ8" s="25"/>
    </row>
    <row r="9" spans="1:36" ht="15.6" x14ac:dyDescent="0.3">
      <c r="A9" s="77">
        <v>3</v>
      </c>
      <c r="B9" s="79" t="s">
        <v>2439</v>
      </c>
      <c r="C9" s="79" t="s">
        <v>117</v>
      </c>
      <c r="D9" s="65" t="s">
        <v>117</v>
      </c>
      <c r="E9" s="67" t="s">
        <v>101</v>
      </c>
      <c r="F9" s="67" t="s">
        <v>102</v>
      </c>
      <c r="G9" s="18" t="s">
        <v>41</v>
      </c>
      <c r="H9" s="20"/>
      <c r="I9" s="20"/>
      <c r="J9" s="21"/>
      <c r="K9" s="67" t="s">
        <v>124</v>
      </c>
      <c r="L9" s="67" t="s">
        <v>125</v>
      </c>
      <c r="M9" s="67" t="s">
        <v>126</v>
      </c>
      <c r="N9" s="60">
        <v>22.047419999999999</v>
      </c>
      <c r="O9" s="60">
        <v>91.930744000000004</v>
      </c>
      <c r="P9" s="62">
        <v>500</v>
      </c>
      <c r="Q9" s="62"/>
      <c r="R9" s="18"/>
      <c r="S9" s="18"/>
      <c r="T9" s="22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17"/>
      <c r="AH9" s="24"/>
      <c r="AI9" s="25"/>
      <c r="AJ9" s="25"/>
    </row>
    <row r="10" spans="1:36" ht="15.6" x14ac:dyDescent="0.3">
      <c r="A10" s="77">
        <v>4</v>
      </c>
      <c r="B10" s="79" t="s">
        <v>2439</v>
      </c>
      <c r="C10" s="79" t="s">
        <v>117</v>
      </c>
      <c r="D10" s="65" t="s">
        <v>117</v>
      </c>
      <c r="E10" s="67" t="s">
        <v>101</v>
      </c>
      <c r="F10" s="67" t="s">
        <v>102</v>
      </c>
      <c r="G10" s="18" t="s">
        <v>41</v>
      </c>
      <c r="H10" s="20"/>
      <c r="I10" s="20"/>
      <c r="J10" s="21"/>
      <c r="K10" s="67" t="s">
        <v>127</v>
      </c>
      <c r="L10" s="67" t="s">
        <v>128</v>
      </c>
      <c r="M10" s="67" t="s">
        <v>129</v>
      </c>
      <c r="N10" s="60">
        <v>22.049602</v>
      </c>
      <c r="O10" s="60">
        <v>91.930445000000006</v>
      </c>
      <c r="P10" s="62">
        <v>600</v>
      </c>
      <c r="Q10" s="62"/>
      <c r="R10" s="18"/>
      <c r="S10" s="18"/>
      <c r="T10" s="22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17"/>
      <c r="AH10" s="24"/>
      <c r="AI10" s="25"/>
      <c r="AJ10" s="25"/>
    </row>
    <row r="11" spans="1:36" ht="15.6" x14ac:dyDescent="0.3">
      <c r="A11" s="77">
        <v>5</v>
      </c>
      <c r="B11" s="79" t="s">
        <v>2439</v>
      </c>
      <c r="C11" s="79" t="s">
        <v>117</v>
      </c>
      <c r="D11" s="65" t="s">
        <v>117</v>
      </c>
      <c r="E11" s="67" t="s">
        <v>101</v>
      </c>
      <c r="F11" s="67" t="s">
        <v>102</v>
      </c>
      <c r="G11" s="18" t="s">
        <v>41</v>
      </c>
      <c r="H11" s="20"/>
      <c r="I11" s="20"/>
      <c r="J11" s="21"/>
      <c r="K11" s="67" t="s">
        <v>51</v>
      </c>
      <c r="L11" s="67" t="s">
        <v>77</v>
      </c>
      <c r="M11" s="67" t="s">
        <v>130</v>
      </c>
      <c r="N11" s="60">
        <v>22.047920999999999</v>
      </c>
      <c r="O11" s="60">
        <v>91.936389000000005</v>
      </c>
      <c r="P11" s="62">
        <v>2000</v>
      </c>
      <c r="Q11" s="62"/>
      <c r="R11" s="18"/>
      <c r="S11" s="18"/>
      <c r="T11" s="22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16"/>
      <c r="AH11" s="24"/>
      <c r="AI11" s="25"/>
      <c r="AJ11" s="25"/>
    </row>
    <row r="12" spans="1:36" ht="15.6" x14ac:dyDescent="0.3">
      <c r="A12" s="77">
        <v>6</v>
      </c>
      <c r="B12" s="79" t="s">
        <v>2439</v>
      </c>
      <c r="C12" s="79" t="s">
        <v>117</v>
      </c>
      <c r="D12" s="65" t="s">
        <v>117</v>
      </c>
      <c r="E12" s="67" t="s">
        <v>101</v>
      </c>
      <c r="F12" s="67" t="s">
        <v>102</v>
      </c>
      <c r="G12" s="18" t="s">
        <v>42</v>
      </c>
      <c r="H12" s="20"/>
      <c r="I12" s="20"/>
      <c r="J12" s="21"/>
      <c r="K12" s="67" t="s">
        <v>131</v>
      </c>
      <c r="L12" s="67" t="s">
        <v>132</v>
      </c>
      <c r="M12" s="67" t="s">
        <v>133</v>
      </c>
      <c r="N12" s="60">
        <v>22.04748</v>
      </c>
      <c r="O12" s="60">
        <v>91.938294999999997</v>
      </c>
      <c r="P12" s="62">
        <v>150</v>
      </c>
      <c r="Q12" s="62"/>
      <c r="R12" s="18"/>
      <c r="S12" s="18"/>
      <c r="T12" s="22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17"/>
      <c r="AH12" s="24"/>
      <c r="AI12" s="25"/>
      <c r="AJ12" s="25"/>
    </row>
    <row r="13" spans="1:36" ht="15.6" x14ac:dyDescent="0.3">
      <c r="A13" s="77">
        <v>7</v>
      </c>
      <c r="B13" s="79" t="s">
        <v>2439</v>
      </c>
      <c r="C13" s="79" t="s">
        <v>117</v>
      </c>
      <c r="D13" s="65" t="s">
        <v>117</v>
      </c>
      <c r="E13" s="67" t="s">
        <v>101</v>
      </c>
      <c r="F13" s="67" t="s">
        <v>102</v>
      </c>
      <c r="G13" s="18" t="s">
        <v>42</v>
      </c>
      <c r="H13" s="20"/>
      <c r="I13" s="20"/>
      <c r="J13" s="21"/>
      <c r="K13" s="67" t="s">
        <v>134</v>
      </c>
      <c r="L13" s="67" t="s">
        <v>135</v>
      </c>
      <c r="M13" s="67" t="s">
        <v>136</v>
      </c>
      <c r="N13" s="60">
        <v>22.047633999999999</v>
      </c>
      <c r="O13" s="60">
        <v>91.939397</v>
      </c>
      <c r="P13" s="62">
        <v>200</v>
      </c>
      <c r="Q13" s="62"/>
      <c r="R13" s="18"/>
      <c r="S13" s="18"/>
      <c r="T13" s="22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17"/>
      <c r="AH13" s="24"/>
      <c r="AI13" s="25"/>
      <c r="AJ13" s="25"/>
    </row>
    <row r="14" spans="1:36" ht="15.6" x14ac:dyDescent="0.3">
      <c r="A14" s="77">
        <v>8</v>
      </c>
      <c r="B14" s="79" t="s">
        <v>2439</v>
      </c>
      <c r="C14" s="79" t="s">
        <v>117</v>
      </c>
      <c r="D14" s="65" t="s">
        <v>117</v>
      </c>
      <c r="E14" s="67" t="s">
        <v>101</v>
      </c>
      <c r="F14" s="67" t="s">
        <v>102</v>
      </c>
      <c r="G14" s="18" t="s">
        <v>42</v>
      </c>
      <c r="H14" s="26"/>
      <c r="I14" s="20"/>
      <c r="J14" s="21"/>
      <c r="K14" s="67" t="s">
        <v>137</v>
      </c>
      <c r="L14" s="67" t="s">
        <v>138</v>
      </c>
      <c r="M14" s="67" t="s">
        <v>139</v>
      </c>
      <c r="N14" s="60">
        <v>22.047426999999999</v>
      </c>
      <c r="O14" s="60">
        <v>91.941198999999997</v>
      </c>
      <c r="P14" s="62">
        <v>350</v>
      </c>
      <c r="Q14" s="62"/>
      <c r="R14" s="18"/>
      <c r="S14" s="18"/>
      <c r="T14" s="27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16"/>
      <c r="AH14" s="24"/>
      <c r="AI14" s="25"/>
      <c r="AJ14" s="25"/>
    </row>
    <row r="15" spans="1:36" ht="15.6" x14ac:dyDescent="0.3">
      <c r="A15" s="77">
        <v>9</v>
      </c>
      <c r="B15" s="79" t="s">
        <v>2439</v>
      </c>
      <c r="C15" s="79" t="s">
        <v>117</v>
      </c>
      <c r="D15" s="65" t="s">
        <v>117</v>
      </c>
      <c r="E15" s="67" t="s">
        <v>101</v>
      </c>
      <c r="F15" s="67" t="s">
        <v>102</v>
      </c>
      <c r="G15" s="18" t="s">
        <v>42</v>
      </c>
      <c r="H15" s="26"/>
      <c r="I15" s="20"/>
      <c r="J15" s="21"/>
      <c r="K15" s="67" t="s">
        <v>140</v>
      </c>
      <c r="L15" s="18" t="s">
        <v>141</v>
      </c>
      <c r="M15" s="67" t="s">
        <v>142</v>
      </c>
      <c r="N15" s="60">
        <v>22.045645</v>
      </c>
      <c r="O15" s="60">
        <v>91.941253000000003</v>
      </c>
      <c r="P15" s="62">
        <v>300</v>
      </c>
      <c r="Q15" s="62"/>
      <c r="R15" s="18"/>
      <c r="S15" s="18"/>
      <c r="T15" s="27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17"/>
      <c r="AH15" s="24"/>
      <c r="AI15" s="25"/>
      <c r="AJ15" s="25"/>
    </row>
    <row r="16" spans="1:36" ht="15.6" x14ac:dyDescent="0.3">
      <c r="A16" s="77">
        <v>10</v>
      </c>
      <c r="B16" s="79" t="s">
        <v>2439</v>
      </c>
      <c r="C16" s="79" t="s">
        <v>117</v>
      </c>
      <c r="D16" s="65" t="s">
        <v>117</v>
      </c>
      <c r="E16" s="67" t="s">
        <v>101</v>
      </c>
      <c r="F16" s="67" t="s">
        <v>102</v>
      </c>
      <c r="G16" s="18" t="s">
        <v>42</v>
      </c>
      <c r="H16" s="26"/>
      <c r="I16" s="20"/>
      <c r="J16" s="21"/>
      <c r="K16" s="67" t="s">
        <v>143</v>
      </c>
      <c r="L16" s="67" t="s">
        <v>144</v>
      </c>
      <c r="M16" s="67" t="s">
        <v>145</v>
      </c>
      <c r="N16" s="60">
        <v>22.048615999999999</v>
      </c>
      <c r="O16" s="60">
        <v>91.942553000000004</v>
      </c>
      <c r="P16" s="62">
        <v>800</v>
      </c>
      <c r="Q16" s="62"/>
      <c r="R16" s="18"/>
      <c r="S16" s="18"/>
      <c r="T16" s="27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7"/>
      <c r="AH16" s="24"/>
      <c r="AI16" s="25"/>
      <c r="AJ16" s="25"/>
    </row>
    <row r="17" spans="1:36" ht="15.6" x14ac:dyDescent="0.3">
      <c r="A17" s="77">
        <v>11</v>
      </c>
      <c r="B17" s="79" t="s">
        <v>2439</v>
      </c>
      <c r="C17" s="79" t="s">
        <v>117</v>
      </c>
      <c r="D17" s="65" t="s">
        <v>117</v>
      </c>
      <c r="E17" s="67" t="s">
        <v>101</v>
      </c>
      <c r="F17" s="67" t="s">
        <v>102</v>
      </c>
      <c r="G17" s="18" t="s">
        <v>43</v>
      </c>
      <c r="H17" s="26"/>
      <c r="I17" s="20"/>
      <c r="J17" s="28"/>
      <c r="K17" s="66" t="s">
        <v>146</v>
      </c>
      <c r="L17" s="67" t="s">
        <v>147</v>
      </c>
      <c r="M17" s="67" t="s">
        <v>148</v>
      </c>
      <c r="N17" s="60">
        <v>22.052282000000002</v>
      </c>
      <c r="O17" s="60">
        <v>91.945061999999993</v>
      </c>
      <c r="P17" s="62">
        <v>1000</v>
      </c>
      <c r="Q17" s="62"/>
      <c r="R17" s="18"/>
      <c r="S17" s="18"/>
      <c r="T17" s="27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17"/>
      <c r="AH17" s="24"/>
      <c r="AI17" s="25"/>
      <c r="AJ17" s="25"/>
    </row>
    <row r="18" spans="1:36" ht="15.6" x14ac:dyDescent="0.3">
      <c r="A18" s="77">
        <v>12</v>
      </c>
      <c r="B18" s="79" t="s">
        <v>2439</v>
      </c>
      <c r="C18" s="79" t="s">
        <v>117</v>
      </c>
      <c r="D18" s="65" t="s">
        <v>117</v>
      </c>
      <c r="E18" s="67" t="s">
        <v>101</v>
      </c>
      <c r="F18" s="67" t="s">
        <v>102</v>
      </c>
      <c r="G18" s="18" t="s">
        <v>43</v>
      </c>
      <c r="H18" s="26"/>
      <c r="I18" s="20"/>
      <c r="J18" s="21"/>
      <c r="K18" s="67" t="s">
        <v>149</v>
      </c>
      <c r="L18" s="67" t="s">
        <v>150</v>
      </c>
      <c r="M18" s="67" t="s">
        <v>151</v>
      </c>
      <c r="N18" s="60">
        <v>22.052424999999999</v>
      </c>
      <c r="O18" s="60">
        <v>91.943381000000002</v>
      </c>
      <c r="P18" s="62">
        <v>900</v>
      </c>
      <c r="Q18" s="62"/>
      <c r="R18" s="18"/>
      <c r="S18" s="18"/>
      <c r="T18" s="27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17"/>
      <c r="AH18" s="24"/>
      <c r="AI18" s="25"/>
      <c r="AJ18" s="25"/>
    </row>
    <row r="19" spans="1:36" ht="15.6" x14ac:dyDescent="0.3">
      <c r="A19" s="77">
        <v>13</v>
      </c>
      <c r="B19" s="79" t="s">
        <v>2439</v>
      </c>
      <c r="C19" s="79" t="s">
        <v>117</v>
      </c>
      <c r="D19" s="65" t="s">
        <v>117</v>
      </c>
      <c r="E19" s="67" t="s">
        <v>101</v>
      </c>
      <c r="F19" s="67" t="s">
        <v>102</v>
      </c>
      <c r="G19" s="18" t="s">
        <v>43</v>
      </c>
      <c r="H19" s="26"/>
      <c r="I19" s="20"/>
      <c r="J19" s="21"/>
      <c r="K19" s="67" t="s">
        <v>152</v>
      </c>
      <c r="L19" s="67" t="s">
        <v>153</v>
      </c>
      <c r="M19" s="67" t="s">
        <v>154</v>
      </c>
      <c r="N19" s="60">
        <v>22.04814</v>
      </c>
      <c r="O19" s="60">
        <v>91.954106999999993</v>
      </c>
      <c r="P19" s="62">
        <v>700</v>
      </c>
      <c r="Q19" s="62"/>
      <c r="R19" s="18"/>
      <c r="S19" s="18"/>
      <c r="T19" s="27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17"/>
      <c r="AH19" s="24"/>
      <c r="AI19" s="25"/>
      <c r="AJ19" s="25"/>
    </row>
    <row r="20" spans="1:36" ht="15.6" x14ac:dyDescent="0.3">
      <c r="A20" s="77">
        <v>14</v>
      </c>
      <c r="B20" s="79" t="s">
        <v>2439</v>
      </c>
      <c r="C20" s="79" t="s">
        <v>117</v>
      </c>
      <c r="D20" s="65" t="s">
        <v>117</v>
      </c>
      <c r="E20" s="67" t="s">
        <v>101</v>
      </c>
      <c r="F20" s="67" t="s">
        <v>102</v>
      </c>
      <c r="G20" s="18" t="s">
        <v>43</v>
      </c>
      <c r="H20" s="26"/>
      <c r="I20" s="20"/>
      <c r="J20" s="21"/>
      <c r="K20" s="67" t="s">
        <v>155</v>
      </c>
      <c r="L20" s="67" t="s">
        <v>156</v>
      </c>
      <c r="M20" s="67" t="s">
        <v>157</v>
      </c>
      <c r="N20" s="60">
        <v>22.049299999999999</v>
      </c>
      <c r="O20" s="60">
        <v>91.950383000000002</v>
      </c>
      <c r="P20" s="62">
        <v>600</v>
      </c>
      <c r="Q20" s="62"/>
      <c r="R20" s="18"/>
      <c r="S20" s="18"/>
      <c r="T20" s="27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17"/>
      <c r="AH20" s="24"/>
      <c r="AI20" s="25"/>
      <c r="AJ20" s="25"/>
    </row>
    <row r="21" spans="1:36" ht="15.6" x14ac:dyDescent="0.3">
      <c r="A21" s="77">
        <v>15</v>
      </c>
      <c r="B21" s="79" t="s">
        <v>2439</v>
      </c>
      <c r="C21" s="79" t="s">
        <v>117</v>
      </c>
      <c r="D21" s="65" t="s">
        <v>117</v>
      </c>
      <c r="E21" s="67" t="s">
        <v>101</v>
      </c>
      <c r="F21" s="67" t="s">
        <v>102</v>
      </c>
      <c r="G21" s="18" t="s">
        <v>43</v>
      </c>
      <c r="H21" s="26"/>
      <c r="I21" s="20"/>
      <c r="J21" s="21"/>
      <c r="K21" s="66" t="s">
        <v>66</v>
      </c>
      <c r="L21" s="67" t="s">
        <v>158</v>
      </c>
      <c r="M21" s="67" t="s">
        <v>159</v>
      </c>
      <c r="N21" s="60">
        <v>22.050186</v>
      </c>
      <c r="O21" s="60">
        <v>91.947230000000005</v>
      </c>
      <c r="P21" s="62">
        <v>700</v>
      </c>
      <c r="Q21" s="62"/>
      <c r="R21" s="18"/>
      <c r="S21" s="18"/>
      <c r="T21" s="22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17"/>
      <c r="AH21" s="24"/>
      <c r="AI21" s="25"/>
      <c r="AJ21" s="25"/>
    </row>
    <row r="22" spans="1:36" ht="15.6" x14ac:dyDescent="0.3">
      <c r="A22" s="77">
        <v>16</v>
      </c>
      <c r="B22" s="79" t="s">
        <v>2439</v>
      </c>
      <c r="C22" s="79" t="s">
        <v>117</v>
      </c>
      <c r="D22" s="65" t="s">
        <v>117</v>
      </c>
      <c r="E22" s="67" t="s">
        <v>101</v>
      </c>
      <c r="F22" s="67" t="s">
        <v>102</v>
      </c>
      <c r="G22" s="18" t="s">
        <v>43</v>
      </c>
      <c r="H22" s="26"/>
      <c r="I22" s="20"/>
      <c r="J22" s="21"/>
      <c r="K22" s="67" t="s">
        <v>86</v>
      </c>
      <c r="L22" s="67" t="s">
        <v>160</v>
      </c>
      <c r="M22" s="67" t="s">
        <v>161</v>
      </c>
      <c r="N22" s="60">
        <v>22.050491999999998</v>
      </c>
      <c r="O22" s="60">
        <v>91.943759999999997</v>
      </c>
      <c r="P22" s="62">
        <v>400</v>
      </c>
      <c r="Q22" s="62"/>
      <c r="R22" s="18"/>
      <c r="S22" s="18"/>
      <c r="T22" s="27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7"/>
      <c r="AH22" s="24"/>
      <c r="AI22" s="25"/>
      <c r="AJ22" s="25"/>
    </row>
    <row r="23" spans="1:36" ht="15.6" x14ac:dyDescent="0.3">
      <c r="A23" s="77">
        <v>17</v>
      </c>
      <c r="B23" s="79" t="s">
        <v>2439</v>
      </c>
      <c r="C23" s="79" t="s">
        <v>117</v>
      </c>
      <c r="D23" s="65" t="s">
        <v>117</v>
      </c>
      <c r="E23" s="67" t="s">
        <v>101</v>
      </c>
      <c r="F23" s="67" t="s">
        <v>102</v>
      </c>
      <c r="G23" s="18" t="s">
        <v>44</v>
      </c>
      <c r="H23" s="20"/>
      <c r="I23" s="20"/>
      <c r="J23" s="21"/>
      <c r="K23" s="67" t="s">
        <v>70</v>
      </c>
      <c r="L23" s="67" t="s">
        <v>162</v>
      </c>
      <c r="M23" s="67" t="s">
        <v>163</v>
      </c>
      <c r="N23" s="60">
        <v>22.046797000000002</v>
      </c>
      <c r="O23" s="60">
        <v>91.943119999999993</v>
      </c>
      <c r="P23" s="62">
        <v>500</v>
      </c>
      <c r="Q23" s="62"/>
      <c r="R23" s="18"/>
      <c r="S23" s="18"/>
      <c r="T23" s="27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17"/>
      <c r="AH23" s="24"/>
      <c r="AI23" s="25"/>
      <c r="AJ23" s="25"/>
    </row>
    <row r="24" spans="1:36" ht="15.6" x14ac:dyDescent="0.3">
      <c r="A24" s="77">
        <v>18</v>
      </c>
      <c r="B24" s="79" t="s">
        <v>2439</v>
      </c>
      <c r="C24" s="79" t="s">
        <v>117</v>
      </c>
      <c r="D24" s="65" t="s">
        <v>117</v>
      </c>
      <c r="E24" s="67" t="s">
        <v>101</v>
      </c>
      <c r="F24" s="67" t="s">
        <v>102</v>
      </c>
      <c r="G24" s="18" t="s">
        <v>44</v>
      </c>
      <c r="H24" s="20"/>
      <c r="I24" s="20"/>
      <c r="J24" s="21"/>
      <c r="K24" s="67" t="s">
        <v>164</v>
      </c>
      <c r="L24" s="67" t="s">
        <v>165</v>
      </c>
      <c r="M24" s="67" t="s">
        <v>166</v>
      </c>
      <c r="N24" s="60">
        <v>22.045275</v>
      </c>
      <c r="O24" s="60">
        <v>91.943158999999994</v>
      </c>
      <c r="P24" s="62">
        <v>300</v>
      </c>
      <c r="Q24" s="62"/>
      <c r="R24" s="18"/>
      <c r="S24" s="18"/>
      <c r="T24" s="27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17"/>
      <c r="AH24" s="24"/>
      <c r="AI24" s="25"/>
      <c r="AJ24" s="25"/>
    </row>
    <row r="25" spans="1:36" ht="15.6" x14ac:dyDescent="0.3">
      <c r="A25" s="77">
        <v>19</v>
      </c>
      <c r="B25" s="79" t="s">
        <v>2439</v>
      </c>
      <c r="C25" s="79" t="s">
        <v>117</v>
      </c>
      <c r="D25" s="65" t="s">
        <v>117</v>
      </c>
      <c r="E25" s="67" t="s">
        <v>101</v>
      </c>
      <c r="F25" s="67" t="s">
        <v>102</v>
      </c>
      <c r="G25" s="18" t="s">
        <v>44</v>
      </c>
      <c r="H25" s="20"/>
      <c r="I25" s="20"/>
      <c r="J25" s="21"/>
      <c r="K25" s="67" t="s">
        <v>167</v>
      </c>
      <c r="L25" s="67" t="s">
        <v>168</v>
      </c>
      <c r="M25" s="67" t="s">
        <v>169</v>
      </c>
      <c r="N25" s="60">
        <v>22.046230999999999</v>
      </c>
      <c r="O25" s="60">
        <v>91.944744</v>
      </c>
      <c r="P25" s="62">
        <v>800</v>
      </c>
      <c r="Q25" s="62"/>
      <c r="R25" s="18"/>
      <c r="S25" s="18"/>
      <c r="T25" s="27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7"/>
      <c r="AH25" s="24"/>
      <c r="AI25" s="25"/>
      <c r="AJ25" s="25"/>
    </row>
    <row r="26" spans="1:36" ht="15.6" x14ac:dyDescent="0.3">
      <c r="A26" s="77">
        <v>20</v>
      </c>
      <c r="B26" s="79" t="s">
        <v>2439</v>
      </c>
      <c r="C26" s="79" t="s">
        <v>117</v>
      </c>
      <c r="D26" s="65" t="s">
        <v>117</v>
      </c>
      <c r="E26" s="67" t="s">
        <v>101</v>
      </c>
      <c r="F26" s="67" t="s">
        <v>102</v>
      </c>
      <c r="G26" s="18" t="s">
        <v>44</v>
      </c>
      <c r="H26" s="20"/>
      <c r="I26" s="20"/>
      <c r="J26" s="21"/>
      <c r="K26" s="67" t="s">
        <v>170</v>
      </c>
      <c r="L26" s="67" t="s">
        <v>171</v>
      </c>
      <c r="M26" s="67" t="s">
        <v>172</v>
      </c>
      <c r="N26" s="60">
        <v>22.044422999999998</v>
      </c>
      <c r="O26" s="60">
        <v>91.946247999999997</v>
      </c>
      <c r="P26" s="62">
        <v>200</v>
      </c>
      <c r="Q26" s="62"/>
      <c r="R26" s="18"/>
      <c r="S26" s="18"/>
      <c r="T26" s="27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17"/>
      <c r="AH26" s="24"/>
      <c r="AI26" s="25"/>
      <c r="AJ26" s="25"/>
    </row>
    <row r="27" spans="1:36" ht="15.6" x14ac:dyDescent="0.3">
      <c r="A27" s="77">
        <v>21</v>
      </c>
      <c r="B27" s="79" t="s">
        <v>2439</v>
      </c>
      <c r="C27" s="79" t="s">
        <v>117</v>
      </c>
      <c r="D27" s="65" t="s">
        <v>117</v>
      </c>
      <c r="E27" s="67" t="s">
        <v>101</v>
      </c>
      <c r="F27" s="67" t="s">
        <v>102</v>
      </c>
      <c r="G27" s="18" t="s">
        <v>44</v>
      </c>
      <c r="H27" s="20"/>
      <c r="I27" s="20"/>
      <c r="J27" s="21"/>
      <c r="K27" s="67" t="s">
        <v>173</v>
      </c>
      <c r="L27" s="67" t="s">
        <v>174</v>
      </c>
      <c r="M27" s="67" t="s">
        <v>175</v>
      </c>
      <c r="N27" s="60">
        <v>22.045511999999999</v>
      </c>
      <c r="O27" s="60">
        <v>91.945689000000002</v>
      </c>
      <c r="P27" s="62">
        <v>600</v>
      </c>
      <c r="Q27" s="62"/>
      <c r="R27" s="18"/>
      <c r="S27" s="18"/>
      <c r="T27" s="22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17"/>
      <c r="AH27" s="24"/>
      <c r="AI27" s="25"/>
      <c r="AJ27" s="25"/>
    </row>
    <row r="28" spans="1:36" ht="15.6" x14ac:dyDescent="0.3">
      <c r="A28" s="77">
        <v>22</v>
      </c>
      <c r="B28" s="79" t="s">
        <v>2439</v>
      </c>
      <c r="C28" s="79" t="s">
        <v>117</v>
      </c>
      <c r="D28" s="65" t="s">
        <v>117</v>
      </c>
      <c r="E28" s="67" t="s">
        <v>101</v>
      </c>
      <c r="F28" s="67" t="s">
        <v>102</v>
      </c>
      <c r="G28" s="18" t="s">
        <v>44</v>
      </c>
      <c r="H28" s="20"/>
      <c r="I28" s="20"/>
      <c r="J28" s="21"/>
      <c r="K28" s="67" t="s">
        <v>62</v>
      </c>
      <c r="L28" s="67" t="s">
        <v>176</v>
      </c>
      <c r="M28" s="67" t="s">
        <v>177</v>
      </c>
      <c r="N28" s="60">
        <v>22.047903000000002</v>
      </c>
      <c r="O28" s="60">
        <v>91.947892999999993</v>
      </c>
      <c r="P28" s="62">
        <v>700</v>
      </c>
      <c r="Q28" s="62"/>
      <c r="R28" s="18"/>
      <c r="S28" s="18"/>
      <c r="T28" s="27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7"/>
      <c r="AH28" s="24"/>
      <c r="AI28" s="25"/>
      <c r="AJ28" s="25"/>
    </row>
    <row r="29" spans="1:36" ht="15.6" x14ac:dyDescent="0.3">
      <c r="A29" s="77">
        <v>23</v>
      </c>
      <c r="B29" s="79" t="s">
        <v>2439</v>
      </c>
      <c r="C29" s="79" t="s">
        <v>117</v>
      </c>
      <c r="D29" s="65" t="s">
        <v>117</v>
      </c>
      <c r="E29" s="67" t="s">
        <v>101</v>
      </c>
      <c r="F29" s="67" t="s">
        <v>102</v>
      </c>
      <c r="G29" s="18" t="s">
        <v>44</v>
      </c>
      <c r="H29" s="20"/>
      <c r="I29" s="20"/>
      <c r="J29" s="21"/>
      <c r="K29" s="67" t="s">
        <v>178</v>
      </c>
      <c r="L29" s="67" t="s">
        <v>179</v>
      </c>
      <c r="M29" s="67" t="s">
        <v>180</v>
      </c>
      <c r="N29" s="60">
        <v>22.045325999999999</v>
      </c>
      <c r="O29" s="60">
        <v>91.947603000000001</v>
      </c>
      <c r="P29" s="62">
        <v>100</v>
      </c>
      <c r="Q29" s="62"/>
      <c r="R29" s="18"/>
      <c r="S29" s="18"/>
      <c r="T29" s="27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17"/>
      <c r="AH29" s="24"/>
      <c r="AI29" s="25"/>
      <c r="AJ29" s="25"/>
    </row>
    <row r="30" spans="1:36" ht="15.6" x14ac:dyDescent="0.3">
      <c r="A30" s="77">
        <v>24</v>
      </c>
      <c r="B30" s="79" t="s">
        <v>2439</v>
      </c>
      <c r="C30" s="79" t="s">
        <v>117</v>
      </c>
      <c r="D30" s="65" t="s">
        <v>117</v>
      </c>
      <c r="E30" s="67" t="s">
        <v>101</v>
      </c>
      <c r="F30" s="67" t="s">
        <v>102</v>
      </c>
      <c r="G30" s="18" t="s">
        <v>44</v>
      </c>
      <c r="H30" s="20"/>
      <c r="I30" s="20"/>
      <c r="J30" s="21"/>
      <c r="K30" s="67" t="s">
        <v>181</v>
      </c>
      <c r="L30" s="67" t="s">
        <v>182</v>
      </c>
      <c r="M30" s="67" t="s">
        <v>183</v>
      </c>
      <c r="N30" s="60">
        <v>22.044885000000001</v>
      </c>
      <c r="O30" s="60">
        <v>91.951178999999996</v>
      </c>
      <c r="P30" s="62">
        <v>600</v>
      </c>
      <c r="Q30" s="62"/>
      <c r="R30" s="18"/>
      <c r="S30" s="18"/>
      <c r="T30" s="27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17"/>
      <c r="AH30" s="24"/>
      <c r="AI30" s="25"/>
      <c r="AJ30" s="25"/>
    </row>
    <row r="31" spans="1:36" ht="15.6" x14ac:dyDescent="0.3">
      <c r="A31" s="77">
        <v>25</v>
      </c>
      <c r="B31" s="79" t="s">
        <v>2439</v>
      </c>
      <c r="C31" s="79" t="s">
        <v>117</v>
      </c>
      <c r="D31" s="65" t="s">
        <v>117</v>
      </c>
      <c r="E31" s="67" t="s">
        <v>101</v>
      </c>
      <c r="F31" s="67" t="s">
        <v>102</v>
      </c>
      <c r="G31" s="18" t="s">
        <v>45</v>
      </c>
      <c r="H31" s="20"/>
      <c r="I31" s="20"/>
      <c r="J31" s="21"/>
      <c r="K31" s="18" t="s">
        <v>184</v>
      </c>
      <c r="L31" s="18" t="s">
        <v>185</v>
      </c>
      <c r="M31" s="67" t="s">
        <v>186</v>
      </c>
      <c r="N31" s="60">
        <v>22.039269000000001</v>
      </c>
      <c r="O31" s="60">
        <v>91.950739999999996</v>
      </c>
      <c r="P31" s="62">
        <v>300</v>
      </c>
      <c r="Q31" s="62"/>
      <c r="R31" s="18"/>
      <c r="S31" s="18"/>
      <c r="T31" s="27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17"/>
      <c r="AH31" s="24"/>
      <c r="AI31" s="25"/>
      <c r="AJ31" s="25"/>
    </row>
    <row r="32" spans="1:36" ht="15.6" x14ac:dyDescent="0.3">
      <c r="A32" s="77">
        <v>26</v>
      </c>
      <c r="B32" s="79" t="s">
        <v>2439</v>
      </c>
      <c r="C32" s="79" t="s">
        <v>117</v>
      </c>
      <c r="D32" s="65" t="s">
        <v>117</v>
      </c>
      <c r="E32" s="67" t="s">
        <v>101</v>
      </c>
      <c r="F32" s="67" t="s">
        <v>102</v>
      </c>
      <c r="G32" s="18" t="s">
        <v>45</v>
      </c>
      <c r="H32" s="20"/>
      <c r="I32" s="20"/>
      <c r="J32" s="21"/>
      <c r="K32" s="67" t="s">
        <v>187</v>
      </c>
      <c r="L32" s="67" t="s">
        <v>188</v>
      </c>
      <c r="M32" s="67" t="s">
        <v>189</v>
      </c>
      <c r="N32" s="60">
        <v>22.040437000000001</v>
      </c>
      <c r="O32" s="60">
        <v>91.947166999999993</v>
      </c>
      <c r="P32" s="62">
        <v>200</v>
      </c>
      <c r="Q32" s="62"/>
      <c r="R32" s="18"/>
      <c r="S32" s="18"/>
      <c r="T32" s="27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17"/>
      <c r="AH32" s="24"/>
      <c r="AI32" s="25"/>
      <c r="AJ32" s="25"/>
    </row>
    <row r="33" spans="1:36" ht="15.6" x14ac:dyDescent="0.3">
      <c r="A33" s="77">
        <v>27</v>
      </c>
      <c r="B33" s="79" t="s">
        <v>2439</v>
      </c>
      <c r="C33" s="79" t="s">
        <v>117</v>
      </c>
      <c r="D33" s="65" t="s">
        <v>117</v>
      </c>
      <c r="E33" s="67" t="s">
        <v>101</v>
      </c>
      <c r="F33" s="67" t="s">
        <v>102</v>
      </c>
      <c r="G33" s="18" t="s">
        <v>45</v>
      </c>
      <c r="H33" s="20"/>
      <c r="I33" s="20"/>
      <c r="J33" s="21"/>
      <c r="K33" s="67" t="s">
        <v>190</v>
      </c>
      <c r="L33" s="67" t="s">
        <v>191</v>
      </c>
      <c r="M33" s="67" t="s">
        <v>192</v>
      </c>
      <c r="N33" s="60">
        <v>22.038862000000002</v>
      </c>
      <c r="O33" s="60">
        <v>91.943315999999996</v>
      </c>
      <c r="P33" s="62">
        <v>700</v>
      </c>
      <c r="Q33" s="62"/>
      <c r="R33" s="18"/>
      <c r="S33" s="18"/>
      <c r="T33" s="27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17"/>
      <c r="AH33" s="24"/>
      <c r="AI33" s="25"/>
      <c r="AJ33" s="25"/>
    </row>
    <row r="34" spans="1:36" ht="15.6" x14ac:dyDescent="0.3">
      <c r="A34" s="77">
        <v>28</v>
      </c>
      <c r="B34" s="79" t="s">
        <v>2439</v>
      </c>
      <c r="C34" s="79" t="s">
        <v>117</v>
      </c>
      <c r="D34" s="65" t="s">
        <v>117</v>
      </c>
      <c r="E34" s="67" t="s">
        <v>101</v>
      </c>
      <c r="F34" s="67" t="s">
        <v>102</v>
      </c>
      <c r="G34" s="18" t="s">
        <v>45</v>
      </c>
      <c r="H34" s="20"/>
      <c r="I34" s="23"/>
      <c r="J34" s="21"/>
      <c r="K34" s="67" t="s">
        <v>193</v>
      </c>
      <c r="L34" s="67" t="s">
        <v>194</v>
      </c>
      <c r="M34" s="67" t="s">
        <v>195</v>
      </c>
      <c r="N34" s="60">
        <v>22.042487000000001</v>
      </c>
      <c r="O34" s="60">
        <v>91.944210999999996</v>
      </c>
      <c r="P34" s="62">
        <v>1300</v>
      </c>
      <c r="Q34" s="62"/>
      <c r="R34" s="18"/>
      <c r="S34" s="18"/>
      <c r="T34" s="27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17"/>
      <c r="AH34" s="24"/>
      <c r="AI34" s="25"/>
      <c r="AJ34" s="25"/>
    </row>
    <row r="35" spans="1:36" ht="15.6" x14ac:dyDescent="0.3">
      <c r="A35" s="77">
        <v>29</v>
      </c>
      <c r="B35" s="79" t="s">
        <v>2439</v>
      </c>
      <c r="C35" s="79" t="s">
        <v>117</v>
      </c>
      <c r="D35" s="65" t="s">
        <v>117</v>
      </c>
      <c r="E35" s="67" t="s">
        <v>101</v>
      </c>
      <c r="F35" s="67" t="s">
        <v>102</v>
      </c>
      <c r="G35" s="18" t="s">
        <v>46</v>
      </c>
      <c r="H35" s="20"/>
      <c r="I35" s="23"/>
      <c r="J35" s="21"/>
      <c r="K35" s="67" t="s">
        <v>196</v>
      </c>
      <c r="L35" s="67" t="s">
        <v>197</v>
      </c>
      <c r="M35" s="67" t="s">
        <v>198</v>
      </c>
      <c r="N35" s="60">
        <v>22.032423000000001</v>
      </c>
      <c r="O35" s="60">
        <v>91.945627000000002</v>
      </c>
      <c r="P35" s="62">
        <v>500</v>
      </c>
      <c r="Q35" s="62"/>
      <c r="R35" s="18"/>
      <c r="S35" s="18"/>
      <c r="T35" s="27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17"/>
      <c r="AH35" s="24"/>
      <c r="AI35" s="29"/>
      <c r="AJ35" s="29"/>
    </row>
    <row r="36" spans="1:36" ht="15.6" x14ac:dyDescent="0.3">
      <c r="A36" s="77">
        <v>30</v>
      </c>
      <c r="B36" s="79" t="s">
        <v>2439</v>
      </c>
      <c r="C36" s="79" t="s">
        <v>117</v>
      </c>
      <c r="D36" s="65" t="s">
        <v>117</v>
      </c>
      <c r="E36" s="67" t="s">
        <v>101</v>
      </c>
      <c r="F36" s="67" t="s">
        <v>102</v>
      </c>
      <c r="G36" s="18" t="s">
        <v>46</v>
      </c>
      <c r="H36" s="20"/>
      <c r="I36" s="23"/>
      <c r="J36" s="21"/>
      <c r="K36" s="67" t="s">
        <v>199</v>
      </c>
      <c r="L36" s="67" t="s">
        <v>200</v>
      </c>
      <c r="M36" s="67" t="s">
        <v>201</v>
      </c>
      <c r="N36" s="60">
        <v>22.036439999999999</v>
      </c>
      <c r="O36" s="60">
        <v>91.946470000000005</v>
      </c>
      <c r="P36" s="62">
        <v>2000</v>
      </c>
      <c r="Q36" s="62"/>
      <c r="R36" s="18"/>
      <c r="S36" s="18"/>
      <c r="T36" s="27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17"/>
      <c r="AH36" s="24"/>
      <c r="AI36" s="30"/>
      <c r="AJ36" s="30"/>
    </row>
    <row r="37" spans="1:36" ht="15.6" x14ac:dyDescent="0.3">
      <c r="A37" s="77">
        <v>31</v>
      </c>
      <c r="B37" s="79" t="s">
        <v>2439</v>
      </c>
      <c r="C37" s="79" t="s">
        <v>117</v>
      </c>
      <c r="D37" s="65" t="s">
        <v>117</v>
      </c>
      <c r="E37" s="67" t="s">
        <v>101</v>
      </c>
      <c r="F37" s="67" t="s">
        <v>102</v>
      </c>
      <c r="G37" s="18" t="s">
        <v>46</v>
      </c>
      <c r="H37" s="20"/>
      <c r="I37" s="23"/>
      <c r="J37" s="21"/>
      <c r="K37" s="67" t="s">
        <v>202</v>
      </c>
      <c r="L37" s="67" t="s">
        <v>203</v>
      </c>
      <c r="M37" s="67" t="s">
        <v>204</v>
      </c>
      <c r="N37" s="60">
        <v>22.035952999999999</v>
      </c>
      <c r="O37" s="60">
        <v>91.951673999999997</v>
      </c>
      <c r="P37" s="62">
        <v>1500</v>
      </c>
      <c r="Q37" s="62"/>
      <c r="R37" s="18"/>
      <c r="S37" s="18"/>
      <c r="T37" s="27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17"/>
      <c r="AH37" s="24"/>
      <c r="AI37" s="31"/>
      <c r="AJ37" s="31"/>
    </row>
    <row r="38" spans="1:36" ht="15.6" x14ac:dyDescent="0.3">
      <c r="A38" s="77">
        <v>32</v>
      </c>
      <c r="B38" s="79" t="s">
        <v>2439</v>
      </c>
      <c r="C38" s="79" t="s">
        <v>117</v>
      </c>
      <c r="D38" s="65" t="s">
        <v>117</v>
      </c>
      <c r="E38" s="67" t="s">
        <v>101</v>
      </c>
      <c r="F38" s="67" t="s">
        <v>102</v>
      </c>
      <c r="G38" s="18" t="s">
        <v>47</v>
      </c>
      <c r="H38" s="20"/>
      <c r="I38" s="23"/>
      <c r="J38" s="21"/>
      <c r="K38" s="67" t="s">
        <v>205</v>
      </c>
      <c r="L38" s="67" t="s">
        <v>206</v>
      </c>
      <c r="M38" s="67" t="s">
        <v>207</v>
      </c>
      <c r="N38" s="60">
        <v>22.042940999999999</v>
      </c>
      <c r="O38" s="60">
        <v>91.941027000000005</v>
      </c>
      <c r="P38" s="62">
        <v>700</v>
      </c>
      <c r="Q38" s="62"/>
      <c r="R38" s="18"/>
      <c r="S38" s="18"/>
      <c r="T38" s="22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17"/>
      <c r="AH38" s="24"/>
      <c r="AI38" s="31"/>
      <c r="AJ38" s="31"/>
    </row>
    <row r="39" spans="1:36" ht="15.6" x14ac:dyDescent="0.3">
      <c r="A39" s="77">
        <v>33</v>
      </c>
      <c r="B39" s="79" t="s">
        <v>2439</v>
      </c>
      <c r="C39" s="79" t="s">
        <v>117</v>
      </c>
      <c r="D39" s="65" t="s">
        <v>117</v>
      </c>
      <c r="E39" s="67" t="s">
        <v>101</v>
      </c>
      <c r="F39" s="67" t="s">
        <v>102</v>
      </c>
      <c r="G39" s="18" t="s">
        <v>47</v>
      </c>
      <c r="H39" s="20"/>
      <c r="I39" s="23"/>
      <c r="J39" s="21"/>
      <c r="K39" s="67" t="s">
        <v>208</v>
      </c>
      <c r="L39" s="67" t="s">
        <v>209</v>
      </c>
      <c r="M39" s="67" t="s">
        <v>210</v>
      </c>
      <c r="N39" s="60">
        <v>22.040512</v>
      </c>
      <c r="O39" s="60">
        <v>91.936716000000004</v>
      </c>
      <c r="P39" s="62">
        <v>700</v>
      </c>
      <c r="Q39" s="62"/>
      <c r="R39" s="18"/>
      <c r="S39" s="18"/>
      <c r="T39" s="22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17"/>
      <c r="AH39" s="24"/>
      <c r="AI39" s="29"/>
      <c r="AJ39" s="29"/>
    </row>
    <row r="40" spans="1:36" ht="15.6" x14ac:dyDescent="0.3">
      <c r="A40" s="77">
        <v>34</v>
      </c>
      <c r="B40" s="79" t="s">
        <v>2439</v>
      </c>
      <c r="C40" s="79" t="s">
        <v>117</v>
      </c>
      <c r="D40" s="65" t="s">
        <v>117</v>
      </c>
      <c r="E40" s="67" t="s">
        <v>101</v>
      </c>
      <c r="F40" s="67" t="s">
        <v>102</v>
      </c>
      <c r="G40" s="18" t="s">
        <v>47</v>
      </c>
      <c r="H40" s="20"/>
      <c r="I40" s="23"/>
      <c r="J40" s="21"/>
      <c r="K40" s="63" t="s">
        <v>211</v>
      </c>
      <c r="L40" s="18" t="s">
        <v>212</v>
      </c>
      <c r="M40" s="67" t="s">
        <v>213</v>
      </c>
      <c r="N40" s="60">
        <v>22.045847999999999</v>
      </c>
      <c r="O40" s="60">
        <v>91.931380000000004</v>
      </c>
      <c r="P40" s="62">
        <v>1000</v>
      </c>
      <c r="Q40" s="62"/>
      <c r="R40" s="49"/>
      <c r="S40" s="49"/>
      <c r="T40" s="22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17"/>
      <c r="AH40" s="24"/>
      <c r="AI40" s="29"/>
      <c r="AJ40" s="29"/>
    </row>
    <row r="41" spans="1:36" ht="15.6" x14ac:dyDescent="0.3">
      <c r="A41" s="77">
        <v>35</v>
      </c>
      <c r="B41" s="79" t="s">
        <v>2439</v>
      </c>
      <c r="C41" s="79" t="s">
        <v>117</v>
      </c>
      <c r="D41" s="65" t="s">
        <v>117</v>
      </c>
      <c r="E41" s="67" t="s">
        <v>101</v>
      </c>
      <c r="F41" s="67" t="s">
        <v>102</v>
      </c>
      <c r="G41" s="18" t="s">
        <v>47</v>
      </c>
      <c r="H41" s="20"/>
      <c r="I41" s="23"/>
      <c r="J41" s="21"/>
      <c r="K41" s="67" t="s">
        <v>214</v>
      </c>
      <c r="L41" s="67" t="s">
        <v>215</v>
      </c>
      <c r="M41" s="67" t="s">
        <v>216</v>
      </c>
      <c r="N41" s="60">
        <v>22.046576000000002</v>
      </c>
      <c r="O41" s="60">
        <v>91.936440000000005</v>
      </c>
      <c r="P41" s="62">
        <v>1500</v>
      </c>
      <c r="Q41" s="62"/>
      <c r="R41" s="18"/>
      <c r="S41" s="18"/>
      <c r="T41" s="22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17"/>
      <c r="AH41" s="24"/>
      <c r="AI41" s="25"/>
      <c r="AJ41" s="25"/>
    </row>
    <row r="42" spans="1:36" ht="15.6" x14ac:dyDescent="0.3">
      <c r="A42" s="77">
        <v>36</v>
      </c>
      <c r="B42" s="79" t="s">
        <v>2439</v>
      </c>
      <c r="C42" s="79" t="s">
        <v>117</v>
      </c>
      <c r="D42" s="65" t="s">
        <v>117</v>
      </c>
      <c r="E42" s="67" t="s">
        <v>101</v>
      </c>
      <c r="F42" s="67" t="s">
        <v>102</v>
      </c>
      <c r="G42" s="18" t="s">
        <v>47</v>
      </c>
      <c r="H42" s="20"/>
      <c r="I42" s="23"/>
      <c r="J42" s="21"/>
      <c r="K42" s="67" t="s">
        <v>217</v>
      </c>
      <c r="L42" s="67" t="s">
        <v>218</v>
      </c>
      <c r="M42" s="67" t="s">
        <v>219</v>
      </c>
      <c r="N42" s="60">
        <v>22.044257999999999</v>
      </c>
      <c r="O42" s="60">
        <v>91.938879999999997</v>
      </c>
      <c r="P42" s="62">
        <v>2000</v>
      </c>
      <c r="Q42" s="62"/>
      <c r="R42" s="18"/>
      <c r="S42" s="18"/>
      <c r="T42" s="22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17"/>
      <c r="AH42" s="24"/>
      <c r="AI42" s="25"/>
      <c r="AJ42" s="25"/>
    </row>
    <row r="43" spans="1:36" ht="15.6" x14ac:dyDescent="0.3">
      <c r="A43" s="77">
        <v>37</v>
      </c>
      <c r="B43" s="79" t="s">
        <v>2439</v>
      </c>
      <c r="C43" s="79" t="s">
        <v>117</v>
      </c>
      <c r="D43" s="65" t="s">
        <v>117</v>
      </c>
      <c r="E43" s="67" t="s">
        <v>101</v>
      </c>
      <c r="F43" s="67" t="s">
        <v>102</v>
      </c>
      <c r="G43" s="18" t="s">
        <v>48</v>
      </c>
      <c r="H43" s="20"/>
      <c r="I43" s="23"/>
      <c r="J43" s="20"/>
      <c r="K43" s="67" t="s">
        <v>57</v>
      </c>
      <c r="L43" s="67" t="s">
        <v>78</v>
      </c>
      <c r="M43" s="67" t="s">
        <v>220</v>
      </c>
      <c r="N43" s="60">
        <v>22.036214000000001</v>
      </c>
      <c r="O43" s="60">
        <v>91.928910000000002</v>
      </c>
      <c r="P43" s="62">
        <v>150</v>
      </c>
      <c r="Q43" s="62"/>
      <c r="R43" s="18"/>
      <c r="S43" s="18"/>
      <c r="T43" s="22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17"/>
      <c r="AH43" s="24"/>
      <c r="AI43" s="25"/>
      <c r="AJ43" s="25"/>
    </row>
    <row r="44" spans="1:36" ht="15.6" x14ac:dyDescent="0.3">
      <c r="A44" s="77">
        <v>38</v>
      </c>
      <c r="B44" s="79" t="s">
        <v>2439</v>
      </c>
      <c r="C44" s="79" t="s">
        <v>117</v>
      </c>
      <c r="D44" s="65" t="s">
        <v>117</v>
      </c>
      <c r="E44" s="67" t="s">
        <v>101</v>
      </c>
      <c r="F44" s="67" t="s">
        <v>102</v>
      </c>
      <c r="G44" s="18" t="s">
        <v>48</v>
      </c>
      <c r="H44" s="20"/>
      <c r="I44" s="23"/>
      <c r="J44" s="21"/>
      <c r="K44" s="67" t="s">
        <v>205</v>
      </c>
      <c r="L44" s="67" t="s">
        <v>206</v>
      </c>
      <c r="M44" s="67" t="s">
        <v>221</v>
      </c>
      <c r="N44" s="60">
        <v>22.040941</v>
      </c>
      <c r="O44" s="60">
        <v>91.940826000000001</v>
      </c>
      <c r="P44" s="62">
        <v>1000</v>
      </c>
      <c r="Q44" s="62"/>
      <c r="R44" s="18"/>
      <c r="S44" s="18"/>
      <c r="T44" s="22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17"/>
      <c r="AH44" s="24"/>
      <c r="AI44" s="32"/>
      <c r="AJ44" s="32"/>
    </row>
    <row r="45" spans="1:36" ht="15.6" x14ac:dyDescent="0.3">
      <c r="A45" s="77">
        <v>39</v>
      </c>
      <c r="B45" s="79" t="s">
        <v>2439</v>
      </c>
      <c r="C45" s="79" t="s">
        <v>117</v>
      </c>
      <c r="D45" s="65" t="s">
        <v>117</v>
      </c>
      <c r="E45" s="67" t="s">
        <v>101</v>
      </c>
      <c r="F45" s="67" t="s">
        <v>102</v>
      </c>
      <c r="G45" s="18" t="s">
        <v>48</v>
      </c>
      <c r="H45" s="20"/>
      <c r="I45" s="23"/>
      <c r="J45" s="21"/>
      <c r="K45" s="67" t="s">
        <v>222</v>
      </c>
      <c r="L45" s="67" t="s">
        <v>223</v>
      </c>
      <c r="M45" s="67" t="s">
        <v>224</v>
      </c>
      <c r="N45" s="60">
        <v>22.036024999999999</v>
      </c>
      <c r="O45" s="60">
        <v>91.942828000000006</v>
      </c>
      <c r="P45" s="62">
        <v>700</v>
      </c>
      <c r="Q45" s="62"/>
      <c r="R45" s="18"/>
      <c r="S45" s="18"/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17"/>
      <c r="AH45" s="24"/>
      <c r="AI45" s="33"/>
      <c r="AJ45" s="33"/>
    </row>
    <row r="46" spans="1:36" ht="15.6" x14ac:dyDescent="0.3">
      <c r="A46" s="77">
        <v>40</v>
      </c>
      <c r="B46" s="79" t="s">
        <v>2439</v>
      </c>
      <c r="C46" s="79" t="s">
        <v>117</v>
      </c>
      <c r="D46" s="65" t="s">
        <v>117</v>
      </c>
      <c r="E46" s="67" t="s">
        <v>101</v>
      </c>
      <c r="F46" s="67" t="s">
        <v>102</v>
      </c>
      <c r="G46" s="18" t="s">
        <v>48</v>
      </c>
      <c r="H46" s="20"/>
      <c r="I46" s="23"/>
      <c r="J46" s="21"/>
      <c r="K46" s="67" t="s">
        <v>51</v>
      </c>
      <c r="L46" s="67" t="s">
        <v>77</v>
      </c>
      <c r="M46" s="67" t="s">
        <v>225</v>
      </c>
      <c r="N46" s="60">
        <v>22.039290000000001</v>
      </c>
      <c r="O46" s="60">
        <v>91.938222999999994</v>
      </c>
      <c r="P46" s="62">
        <v>650</v>
      </c>
      <c r="Q46" s="62"/>
      <c r="R46" s="18"/>
      <c r="S46" s="18"/>
      <c r="T46" s="22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17"/>
      <c r="AH46" s="24"/>
      <c r="AI46" s="33"/>
      <c r="AJ46" s="33"/>
    </row>
    <row r="47" spans="1:36" ht="15.6" x14ac:dyDescent="0.3">
      <c r="A47" s="77">
        <v>41</v>
      </c>
      <c r="B47" s="79" t="s">
        <v>2439</v>
      </c>
      <c r="C47" s="79" t="s">
        <v>117</v>
      </c>
      <c r="D47" s="65" t="s">
        <v>117</v>
      </c>
      <c r="E47" s="67" t="s">
        <v>101</v>
      </c>
      <c r="F47" s="67" t="s">
        <v>102</v>
      </c>
      <c r="G47" s="18" t="s">
        <v>48</v>
      </c>
      <c r="H47" s="20"/>
      <c r="I47" s="23"/>
      <c r="J47" s="21"/>
      <c r="K47" s="67" t="s">
        <v>226</v>
      </c>
      <c r="L47" s="67" t="s">
        <v>227</v>
      </c>
      <c r="M47" s="67" t="s">
        <v>228</v>
      </c>
      <c r="N47" s="60">
        <v>22.036064</v>
      </c>
      <c r="O47" s="60">
        <v>91.938496000000001</v>
      </c>
      <c r="P47" s="62">
        <v>3500</v>
      </c>
      <c r="Q47" s="62"/>
      <c r="R47" s="18"/>
      <c r="S47" s="18"/>
      <c r="T47" s="22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17"/>
      <c r="AH47" s="24"/>
      <c r="AI47" s="33"/>
      <c r="AJ47" s="33"/>
    </row>
    <row r="48" spans="1:36" ht="15.6" x14ac:dyDescent="0.3">
      <c r="A48" s="77">
        <v>42</v>
      </c>
      <c r="B48" s="79" t="s">
        <v>2439</v>
      </c>
      <c r="C48" s="79" t="s">
        <v>117</v>
      </c>
      <c r="D48" s="65" t="s">
        <v>117</v>
      </c>
      <c r="E48" s="67" t="s">
        <v>101</v>
      </c>
      <c r="F48" s="67" t="s">
        <v>102</v>
      </c>
      <c r="G48" s="18" t="s">
        <v>48</v>
      </c>
      <c r="H48" s="20"/>
      <c r="I48" s="23"/>
      <c r="J48" s="21"/>
      <c r="K48" s="67" t="s">
        <v>229</v>
      </c>
      <c r="L48" s="67" t="s">
        <v>230</v>
      </c>
      <c r="M48" s="67" t="s">
        <v>231</v>
      </c>
      <c r="N48" s="60">
        <v>22.038298999999999</v>
      </c>
      <c r="O48" s="60">
        <v>91.932779999999994</v>
      </c>
      <c r="P48" s="62">
        <v>0</v>
      </c>
      <c r="Q48" s="62"/>
      <c r="R48" s="18"/>
      <c r="S48" s="18"/>
      <c r="T48" s="22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34"/>
      <c r="AH48" s="24"/>
      <c r="AI48" s="35"/>
      <c r="AJ48" s="35"/>
    </row>
    <row r="49" spans="1:36" ht="15.6" x14ac:dyDescent="0.3">
      <c r="A49" s="77">
        <v>43</v>
      </c>
      <c r="B49" s="79" t="s">
        <v>2439</v>
      </c>
      <c r="C49" s="79" t="s">
        <v>117</v>
      </c>
      <c r="D49" s="65" t="s">
        <v>117</v>
      </c>
      <c r="E49" s="67" t="s">
        <v>101</v>
      </c>
      <c r="F49" s="67" t="s">
        <v>102</v>
      </c>
      <c r="G49" s="18" t="s">
        <v>49</v>
      </c>
      <c r="H49" s="20"/>
      <c r="I49" s="23"/>
      <c r="J49" s="21"/>
      <c r="K49" s="67" t="s">
        <v>232</v>
      </c>
      <c r="L49" s="67" t="s">
        <v>233</v>
      </c>
      <c r="M49" s="67" t="s">
        <v>234</v>
      </c>
      <c r="N49" s="60">
        <v>22.029330000000002</v>
      </c>
      <c r="O49" s="60">
        <v>91.930687000000006</v>
      </c>
      <c r="P49" s="62">
        <v>4000</v>
      </c>
      <c r="Q49" s="62"/>
      <c r="R49" s="18"/>
      <c r="S49" s="18"/>
      <c r="T49" s="27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17"/>
      <c r="AH49" s="24"/>
      <c r="AI49" s="33"/>
      <c r="AJ49" s="33"/>
    </row>
    <row r="50" spans="1:36" ht="15.6" x14ac:dyDescent="0.3">
      <c r="A50" s="77">
        <v>44</v>
      </c>
      <c r="B50" s="79" t="s">
        <v>2439</v>
      </c>
      <c r="C50" s="79" t="s">
        <v>117</v>
      </c>
      <c r="D50" s="65" t="s">
        <v>117</v>
      </c>
      <c r="E50" s="18" t="s">
        <v>101</v>
      </c>
      <c r="F50" s="18" t="s">
        <v>103</v>
      </c>
      <c r="G50" s="18" t="s">
        <v>41</v>
      </c>
      <c r="H50" s="20"/>
      <c r="I50" s="23"/>
      <c r="J50" s="26"/>
      <c r="K50" s="18" t="s">
        <v>235</v>
      </c>
      <c r="L50" s="18" t="s">
        <v>236</v>
      </c>
      <c r="M50" s="18" t="s">
        <v>237</v>
      </c>
      <c r="N50" s="60">
        <v>22.063952</v>
      </c>
      <c r="O50" s="60">
        <v>91.877341000000001</v>
      </c>
      <c r="P50" s="62">
        <v>2000</v>
      </c>
      <c r="Q50" s="62"/>
      <c r="R50" s="18"/>
      <c r="S50" s="18"/>
      <c r="T50" s="27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17"/>
      <c r="AH50" s="24"/>
      <c r="AI50" s="33"/>
      <c r="AJ50" s="33"/>
    </row>
    <row r="51" spans="1:36" ht="15.6" x14ac:dyDescent="0.3">
      <c r="A51" s="77">
        <v>45</v>
      </c>
      <c r="B51" s="79" t="s">
        <v>2439</v>
      </c>
      <c r="C51" s="79" t="s">
        <v>117</v>
      </c>
      <c r="D51" s="65" t="s">
        <v>117</v>
      </c>
      <c r="E51" s="18" t="s">
        <v>101</v>
      </c>
      <c r="F51" s="18" t="s">
        <v>103</v>
      </c>
      <c r="G51" s="18" t="s">
        <v>41</v>
      </c>
      <c r="H51" s="20"/>
      <c r="I51" s="23"/>
      <c r="J51" s="26"/>
      <c r="K51" s="18" t="s">
        <v>238</v>
      </c>
      <c r="L51" s="18" t="s">
        <v>239</v>
      </c>
      <c r="M51" s="18" t="s">
        <v>240</v>
      </c>
      <c r="N51" s="60">
        <v>22.074905999999999</v>
      </c>
      <c r="O51" s="60">
        <v>91.881016000000002</v>
      </c>
      <c r="P51" s="62">
        <v>5000</v>
      </c>
      <c r="Q51" s="62"/>
      <c r="R51" s="18"/>
      <c r="S51" s="18"/>
      <c r="T51" s="27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17"/>
      <c r="AH51" s="24"/>
      <c r="AI51" s="25"/>
      <c r="AJ51" s="25"/>
    </row>
    <row r="52" spans="1:36" ht="15.6" x14ac:dyDescent="0.3">
      <c r="A52" s="77">
        <v>46</v>
      </c>
      <c r="B52" s="79" t="s">
        <v>2439</v>
      </c>
      <c r="C52" s="79" t="s">
        <v>117</v>
      </c>
      <c r="D52" s="65" t="s">
        <v>117</v>
      </c>
      <c r="E52" s="18" t="s">
        <v>101</v>
      </c>
      <c r="F52" s="18" t="s">
        <v>103</v>
      </c>
      <c r="G52" s="18" t="s">
        <v>41</v>
      </c>
      <c r="H52" s="20"/>
      <c r="I52" s="23"/>
      <c r="J52" s="26"/>
      <c r="K52" s="18" t="s">
        <v>241</v>
      </c>
      <c r="L52" s="18" t="s">
        <v>242</v>
      </c>
      <c r="M52" s="18" t="s">
        <v>243</v>
      </c>
      <c r="N52" s="60">
        <v>22.082640999999999</v>
      </c>
      <c r="O52" s="60">
        <v>91.878444000000002</v>
      </c>
      <c r="P52" s="62">
        <v>600</v>
      </c>
      <c r="Q52" s="62"/>
      <c r="R52" s="18"/>
      <c r="S52" s="18"/>
      <c r="T52" s="27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17"/>
      <c r="AH52" s="24"/>
      <c r="AI52" s="25"/>
      <c r="AJ52" s="25"/>
    </row>
    <row r="53" spans="1:36" ht="15.6" x14ac:dyDescent="0.3">
      <c r="A53" s="77">
        <v>47</v>
      </c>
      <c r="B53" s="79" t="s">
        <v>2439</v>
      </c>
      <c r="C53" s="79" t="s">
        <v>117</v>
      </c>
      <c r="D53" s="65" t="s">
        <v>117</v>
      </c>
      <c r="E53" s="18" t="s">
        <v>101</v>
      </c>
      <c r="F53" s="18" t="s">
        <v>103</v>
      </c>
      <c r="G53" s="18" t="s">
        <v>42</v>
      </c>
      <c r="H53" s="20"/>
      <c r="I53" s="23"/>
      <c r="J53" s="26"/>
      <c r="K53" s="18" t="s">
        <v>103</v>
      </c>
      <c r="L53" s="18" t="s">
        <v>244</v>
      </c>
      <c r="M53" s="18" t="s">
        <v>245</v>
      </c>
      <c r="N53" s="60">
        <v>22.066459999999999</v>
      </c>
      <c r="O53" s="60">
        <v>91.884505000000004</v>
      </c>
      <c r="P53" s="62">
        <v>8000</v>
      </c>
      <c r="Q53" s="62"/>
      <c r="R53" s="18"/>
      <c r="S53" s="18"/>
      <c r="T53" s="27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17"/>
      <c r="AH53" s="24"/>
      <c r="AI53" s="25"/>
      <c r="AJ53" s="25"/>
    </row>
    <row r="54" spans="1:36" ht="15.6" x14ac:dyDescent="0.3">
      <c r="A54" s="77">
        <v>48</v>
      </c>
      <c r="B54" s="79" t="s">
        <v>2439</v>
      </c>
      <c r="C54" s="79" t="s">
        <v>117</v>
      </c>
      <c r="D54" s="65" t="s">
        <v>117</v>
      </c>
      <c r="E54" s="18" t="s">
        <v>101</v>
      </c>
      <c r="F54" s="18" t="s">
        <v>103</v>
      </c>
      <c r="G54" s="18" t="s">
        <v>42</v>
      </c>
      <c r="H54" s="36"/>
      <c r="I54" s="20"/>
      <c r="J54" s="26"/>
      <c r="K54" s="18" t="s">
        <v>246</v>
      </c>
      <c r="L54" s="18" t="s">
        <v>247</v>
      </c>
      <c r="M54" s="18" t="s">
        <v>248</v>
      </c>
      <c r="N54" s="60">
        <v>22.061633</v>
      </c>
      <c r="O54" s="60">
        <v>91.885673999999995</v>
      </c>
      <c r="P54" s="62">
        <v>3000</v>
      </c>
      <c r="Q54" s="62"/>
      <c r="R54" s="18"/>
      <c r="S54" s="18"/>
      <c r="T54" s="22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17"/>
      <c r="AH54" s="24"/>
      <c r="AI54" s="25"/>
      <c r="AJ54" s="25"/>
    </row>
    <row r="55" spans="1:36" ht="15.6" x14ac:dyDescent="0.3">
      <c r="A55" s="77">
        <v>49</v>
      </c>
      <c r="B55" s="79" t="s">
        <v>2439</v>
      </c>
      <c r="C55" s="79" t="s">
        <v>117</v>
      </c>
      <c r="D55" s="65" t="s">
        <v>117</v>
      </c>
      <c r="E55" s="18" t="s">
        <v>101</v>
      </c>
      <c r="F55" s="18" t="s">
        <v>103</v>
      </c>
      <c r="G55" s="18" t="s">
        <v>43</v>
      </c>
      <c r="H55" s="20"/>
      <c r="I55" s="20"/>
      <c r="J55" s="26"/>
      <c r="K55" s="18" t="s">
        <v>249</v>
      </c>
      <c r="L55" s="18" t="s">
        <v>250</v>
      </c>
      <c r="M55" s="18" t="s">
        <v>251</v>
      </c>
      <c r="N55" s="60">
        <v>22.054507000000001</v>
      </c>
      <c r="O55" s="60">
        <v>91.886059000000003</v>
      </c>
      <c r="P55" s="62">
        <v>5000</v>
      </c>
      <c r="Q55" s="62"/>
      <c r="R55" s="18"/>
      <c r="S55" s="18"/>
      <c r="T55" s="22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17"/>
      <c r="AH55" s="24"/>
      <c r="AI55" s="25"/>
      <c r="AJ55" s="25"/>
    </row>
    <row r="56" spans="1:36" ht="15.6" x14ac:dyDescent="0.3">
      <c r="A56" s="77">
        <v>50</v>
      </c>
      <c r="B56" s="79" t="s">
        <v>2439</v>
      </c>
      <c r="C56" s="79" t="s">
        <v>117</v>
      </c>
      <c r="D56" s="65" t="s">
        <v>117</v>
      </c>
      <c r="E56" s="18" t="s">
        <v>101</v>
      </c>
      <c r="F56" s="18" t="s">
        <v>103</v>
      </c>
      <c r="G56" s="18" t="s">
        <v>43</v>
      </c>
      <c r="H56" s="20"/>
      <c r="I56" s="20"/>
      <c r="J56" s="26"/>
      <c r="K56" s="18" t="s">
        <v>252</v>
      </c>
      <c r="L56" s="18" t="s">
        <v>253</v>
      </c>
      <c r="M56" s="18" t="s">
        <v>254</v>
      </c>
      <c r="N56" s="60">
        <v>22.047429000000001</v>
      </c>
      <c r="O56" s="60">
        <v>91.892048000000003</v>
      </c>
      <c r="P56" s="62">
        <v>7000</v>
      </c>
      <c r="Q56" s="62"/>
      <c r="R56" s="18"/>
      <c r="S56" s="18"/>
      <c r="T56" s="22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17"/>
      <c r="AH56" s="24"/>
      <c r="AI56" s="25"/>
      <c r="AJ56" s="25"/>
    </row>
    <row r="57" spans="1:36" ht="15.6" x14ac:dyDescent="0.3">
      <c r="A57" s="77">
        <v>51</v>
      </c>
      <c r="B57" s="79" t="s">
        <v>2439</v>
      </c>
      <c r="C57" s="79" t="s">
        <v>117</v>
      </c>
      <c r="D57" s="65" t="s">
        <v>117</v>
      </c>
      <c r="E57" s="18" t="s">
        <v>101</v>
      </c>
      <c r="F57" s="18" t="s">
        <v>103</v>
      </c>
      <c r="G57" s="18" t="s">
        <v>44</v>
      </c>
      <c r="H57" s="20"/>
      <c r="I57" s="20"/>
      <c r="J57" s="26"/>
      <c r="K57" s="18" t="s">
        <v>255</v>
      </c>
      <c r="L57" s="18" t="s">
        <v>256</v>
      </c>
      <c r="M57" s="18" t="s">
        <v>257</v>
      </c>
      <c r="N57" s="60">
        <v>22.056384000000001</v>
      </c>
      <c r="O57" s="60">
        <v>91.901190999999997</v>
      </c>
      <c r="P57" s="62">
        <v>3200</v>
      </c>
      <c r="Q57" s="62"/>
      <c r="R57" s="18"/>
      <c r="S57" s="18"/>
      <c r="T57" s="22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17"/>
      <c r="AH57" s="24"/>
      <c r="AI57" s="25"/>
      <c r="AJ57" s="25"/>
    </row>
    <row r="58" spans="1:36" ht="15.6" x14ac:dyDescent="0.3">
      <c r="A58" s="77">
        <v>52</v>
      </c>
      <c r="B58" s="79" t="s">
        <v>2439</v>
      </c>
      <c r="C58" s="79" t="s">
        <v>117</v>
      </c>
      <c r="D58" s="65" t="s">
        <v>117</v>
      </c>
      <c r="E58" s="18" t="s">
        <v>101</v>
      </c>
      <c r="F58" s="18" t="s">
        <v>103</v>
      </c>
      <c r="G58" s="18" t="s">
        <v>44</v>
      </c>
      <c r="H58" s="20"/>
      <c r="I58" s="20"/>
      <c r="J58" s="26"/>
      <c r="K58" s="18" t="s">
        <v>258</v>
      </c>
      <c r="L58" s="18" t="s">
        <v>259</v>
      </c>
      <c r="M58" s="18" t="s">
        <v>260</v>
      </c>
      <c r="N58" s="60">
        <v>22.057794000000001</v>
      </c>
      <c r="O58" s="60">
        <v>91.894812999999999</v>
      </c>
      <c r="P58" s="62">
        <v>4000</v>
      </c>
      <c r="Q58" s="62"/>
      <c r="R58" s="18"/>
      <c r="S58" s="18"/>
      <c r="T58" s="22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17"/>
      <c r="AH58" s="24"/>
      <c r="AI58" s="25"/>
      <c r="AJ58" s="25"/>
    </row>
    <row r="59" spans="1:36" ht="15.6" x14ac:dyDescent="0.3">
      <c r="A59" s="77">
        <v>53</v>
      </c>
      <c r="B59" s="79" t="s">
        <v>2439</v>
      </c>
      <c r="C59" s="79" t="s">
        <v>117</v>
      </c>
      <c r="D59" s="65" t="s">
        <v>117</v>
      </c>
      <c r="E59" s="18" t="s">
        <v>101</v>
      </c>
      <c r="F59" s="18" t="s">
        <v>103</v>
      </c>
      <c r="G59" s="18" t="s">
        <v>44</v>
      </c>
      <c r="H59" s="20"/>
      <c r="I59" s="20"/>
      <c r="J59" s="26"/>
      <c r="K59" s="18" t="s">
        <v>261</v>
      </c>
      <c r="L59" s="18" t="s">
        <v>262</v>
      </c>
      <c r="M59" s="18" t="s">
        <v>263</v>
      </c>
      <c r="N59" s="60">
        <v>22.059559</v>
      </c>
      <c r="O59" s="60">
        <v>91.906920999999997</v>
      </c>
      <c r="P59" s="62">
        <v>3000</v>
      </c>
      <c r="Q59" s="62"/>
      <c r="R59" s="18"/>
      <c r="S59" s="18"/>
      <c r="T59" s="22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17"/>
      <c r="AH59" s="24"/>
      <c r="AI59" s="25"/>
      <c r="AJ59" s="25"/>
    </row>
    <row r="60" spans="1:36" ht="15.6" x14ac:dyDescent="0.3">
      <c r="A60" s="77">
        <v>54</v>
      </c>
      <c r="B60" s="79" t="s">
        <v>2439</v>
      </c>
      <c r="C60" s="79" t="s">
        <v>117</v>
      </c>
      <c r="D60" s="65" t="s">
        <v>117</v>
      </c>
      <c r="E60" s="18" t="s">
        <v>101</v>
      </c>
      <c r="F60" s="18" t="s">
        <v>103</v>
      </c>
      <c r="G60" s="18" t="s">
        <v>44</v>
      </c>
      <c r="H60" s="20"/>
      <c r="I60" s="20"/>
      <c r="J60" s="26"/>
      <c r="K60" s="18" t="s">
        <v>208</v>
      </c>
      <c r="L60" s="18" t="s">
        <v>209</v>
      </c>
      <c r="M60" s="18" t="s">
        <v>264</v>
      </c>
      <c r="N60" s="60">
        <v>22.060776000000001</v>
      </c>
      <c r="O60" s="60">
        <v>91.899647000000002</v>
      </c>
      <c r="P60" s="62">
        <v>200</v>
      </c>
      <c r="Q60" s="62"/>
      <c r="R60" s="18"/>
      <c r="S60" s="18"/>
      <c r="T60" s="22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17"/>
      <c r="AH60" s="24"/>
      <c r="AI60" s="25"/>
      <c r="AJ60" s="25"/>
    </row>
    <row r="61" spans="1:36" ht="15.6" x14ac:dyDescent="0.3">
      <c r="A61" s="77">
        <v>55</v>
      </c>
      <c r="B61" s="79" t="s">
        <v>2439</v>
      </c>
      <c r="C61" s="79" t="s">
        <v>117</v>
      </c>
      <c r="D61" s="65" t="s">
        <v>117</v>
      </c>
      <c r="E61" s="18" t="s">
        <v>101</v>
      </c>
      <c r="F61" s="18" t="s">
        <v>103</v>
      </c>
      <c r="G61" s="18" t="s">
        <v>45</v>
      </c>
      <c r="H61" s="20"/>
      <c r="I61" s="20"/>
      <c r="J61" s="26"/>
      <c r="K61" s="18" t="s">
        <v>265</v>
      </c>
      <c r="L61" s="18" t="s">
        <v>266</v>
      </c>
      <c r="M61" s="18" t="s">
        <v>267</v>
      </c>
      <c r="N61" s="60">
        <v>22.070226999999999</v>
      </c>
      <c r="O61" s="60">
        <v>91.895118999999994</v>
      </c>
      <c r="P61" s="62">
        <v>3000</v>
      </c>
      <c r="Q61" s="62"/>
      <c r="R61" s="18"/>
      <c r="S61" s="18"/>
      <c r="T61" s="22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17"/>
      <c r="AH61" s="24"/>
      <c r="AI61" s="25"/>
      <c r="AJ61" s="25"/>
    </row>
    <row r="62" spans="1:36" ht="15.6" x14ac:dyDescent="0.3">
      <c r="A62" s="77">
        <v>56</v>
      </c>
      <c r="B62" s="79" t="s">
        <v>2439</v>
      </c>
      <c r="C62" s="79" t="s">
        <v>117</v>
      </c>
      <c r="D62" s="65" t="s">
        <v>117</v>
      </c>
      <c r="E62" s="18" t="s">
        <v>101</v>
      </c>
      <c r="F62" s="18" t="s">
        <v>103</v>
      </c>
      <c r="G62" s="18" t="s">
        <v>45</v>
      </c>
      <c r="H62" s="20"/>
      <c r="I62" s="20"/>
      <c r="J62" s="26"/>
      <c r="K62" s="18" t="s">
        <v>268</v>
      </c>
      <c r="L62" s="18" t="s">
        <v>269</v>
      </c>
      <c r="M62" s="18" t="s">
        <v>270</v>
      </c>
      <c r="N62" s="60">
        <v>22.062635</v>
      </c>
      <c r="O62" s="60">
        <v>91.897672</v>
      </c>
      <c r="P62" s="62">
        <v>2500</v>
      </c>
      <c r="Q62" s="62"/>
      <c r="R62" s="18"/>
      <c r="S62" s="18"/>
      <c r="T62" s="27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17"/>
      <c r="AH62" s="24"/>
      <c r="AI62" s="25"/>
      <c r="AJ62" s="25"/>
    </row>
    <row r="63" spans="1:36" ht="15.6" x14ac:dyDescent="0.3">
      <c r="A63" s="77">
        <v>57</v>
      </c>
      <c r="B63" s="79" t="s">
        <v>2439</v>
      </c>
      <c r="C63" s="79" t="s">
        <v>117</v>
      </c>
      <c r="D63" s="65" t="s">
        <v>117</v>
      </c>
      <c r="E63" s="18" t="s">
        <v>101</v>
      </c>
      <c r="F63" s="18" t="s">
        <v>103</v>
      </c>
      <c r="G63" s="18" t="s">
        <v>46</v>
      </c>
      <c r="H63" s="20"/>
      <c r="I63" s="20"/>
      <c r="J63" s="26"/>
      <c r="K63" s="18" t="s">
        <v>268</v>
      </c>
      <c r="L63" s="18" t="s">
        <v>269</v>
      </c>
      <c r="M63" s="18" t="s">
        <v>271</v>
      </c>
      <c r="N63" s="60">
        <v>22.061990999999999</v>
      </c>
      <c r="O63" s="60">
        <v>91.904140999999996</v>
      </c>
      <c r="P63" s="62">
        <v>200</v>
      </c>
      <c r="Q63" s="62"/>
      <c r="R63" s="18"/>
      <c r="S63" s="18"/>
      <c r="T63" s="22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17"/>
      <c r="AH63" s="24"/>
      <c r="AI63" s="25"/>
      <c r="AJ63" s="25"/>
    </row>
    <row r="64" spans="1:36" ht="15.6" x14ac:dyDescent="0.3">
      <c r="A64" s="77">
        <v>58</v>
      </c>
      <c r="B64" s="79" t="s">
        <v>2439</v>
      </c>
      <c r="C64" s="79" t="s">
        <v>117</v>
      </c>
      <c r="D64" s="65" t="s">
        <v>117</v>
      </c>
      <c r="E64" s="18" t="s">
        <v>101</v>
      </c>
      <c r="F64" s="18" t="s">
        <v>103</v>
      </c>
      <c r="G64" s="18" t="s">
        <v>46</v>
      </c>
      <c r="H64" s="20"/>
      <c r="I64" s="20"/>
      <c r="J64" s="26"/>
      <c r="K64" s="66" t="s">
        <v>272</v>
      </c>
      <c r="L64" s="18" t="s">
        <v>273</v>
      </c>
      <c r="M64" s="18" t="s">
        <v>274</v>
      </c>
      <c r="N64" s="60">
        <v>22.062785999999999</v>
      </c>
      <c r="O64" s="60">
        <v>91.914330000000007</v>
      </c>
      <c r="P64" s="62">
        <v>1500</v>
      </c>
      <c r="Q64" s="62"/>
      <c r="R64" s="18"/>
      <c r="S64" s="18"/>
      <c r="T64" s="22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17"/>
      <c r="AH64" s="24"/>
      <c r="AI64" s="25"/>
      <c r="AJ64" s="25"/>
    </row>
    <row r="65" spans="1:36" ht="15.6" x14ac:dyDescent="0.3">
      <c r="A65" s="77">
        <v>59</v>
      </c>
      <c r="B65" s="79" t="s">
        <v>2439</v>
      </c>
      <c r="C65" s="79" t="s">
        <v>117</v>
      </c>
      <c r="D65" s="65" t="s">
        <v>117</v>
      </c>
      <c r="E65" s="18" t="s">
        <v>101</v>
      </c>
      <c r="F65" s="18" t="s">
        <v>103</v>
      </c>
      <c r="G65" s="18" t="s">
        <v>46</v>
      </c>
      <c r="H65" s="20"/>
      <c r="I65" s="20"/>
      <c r="J65" s="26"/>
      <c r="K65" s="18" t="s">
        <v>275</v>
      </c>
      <c r="L65" s="18" t="s">
        <v>276</v>
      </c>
      <c r="M65" s="18" t="s">
        <v>277</v>
      </c>
      <c r="N65" s="60">
        <v>22.070798</v>
      </c>
      <c r="O65" s="60">
        <v>91.915407000000002</v>
      </c>
      <c r="P65" s="62">
        <v>350</v>
      </c>
      <c r="Q65" s="62"/>
      <c r="R65" s="18"/>
      <c r="S65" s="18"/>
      <c r="T65" s="2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17"/>
      <c r="AH65" s="24"/>
      <c r="AI65" s="25"/>
      <c r="AJ65" s="25"/>
    </row>
    <row r="66" spans="1:36" ht="15.6" x14ac:dyDescent="0.3">
      <c r="A66" s="77">
        <v>60</v>
      </c>
      <c r="B66" s="79" t="s">
        <v>2439</v>
      </c>
      <c r="C66" s="79" t="s">
        <v>117</v>
      </c>
      <c r="D66" s="65" t="s">
        <v>117</v>
      </c>
      <c r="E66" s="18" t="s">
        <v>101</v>
      </c>
      <c r="F66" s="18" t="s">
        <v>103</v>
      </c>
      <c r="G66" s="18" t="s">
        <v>46</v>
      </c>
      <c r="H66" s="20"/>
      <c r="I66" s="20"/>
      <c r="J66" s="26"/>
      <c r="K66" s="18" t="s">
        <v>265</v>
      </c>
      <c r="L66" s="18" t="s">
        <v>266</v>
      </c>
      <c r="M66" s="18" t="s">
        <v>278</v>
      </c>
      <c r="N66" s="60">
        <v>22.06934</v>
      </c>
      <c r="O66" s="60">
        <v>91.903647000000007</v>
      </c>
      <c r="P66" s="62">
        <v>5000</v>
      </c>
      <c r="Q66" s="62"/>
      <c r="R66" s="18"/>
      <c r="S66" s="18"/>
      <c r="T66" s="2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17"/>
      <c r="AH66" s="24"/>
      <c r="AI66" s="25"/>
      <c r="AJ66" s="25"/>
    </row>
    <row r="67" spans="1:36" ht="15.6" x14ac:dyDescent="0.3">
      <c r="A67" s="77">
        <v>61</v>
      </c>
      <c r="B67" s="79" t="s">
        <v>2439</v>
      </c>
      <c r="C67" s="79" t="s">
        <v>117</v>
      </c>
      <c r="D67" s="65" t="s">
        <v>117</v>
      </c>
      <c r="E67" s="18" t="s">
        <v>101</v>
      </c>
      <c r="F67" s="18" t="s">
        <v>103</v>
      </c>
      <c r="G67" s="18" t="s">
        <v>47</v>
      </c>
      <c r="H67" s="20"/>
      <c r="I67" s="20"/>
      <c r="J67" s="26"/>
      <c r="K67" s="18" t="s">
        <v>265</v>
      </c>
      <c r="L67" s="18" t="s">
        <v>266</v>
      </c>
      <c r="M67" s="18" t="s">
        <v>279</v>
      </c>
      <c r="N67" s="60">
        <v>22.075015</v>
      </c>
      <c r="O67" s="60">
        <v>91.902439000000001</v>
      </c>
      <c r="P67" s="62">
        <v>2000</v>
      </c>
      <c r="Q67" s="62"/>
      <c r="R67" s="18"/>
      <c r="S67" s="18"/>
      <c r="T67" s="22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17"/>
      <c r="AH67" s="24"/>
      <c r="AI67" s="25"/>
      <c r="AJ67" s="25"/>
    </row>
    <row r="68" spans="1:36" ht="15.6" x14ac:dyDescent="0.3">
      <c r="A68" s="77">
        <v>62</v>
      </c>
      <c r="B68" s="79" t="s">
        <v>2439</v>
      </c>
      <c r="C68" s="79" t="s">
        <v>117</v>
      </c>
      <c r="D68" s="65" t="s">
        <v>117</v>
      </c>
      <c r="E68" s="18" t="s">
        <v>101</v>
      </c>
      <c r="F68" s="18" t="s">
        <v>103</v>
      </c>
      <c r="G68" s="18" t="s">
        <v>47</v>
      </c>
      <c r="H68" s="20"/>
      <c r="I68" s="20"/>
      <c r="J68" s="26"/>
      <c r="K68" s="18" t="s">
        <v>280</v>
      </c>
      <c r="L68" s="18" t="s">
        <v>281</v>
      </c>
      <c r="M68" s="18" t="s">
        <v>282</v>
      </c>
      <c r="N68" s="60">
        <v>22.078153</v>
      </c>
      <c r="O68" s="60">
        <v>91.902084000000002</v>
      </c>
      <c r="P68" s="62">
        <v>9000</v>
      </c>
      <c r="Q68" s="62"/>
      <c r="R68" s="18"/>
      <c r="S68" s="18"/>
      <c r="T68" s="2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17"/>
      <c r="AH68" s="24"/>
      <c r="AI68" s="25"/>
      <c r="AJ68" s="25"/>
    </row>
    <row r="69" spans="1:36" ht="15.6" x14ac:dyDescent="0.3">
      <c r="A69" s="77">
        <v>63</v>
      </c>
      <c r="B69" s="79" t="s">
        <v>2439</v>
      </c>
      <c r="C69" s="79" t="s">
        <v>117</v>
      </c>
      <c r="D69" s="65" t="s">
        <v>117</v>
      </c>
      <c r="E69" s="18" t="s">
        <v>101</v>
      </c>
      <c r="F69" s="18" t="s">
        <v>103</v>
      </c>
      <c r="G69" s="18" t="s">
        <v>48</v>
      </c>
      <c r="H69" s="20"/>
      <c r="I69" s="20"/>
      <c r="J69" s="26"/>
      <c r="K69" s="18" t="s">
        <v>241</v>
      </c>
      <c r="L69" s="18" t="s">
        <v>242</v>
      </c>
      <c r="M69" s="18" t="s">
        <v>283</v>
      </c>
      <c r="N69" s="60">
        <v>22.083175000000001</v>
      </c>
      <c r="O69" s="60">
        <v>91.883168999999995</v>
      </c>
      <c r="P69" s="62">
        <v>450</v>
      </c>
      <c r="Q69" s="62"/>
      <c r="R69" s="18"/>
      <c r="S69" s="18"/>
      <c r="T69" s="2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17"/>
      <c r="AH69" s="24"/>
      <c r="AI69" s="25"/>
      <c r="AJ69" s="25"/>
    </row>
    <row r="70" spans="1:36" ht="15.6" x14ac:dyDescent="0.3">
      <c r="A70" s="77">
        <v>64</v>
      </c>
      <c r="B70" s="79" t="s">
        <v>2439</v>
      </c>
      <c r="C70" s="79" t="s">
        <v>117</v>
      </c>
      <c r="D70" s="65" t="s">
        <v>117</v>
      </c>
      <c r="E70" s="18" t="s">
        <v>101</v>
      </c>
      <c r="F70" s="18" t="s">
        <v>103</v>
      </c>
      <c r="G70" s="18" t="s">
        <v>48</v>
      </c>
      <c r="H70" s="20"/>
      <c r="I70" s="20"/>
      <c r="J70" s="26"/>
      <c r="K70" s="18" t="s">
        <v>284</v>
      </c>
      <c r="L70" s="18" t="s">
        <v>285</v>
      </c>
      <c r="M70" s="18" t="s">
        <v>286</v>
      </c>
      <c r="N70" s="60">
        <v>22.075959000000001</v>
      </c>
      <c r="O70" s="60">
        <v>91.887302000000005</v>
      </c>
      <c r="P70" s="62">
        <v>4000</v>
      </c>
      <c r="Q70" s="62"/>
      <c r="R70" s="18"/>
      <c r="S70" s="18"/>
      <c r="T70" s="22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17"/>
      <c r="AH70" s="24"/>
      <c r="AI70" s="25"/>
      <c r="AJ70" s="25"/>
    </row>
    <row r="71" spans="1:36" ht="15.6" x14ac:dyDescent="0.3">
      <c r="A71" s="77">
        <v>65</v>
      </c>
      <c r="B71" s="79" t="s">
        <v>2439</v>
      </c>
      <c r="C71" s="79" t="s">
        <v>117</v>
      </c>
      <c r="D71" s="65" t="s">
        <v>117</v>
      </c>
      <c r="E71" s="18" t="s">
        <v>101</v>
      </c>
      <c r="F71" s="18" t="s">
        <v>103</v>
      </c>
      <c r="G71" s="18" t="s">
        <v>48</v>
      </c>
      <c r="H71" s="20"/>
      <c r="I71" s="20"/>
      <c r="J71" s="26"/>
      <c r="K71" s="18" t="s">
        <v>280</v>
      </c>
      <c r="L71" s="18" t="s">
        <v>281</v>
      </c>
      <c r="M71" s="18" t="s">
        <v>287</v>
      </c>
      <c r="N71" s="60">
        <v>22.081213999999999</v>
      </c>
      <c r="O71" s="60">
        <v>91.890364000000005</v>
      </c>
      <c r="P71" s="62">
        <v>600</v>
      </c>
      <c r="Q71" s="62"/>
      <c r="R71" s="18"/>
      <c r="S71" s="18"/>
      <c r="T71" s="22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17"/>
      <c r="AH71" s="24"/>
      <c r="AI71" s="25"/>
      <c r="AJ71" s="25"/>
    </row>
    <row r="72" spans="1:36" ht="15.6" x14ac:dyDescent="0.3">
      <c r="A72" s="77">
        <v>66</v>
      </c>
      <c r="B72" s="79" t="s">
        <v>2439</v>
      </c>
      <c r="C72" s="79" t="s">
        <v>117</v>
      </c>
      <c r="D72" s="65" t="s">
        <v>117</v>
      </c>
      <c r="E72" s="18" t="s">
        <v>101</v>
      </c>
      <c r="F72" s="18" t="s">
        <v>103</v>
      </c>
      <c r="G72" s="18" t="s">
        <v>48</v>
      </c>
      <c r="H72" s="20"/>
      <c r="I72" s="20"/>
      <c r="J72" s="26"/>
      <c r="K72" s="18" t="s">
        <v>288</v>
      </c>
      <c r="L72" s="18" t="s">
        <v>289</v>
      </c>
      <c r="M72" s="18" t="s">
        <v>290</v>
      </c>
      <c r="N72" s="60">
        <v>22.084990000000001</v>
      </c>
      <c r="O72" s="60">
        <v>91.895420999999999</v>
      </c>
      <c r="P72" s="62">
        <v>8000</v>
      </c>
      <c r="Q72" s="62"/>
      <c r="R72" s="18"/>
      <c r="S72" s="18"/>
      <c r="T72" s="27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17"/>
      <c r="AH72" s="24"/>
      <c r="AI72" s="25"/>
      <c r="AJ72" s="25"/>
    </row>
    <row r="73" spans="1:36" ht="15.6" x14ac:dyDescent="0.3">
      <c r="A73" s="77">
        <v>67</v>
      </c>
      <c r="B73" s="79" t="s">
        <v>2439</v>
      </c>
      <c r="C73" s="79" t="s">
        <v>117</v>
      </c>
      <c r="D73" s="65" t="s">
        <v>117</v>
      </c>
      <c r="E73" s="18" t="s">
        <v>101</v>
      </c>
      <c r="F73" s="18" t="s">
        <v>103</v>
      </c>
      <c r="G73" s="18" t="s">
        <v>49</v>
      </c>
      <c r="H73" s="20"/>
      <c r="I73" s="20"/>
      <c r="J73" s="26"/>
      <c r="K73" s="18" t="s">
        <v>291</v>
      </c>
      <c r="L73" s="18" t="s">
        <v>292</v>
      </c>
      <c r="M73" s="18" t="s">
        <v>293</v>
      </c>
      <c r="N73" s="60">
        <v>22.089974999999999</v>
      </c>
      <c r="O73" s="60">
        <v>91.906035000000003</v>
      </c>
      <c r="P73" s="62">
        <v>11000</v>
      </c>
      <c r="Q73" s="62"/>
      <c r="R73" s="18"/>
      <c r="S73" s="18"/>
      <c r="T73" s="22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17"/>
      <c r="AH73" s="24"/>
      <c r="AI73" s="25"/>
      <c r="AJ73" s="25"/>
    </row>
    <row r="74" spans="1:36" ht="15.6" x14ac:dyDescent="0.3">
      <c r="A74" s="77">
        <v>68</v>
      </c>
      <c r="B74" s="79" t="s">
        <v>2439</v>
      </c>
      <c r="C74" s="79" t="s">
        <v>117</v>
      </c>
      <c r="D74" s="65" t="s">
        <v>117</v>
      </c>
      <c r="E74" s="18" t="s">
        <v>101</v>
      </c>
      <c r="F74" s="18" t="s">
        <v>104</v>
      </c>
      <c r="G74" s="18" t="s">
        <v>41</v>
      </c>
      <c r="H74" s="20"/>
      <c r="I74" s="20"/>
      <c r="J74" s="26"/>
      <c r="K74" s="18" t="s">
        <v>294</v>
      </c>
      <c r="L74" s="18" t="s">
        <v>295</v>
      </c>
      <c r="M74" s="18" t="s">
        <v>296</v>
      </c>
      <c r="N74" s="60">
        <v>22.001556000000001</v>
      </c>
      <c r="O74" s="60">
        <v>91.927486000000002</v>
      </c>
      <c r="P74" s="62">
        <v>700</v>
      </c>
      <c r="Q74" s="62"/>
      <c r="R74" s="18"/>
      <c r="S74" s="18"/>
      <c r="T74" s="22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17"/>
      <c r="AH74" s="24"/>
      <c r="AI74" s="25"/>
      <c r="AJ74" s="25"/>
    </row>
    <row r="75" spans="1:36" ht="15.6" x14ac:dyDescent="0.3">
      <c r="A75" s="77">
        <v>69</v>
      </c>
      <c r="B75" s="79" t="s">
        <v>2439</v>
      </c>
      <c r="C75" s="79" t="s">
        <v>117</v>
      </c>
      <c r="D75" s="65" t="s">
        <v>117</v>
      </c>
      <c r="E75" s="18" t="s">
        <v>101</v>
      </c>
      <c r="F75" s="18" t="s">
        <v>104</v>
      </c>
      <c r="G75" s="18" t="s">
        <v>41</v>
      </c>
      <c r="H75" s="37"/>
      <c r="I75" s="23"/>
      <c r="J75" s="26"/>
      <c r="K75" s="18" t="s">
        <v>297</v>
      </c>
      <c r="L75" s="18" t="s">
        <v>298</v>
      </c>
      <c r="M75" s="18" t="s">
        <v>299</v>
      </c>
      <c r="N75" s="60">
        <v>22.003475000000002</v>
      </c>
      <c r="O75" s="60">
        <v>91.925546999999995</v>
      </c>
      <c r="P75" s="62">
        <v>400</v>
      </c>
      <c r="Q75" s="62"/>
      <c r="R75" s="18"/>
      <c r="S75" s="18"/>
      <c r="T75" s="22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17"/>
      <c r="AH75" s="24"/>
      <c r="AI75" s="25"/>
      <c r="AJ75" s="25"/>
    </row>
    <row r="76" spans="1:36" ht="15.6" x14ac:dyDescent="0.3">
      <c r="A76" s="77">
        <v>70</v>
      </c>
      <c r="B76" s="79" t="s">
        <v>2439</v>
      </c>
      <c r="C76" s="79" t="s">
        <v>117</v>
      </c>
      <c r="D76" s="65" t="s">
        <v>117</v>
      </c>
      <c r="E76" s="18" t="s">
        <v>101</v>
      </c>
      <c r="F76" s="18" t="s">
        <v>104</v>
      </c>
      <c r="G76" s="18" t="s">
        <v>41</v>
      </c>
      <c r="H76" s="20"/>
      <c r="I76" s="20"/>
      <c r="J76" s="26"/>
      <c r="K76" s="18" t="s">
        <v>300</v>
      </c>
      <c r="L76" s="66" t="s">
        <v>301</v>
      </c>
      <c r="M76" s="18" t="s">
        <v>302</v>
      </c>
      <c r="N76" s="60">
        <v>22.003049000000001</v>
      </c>
      <c r="O76" s="60">
        <v>91.926153999999997</v>
      </c>
      <c r="P76" s="62">
        <v>1200</v>
      </c>
      <c r="Q76" s="62"/>
      <c r="R76" s="18"/>
      <c r="S76" s="18"/>
      <c r="T76" s="22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17"/>
      <c r="AH76" s="24"/>
      <c r="AI76" s="25"/>
      <c r="AJ76" s="25"/>
    </row>
    <row r="77" spans="1:36" ht="15.6" x14ac:dyDescent="0.3">
      <c r="A77" s="77">
        <v>71</v>
      </c>
      <c r="B77" s="79" t="s">
        <v>2439</v>
      </c>
      <c r="C77" s="79" t="s">
        <v>117</v>
      </c>
      <c r="D77" s="65" t="s">
        <v>117</v>
      </c>
      <c r="E77" s="18" t="s">
        <v>101</v>
      </c>
      <c r="F77" s="18" t="s">
        <v>104</v>
      </c>
      <c r="G77" s="18" t="s">
        <v>41</v>
      </c>
      <c r="H77" s="20"/>
      <c r="I77" s="23"/>
      <c r="J77" s="26"/>
      <c r="K77" s="18" t="s">
        <v>303</v>
      </c>
      <c r="L77" s="66" t="s">
        <v>304</v>
      </c>
      <c r="M77" s="18" t="s">
        <v>305</v>
      </c>
      <c r="N77" s="60">
        <v>22.007097000000002</v>
      </c>
      <c r="O77" s="60">
        <v>91.924998000000002</v>
      </c>
      <c r="P77" s="62">
        <v>850</v>
      </c>
      <c r="Q77" s="62"/>
      <c r="R77" s="18"/>
      <c r="S77" s="18"/>
      <c r="T77" s="27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17"/>
      <c r="AH77" s="24"/>
      <c r="AI77" s="25"/>
      <c r="AJ77" s="25"/>
    </row>
    <row r="78" spans="1:36" ht="15.6" x14ac:dyDescent="0.3">
      <c r="A78" s="77">
        <v>72</v>
      </c>
      <c r="B78" s="79" t="s">
        <v>2439</v>
      </c>
      <c r="C78" s="79" t="s">
        <v>117</v>
      </c>
      <c r="D78" s="65" t="s">
        <v>117</v>
      </c>
      <c r="E78" s="18" t="s">
        <v>101</v>
      </c>
      <c r="F78" s="18" t="s">
        <v>104</v>
      </c>
      <c r="G78" s="18" t="s">
        <v>41</v>
      </c>
      <c r="H78" s="20"/>
      <c r="I78" s="23"/>
      <c r="J78" s="26"/>
      <c r="K78" s="18" t="s">
        <v>306</v>
      </c>
      <c r="L78" s="18" t="s">
        <v>307</v>
      </c>
      <c r="M78" s="18" t="s">
        <v>308</v>
      </c>
      <c r="N78" s="60">
        <v>22.007016</v>
      </c>
      <c r="O78" s="60">
        <v>91.928347000000002</v>
      </c>
      <c r="P78" s="62">
        <v>1200</v>
      </c>
      <c r="Q78" s="62"/>
      <c r="R78" s="18"/>
      <c r="S78" s="18"/>
      <c r="T78" s="27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17"/>
      <c r="AH78" s="24"/>
      <c r="AI78" s="25"/>
      <c r="AJ78" s="25"/>
    </row>
    <row r="79" spans="1:36" ht="15.6" x14ac:dyDescent="0.3">
      <c r="A79" s="77">
        <v>73</v>
      </c>
      <c r="B79" s="79" t="s">
        <v>2439</v>
      </c>
      <c r="C79" s="79" t="s">
        <v>117</v>
      </c>
      <c r="D79" s="65" t="s">
        <v>117</v>
      </c>
      <c r="E79" s="18" t="s">
        <v>101</v>
      </c>
      <c r="F79" s="18" t="s">
        <v>104</v>
      </c>
      <c r="G79" s="18" t="s">
        <v>41</v>
      </c>
      <c r="H79" s="20"/>
      <c r="I79" s="23"/>
      <c r="J79" s="26"/>
      <c r="K79" s="18" t="s">
        <v>309</v>
      </c>
      <c r="L79" s="18" t="s">
        <v>310</v>
      </c>
      <c r="M79" s="18" t="s">
        <v>311</v>
      </c>
      <c r="N79" s="60">
        <v>22.006076</v>
      </c>
      <c r="O79" s="60">
        <v>91.925399999999996</v>
      </c>
      <c r="P79" s="62">
        <v>550</v>
      </c>
      <c r="Q79" s="62"/>
      <c r="R79" s="18"/>
      <c r="S79" s="18"/>
      <c r="T79" s="27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17"/>
      <c r="AH79" s="24"/>
      <c r="AI79" s="25"/>
      <c r="AJ79" s="25"/>
    </row>
    <row r="80" spans="1:36" ht="15.6" x14ac:dyDescent="0.3">
      <c r="A80" s="77">
        <v>74</v>
      </c>
      <c r="B80" s="79" t="s">
        <v>2439</v>
      </c>
      <c r="C80" s="79" t="s">
        <v>117</v>
      </c>
      <c r="D80" s="65" t="s">
        <v>117</v>
      </c>
      <c r="E80" s="18" t="s">
        <v>101</v>
      </c>
      <c r="F80" s="18" t="s">
        <v>104</v>
      </c>
      <c r="G80" s="18" t="s">
        <v>41</v>
      </c>
      <c r="H80" s="20"/>
      <c r="I80" s="23"/>
      <c r="J80" s="26"/>
      <c r="K80" s="18" t="s">
        <v>312</v>
      </c>
      <c r="L80" s="18" t="s">
        <v>313</v>
      </c>
      <c r="M80" s="18" t="s">
        <v>314</v>
      </c>
      <c r="N80" s="60">
        <v>22.011184</v>
      </c>
      <c r="O80" s="60">
        <v>91.930003999999997</v>
      </c>
      <c r="P80" s="62">
        <v>350</v>
      </c>
      <c r="Q80" s="62"/>
      <c r="R80" s="18"/>
      <c r="S80" s="18"/>
      <c r="T80" s="27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17"/>
      <c r="AH80" s="24"/>
      <c r="AI80" s="25"/>
      <c r="AJ80" s="25"/>
    </row>
    <row r="81" spans="1:36" ht="15.6" x14ac:dyDescent="0.3">
      <c r="A81" s="77">
        <v>75</v>
      </c>
      <c r="B81" s="79" t="s">
        <v>2439</v>
      </c>
      <c r="C81" s="79" t="s">
        <v>117</v>
      </c>
      <c r="D81" s="65" t="s">
        <v>117</v>
      </c>
      <c r="E81" s="18" t="s">
        <v>101</v>
      </c>
      <c r="F81" s="18" t="s">
        <v>104</v>
      </c>
      <c r="G81" s="18" t="s">
        <v>41</v>
      </c>
      <c r="H81" s="20"/>
      <c r="I81" s="23"/>
      <c r="J81" s="26"/>
      <c r="K81" s="18" t="s">
        <v>315</v>
      </c>
      <c r="L81" s="66" t="s">
        <v>316</v>
      </c>
      <c r="M81" s="18" t="s">
        <v>317</v>
      </c>
      <c r="N81" s="60">
        <v>22.013518000000001</v>
      </c>
      <c r="O81" s="60">
        <v>91.925083999999998</v>
      </c>
      <c r="P81" s="62">
        <v>600</v>
      </c>
      <c r="Q81" s="62"/>
      <c r="R81" s="18"/>
      <c r="S81" s="18"/>
      <c r="T81" s="27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17"/>
      <c r="AH81" s="24"/>
      <c r="AI81" s="25"/>
      <c r="AJ81" s="25"/>
    </row>
    <row r="82" spans="1:36" ht="15.6" x14ac:dyDescent="0.3">
      <c r="A82" s="77">
        <v>76</v>
      </c>
      <c r="B82" s="79" t="s">
        <v>2439</v>
      </c>
      <c r="C82" s="79" t="s">
        <v>117</v>
      </c>
      <c r="D82" s="65" t="s">
        <v>117</v>
      </c>
      <c r="E82" s="18" t="s">
        <v>101</v>
      </c>
      <c r="F82" s="18" t="s">
        <v>104</v>
      </c>
      <c r="G82" s="18" t="s">
        <v>41</v>
      </c>
      <c r="H82" s="20"/>
      <c r="I82" s="23"/>
      <c r="J82" s="26"/>
      <c r="K82" s="18" t="s">
        <v>318</v>
      </c>
      <c r="L82" s="66" t="s">
        <v>319</v>
      </c>
      <c r="M82" s="18" t="s">
        <v>320</v>
      </c>
      <c r="N82" s="60">
        <v>22.012218000000001</v>
      </c>
      <c r="O82" s="60">
        <v>91.926332000000002</v>
      </c>
      <c r="P82" s="62">
        <v>450</v>
      </c>
      <c r="Q82" s="62"/>
      <c r="R82" s="18"/>
      <c r="S82" s="18"/>
      <c r="T82" s="27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17"/>
      <c r="AH82" s="24"/>
      <c r="AI82" s="25"/>
      <c r="AJ82" s="25"/>
    </row>
    <row r="83" spans="1:36" ht="15.6" x14ac:dyDescent="0.3">
      <c r="A83" s="77">
        <v>77</v>
      </c>
      <c r="B83" s="79" t="s">
        <v>2439</v>
      </c>
      <c r="C83" s="79" t="s">
        <v>117</v>
      </c>
      <c r="D83" s="65" t="s">
        <v>117</v>
      </c>
      <c r="E83" s="18" t="s">
        <v>101</v>
      </c>
      <c r="F83" s="18" t="s">
        <v>104</v>
      </c>
      <c r="G83" s="18" t="s">
        <v>41</v>
      </c>
      <c r="H83" s="20"/>
      <c r="I83" s="23"/>
      <c r="J83" s="26"/>
      <c r="K83" s="18" t="s">
        <v>321</v>
      </c>
      <c r="L83" s="66" t="s">
        <v>322</v>
      </c>
      <c r="M83" s="18" t="s">
        <v>323</v>
      </c>
      <c r="N83" s="60">
        <v>22.010925</v>
      </c>
      <c r="O83" s="60">
        <v>91.923137999999994</v>
      </c>
      <c r="P83" s="62">
        <v>1600</v>
      </c>
      <c r="Q83" s="62"/>
      <c r="R83" s="18"/>
      <c r="S83" s="18"/>
      <c r="T83" s="27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17"/>
      <c r="AH83" s="24"/>
      <c r="AI83" s="25"/>
      <c r="AJ83" s="25"/>
    </row>
    <row r="84" spans="1:36" ht="15.6" x14ac:dyDescent="0.3">
      <c r="A84" s="77">
        <v>78</v>
      </c>
      <c r="B84" s="79" t="s">
        <v>2439</v>
      </c>
      <c r="C84" s="79" t="s">
        <v>117</v>
      </c>
      <c r="D84" s="65" t="s">
        <v>117</v>
      </c>
      <c r="E84" s="18" t="s">
        <v>101</v>
      </c>
      <c r="F84" s="18" t="s">
        <v>104</v>
      </c>
      <c r="G84" s="18" t="s">
        <v>41</v>
      </c>
      <c r="H84" s="20"/>
      <c r="I84" s="23"/>
      <c r="J84" s="26"/>
      <c r="K84" s="18" t="s">
        <v>324</v>
      </c>
      <c r="L84" s="67" t="s">
        <v>325</v>
      </c>
      <c r="M84" s="18" t="s">
        <v>326</v>
      </c>
      <c r="N84" s="60">
        <v>22.007933999999999</v>
      </c>
      <c r="O84" s="60">
        <v>91.926106000000004</v>
      </c>
      <c r="P84" s="62">
        <v>3000</v>
      </c>
      <c r="Q84" s="62"/>
      <c r="R84" s="18"/>
      <c r="S84" s="18"/>
      <c r="T84" s="27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17"/>
      <c r="AH84" s="24"/>
      <c r="AI84" s="25"/>
      <c r="AJ84" s="25"/>
    </row>
    <row r="85" spans="1:36" ht="15.6" x14ac:dyDescent="0.3">
      <c r="A85" s="77">
        <v>79</v>
      </c>
      <c r="B85" s="79" t="s">
        <v>2439</v>
      </c>
      <c r="C85" s="79" t="s">
        <v>117</v>
      </c>
      <c r="D85" s="65" t="s">
        <v>117</v>
      </c>
      <c r="E85" s="18" t="s">
        <v>101</v>
      </c>
      <c r="F85" s="18" t="s">
        <v>104</v>
      </c>
      <c r="G85" s="18" t="s">
        <v>41</v>
      </c>
      <c r="H85" s="20"/>
      <c r="I85" s="23"/>
      <c r="J85" s="26"/>
      <c r="K85" s="18" t="s">
        <v>327</v>
      </c>
      <c r="L85" s="18" t="s">
        <v>328</v>
      </c>
      <c r="M85" s="18" t="s">
        <v>329</v>
      </c>
      <c r="N85" s="60">
        <v>22.017977999999999</v>
      </c>
      <c r="O85" s="60">
        <v>91.924239999999998</v>
      </c>
      <c r="P85" s="62">
        <v>150</v>
      </c>
      <c r="Q85" s="62"/>
      <c r="R85" s="18"/>
      <c r="S85" s="18"/>
      <c r="T85" s="27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17"/>
      <c r="AH85" s="24"/>
      <c r="AI85" s="25"/>
      <c r="AJ85" s="25"/>
    </row>
    <row r="86" spans="1:36" ht="15.6" x14ac:dyDescent="0.3">
      <c r="A86" s="77">
        <v>80</v>
      </c>
      <c r="B86" s="79" t="s">
        <v>2439</v>
      </c>
      <c r="C86" s="79" t="s">
        <v>117</v>
      </c>
      <c r="D86" s="65" t="s">
        <v>117</v>
      </c>
      <c r="E86" s="18" t="s">
        <v>101</v>
      </c>
      <c r="F86" s="18" t="s">
        <v>104</v>
      </c>
      <c r="G86" s="18" t="s">
        <v>41</v>
      </c>
      <c r="H86" s="20"/>
      <c r="I86" s="23"/>
      <c r="J86" s="26"/>
      <c r="K86" s="18" t="s">
        <v>330</v>
      </c>
      <c r="L86" s="18" t="s">
        <v>331</v>
      </c>
      <c r="M86" s="18" t="s">
        <v>332</v>
      </c>
      <c r="N86" s="60">
        <v>22.017679999999999</v>
      </c>
      <c r="O86" s="60">
        <v>91.927597000000006</v>
      </c>
      <c r="P86" s="62">
        <v>500</v>
      </c>
      <c r="Q86" s="62"/>
      <c r="R86" s="18"/>
      <c r="S86" s="18"/>
      <c r="T86" s="27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17"/>
      <c r="AH86" s="24"/>
      <c r="AI86" s="25"/>
      <c r="AJ86" s="25"/>
    </row>
    <row r="87" spans="1:36" ht="15.6" x14ac:dyDescent="0.3">
      <c r="A87" s="77">
        <v>81</v>
      </c>
      <c r="B87" s="79" t="s">
        <v>2439</v>
      </c>
      <c r="C87" s="79" t="s">
        <v>117</v>
      </c>
      <c r="D87" s="65" t="s">
        <v>117</v>
      </c>
      <c r="E87" s="18" t="s">
        <v>101</v>
      </c>
      <c r="F87" s="18" t="s">
        <v>104</v>
      </c>
      <c r="G87" s="18" t="s">
        <v>41</v>
      </c>
      <c r="H87" s="20"/>
      <c r="I87" s="23"/>
      <c r="J87" s="26"/>
      <c r="K87" s="18" t="s">
        <v>333</v>
      </c>
      <c r="L87" s="18" t="s">
        <v>334</v>
      </c>
      <c r="M87" s="18" t="s">
        <v>335</v>
      </c>
      <c r="N87" s="60">
        <v>22.019611000000001</v>
      </c>
      <c r="O87" s="60">
        <v>91.928776999999997</v>
      </c>
      <c r="P87" s="62">
        <v>600</v>
      </c>
      <c r="Q87" s="62"/>
      <c r="R87" s="49"/>
      <c r="S87" s="49"/>
      <c r="T87" s="27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17"/>
      <c r="AH87" s="24"/>
      <c r="AI87" s="25"/>
      <c r="AJ87" s="25"/>
    </row>
    <row r="88" spans="1:36" ht="15.6" x14ac:dyDescent="0.3">
      <c r="A88" s="77">
        <v>82</v>
      </c>
      <c r="B88" s="79" t="s">
        <v>2439</v>
      </c>
      <c r="C88" s="79" t="s">
        <v>117</v>
      </c>
      <c r="D88" s="65" t="s">
        <v>117</v>
      </c>
      <c r="E88" s="18" t="s">
        <v>101</v>
      </c>
      <c r="F88" s="18" t="s">
        <v>104</v>
      </c>
      <c r="G88" s="18" t="s">
        <v>41</v>
      </c>
      <c r="H88" s="20"/>
      <c r="I88" s="20"/>
      <c r="J88" s="26"/>
      <c r="K88" s="18" t="s">
        <v>336</v>
      </c>
      <c r="L88" s="66" t="s">
        <v>337</v>
      </c>
      <c r="M88" s="18" t="s">
        <v>338</v>
      </c>
      <c r="N88" s="60">
        <v>22.019327000000001</v>
      </c>
      <c r="O88" s="60">
        <v>91.931652</v>
      </c>
      <c r="P88" s="62">
        <v>300</v>
      </c>
      <c r="Q88" s="62"/>
      <c r="R88" s="18"/>
      <c r="S88" s="18"/>
      <c r="T88" s="22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16"/>
      <c r="AH88" s="24"/>
      <c r="AI88" s="25"/>
      <c r="AJ88" s="25"/>
    </row>
    <row r="89" spans="1:36" ht="15.6" x14ac:dyDescent="0.3">
      <c r="A89" s="77">
        <v>83</v>
      </c>
      <c r="B89" s="79" t="s">
        <v>2439</v>
      </c>
      <c r="C89" s="79" t="s">
        <v>117</v>
      </c>
      <c r="D89" s="65" t="s">
        <v>117</v>
      </c>
      <c r="E89" s="18" t="s">
        <v>101</v>
      </c>
      <c r="F89" s="18" t="s">
        <v>104</v>
      </c>
      <c r="G89" s="18" t="s">
        <v>41</v>
      </c>
      <c r="H89" s="20"/>
      <c r="I89" s="20"/>
      <c r="J89" s="26"/>
      <c r="K89" s="18" t="s">
        <v>339</v>
      </c>
      <c r="L89" s="66" t="s">
        <v>340</v>
      </c>
      <c r="M89" s="18" t="s">
        <v>341</v>
      </c>
      <c r="N89" s="60">
        <v>22.018370000000001</v>
      </c>
      <c r="O89" s="60">
        <v>91.933263999999994</v>
      </c>
      <c r="P89" s="62">
        <v>300</v>
      </c>
      <c r="Q89" s="62"/>
      <c r="R89" s="18"/>
      <c r="S89" s="18"/>
      <c r="T89" s="27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17"/>
      <c r="AH89" s="24"/>
      <c r="AI89" s="25"/>
      <c r="AJ89" s="25"/>
    </row>
    <row r="90" spans="1:36" ht="15.6" x14ac:dyDescent="0.3">
      <c r="A90" s="77">
        <v>84</v>
      </c>
      <c r="B90" s="79" t="s">
        <v>2439</v>
      </c>
      <c r="C90" s="79" t="s">
        <v>117</v>
      </c>
      <c r="D90" s="65" t="s">
        <v>117</v>
      </c>
      <c r="E90" s="18" t="s">
        <v>101</v>
      </c>
      <c r="F90" s="18" t="s">
        <v>104</v>
      </c>
      <c r="G90" s="18" t="s">
        <v>41</v>
      </c>
      <c r="H90" s="20"/>
      <c r="I90" s="20"/>
      <c r="J90" s="26"/>
      <c r="K90" s="18" t="s">
        <v>342</v>
      </c>
      <c r="L90" s="18" t="s">
        <v>343</v>
      </c>
      <c r="M90" s="18" t="s">
        <v>344</v>
      </c>
      <c r="N90" s="60">
        <v>22.017748999999998</v>
      </c>
      <c r="O90" s="60">
        <v>91.928664999999995</v>
      </c>
      <c r="P90" s="62">
        <v>800</v>
      </c>
      <c r="Q90" s="62"/>
      <c r="R90" s="18"/>
      <c r="S90" s="18"/>
      <c r="T90" s="27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17"/>
      <c r="AH90" s="24"/>
      <c r="AI90" s="25"/>
      <c r="AJ90" s="25"/>
    </row>
    <row r="91" spans="1:36" ht="15.6" x14ac:dyDescent="0.3">
      <c r="A91" s="77">
        <v>85</v>
      </c>
      <c r="B91" s="79" t="s">
        <v>2439</v>
      </c>
      <c r="C91" s="79" t="s">
        <v>117</v>
      </c>
      <c r="D91" s="65" t="s">
        <v>117</v>
      </c>
      <c r="E91" s="18" t="s">
        <v>101</v>
      </c>
      <c r="F91" s="18" t="s">
        <v>104</v>
      </c>
      <c r="G91" s="18" t="s">
        <v>41</v>
      </c>
      <c r="H91" s="20"/>
      <c r="I91" s="20"/>
      <c r="J91" s="26"/>
      <c r="K91" s="18" t="s">
        <v>345</v>
      </c>
      <c r="L91" s="66" t="s">
        <v>346</v>
      </c>
      <c r="M91" s="18" t="s">
        <v>347</v>
      </c>
      <c r="N91" s="60">
        <v>22.017050999999999</v>
      </c>
      <c r="O91" s="60">
        <v>91.931505999999999</v>
      </c>
      <c r="P91" s="62">
        <v>1400</v>
      </c>
      <c r="Q91" s="62"/>
      <c r="R91" s="18"/>
      <c r="S91" s="18"/>
      <c r="T91" s="27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17"/>
      <c r="AH91" s="24"/>
      <c r="AI91" s="25"/>
      <c r="AJ91" s="25"/>
    </row>
    <row r="92" spans="1:36" ht="15.6" x14ac:dyDescent="0.3">
      <c r="A92" s="77">
        <v>86</v>
      </c>
      <c r="B92" s="79" t="s">
        <v>2439</v>
      </c>
      <c r="C92" s="79" t="s">
        <v>117</v>
      </c>
      <c r="D92" s="65" t="s">
        <v>117</v>
      </c>
      <c r="E92" s="18" t="s">
        <v>101</v>
      </c>
      <c r="F92" s="18" t="s">
        <v>104</v>
      </c>
      <c r="G92" s="18" t="s">
        <v>42</v>
      </c>
      <c r="H92" s="20"/>
      <c r="I92" s="20"/>
      <c r="J92" s="26"/>
      <c r="K92" s="18" t="s">
        <v>348</v>
      </c>
      <c r="L92" s="18" t="s">
        <v>349</v>
      </c>
      <c r="M92" s="18" t="s">
        <v>350</v>
      </c>
      <c r="N92" s="60">
        <v>22.018698000000001</v>
      </c>
      <c r="O92" s="60">
        <v>91.942385000000002</v>
      </c>
      <c r="P92" s="62">
        <v>1000</v>
      </c>
      <c r="Q92" s="62"/>
      <c r="R92" s="18"/>
      <c r="S92" s="18"/>
      <c r="T92" s="27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17"/>
      <c r="AH92" s="24"/>
      <c r="AI92" s="25"/>
      <c r="AJ92" s="25"/>
    </row>
    <row r="93" spans="1:36" ht="15.6" x14ac:dyDescent="0.3">
      <c r="A93" s="77">
        <v>87</v>
      </c>
      <c r="B93" s="79" t="s">
        <v>2439</v>
      </c>
      <c r="C93" s="79" t="s">
        <v>117</v>
      </c>
      <c r="D93" s="65" t="s">
        <v>117</v>
      </c>
      <c r="E93" s="18" t="s">
        <v>101</v>
      </c>
      <c r="F93" s="18" t="s">
        <v>104</v>
      </c>
      <c r="G93" s="18" t="s">
        <v>42</v>
      </c>
      <c r="H93" s="20"/>
      <c r="I93" s="20"/>
      <c r="J93" s="26"/>
      <c r="K93" s="18" t="s">
        <v>351</v>
      </c>
      <c r="L93" s="18" t="s">
        <v>352</v>
      </c>
      <c r="M93" s="18" t="s">
        <v>353</v>
      </c>
      <c r="N93" s="60">
        <v>22.018947000000001</v>
      </c>
      <c r="O93" s="60">
        <v>91.940687999999994</v>
      </c>
      <c r="P93" s="62">
        <v>500</v>
      </c>
      <c r="Q93" s="62"/>
      <c r="R93" s="18"/>
      <c r="S93" s="18"/>
      <c r="T93" s="27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17"/>
      <c r="AH93" s="24"/>
      <c r="AI93" s="25"/>
      <c r="AJ93" s="25"/>
    </row>
    <row r="94" spans="1:36" ht="15.6" x14ac:dyDescent="0.3">
      <c r="A94" s="77">
        <v>88</v>
      </c>
      <c r="B94" s="79" t="s">
        <v>2439</v>
      </c>
      <c r="C94" s="79" t="s">
        <v>117</v>
      </c>
      <c r="D94" s="65" t="s">
        <v>117</v>
      </c>
      <c r="E94" s="18" t="s">
        <v>101</v>
      </c>
      <c r="F94" s="18" t="s">
        <v>104</v>
      </c>
      <c r="G94" s="18" t="s">
        <v>42</v>
      </c>
      <c r="H94" s="20"/>
      <c r="I94" s="20"/>
      <c r="J94" s="26"/>
      <c r="K94" s="18" t="s">
        <v>354</v>
      </c>
      <c r="L94" s="18" t="s">
        <v>355</v>
      </c>
      <c r="M94" s="18" t="s">
        <v>356</v>
      </c>
      <c r="N94" s="60">
        <v>22.019634</v>
      </c>
      <c r="O94" s="60">
        <v>91.939452000000003</v>
      </c>
      <c r="P94" s="62">
        <v>700</v>
      </c>
      <c r="Q94" s="62"/>
      <c r="R94" s="18"/>
      <c r="S94" s="18"/>
      <c r="T94" s="27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17"/>
      <c r="AH94" s="24"/>
      <c r="AI94" s="25"/>
      <c r="AJ94" s="25"/>
    </row>
    <row r="95" spans="1:36" ht="15.6" x14ac:dyDescent="0.3">
      <c r="A95" s="77">
        <v>89</v>
      </c>
      <c r="B95" s="79" t="s">
        <v>2439</v>
      </c>
      <c r="C95" s="79" t="s">
        <v>117</v>
      </c>
      <c r="D95" s="65" t="s">
        <v>117</v>
      </c>
      <c r="E95" s="18" t="s">
        <v>101</v>
      </c>
      <c r="F95" s="18" t="s">
        <v>104</v>
      </c>
      <c r="G95" s="18" t="s">
        <v>42</v>
      </c>
      <c r="H95" s="20"/>
      <c r="I95" s="20"/>
      <c r="J95" s="26"/>
      <c r="K95" s="18" t="s">
        <v>357</v>
      </c>
      <c r="L95" s="18" t="s">
        <v>358</v>
      </c>
      <c r="M95" s="18" t="s">
        <v>359</v>
      </c>
      <c r="N95" s="60">
        <v>22.020364000000001</v>
      </c>
      <c r="O95" s="60">
        <v>91.936744000000004</v>
      </c>
      <c r="P95" s="62">
        <v>1200</v>
      </c>
      <c r="Q95" s="62"/>
      <c r="R95" s="18"/>
      <c r="S95" s="18"/>
      <c r="T95" s="27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17"/>
      <c r="AH95" s="24"/>
      <c r="AI95" s="25"/>
      <c r="AJ95" s="25"/>
    </row>
    <row r="96" spans="1:36" ht="15.6" x14ac:dyDescent="0.3">
      <c r="A96" s="77">
        <v>90</v>
      </c>
      <c r="B96" s="79" t="s">
        <v>2439</v>
      </c>
      <c r="C96" s="79" t="s">
        <v>117</v>
      </c>
      <c r="D96" s="65" t="s">
        <v>117</v>
      </c>
      <c r="E96" s="18" t="s">
        <v>101</v>
      </c>
      <c r="F96" s="18" t="s">
        <v>104</v>
      </c>
      <c r="G96" s="18" t="s">
        <v>42</v>
      </c>
      <c r="H96" s="20"/>
      <c r="I96" s="20"/>
      <c r="J96" s="26"/>
      <c r="K96" s="18" t="s">
        <v>360</v>
      </c>
      <c r="L96" s="18" t="s">
        <v>361</v>
      </c>
      <c r="M96" s="18" t="s">
        <v>362</v>
      </c>
      <c r="N96" s="60">
        <v>22.016964000000002</v>
      </c>
      <c r="O96" s="60">
        <v>91.936881999999997</v>
      </c>
      <c r="P96" s="62">
        <v>1100</v>
      </c>
      <c r="Q96" s="62"/>
      <c r="R96" s="18"/>
      <c r="S96" s="18"/>
      <c r="T96" s="22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17"/>
      <c r="AH96" s="24"/>
      <c r="AI96" s="25"/>
      <c r="AJ96" s="25"/>
    </row>
    <row r="97" spans="1:36" ht="15.6" x14ac:dyDescent="0.3">
      <c r="A97" s="77">
        <v>91</v>
      </c>
      <c r="B97" s="79" t="s">
        <v>2439</v>
      </c>
      <c r="C97" s="79" t="s">
        <v>117</v>
      </c>
      <c r="D97" s="65" t="s">
        <v>117</v>
      </c>
      <c r="E97" s="18" t="s">
        <v>101</v>
      </c>
      <c r="F97" s="18" t="s">
        <v>104</v>
      </c>
      <c r="G97" s="18" t="s">
        <v>42</v>
      </c>
      <c r="H97" s="20"/>
      <c r="I97" s="20"/>
      <c r="J97" s="26"/>
      <c r="K97" s="18" t="s">
        <v>53</v>
      </c>
      <c r="L97" s="18" t="s">
        <v>54</v>
      </c>
      <c r="M97" s="18" t="s">
        <v>363</v>
      </c>
      <c r="N97" s="60">
        <v>22.003433000000001</v>
      </c>
      <c r="O97" s="60">
        <v>91.937393</v>
      </c>
      <c r="P97" s="62">
        <v>5500</v>
      </c>
      <c r="Q97" s="62"/>
      <c r="R97" s="18"/>
      <c r="S97" s="18"/>
      <c r="T97" s="27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17"/>
      <c r="AH97" s="24"/>
      <c r="AI97" s="25"/>
      <c r="AJ97" s="25"/>
    </row>
    <row r="98" spans="1:36" ht="15.6" x14ac:dyDescent="0.3">
      <c r="A98" s="77">
        <v>92</v>
      </c>
      <c r="B98" s="79" t="s">
        <v>2439</v>
      </c>
      <c r="C98" s="79" t="s">
        <v>117</v>
      </c>
      <c r="D98" s="65" t="s">
        <v>117</v>
      </c>
      <c r="E98" s="18" t="s">
        <v>101</v>
      </c>
      <c r="F98" s="18" t="s">
        <v>104</v>
      </c>
      <c r="G98" s="18" t="s">
        <v>43</v>
      </c>
      <c r="H98" s="20"/>
      <c r="I98" s="20"/>
      <c r="J98" s="26"/>
      <c r="K98" s="18" t="s">
        <v>58</v>
      </c>
      <c r="L98" s="67" t="s">
        <v>364</v>
      </c>
      <c r="M98" s="18" t="s">
        <v>365</v>
      </c>
      <c r="N98" s="60">
        <v>22.017952000000001</v>
      </c>
      <c r="O98" s="60">
        <v>91.945728000000003</v>
      </c>
      <c r="P98" s="62">
        <v>5100</v>
      </c>
      <c r="Q98" s="62"/>
      <c r="R98" s="18"/>
      <c r="S98" s="18"/>
      <c r="T98" s="22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17"/>
      <c r="AH98" s="24"/>
      <c r="AI98" s="25"/>
      <c r="AJ98" s="25"/>
    </row>
    <row r="99" spans="1:36" ht="15.6" x14ac:dyDescent="0.3">
      <c r="A99" s="77">
        <v>93</v>
      </c>
      <c r="B99" s="79" t="s">
        <v>2439</v>
      </c>
      <c r="C99" s="79" t="s">
        <v>117</v>
      </c>
      <c r="D99" s="65" t="s">
        <v>117</v>
      </c>
      <c r="E99" s="18" t="s">
        <v>101</v>
      </c>
      <c r="F99" s="18" t="s">
        <v>104</v>
      </c>
      <c r="G99" s="18" t="s">
        <v>43</v>
      </c>
      <c r="H99" s="20"/>
      <c r="I99" s="20"/>
      <c r="J99" s="26"/>
      <c r="K99" s="18" t="s">
        <v>366</v>
      </c>
      <c r="L99" s="18" t="s">
        <v>367</v>
      </c>
      <c r="M99" s="18" t="s">
        <v>368</v>
      </c>
      <c r="N99" s="60">
        <v>22.010881000000001</v>
      </c>
      <c r="O99" s="60">
        <v>91.947699999999998</v>
      </c>
      <c r="P99" s="62">
        <v>5600</v>
      </c>
      <c r="Q99" s="62"/>
      <c r="R99" s="18"/>
      <c r="S99" s="18"/>
      <c r="T99" s="22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17"/>
      <c r="AH99" s="24"/>
      <c r="AI99" s="25"/>
      <c r="AJ99" s="25"/>
    </row>
    <row r="100" spans="1:36" ht="15.6" x14ac:dyDescent="0.3">
      <c r="A100" s="77">
        <v>94</v>
      </c>
      <c r="B100" s="79" t="s">
        <v>2439</v>
      </c>
      <c r="C100" s="79" t="s">
        <v>117</v>
      </c>
      <c r="D100" s="65" t="s">
        <v>117</v>
      </c>
      <c r="E100" s="18" t="s">
        <v>101</v>
      </c>
      <c r="F100" s="18" t="s">
        <v>104</v>
      </c>
      <c r="G100" s="18" t="s">
        <v>43</v>
      </c>
      <c r="H100" s="20"/>
      <c r="I100" s="20"/>
      <c r="J100" s="21"/>
      <c r="K100" s="18" t="s">
        <v>369</v>
      </c>
      <c r="L100" s="18" t="s">
        <v>370</v>
      </c>
      <c r="M100" s="18" t="s">
        <v>371</v>
      </c>
      <c r="N100" s="60">
        <v>22.004325000000001</v>
      </c>
      <c r="O100" s="60">
        <v>91.950158000000002</v>
      </c>
      <c r="P100" s="62">
        <v>3500</v>
      </c>
      <c r="Q100" s="62"/>
      <c r="R100" s="18"/>
      <c r="S100" s="18"/>
      <c r="T100" s="2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17"/>
      <c r="AH100" s="24"/>
      <c r="AI100" s="25"/>
      <c r="AJ100" s="25"/>
    </row>
    <row r="101" spans="1:36" ht="15.6" x14ac:dyDescent="0.3">
      <c r="A101" s="77">
        <v>95</v>
      </c>
      <c r="B101" s="79" t="s">
        <v>2439</v>
      </c>
      <c r="C101" s="79" t="s">
        <v>117</v>
      </c>
      <c r="D101" s="65" t="s">
        <v>117</v>
      </c>
      <c r="E101" s="18" t="s">
        <v>101</v>
      </c>
      <c r="F101" s="18" t="s">
        <v>104</v>
      </c>
      <c r="G101" s="18" t="s">
        <v>44</v>
      </c>
      <c r="H101" s="20"/>
      <c r="I101" s="20"/>
      <c r="J101" s="26"/>
      <c r="K101" s="18" t="s">
        <v>372</v>
      </c>
      <c r="L101" s="18" t="s">
        <v>373</v>
      </c>
      <c r="M101" s="18" t="s">
        <v>374</v>
      </c>
      <c r="N101" s="60">
        <v>22.014754</v>
      </c>
      <c r="O101" s="60">
        <v>91.961211000000006</v>
      </c>
      <c r="P101" s="62">
        <v>2780</v>
      </c>
      <c r="Q101" s="62"/>
      <c r="R101" s="18"/>
      <c r="S101" s="18"/>
      <c r="T101" s="22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17"/>
      <c r="AH101" s="24"/>
      <c r="AI101" s="25"/>
      <c r="AJ101" s="25"/>
    </row>
    <row r="102" spans="1:36" ht="15.6" x14ac:dyDescent="0.3">
      <c r="A102" s="77">
        <v>96</v>
      </c>
      <c r="B102" s="79" t="s">
        <v>2439</v>
      </c>
      <c r="C102" s="79" t="s">
        <v>117</v>
      </c>
      <c r="D102" s="65" t="s">
        <v>117</v>
      </c>
      <c r="E102" s="18" t="s">
        <v>101</v>
      </c>
      <c r="F102" s="18" t="s">
        <v>104</v>
      </c>
      <c r="G102" s="18" t="s">
        <v>44</v>
      </c>
      <c r="H102" s="20"/>
      <c r="I102" s="20"/>
      <c r="J102" s="26"/>
      <c r="K102" s="18" t="s">
        <v>375</v>
      </c>
      <c r="L102" s="18" t="s">
        <v>376</v>
      </c>
      <c r="M102" s="18" t="s">
        <v>377</v>
      </c>
      <c r="N102" s="60">
        <v>22.01294</v>
      </c>
      <c r="O102" s="60">
        <v>91.956193999999996</v>
      </c>
      <c r="P102" s="62">
        <v>1530</v>
      </c>
      <c r="Q102" s="62"/>
      <c r="R102" s="18"/>
      <c r="S102" s="18"/>
      <c r="T102" s="22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17"/>
      <c r="AH102" s="24"/>
      <c r="AI102" s="25"/>
      <c r="AJ102" s="25"/>
    </row>
    <row r="103" spans="1:36" ht="15.6" x14ac:dyDescent="0.3">
      <c r="A103" s="77">
        <v>97</v>
      </c>
      <c r="B103" s="79" t="s">
        <v>2439</v>
      </c>
      <c r="C103" s="79" t="s">
        <v>117</v>
      </c>
      <c r="D103" s="65" t="s">
        <v>117</v>
      </c>
      <c r="E103" s="18" t="s">
        <v>101</v>
      </c>
      <c r="F103" s="18" t="s">
        <v>104</v>
      </c>
      <c r="G103" s="18" t="s">
        <v>44</v>
      </c>
      <c r="H103" s="20"/>
      <c r="I103" s="20"/>
      <c r="J103" s="26"/>
      <c r="K103" s="18" t="s">
        <v>378</v>
      </c>
      <c r="L103" s="18" t="s">
        <v>379</v>
      </c>
      <c r="M103" s="18" t="s">
        <v>380</v>
      </c>
      <c r="N103" s="60">
        <v>22.012059000000001</v>
      </c>
      <c r="O103" s="60">
        <v>91.953744999999998</v>
      </c>
      <c r="P103" s="62">
        <v>1320</v>
      </c>
      <c r="Q103" s="62"/>
      <c r="R103" s="18"/>
      <c r="S103" s="18"/>
      <c r="T103" s="22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17"/>
      <c r="AH103" s="24"/>
      <c r="AI103" s="25"/>
      <c r="AJ103" s="25"/>
    </row>
    <row r="104" spans="1:36" ht="15.6" x14ac:dyDescent="0.3">
      <c r="A104" s="77">
        <v>98</v>
      </c>
      <c r="B104" s="79" t="s">
        <v>2439</v>
      </c>
      <c r="C104" s="79" t="s">
        <v>117</v>
      </c>
      <c r="D104" s="65" t="s">
        <v>117</v>
      </c>
      <c r="E104" s="18" t="s">
        <v>101</v>
      </c>
      <c r="F104" s="18" t="s">
        <v>104</v>
      </c>
      <c r="G104" s="18" t="s">
        <v>44</v>
      </c>
      <c r="H104" s="20"/>
      <c r="I104" s="20"/>
      <c r="J104" s="26"/>
      <c r="K104" s="18" t="s">
        <v>381</v>
      </c>
      <c r="L104" s="18" t="s">
        <v>382</v>
      </c>
      <c r="M104" s="18" t="s">
        <v>383</v>
      </c>
      <c r="N104" s="60">
        <v>22.014427000000001</v>
      </c>
      <c r="O104" s="60">
        <v>91.953159999999997</v>
      </c>
      <c r="P104" s="62">
        <v>1120</v>
      </c>
      <c r="Q104" s="62"/>
      <c r="R104" s="18"/>
      <c r="S104" s="18"/>
      <c r="T104" s="27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17"/>
      <c r="AH104" s="24"/>
      <c r="AI104" s="25"/>
      <c r="AJ104" s="25"/>
    </row>
    <row r="105" spans="1:36" ht="15.6" x14ac:dyDescent="0.3">
      <c r="A105" s="77">
        <v>99</v>
      </c>
      <c r="B105" s="79" t="s">
        <v>2439</v>
      </c>
      <c r="C105" s="79" t="s">
        <v>117</v>
      </c>
      <c r="D105" s="65" t="s">
        <v>117</v>
      </c>
      <c r="E105" s="18" t="s">
        <v>101</v>
      </c>
      <c r="F105" s="18" t="s">
        <v>104</v>
      </c>
      <c r="G105" s="18" t="s">
        <v>44</v>
      </c>
      <c r="H105" s="20"/>
      <c r="I105" s="20"/>
      <c r="J105" s="26"/>
      <c r="K105" s="18" t="s">
        <v>366</v>
      </c>
      <c r="L105" s="18" t="s">
        <v>367</v>
      </c>
      <c r="M105" s="18" t="s">
        <v>384</v>
      </c>
      <c r="N105" s="60">
        <v>22.013949</v>
      </c>
      <c r="O105" s="60">
        <v>91.950896</v>
      </c>
      <c r="P105" s="62">
        <v>1580</v>
      </c>
      <c r="Q105" s="62"/>
      <c r="R105" s="18"/>
      <c r="S105" s="18"/>
      <c r="T105" s="22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17"/>
      <c r="AH105" s="24"/>
      <c r="AI105" s="25"/>
      <c r="AJ105" s="25"/>
    </row>
    <row r="106" spans="1:36" ht="15.6" x14ac:dyDescent="0.3">
      <c r="A106" s="77">
        <v>100</v>
      </c>
      <c r="B106" s="79" t="s">
        <v>2439</v>
      </c>
      <c r="C106" s="79" t="s">
        <v>117</v>
      </c>
      <c r="D106" s="65" t="s">
        <v>117</v>
      </c>
      <c r="E106" s="18" t="s">
        <v>101</v>
      </c>
      <c r="F106" s="18" t="s">
        <v>104</v>
      </c>
      <c r="G106" s="18" t="s">
        <v>44</v>
      </c>
      <c r="H106" s="20"/>
      <c r="I106" s="20"/>
      <c r="J106" s="26"/>
      <c r="K106" s="18" t="s">
        <v>385</v>
      </c>
      <c r="L106" s="18" t="s">
        <v>386</v>
      </c>
      <c r="M106" s="18" t="s">
        <v>387</v>
      </c>
      <c r="N106" s="60">
        <v>22.019432999999999</v>
      </c>
      <c r="O106" s="60">
        <v>91.952006999999995</v>
      </c>
      <c r="P106" s="62">
        <v>1120</v>
      </c>
      <c r="Q106" s="62"/>
      <c r="R106" s="18"/>
      <c r="S106" s="18"/>
      <c r="T106" s="22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17"/>
      <c r="AH106" s="24"/>
      <c r="AI106" s="25"/>
      <c r="AJ106" s="25"/>
    </row>
    <row r="107" spans="1:36" ht="15.6" x14ac:dyDescent="0.3">
      <c r="A107" s="77">
        <v>101</v>
      </c>
      <c r="B107" s="79" t="s">
        <v>2439</v>
      </c>
      <c r="C107" s="79" t="s">
        <v>117</v>
      </c>
      <c r="D107" s="65" t="s">
        <v>117</v>
      </c>
      <c r="E107" s="18" t="s">
        <v>101</v>
      </c>
      <c r="F107" s="18" t="s">
        <v>104</v>
      </c>
      <c r="G107" s="18" t="s">
        <v>44</v>
      </c>
      <c r="H107" s="20"/>
      <c r="I107" s="20"/>
      <c r="J107" s="26"/>
      <c r="K107" s="18" t="s">
        <v>388</v>
      </c>
      <c r="L107" s="18" t="s">
        <v>389</v>
      </c>
      <c r="M107" s="18" t="s">
        <v>390</v>
      </c>
      <c r="N107" s="60">
        <v>22.019435999999999</v>
      </c>
      <c r="O107" s="60">
        <v>91.949599000000006</v>
      </c>
      <c r="P107" s="62">
        <v>1070</v>
      </c>
      <c r="Q107" s="62"/>
      <c r="R107" s="18"/>
      <c r="S107" s="18"/>
      <c r="T107" s="27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17"/>
      <c r="AH107" s="24"/>
      <c r="AI107" s="25"/>
      <c r="AJ107" s="25"/>
    </row>
    <row r="108" spans="1:36" ht="15.6" x14ac:dyDescent="0.3">
      <c r="A108" s="77">
        <v>102</v>
      </c>
      <c r="B108" s="79" t="s">
        <v>2439</v>
      </c>
      <c r="C108" s="79" t="s">
        <v>117</v>
      </c>
      <c r="D108" s="65" t="s">
        <v>117</v>
      </c>
      <c r="E108" s="18" t="s">
        <v>101</v>
      </c>
      <c r="F108" s="18" t="s">
        <v>104</v>
      </c>
      <c r="G108" s="18" t="s">
        <v>44</v>
      </c>
      <c r="H108" s="20"/>
      <c r="I108" s="20"/>
      <c r="J108" s="26"/>
      <c r="K108" s="18" t="s">
        <v>208</v>
      </c>
      <c r="L108" s="18" t="s">
        <v>209</v>
      </c>
      <c r="M108" s="18" t="s">
        <v>391</v>
      </c>
      <c r="N108" s="60">
        <v>22.017669000000001</v>
      </c>
      <c r="O108" s="60">
        <v>91.955229000000003</v>
      </c>
      <c r="P108" s="62">
        <v>630</v>
      </c>
      <c r="Q108" s="62"/>
      <c r="R108" s="18"/>
      <c r="S108" s="18"/>
      <c r="T108" s="22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17"/>
      <c r="AH108" s="24"/>
      <c r="AI108" s="25"/>
      <c r="AJ108" s="25"/>
    </row>
    <row r="109" spans="1:36" ht="15.6" x14ac:dyDescent="0.3">
      <c r="A109" s="77">
        <v>103</v>
      </c>
      <c r="B109" s="79" t="s">
        <v>2439</v>
      </c>
      <c r="C109" s="79" t="s">
        <v>117</v>
      </c>
      <c r="D109" s="65" t="s">
        <v>117</v>
      </c>
      <c r="E109" s="18" t="s">
        <v>101</v>
      </c>
      <c r="F109" s="18" t="s">
        <v>104</v>
      </c>
      <c r="G109" s="18" t="s">
        <v>45</v>
      </c>
      <c r="H109" s="20"/>
      <c r="I109" s="20"/>
      <c r="J109" s="26"/>
      <c r="K109" s="18" t="s">
        <v>392</v>
      </c>
      <c r="L109" s="18" t="s">
        <v>393</v>
      </c>
      <c r="M109" s="18" t="s">
        <v>394</v>
      </c>
      <c r="N109" s="60">
        <v>22.007719999999999</v>
      </c>
      <c r="O109" s="60">
        <v>91.952883</v>
      </c>
      <c r="P109" s="62">
        <v>1500</v>
      </c>
      <c r="Q109" s="62"/>
      <c r="R109" s="18"/>
      <c r="S109" s="18"/>
      <c r="T109" s="22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17"/>
      <c r="AH109" s="24"/>
      <c r="AI109" s="25"/>
      <c r="AJ109" s="25"/>
    </row>
    <row r="110" spans="1:36" ht="15.6" x14ac:dyDescent="0.3">
      <c r="A110" s="77">
        <v>104</v>
      </c>
      <c r="B110" s="79" t="s">
        <v>2439</v>
      </c>
      <c r="C110" s="79" t="s">
        <v>117</v>
      </c>
      <c r="D110" s="65" t="s">
        <v>117</v>
      </c>
      <c r="E110" s="18" t="s">
        <v>101</v>
      </c>
      <c r="F110" s="18" t="s">
        <v>104</v>
      </c>
      <c r="G110" s="18" t="s">
        <v>45</v>
      </c>
      <c r="H110" s="20"/>
      <c r="I110" s="20"/>
      <c r="J110" s="26"/>
      <c r="K110" s="18" t="s">
        <v>62</v>
      </c>
      <c r="L110" s="18" t="s">
        <v>63</v>
      </c>
      <c r="M110" s="18" t="s">
        <v>395</v>
      </c>
      <c r="N110" s="60">
        <v>22.010154</v>
      </c>
      <c r="O110" s="60">
        <v>91.952399</v>
      </c>
      <c r="P110" s="62">
        <v>700</v>
      </c>
      <c r="Q110" s="62"/>
      <c r="R110" s="18"/>
      <c r="S110" s="18"/>
      <c r="T110" s="22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17"/>
      <c r="AH110" s="24"/>
      <c r="AI110" s="25"/>
      <c r="AJ110" s="25"/>
    </row>
    <row r="111" spans="1:36" ht="15.6" x14ac:dyDescent="0.3">
      <c r="A111" s="77">
        <v>105</v>
      </c>
      <c r="B111" s="79" t="s">
        <v>2439</v>
      </c>
      <c r="C111" s="79" t="s">
        <v>117</v>
      </c>
      <c r="D111" s="65" t="s">
        <v>117</v>
      </c>
      <c r="E111" s="18" t="s">
        <v>101</v>
      </c>
      <c r="F111" s="18" t="s">
        <v>104</v>
      </c>
      <c r="G111" s="18" t="s">
        <v>45</v>
      </c>
      <c r="H111" s="20"/>
      <c r="I111" s="20"/>
      <c r="J111" s="26"/>
      <c r="K111" s="18" t="s">
        <v>396</v>
      </c>
      <c r="L111" s="18" t="s">
        <v>397</v>
      </c>
      <c r="M111" s="18" t="s">
        <v>398</v>
      </c>
      <c r="N111" s="60">
        <v>22.011478</v>
      </c>
      <c r="O111" s="60">
        <v>91.951652999999993</v>
      </c>
      <c r="P111" s="62">
        <v>1300</v>
      </c>
      <c r="Q111" s="62"/>
      <c r="R111" s="18"/>
      <c r="S111" s="18"/>
      <c r="T111" s="2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17"/>
      <c r="AH111" s="24"/>
      <c r="AI111" s="25"/>
      <c r="AJ111" s="25"/>
    </row>
    <row r="112" spans="1:36" ht="15.6" x14ac:dyDescent="0.3">
      <c r="A112" s="77">
        <v>106</v>
      </c>
      <c r="B112" s="79" t="s">
        <v>2439</v>
      </c>
      <c r="C112" s="79" t="s">
        <v>117</v>
      </c>
      <c r="D112" s="65" t="s">
        <v>117</v>
      </c>
      <c r="E112" s="18" t="s">
        <v>101</v>
      </c>
      <c r="F112" s="18" t="s">
        <v>104</v>
      </c>
      <c r="G112" s="18" t="s">
        <v>45</v>
      </c>
      <c r="H112" s="20"/>
      <c r="I112" s="20"/>
      <c r="J112" s="26"/>
      <c r="K112" s="18" t="s">
        <v>60</v>
      </c>
      <c r="L112" s="66" t="s">
        <v>399</v>
      </c>
      <c r="M112" s="18" t="s">
        <v>400</v>
      </c>
      <c r="N112" s="60">
        <v>22.009726000000001</v>
      </c>
      <c r="O112" s="60">
        <v>91.954890000000006</v>
      </c>
      <c r="P112" s="62">
        <v>800</v>
      </c>
      <c r="Q112" s="62"/>
      <c r="R112" s="18"/>
      <c r="S112" s="18"/>
      <c r="T112" s="22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17"/>
      <c r="AH112" s="24"/>
      <c r="AI112" s="25"/>
      <c r="AJ112" s="25"/>
    </row>
    <row r="113" spans="1:36" ht="15.6" x14ac:dyDescent="0.3">
      <c r="A113" s="77">
        <v>107</v>
      </c>
      <c r="B113" s="79" t="s">
        <v>2439</v>
      </c>
      <c r="C113" s="79" t="s">
        <v>117</v>
      </c>
      <c r="D113" s="65" t="s">
        <v>117</v>
      </c>
      <c r="E113" s="18" t="s">
        <v>101</v>
      </c>
      <c r="F113" s="18" t="s">
        <v>104</v>
      </c>
      <c r="G113" s="18" t="s">
        <v>45</v>
      </c>
      <c r="H113" s="20"/>
      <c r="I113" s="20"/>
      <c r="J113" s="26"/>
      <c r="K113" s="66" t="s">
        <v>401</v>
      </c>
      <c r="L113" s="66" t="s">
        <v>402</v>
      </c>
      <c r="M113" s="18" t="s">
        <v>403</v>
      </c>
      <c r="N113" s="60">
        <v>22.010815000000001</v>
      </c>
      <c r="O113" s="60">
        <v>91.955085999999994</v>
      </c>
      <c r="P113" s="62">
        <v>800</v>
      </c>
      <c r="Q113" s="62"/>
      <c r="R113" s="18"/>
      <c r="S113" s="18"/>
      <c r="T113" s="22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17"/>
      <c r="AH113" s="24"/>
      <c r="AI113" s="25"/>
      <c r="AJ113" s="25"/>
    </row>
    <row r="114" spans="1:36" ht="15.6" x14ac:dyDescent="0.3">
      <c r="A114" s="77">
        <v>108</v>
      </c>
      <c r="B114" s="79" t="s">
        <v>2439</v>
      </c>
      <c r="C114" s="79" t="s">
        <v>117</v>
      </c>
      <c r="D114" s="65" t="s">
        <v>117</v>
      </c>
      <c r="E114" s="18" t="s">
        <v>101</v>
      </c>
      <c r="F114" s="18" t="s">
        <v>104</v>
      </c>
      <c r="G114" s="18" t="s">
        <v>45</v>
      </c>
      <c r="H114" s="20"/>
      <c r="I114" s="20"/>
      <c r="J114" s="26"/>
      <c r="K114" s="18" t="s">
        <v>404</v>
      </c>
      <c r="L114" s="66" t="s">
        <v>405</v>
      </c>
      <c r="M114" s="18" t="s">
        <v>406</v>
      </c>
      <c r="N114" s="60">
        <v>22.008255999999999</v>
      </c>
      <c r="O114" s="60">
        <v>91.955586999999994</v>
      </c>
      <c r="P114" s="62">
        <v>1000</v>
      </c>
      <c r="Q114" s="62"/>
      <c r="R114" s="18"/>
      <c r="S114" s="18"/>
      <c r="T114" s="2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17"/>
      <c r="AH114" s="24"/>
      <c r="AI114" s="25"/>
      <c r="AJ114" s="25"/>
    </row>
    <row r="115" spans="1:36" ht="15.6" x14ac:dyDescent="0.3">
      <c r="A115" s="77">
        <v>109</v>
      </c>
      <c r="B115" s="79" t="s">
        <v>2439</v>
      </c>
      <c r="C115" s="79" t="s">
        <v>117</v>
      </c>
      <c r="D115" s="65" t="s">
        <v>117</v>
      </c>
      <c r="E115" s="18" t="s">
        <v>101</v>
      </c>
      <c r="F115" s="18" t="s">
        <v>104</v>
      </c>
      <c r="G115" s="18" t="s">
        <v>45</v>
      </c>
      <c r="H115" s="20"/>
      <c r="I115" s="20"/>
      <c r="J115" s="26"/>
      <c r="K115" s="18" t="s">
        <v>407</v>
      </c>
      <c r="L115" s="66" t="s">
        <v>408</v>
      </c>
      <c r="M115" s="18" t="s">
        <v>409</v>
      </c>
      <c r="N115" s="60">
        <v>22.008264</v>
      </c>
      <c r="O115" s="60">
        <v>91.957459999999998</v>
      </c>
      <c r="P115" s="62">
        <v>600</v>
      </c>
      <c r="Q115" s="62"/>
      <c r="R115" s="18"/>
      <c r="S115" s="18"/>
      <c r="T115" s="22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17"/>
      <c r="AH115" s="24"/>
      <c r="AI115" s="25"/>
      <c r="AJ115" s="25"/>
    </row>
    <row r="116" spans="1:36" ht="15.6" x14ac:dyDescent="0.3">
      <c r="A116" s="77">
        <v>110</v>
      </c>
      <c r="B116" s="79" t="s">
        <v>2439</v>
      </c>
      <c r="C116" s="79" t="s">
        <v>117</v>
      </c>
      <c r="D116" s="65" t="s">
        <v>117</v>
      </c>
      <c r="E116" s="18" t="s">
        <v>101</v>
      </c>
      <c r="F116" s="18" t="s">
        <v>104</v>
      </c>
      <c r="G116" s="18" t="s">
        <v>45</v>
      </c>
      <c r="H116" s="20"/>
      <c r="I116" s="20"/>
      <c r="J116" s="26"/>
      <c r="K116" s="18" t="s">
        <v>410</v>
      </c>
      <c r="L116" s="66" t="s">
        <v>411</v>
      </c>
      <c r="M116" s="18" t="s">
        <v>412</v>
      </c>
      <c r="N116" s="60">
        <v>22.008776999999998</v>
      </c>
      <c r="O116" s="60">
        <v>91.959494000000007</v>
      </c>
      <c r="P116" s="62">
        <v>1000</v>
      </c>
      <c r="Q116" s="62"/>
      <c r="R116" s="18"/>
      <c r="S116" s="18"/>
      <c r="T116" s="22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17"/>
      <c r="AH116" s="24"/>
      <c r="AI116" s="25"/>
      <c r="AJ116" s="25"/>
    </row>
    <row r="117" spans="1:36" ht="15.6" x14ac:dyDescent="0.3">
      <c r="A117" s="77">
        <v>111</v>
      </c>
      <c r="B117" s="79" t="s">
        <v>2439</v>
      </c>
      <c r="C117" s="79" t="s">
        <v>117</v>
      </c>
      <c r="D117" s="65" t="s">
        <v>117</v>
      </c>
      <c r="E117" s="18" t="s">
        <v>101</v>
      </c>
      <c r="F117" s="18" t="s">
        <v>104</v>
      </c>
      <c r="G117" s="18" t="s">
        <v>45</v>
      </c>
      <c r="H117" s="20"/>
      <c r="I117" s="20"/>
      <c r="J117" s="26"/>
      <c r="K117" s="18" t="s">
        <v>413</v>
      </c>
      <c r="L117" s="18" t="s">
        <v>414</v>
      </c>
      <c r="M117" s="18" t="s">
        <v>415</v>
      </c>
      <c r="N117" s="60">
        <v>22.01061</v>
      </c>
      <c r="O117" s="60">
        <v>91.964855</v>
      </c>
      <c r="P117" s="62">
        <v>2600</v>
      </c>
      <c r="Q117" s="62"/>
      <c r="R117" s="18"/>
      <c r="S117" s="18"/>
      <c r="T117" s="22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17"/>
      <c r="AH117" s="24"/>
      <c r="AI117" s="25"/>
      <c r="AJ117" s="25"/>
    </row>
    <row r="118" spans="1:36" ht="15.6" x14ac:dyDescent="0.3">
      <c r="A118" s="77">
        <v>112</v>
      </c>
      <c r="B118" s="79" t="s">
        <v>2439</v>
      </c>
      <c r="C118" s="79" t="s">
        <v>117</v>
      </c>
      <c r="D118" s="65" t="s">
        <v>117</v>
      </c>
      <c r="E118" s="18" t="s">
        <v>101</v>
      </c>
      <c r="F118" s="18" t="s">
        <v>104</v>
      </c>
      <c r="G118" s="18" t="s">
        <v>45</v>
      </c>
      <c r="H118" s="20"/>
      <c r="I118" s="20"/>
      <c r="J118" s="26"/>
      <c r="K118" s="18" t="s">
        <v>372</v>
      </c>
      <c r="L118" s="18" t="s">
        <v>373</v>
      </c>
      <c r="M118" s="18" t="s">
        <v>416</v>
      </c>
      <c r="N118" s="60">
        <v>22.011966000000001</v>
      </c>
      <c r="O118" s="60">
        <v>91.958821</v>
      </c>
      <c r="P118" s="62">
        <v>800</v>
      </c>
      <c r="Q118" s="62"/>
      <c r="R118" s="18"/>
      <c r="S118" s="18"/>
      <c r="T118" s="22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17"/>
      <c r="AH118" s="24"/>
      <c r="AI118" s="25"/>
      <c r="AJ118" s="25"/>
    </row>
    <row r="119" spans="1:36" ht="15.6" x14ac:dyDescent="0.3">
      <c r="A119" s="77">
        <v>113</v>
      </c>
      <c r="B119" s="79" t="s">
        <v>2439</v>
      </c>
      <c r="C119" s="79" t="s">
        <v>117</v>
      </c>
      <c r="D119" s="65" t="s">
        <v>117</v>
      </c>
      <c r="E119" s="18" t="s">
        <v>101</v>
      </c>
      <c r="F119" s="18" t="s">
        <v>104</v>
      </c>
      <c r="G119" s="18" t="s">
        <v>45</v>
      </c>
      <c r="H119" s="20"/>
      <c r="I119" s="20"/>
      <c r="J119" s="26"/>
      <c r="K119" s="67" t="s">
        <v>134</v>
      </c>
      <c r="L119" s="67" t="s">
        <v>135</v>
      </c>
      <c r="M119" s="18" t="s">
        <v>417</v>
      </c>
      <c r="N119" s="60">
        <v>22.009757</v>
      </c>
      <c r="O119" s="60">
        <v>91.956771000000003</v>
      </c>
      <c r="P119" s="62">
        <v>200</v>
      </c>
      <c r="Q119" s="62"/>
      <c r="R119" s="18"/>
      <c r="S119" s="18"/>
      <c r="T119" s="22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17"/>
      <c r="AH119" s="24"/>
      <c r="AI119" s="25"/>
      <c r="AJ119" s="25"/>
    </row>
    <row r="120" spans="1:36" ht="15.6" x14ac:dyDescent="0.3">
      <c r="A120" s="77">
        <v>114</v>
      </c>
      <c r="B120" s="79" t="s">
        <v>2439</v>
      </c>
      <c r="C120" s="79" t="s">
        <v>117</v>
      </c>
      <c r="D120" s="65" t="s">
        <v>117</v>
      </c>
      <c r="E120" s="18" t="s">
        <v>101</v>
      </c>
      <c r="F120" s="18" t="s">
        <v>104</v>
      </c>
      <c r="G120" s="18" t="s">
        <v>46</v>
      </c>
      <c r="H120" s="20"/>
      <c r="I120" s="20"/>
      <c r="J120" s="26"/>
      <c r="K120" s="18" t="s">
        <v>418</v>
      </c>
      <c r="L120" s="18" t="s">
        <v>419</v>
      </c>
      <c r="M120" s="18" t="s">
        <v>420</v>
      </c>
      <c r="N120" s="60">
        <v>22.005780999999999</v>
      </c>
      <c r="O120" s="60">
        <v>91.953558000000001</v>
      </c>
      <c r="P120" s="62">
        <v>1000</v>
      </c>
      <c r="Q120" s="62"/>
      <c r="R120" s="18"/>
      <c r="S120" s="18"/>
      <c r="T120" s="22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17"/>
      <c r="AH120" s="24"/>
      <c r="AI120" s="25"/>
      <c r="AJ120" s="25"/>
    </row>
    <row r="121" spans="1:36" ht="15.6" x14ac:dyDescent="0.3">
      <c r="A121" s="77">
        <v>115</v>
      </c>
      <c r="B121" s="79" t="s">
        <v>2439</v>
      </c>
      <c r="C121" s="79" t="s">
        <v>117</v>
      </c>
      <c r="D121" s="65" t="s">
        <v>117</v>
      </c>
      <c r="E121" s="18" t="s">
        <v>101</v>
      </c>
      <c r="F121" s="18" t="s">
        <v>104</v>
      </c>
      <c r="G121" s="18" t="s">
        <v>46</v>
      </c>
      <c r="H121" s="20"/>
      <c r="I121" s="20"/>
      <c r="J121" s="26"/>
      <c r="K121" s="18" t="s">
        <v>73</v>
      </c>
      <c r="L121" s="18" t="s">
        <v>421</v>
      </c>
      <c r="M121" s="18" t="s">
        <v>422</v>
      </c>
      <c r="N121" s="60">
        <v>22.006916</v>
      </c>
      <c r="O121" s="60">
        <v>91.955130999999994</v>
      </c>
      <c r="P121" s="62">
        <v>600</v>
      </c>
      <c r="Q121" s="62"/>
      <c r="R121" s="18"/>
      <c r="S121" s="18"/>
      <c r="T121" s="27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17"/>
      <c r="AH121" s="24"/>
      <c r="AI121" s="25"/>
      <c r="AJ121" s="25"/>
    </row>
    <row r="122" spans="1:36" ht="15.6" x14ac:dyDescent="0.3">
      <c r="A122" s="77">
        <v>116</v>
      </c>
      <c r="B122" s="79" t="s">
        <v>2439</v>
      </c>
      <c r="C122" s="79" t="s">
        <v>117</v>
      </c>
      <c r="D122" s="65" t="s">
        <v>117</v>
      </c>
      <c r="E122" s="18" t="s">
        <v>101</v>
      </c>
      <c r="F122" s="18" t="s">
        <v>104</v>
      </c>
      <c r="G122" s="18" t="s">
        <v>46</v>
      </c>
      <c r="H122" s="20"/>
      <c r="I122" s="20"/>
      <c r="J122" s="26"/>
      <c r="K122" s="18" t="s">
        <v>423</v>
      </c>
      <c r="L122" s="18" t="s">
        <v>424</v>
      </c>
      <c r="M122" s="18" t="s">
        <v>425</v>
      </c>
      <c r="N122" s="60">
        <v>22.005306999999998</v>
      </c>
      <c r="O122" s="60">
        <v>91.956506000000005</v>
      </c>
      <c r="P122" s="62">
        <v>300</v>
      </c>
      <c r="Q122" s="62"/>
      <c r="R122" s="18"/>
      <c r="S122" s="18"/>
      <c r="T122" s="27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17"/>
      <c r="AH122" s="24"/>
      <c r="AI122" s="25"/>
      <c r="AJ122" s="25"/>
    </row>
    <row r="123" spans="1:36" ht="15.6" x14ac:dyDescent="0.3">
      <c r="A123" s="77">
        <v>117</v>
      </c>
      <c r="B123" s="79" t="s">
        <v>2439</v>
      </c>
      <c r="C123" s="79" t="s">
        <v>117</v>
      </c>
      <c r="D123" s="65" t="s">
        <v>117</v>
      </c>
      <c r="E123" s="18" t="s">
        <v>101</v>
      </c>
      <c r="F123" s="18" t="s">
        <v>104</v>
      </c>
      <c r="G123" s="18" t="s">
        <v>46</v>
      </c>
      <c r="H123" s="20"/>
      <c r="I123" s="20"/>
      <c r="J123" s="26"/>
      <c r="K123" s="18" t="s">
        <v>426</v>
      </c>
      <c r="L123" s="18" t="s">
        <v>427</v>
      </c>
      <c r="M123" s="18" t="s">
        <v>428</v>
      </c>
      <c r="N123" s="60">
        <v>22.002499</v>
      </c>
      <c r="O123" s="60">
        <v>91.952911</v>
      </c>
      <c r="P123" s="62">
        <v>300</v>
      </c>
      <c r="Q123" s="62"/>
      <c r="R123" s="18"/>
      <c r="S123" s="18"/>
      <c r="T123" s="22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17"/>
      <c r="AH123" s="24"/>
      <c r="AI123" s="25"/>
      <c r="AJ123" s="25"/>
    </row>
    <row r="124" spans="1:36" ht="15.6" x14ac:dyDescent="0.3">
      <c r="A124" s="77">
        <v>118</v>
      </c>
      <c r="B124" s="79" t="s">
        <v>2439</v>
      </c>
      <c r="C124" s="79" t="s">
        <v>117</v>
      </c>
      <c r="D124" s="65" t="s">
        <v>117</v>
      </c>
      <c r="E124" s="18" t="s">
        <v>101</v>
      </c>
      <c r="F124" s="18" t="s">
        <v>104</v>
      </c>
      <c r="G124" s="18" t="s">
        <v>46</v>
      </c>
      <c r="H124" s="20"/>
      <c r="I124" s="20"/>
      <c r="J124" s="26"/>
      <c r="K124" s="18" t="s">
        <v>429</v>
      </c>
      <c r="L124" s="66" t="s">
        <v>430</v>
      </c>
      <c r="M124" s="18" t="s">
        <v>431</v>
      </c>
      <c r="N124" s="60">
        <v>22.001991</v>
      </c>
      <c r="O124" s="60">
        <v>91.954823000000005</v>
      </c>
      <c r="P124" s="62">
        <v>600</v>
      </c>
      <c r="Q124" s="62"/>
      <c r="R124" s="18"/>
      <c r="S124" s="18"/>
      <c r="T124" s="27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17"/>
      <c r="AH124" s="24"/>
      <c r="AI124" s="25"/>
      <c r="AJ124" s="25"/>
    </row>
    <row r="125" spans="1:36" ht="15.6" x14ac:dyDescent="0.3">
      <c r="A125" s="77">
        <v>119</v>
      </c>
      <c r="B125" s="79" t="s">
        <v>2439</v>
      </c>
      <c r="C125" s="79" t="s">
        <v>117</v>
      </c>
      <c r="D125" s="65" t="s">
        <v>117</v>
      </c>
      <c r="E125" s="18" t="s">
        <v>101</v>
      </c>
      <c r="F125" s="18" t="s">
        <v>104</v>
      </c>
      <c r="G125" s="18" t="s">
        <v>46</v>
      </c>
      <c r="H125" s="20"/>
      <c r="I125" s="20"/>
      <c r="J125" s="26"/>
      <c r="K125" s="18" t="s">
        <v>432</v>
      </c>
      <c r="L125" s="66" t="s">
        <v>433</v>
      </c>
      <c r="M125" s="18" t="s">
        <v>434</v>
      </c>
      <c r="N125" s="60">
        <v>22.001597</v>
      </c>
      <c r="O125" s="60">
        <v>91.957187000000005</v>
      </c>
      <c r="P125" s="62">
        <v>1000</v>
      </c>
      <c r="Q125" s="62"/>
      <c r="R125" s="18"/>
      <c r="S125" s="18"/>
      <c r="T125" s="27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17"/>
      <c r="AH125" s="24"/>
      <c r="AI125" s="25"/>
      <c r="AJ125" s="25"/>
    </row>
    <row r="126" spans="1:36" ht="15.6" x14ac:dyDescent="0.3">
      <c r="A126" s="77">
        <v>120</v>
      </c>
      <c r="B126" s="79" t="s">
        <v>2439</v>
      </c>
      <c r="C126" s="79" t="s">
        <v>117</v>
      </c>
      <c r="D126" s="65" t="s">
        <v>117</v>
      </c>
      <c r="E126" s="18" t="s">
        <v>101</v>
      </c>
      <c r="F126" s="18" t="s">
        <v>104</v>
      </c>
      <c r="G126" s="18" t="s">
        <v>46</v>
      </c>
      <c r="H126" s="20"/>
      <c r="I126" s="20"/>
      <c r="J126" s="26"/>
      <c r="K126" s="18" t="s">
        <v>435</v>
      </c>
      <c r="L126" s="66" t="s">
        <v>436</v>
      </c>
      <c r="M126" s="18" t="s">
        <v>437</v>
      </c>
      <c r="N126" s="60">
        <v>22.00291</v>
      </c>
      <c r="O126" s="60">
        <v>91.957344000000006</v>
      </c>
      <c r="P126" s="62">
        <v>300</v>
      </c>
      <c r="Q126" s="62"/>
      <c r="R126" s="18"/>
      <c r="S126" s="18"/>
      <c r="T126" s="27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17"/>
      <c r="AH126" s="24"/>
      <c r="AI126" s="25"/>
      <c r="AJ126" s="25"/>
    </row>
    <row r="127" spans="1:36" ht="15.6" x14ac:dyDescent="0.3">
      <c r="A127" s="77">
        <v>121</v>
      </c>
      <c r="B127" s="79" t="s">
        <v>2439</v>
      </c>
      <c r="C127" s="79" t="s">
        <v>117</v>
      </c>
      <c r="D127" s="65" t="s">
        <v>117</v>
      </c>
      <c r="E127" s="18" t="s">
        <v>101</v>
      </c>
      <c r="F127" s="18" t="s">
        <v>104</v>
      </c>
      <c r="G127" s="18" t="s">
        <v>46</v>
      </c>
      <c r="H127" s="20"/>
      <c r="I127" s="20"/>
      <c r="J127" s="26"/>
      <c r="K127" s="18" t="s">
        <v>184</v>
      </c>
      <c r="L127" s="66" t="s">
        <v>185</v>
      </c>
      <c r="M127" s="18" t="s">
        <v>438</v>
      </c>
      <c r="N127" s="60">
        <v>22.001387000000001</v>
      </c>
      <c r="O127" s="60">
        <v>91.959891999999996</v>
      </c>
      <c r="P127" s="62">
        <v>700</v>
      </c>
      <c r="Q127" s="62"/>
      <c r="R127" s="18"/>
      <c r="S127" s="18"/>
      <c r="T127" s="27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17"/>
      <c r="AH127" s="24"/>
      <c r="AI127" s="25"/>
      <c r="AJ127" s="25"/>
    </row>
    <row r="128" spans="1:36" ht="15.6" x14ac:dyDescent="0.3">
      <c r="A128" s="77">
        <v>122</v>
      </c>
      <c r="B128" s="79" t="s">
        <v>2439</v>
      </c>
      <c r="C128" s="79" t="s">
        <v>117</v>
      </c>
      <c r="D128" s="65" t="s">
        <v>117</v>
      </c>
      <c r="E128" s="18" t="s">
        <v>101</v>
      </c>
      <c r="F128" s="18" t="s">
        <v>104</v>
      </c>
      <c r="G128" s="18" t="s">
        <v>46</v>
      </c>
      <c r="H128" s="20"/>
      <c r="I128" s="20"/>
      <c r="J128" s="26"/>
      <c r="K128" s="18" t="s">
        <v>439</v>
      </c>
      <c r="L128" s="18" t="s">
        <v>440</v>
      </c>
      <c r="M128" s="18" t="s">
        <v>441</v>
      </c>
      <c r="N128" s="60">
        <v>22.000298000000001</v>
      </c>
      <c r="O128" s="60">
        <v>91.960381999999996</v>
      </c>
      <c r="P128" s="62">
        <v>300</v>
      </c>
      <c r="Q128" s="62"/>
      <c r="R128" s="18"/>
      <c r="S128" s="18"/>
      <c r="T128" s="27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16"/>
      <c r="AH128" s="24"/>
      <c r="AI128" s="25"/>
      <c r="AJ128" s="25"/>
    </row>
    <row r="129" spans="1:36" ht="15.6" x14ac:dyDescent="0.3">
      <c r="A129" s="77">
        <v>123</v>
      </c>
      <c r="B129" s="79" t="s">
        <v>2439</v>
      </c>
      <c r="C129" s="79" t="s">
        <v>117</v>
      </c>
      <c r="D129" s="65" t="s">
        <v>117</v>
      </c>
      <c r="E129" s="18" t="s">
        <v>101</v>
      </c>
      <c r="F129" s="18" t="s">
        <v>104</v>
      </c>
      <c r="G129" s="18" t="s">
        <v>46</v>
      </c>
      <c r="H129" s="20"/>
      <c r="I129" s="20"/>
      <c r="J129" s="26"/>
      <c r="K129" s="18" t="s">
        <v>442</v>
      </c>
      <c r="L129" s="18" t="s">
        <v>443</v>
      </c>
      <c r="M129" s="18" t="s">
        <v>444</v>
      </c>
      <c r="N129" s="60">
        <v>22.004884000000001</v>
      </c>
      <c r="O129" s="60">
        <v>91.958776</v>
      </c>
      <c r="P129" s="62">
        <v>500</v>
      </c>
      <c r="Q129" s="62"/>
      <c r="R129" s="18"/>
      <c r="S129" s="18"/>
      <c r="T129" s="27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17"/>
      <c r="AH129" s="24"/>
      <c r="AI129" s="25"/>
      <c r="AJ129" s="25"/>
    </row>
    <row r="130" spans="1:36" ht="15.6" x14ac:dyDescent="0.3">
      <c r="A130" s="77">
        <v>124</v>
      </c>
      <c r="B130" s="79" t="s">
        <v>2439</v>
      </c>
      <c r="C130" s="79" t="s">
        <v>117</v>
      </c>
      <c r="D130" s="65" t="s">
        <v>117</v>
      </c>
      <c r="E130" s="18" t="s">
        <v>101</v>
      </c>
      <c r="F130" s="18" t="s">
        <v>104</v>
      </c>
      <c r="G130" s="18" t="s">
        <v>46</v>
      </c>
      <c r="H130" s="20"/>
      <c r="I130" s="20"/>
      <c r="J130" s="26"/>
      <c r="K130" s="18" t="s">
        <v>445</v>
      </c>
      <c r="L130" s="18" t="s">
        <v>446</v>
      </c>
      <c r="M130" s="18" t="s">
        <v>447</v>
      </c>
      <c r="N130" s="60">
        <v>22.005396000000001</v>
      </c>
      <c r="O130" s="60">
        <v>91.966978999999995</v>
      </c>
      <c r="P130" s="62">
        <v>6000</v>
      </c>
      <c r="Q130" s="62"/>
      <c r="R130" s="18"/>
      <c r="S130" s="18"/>
      <c r="T130" s="27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17"/>
      <c r="AH130" s="24"/>
      <c r="AI130" s="25"/>
      <c r="AJ130" s="25"/>
    </row>
    <row r="131" spans="1:36" ht="15.6" x14ac:dyDescent="0.3">
      <c r="A131" s="77">
        <v>125</v>
      </c>
      <c r="B131" s="79" t="s">
        <v>2439</v>
      </c>
      <c r="C131" s="79" t="s">
        <v>117</v>
      </c>
      <c r="D131" s="65" t="s">
        <v>117</v>
      </c>
      <c r="E131" s="18" t="s">
        <v>101</v>
      </c>
      <c r="F131" s="18" t="s">
        <v>104</v>
      </c>
      <c r="G131" s="18" t="s">
        <v>47</v>
      </c>
      <c r="H131" s="20"/>
      <c r="I131" s="20"/>
      <c r="J131" s="26"/>
      <c r="K131" s="18" t="s">
        <v>448</v>
      </c>
      <c r="L131" s="18" t="s">
        <v>449</v>
      </c>
      <c r="M131" s="18" t="s">
        <v>450</v>
      </c>
      <c r="N131" s="60">
        <v>21.999586000000001</v>
      </c>
      <c r="O131" s="60">
        <v>91.948948000000001</v>
      </c>
      <c r="P131" s="62">
        <v>5000</v>
      </c>
      <c r="Q131" s="62"/>
      <c r="R131" s="18"/>
      <c r="S131" s="18"/>
      <c r="T131" s="22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17"/>
      <c r="AH131" s="24"/>
      <c r="AI131" s="25"/>
      <c r="AJ131" s="25"/>
    </row>
    <row r="132" spans="1:36" ht="15.6" x14ac:dyDescent="0.3">
      <c r="A132" s="77">
        <v>126</v>
      </c>
      <c r="B132" s="79" t="s">
        <v>2439</v>
      </c>
      <c r="C132" s="79" t="s">
        <v>117</v>
      </c>
      <c r="D132" s="65" t="s">
        <v>117</v>
      </c>
      <c r="E132" s="18" t="s">
        <v>101</v>
      </c>
      <c r="F132" s="18" t="s">
        <v>104</v>
      </c>
      <c r="G132" s="18" t="s">
        <v>47</v>
      </c>
      <c r="H132" s="20"/>
      <c r="I132" s="20"/>
      <c r="J132" s="26"/>
      <c r="K132" s="18" t="s">
        <v>451</v>
      </c>
      <c r="L132" s="18" t="s">
        <v>452</v>
      </c>
      <c r="M132" s="18" t="s">
        <v>453</v>
      </c>
      <c r="N132" s="60">
        <v>21.996303999999999</v>
      </c>
      <c r="O132" s="60">
        <v>91.943364000000003</v>
      </c>
      <c r="P132" s="62">
        <v>4000</v>
      </c>
      <c r="Q132" s="62"/>
      <c r="R132" s="18"/>
      <c r="S132" s="18"/>
      <c r="T132" s="22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17"/>
      <c r="AH132" s="24"/>
      <c r="AI132" s="25"/>
      <c r="AJ132" s="25"/>
    </row>
    <row r="133" spans="1:36" ht="15.6" x14ac:dyDescent="0.3">
      <c r="A133" s="77">
        <v>127</v>
      </c>
      <c r="B133" s="79" t="s">
        <v>2439</v>
      </c>
      <c r="C133" s="79" t="s">
        <v>117</v>
      </c>
      <c r="D133" s="65" t="s">
        <v>117</v>
      </c>
      <c r="E133" s="18" t="s">
        <v>101</v>
      </c>
      <c r="F133" s="18" t="s">
        <v>104</v>
      </c>
      <c r="G133" s="18" t="s">
        <v>47</v>
      </c>
      <c r="H133" s="20"/>
      <c r="I133" s="20"/>
      <c r="J133" s="26"/>
      <c r="K133" s="18" t="s">
        <v>396</v>
      </c>
      <c r="L133" s="18" t="s">
        <v>397</v>
      </c>
      <c r="M133" s="18" t="s">
        <v>454</v>
      </c>
      <c r="N133" s="60">
        <v>21.988562000000002</v>
      </c>
      <c r="O133" s="60">
        <v>91.943115000000006</v>
      </c>
      <c r="P133" s="62">
        <v>600</v>
      </c>
      <c r="Q133" s="62"/>
      <c r="R133" s="18"/>
      <c r="S133" s="18"/>
      <c r="T133" s="22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17"/>
      <c r="AH133" s="24"/>
      <c r="AI133" s="25"/>
      <c r="AJ133" s="25"/>
    </row>
    <row r="134" spans="1:36" ht="15.6" x14ac:dyDescent="0.3">
      <c r="A134" s="77">
        <v>128</v>
      </c>
      <c r="B134" s="79" t="s">
        <v>2439</v>
      </c>
      <c r="C134" s="79" t="s">
        <v>117</v>
      </c>
      <c r="D134" s="65" t="s">
        <v>117</v>
      </c>
      <c r="E134" s="18" t="s">
        <v>101</v>
      </c>
      <c r="F134" s="18" t="s">
        <v>104</v>
      </c>
      <c r="G134" s="18" t="s">
        <v>47</v>
      </c>
      <c r="H134" s="20"/>
      <c r="I134" s="23"/>
      <c r="J134" s="26"/>
      <c r="K134" s="18" t="s">
        <v>455</v>
      </c>
      <c r="L134" s="18" t="s">
        <v>456</v>
      </c>
      <c r="M134" s="18" t="s">
        <v>457</v>
      </c>
      <c r="N134" s="60">
        <v>21.995163000000002</v>
      </c>
      <c r="O134" s="60">
        <v>91.950774999999993</v>
      </c>
      <c r="P134" s="62">
        <v>1000</v>
      </c>
      <c r="Q134" s="62"/>
      <c r="R134" s="18"/>
      <c r="S134" s="18"/>
      <c r="T134" s="27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17"/>
      <c r="AH134" s="24"/>
      <c r="AI134" s="25"/>
      <c r="AJ134" s="25"/>
    </row>
    <row r="135" spans="1:36" ht="15.6" x14ac:dyDescent="0.3">
      <c r="A135" s="77">
        <v>129</v>
      </c>
      <c r="B135" s="79" t="s">
        <v>2439</v>
      </c>
      <c r="C135" s="79" t="s">
        <v>117</v>
      </c>
      <c r="D135" s="65" t="s">
        <v>117</v>
      </c>
      <c r="E135" s="18" t="s">
        <v>101</v>
      </c>
      <c r="F135" s="18" t="s">
        <v>104</v>
      </c>
      <c r="G135" s="18" t="s">
        <v>47</v>
      </c>
      <c r="H135" s="20"/>
      <c r="I135" s="23"/>
      <c r="J135" s="26"/>
      <c r="K135" s="18" t="s">
        <v>458</v>
      </c>
      <c r="L135" s="18" t="s">
        <v>459</v>
      </c>
      <c r="M135" s="18" t="s">
        <v>460</v>
      </c>
      <c r="N135" s="60">
        <v>21.998522000000001</v>
      </c>
      <c r="O135" s="60">
        <v>91.941691000000006</v>
      </c>
      <c r="P135" s="62">
        <v>4000</v>
      </c>
      <c r="Q135" s="62"/>
      <c r="R135" s="18"/>
      <c r="S135" s="18"/>
      <c r="T135" s="22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17"/>
      <c r="AH135" s="24"/>
      <c r="AI135" s="25"/>
      <c r="AJ135" s="25"/>
    </row>
    <row r="136" spans="1:36" ht="15.6" x14ac:dyDescent="0.3">
      <c r="A136" s="77">
        <v>130</v>
      </c>
      <c r="B136" s="79" t="s">
        <v>2439</v>
      </c>
      <c r="C136" s="79" t="s">
        <v>117</v>
      </c>
      <c r="D136" s="65" t="s">
        <v>117</v>
      </c>
      <c r="E136" s="18" t="s">
        <v>101</v>
      </c>
      <c r="F136" s="18" t="s">
        <v>104</v>
      </c>
      <c r="G136" s="18" t="s">
        <v>47</v>
      </c>
      <c r="H136" s="20"/>
      <c r="I136" s="23"/>
      <c r="J136" s="26"/>
      <c r="K136" s="18" t="s">
        <v>81</v>
      </c>
      <c r="L136" s="18" t="s">
        <v>82</v>
      </c>
      <c r="M136" s="18" t="s">
        <v>461</v>
      </c>
      <c r="N136" s="60">
        <v>21.991503000000002</v>
      </c>
      <c r="O136" s="60">
        <v>91.943059000000005</v>
      </c>
      <c r="P136" s="62">
        <v>300</v>
      </c>
      <c r="Q136" s="62"/>
      <c r="R136" s="18"/>
      <c r="S136" s="18"/>
      <c r="T136" s="22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17"/>
      <c r="AH136" s="24"/>
      <c r="AI136" s="25"/>
      <c r="AJ136" s="25"/>
    </row>
    <row r="137" spans="1:36" ht="15.6" x14ac:dyDescent="0.3">
      <c r="A137" s="77">
        <v>131</v>
      </c>
      <c r="B137" s="79" t="s">
        <v>2439</v>
      </c>
      <c r="C137" s="79" t="s">
        <v>117</v>
      </c>
      <c r="D137" s="65" t="s">
        <v>117</v>
      </c>
      <c r="E137" s="18" t="s">
        <v>101</v>
      </c>
      <c r="F137" s="18" t="s">
        <v>104</v>
      </c>
      <c r="G137" s="18" t="s">
        <v>48</v>
      </c>
      <c r="H137" s="20"/>
      <c r="I137" s="23"/>
      <c r="J137" s="26"/>
      <c r="K137" s="18" t="s">
        <v>462</v>
      </c>
      <c r="L137" s="18" t="s">
        <v>463</v>
      </c>
      <c r="M137" s="18" t="s">
        <v>464</v>
      </c>
      <c r="N137" s="60">
        <v>21.996813</v>
      </c>
      <c r="O137" s="60">
        <v>91.954451000000006</v>
      </c>
      <c r="P137" s="62">
        <v>8490</v>
      </c>
      <c r="Q137" s="62"/>
      <c r="R137" s="18"/>
      <c r="S137" s="18"/>
      <c r="T137" s="22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17"/>
      <c r="AH137" s="24"/>
      <c r="AI137" s="25"/>
      <c r="AJ137" s="25"/>
    </row>
    <row r="138" spans="1:36" ht="15.6" x14ac:dyDescent="0.3">
      <c r="A138" s="77">
        <v>132</v>
      </c>
      <c r="B138" s="79" t="s">
        <v>2439</v>
      </c>
      <c r="C138" s="79" t="s">
        <v>117</v>
      </c>
      <c r="D138" s="65" t="s">
        <v>117</v>
      </c>
      <c r="E138" s="18" t="s">
        <v>101</v>
      </c>
      <c r="F138" s="18" t="s">
        <v>104</v>
      </c>
      <c r="G138" s="18" t="s">
        <v>48</v>
      </c>
      <c r="H138" s="20"/>
      <c r="I138" s="23"/>
      <c r="J138" s="26"/>
      <c r="K138" s="18" t="s">
        <v>465</v>
      </c>
      <c r="L138" s="18" t="s">
        <v>466</v>
      </c>
      <c r="M138" s="18" t="s">
        <v>467</v>
      </c>
      <c r="N138" s="60">
        <v>22.000205000000001</v>
      </c>
      <c r="O138" s="60">
        <v>91.952849999999998</v>
      </c>
      <c r="P138" s="62">
        <v>900</v>
      </c>
      <c r="Q138" s="62"/>
      <c r="R138" s="18"/>
      <c r="S138" s="18"/>
      <c r="T138" s="27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17"/>
      <c r="AH138" s="24"/>
      <c r="AI138" s="25"/>
      <c r="AJ138" s="25"/>
    </row>
    <row r="139" spans="1:36" ht="15.6" x14ac:dyDescent="0.3">
      <c r="A139" s="77">
        <v>133</v>
      </c>
      <c r="B139" s="79" t="s">
        <v>2439</v>
      </c>
      <c r="C139" s="79" t="s">
        <v>117</v>
      </c>
      <c r="D139" s="65" t="s">
        <v>117</v>
      </c>
      <c r="E139" s="18" t="s">
        <v>101</v>
      </c>
      <c r="F139" s="18" t="s">
        <v>104</v>
      </c>
      <c r="G139" s="18" t="s">
        <v>48</v>
      </c>
      <c r="H139" s="20"/>
      <c r="I139" s="23"/>
      <c r="J139" s="26"/>
      <c r="K139" s="18" t="s">
        <v>468</v>
      </c>
      <c r="L139" s="18" t="s">
        <v>469</v>
      </c>
      <c r="M139" s="18" t="s">
        <v>470</v>
      </c>
      <c r="N139" s="60">
        <v>22.000135</v>
      </c>
      <c r="O139" s="60">
        <v>91.954915</v>
      </c>
      <c r="P139" s="62">
        <v>1800</v>
      </c>
      <c r="Q139" s="62"/>
      <c r="R139" s="18"/>
      <c r="S139" s="18"/>
      <c r="T139" s="27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17"/>
      <c r="AH139" s="24"/>
      <c r="AI139" s="25"/>
      <c r="AJ139" s="25"/>
    </row>
    <row r="140" spans="1:36" ht="15.6" x14ac:dyDescent="0.3">
      <c r="A140" s="77">
        <v>134</v>
      </c>
      <c r="B140" s="79" t="s">
        <v>2439</v>
      </c>
      <c r="C140" s="79" t="s">
        <v>117</v>
      </c>
      <c r="D140" s="65" t="s">
        <v>117</v>
      </c>
      <c r="E140" s="18" t="s">
        <v>101</v>
      </c>
      <c r="F140" s="18" t="s">
        <v>104</v>
      </c>
      <c r="G140" s="18" t="s">
        <v>48</v>
      </c>
      <c r="H140" s="20"/>
      <c r="I140" s="23"/>
      <c r="J140" s="26"/>
      <c r="K140" s="18" t="s">
        <v>62</v>
      </c>
      <c r="L140" s="18" t="s">
        <v>176</v>
      </c>
      <c r="M140" s="18" t="s">
        <v>471</v>
      </c>
      <c r="N140" s="60">
        <v>21.996328999999999</v>
      </c>
      <c r="O140" s="60">
        <v>91.959371000000004</v>
      </c>
      <c r="P140" s="62">
        <v>900</v>
      </c>
      <c r="Q140" s="62"/>
      <c r="R140" s="18"/>
      <c r="S140" s="18"/>
      <c r="T140" s="27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17"/>
      <c r="AH140" s="24"/>
      <c r="AI140" s="25"/>
      <c r="AJ140" s="25"/>
    </row>
    <row r="141" spans="1:36" ht="15.6" x14ac:dyDescent="0.3">
      <c r="A141" s="77">
        <v>135</v>
      </c>
      <c r="B141" s="79" t="s">
        <v>2439</v>
      </c>
      <c r="C141" s="79" t="s">
        <v>117</v>
      </c>
      <c r="D141" s="65" t="s">
        <v>117</v>
      </c>
      <c r="E141" s="18" t="s">
        <v>101</v>
      </c>
      <c r="F141" s="18" t="s">
        <v>104</v>
      </c>
      <c r="G141" s="18" t="s">
        <v>48</v>
      </c>
      <c r="H141" s="20"/>
      <c r="I141" s="23"/>
      <c r="J141" s="26"/>
      <c r="K141" s="18" t="s">
        <v>472</v>
      </c>
      <c r="L141" s="18" t="s">
        <v>473</v>
      </c>
      <c r="M141" s="18" t="s">
        <v>474</v>
      </c>
      <c r="N141" s="60">
        <v>21.997246000000001</v>
      </c>
      <c r="O141" s="60">
        <v>91.966708999999994</v>
      </c>
      <c r="P141" s="62">
        <v>3600</v>
      </c>
      <c r="Q141" s="62"/>
      <c r="R141" s="18"/>
      <c r="S141" s="18"/>
      <c r="T141" s="22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17"/>
      <c r="AH141" s="24"/>
      <c r="AI141" s="25"/>
      <c r="AJ141" s="25"/>
    </row>
    <row r="142" spans="1:36" ht="15.6" x14ac:dyDescent="0.3">
      <c r="A142" s="77">
        <v>136</v>
      </c>
      <c r="B142" s="79" t="s">
        <v>2439</v>
      </c>
      <c r="C142" s="79" t="s">
        <v>117</v>
      </c>
      <c r="D142" s="65" t="s">
        <v>117</v>
      </c>
      <c r="E142" s="18" t="s">
        <v>101</v>
      </c>
      <c r="F142" s="18" t="s">
        <v>104</v>
      </c>
      <c r="G142" s="18" t="s">
        <v>48</v>
      </c>
      <c r="H142" s="20"/>
      <c r="I142" s="23"/>
      <c r="J142" s="26"/>
      <c r="K142" s="18" t="s">
        <v>475</v>
      </c>
      <c r="L142" s="18" t="s">
        <v>476</v>
      </c>
      <c r="M142" s="18" t="s">
        <v>477</v>
      </c>
      <c r="N142" s="60">
        <v>22.000353</v>
      </c>
      <c r="O142" s="60">
        <v>91.957492000000002</v>
      </c>
      <c r="P142" s="62">
        <v>600</v>
      </c>
      <c r="Q142" s="62"/>
      <c r="R142" s="18"/>
      <c r="S142" s="18"/>
      <c r="T142" s="27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17"/>
      <c r="AH142" s="24"/>
      <c r="AI142" s="25"/>
      <c r="AJ142" s="25"/>
    </row>
    <row r="143" spans="1:36" ht="15.6" x14ac:dyDescent="0.3">
      <c r="A143" s="77">
        <v>137</v>
      </c>
      <c r="B143" s="79" t="s">
        <v>2439</v>
      </c>
      <c r="C143" s="79" t="s">
        <v>117</v>
      </c>
      <c r="D143" s="65" t="s">
        <v>117</v>
      </c>
      <c r="E143" s="18" t="s">
        <v>101</v>
      </c>
      <c r="F143" s="18" t="s">
        <v>104</v>
      </c>
      <c r="G143" s="18" t="s">
        <v>49</v>
      </c>
      <c r="H143" s="20"/>
      <c r="I143" s="23"/>
      <c r="J143" s="26"/>
      <c r="K143" s="18" t="s">
        <v>478</v>
      </c>
      <c r="L143" s="18" t="s">
        <v>479</v>
      </c>
      <c r="M143" s="18" t="s">
        <v>480</v>
      </c>
      <c r="N143" s="60">
        <v>21.991899</v>
      </c>
      <c r="O143" s="60">
        <v>91.953666999999996</v>
      </c>
      <c r="P143" s="62">
        <v>3000</v>
      </c>
      <c r="Q143" s="62"/>
      <c r="R143" s="18"/>
      <c r="S143" s="18"/>
      <c r="T143" s="27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17"/>
      <c r="AH143" s="24"/>
      <c r="AI143" s="25"/>
      <c r="AJ143" s="25"/>
    </row>
    <row r="144" spans="1:36" ht="15.6" x14ac:dyDescent="0.3">
      <c r="A144" s="77">
        <v>138</v>
      </c>
      <c r="B144" s="79" t="s">
        <v>2439</v>
      </c>
      <c r="C144" s="79" t="s">
        <v>117</v>
      </c>
      <c r="D144" s="65" t="s">
        <v>117</v>
      </c>
      <c r="E144" s="18" t="s">
        <v>101</v>
      </c>
      <c r="F144" s="18" t="s">
        <v>104</v>
      </c>
      <c r="G144" s="18" t="s">
        <v>49</v>
      </c>
      <c r="H144" s="20"/>
      <c r="I144" s="23"/>
      <c r="J144" s="26"/>
      <c r="K144" s="18" t="s">
        <v>481</v>
      </c>
      <c r="L144" s="18" t="s">
        <v>482</v>
      </c>
      <c r="M144" s="18" t="s">
        <v>483</v>
      </c>
      <c r="N144" s="60">
        <v>21.983459</v>
      </c>
      <c r="O144" s="60">
        <v>91.952140999999997</v>
      </c>
      <c r="P144" s="62">
        <v>4500</v>
      </c>
      <c r="Q144" s="62"/>
      <c r="R144" s="18"/>
      <c r="S144" s="18"/>
      <c r="T144" s="27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17"/>
      <c r="AH144" s="24"/>
      <c r="AI144" s="25"/>
      <c r="AJ144" s="25"/>
    </row>
    <row r="145" spans="1:36" ht="15.6" x14ac:dyDescent="0.3">
      <c r="A145" s="77">
        <v>139</v>
      </c>
      <c r="B145" s="79" t="s">
        <v>2439</v>
      </c>
      <c r="C145" s="79" t="s">
        <v>117</v>
      </c>
      <c r="D145" s="65" t="s">
        <v>117</v>
      </c>
      <c r="E145" s="18" t="s">
        <v>101</v>
      </c>
      <c r="F145" s="18" t="s">
        <v>104</v>
      </c>
      <c r="G145" s="18" t="s">
        <v>49</v>
      </c>
      <c r="H145" s="20"/>
      <c r="I145" s="23"/>
      <c r="J145" s="26"/>
      <c r="K145" s="18" t="s">
        <v>53</v>
      </c>
      <c r="L145" s="18" t="s">
        <v>54</v>
      </c>
      <c r="M145" s="18" t="s">
        <v>484</v>
      </c>
      <c r="N145" s="60">
        <v>21.992439000000001</v>
      </c>
      <c r="O145" s="60">
        <v>91.958062999999996</v>
      </c>
      <c r="P145" s="62">
        <v>700</v>
      </c>
      <c r="Q145" s="62"/>
      <c r="R145" s="18"/>
      <c r="S145" s="18"/>
      <c r="T145" s="22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17"/>
      <c r="AH145" s="24"/>
      <c r="AI145" s="25"/>
      <c r="AJ145" s="25"/>
    </row>
    <row r="146" spans="1:36" ht="15.6" x14ac:dyDescent="0.3">
      <c r="A146" s="77">
        <v>140</v>
      </c>
      <c r="B146" s="79" t="s">
        <v>2439</v>
      </c>
      <c r="C146" s="79" t="s">
        <v>117</v>
      </c>
      <c r="D146" s="65" t="s">
        <v>117</v>
      </c>
      <c r="E146" s="18" t="s">
        <v>101</v>
      </c>
      <c r="F146" s="18" t="s">
        <v>104</v>
      </c>
      <c r="G146" s="18" t="s">
        <v>49</v>
      </c>
      <c r="H146" s="20"/>
      <c r="I146" s="23"/>
      <c r="J146" s="26"/>
      <c r="K146" s="18" t="s">
        <v>51</v>
      </c>
      <c r="L146" s="66" t="s">
        <v>77</v>
      </c>
      <c r="M146" s="18" t="s">
        <v>485</v>
      </c>
      <c r="N146" s="60">
        <v>21.991624000000002</v>
      </c>
      <c r="O146" s="60">
        <v>91.959311</v>
      </c>
      <c r="P146" s="62">
        <v>800</v>
      </c>
      <c r="Q146" s="62"/>
      <c r="R146" s="18"/>
      <c r="S146" s="18"/>
      <c r="T146" s="22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17"/>
      <c r="AH146" s="24"/>
      <c r="AI146" s="25"/>
      <c r="AJ146" s="25"/>
    </row>
    <row r="147" spans="1:36" ht="15.6" x14ac:dyDescent="0.3">
      <c r="A147" s="77">
        <v>141</v>
      </c>
      <c r="B147" s="79" t="s">
        <v>2439</v>
      </c>
      <c r="C147" s="79" t="s">
        <v>117</v>
      </c>
      <c r="D147" s="65" t="s">
        <v>117</v>
      </c>
      <c r="E147" s="18" t="s">
        <v>101</v>
      </c>
      <c r="F147" s="63" t="s">
        <v>105</v>
      </c>
      <c r="G147" s="18" t="s">
        <v>41</v>
      </c>
      <c r="H147" s="20"/>
      <c r="I147" s="23"/>
      <c r="J147" s="26"/>
      <c r="K147" s="67" t="s">
        <v>486</v>
      </c>
      <c r="L147" s="67" t="s">
        <v>487</v>
      </c>
      <c r="M147" s="67" t="s">
        <v>488</v>
      </c>
      <c r="N147" s="60">
        <v>21.885748</v>
      </c>
      <c r="O147" s="60">
        <v>91.924453</v>
      </c>
      <c r="P147" s="62">
        <v>500</v>
      </c>
      <c r="Q147" s="62"/>
      <c r="R147" s="18"/>
      <c r="S147" s="18"/>
      <c r="T147" s="27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17"/>
      <c r="AH147" s="24"/>
      <c r="AI147" s="25"/>
      <c r="AJ147" s="25"/>
    </row>
    <row r="148" spans="1:36" ht="15.6" x14ac:dyDescent="0.3">
      <c r="A148" s="77">
        <v>142</v>
      </c>
      <c r="B148" s="79" t="s">
        <v>2439</v>
      </c>
      <c r="C148" s="79" t="s">
        <v>117</v>
      </c>
      <c r="D148" s="65" t="s">
        <v>117</v>
      </c>
      <c r="E148" s="18" t="s">
        <v>101</v>
      </c>
      <c r="F148" s="63" t="s">
        <v>105</v>
      </c>
      <c r="G148" s="18" t="s">
        <v>41</v>
      </c>
      <c r="H148" s="20"/>
      <c r="I148" s="23"/>
      <c r="J148" s="26"/>
      <c r="K148" s="67" t="s">
        <v>489</v>
      </c>
      <c r="L148" s="67" t="s">
        <v>490</v>
      </c>
      <c r="M148" s="67" t="s">
        <v>491</v>
      </c>
      <c r="N148" s="60">
        <v>21.883973000000001</v>
      </c>
      <c r="O148" s="60">
        <v>91.923593999999994</v>
      </c>
      <c r="P148" s="62">
        <v>300</v>
      </c>
      <c r="Q148" s="62"/>
      <c r="R148" s="18"/>
      <c r="S148" s="18"/>
      <c r="T148" s="27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17"/>
      <c r="AH148" s="24"/>
      <c r="AI148" s="25"/>
      <c r="AJ148" s="25"/>
    </row>
    <row r="149" spans="1:36" ht="15.6" x14ac:dyDescent="0.3">
      <c r="A149" s="77">
        <v>143</v>
      </c>
      <c r="B149" s="79" t="s">
        <v>2439</v>
      </c>
      <c r="C149" s="79" t="s">
        <v>117</v>
      </c>
      <c r="D149" s="65" t="s">
        <v>117</v>
      </c>
      <c r="E149" s="18" t="s">
        <v>101</v>
      </c>
      <c r="F149" s="63" t="s">
        <v>105</v>
      </c>
      <c r="G149" s="18" t="s">
        <v>41</v>
      </c>
      <c r="H149" s="20"/>
      <c r="I149" s="23"/>
      <c r="J149" s="26"/>
      <c r="K149" s="67" t="s">
        <v>492</v>
      </c>
      <c r="L149" s="67" t="s">
        <v>493</v>
      </c>
      <c r="M149" s="67" t="s">
        <v>494</v>
      </c>
      <c r="N149" s="60">
        <v>21.883178999999998</v>
      </c>
      <c r="O149" s="60">
        <v>91.927182999999999</v>
      </c>
      <c r="P149" s="62">
        <v>300</v>
      </c>
      <c r="Q149" s="62"/>
      <c r="R149" s="18"/>
      <c r="S149" s="18"/>
      <c r="T149" s="27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17"/>
      <c r="AH149" s="24"/>
      <c r="AI149" s="25"/>
      <c r="AJ149" s="25"/>
    </row>
    <row r="150" spans="1:36" ht="15.6" x14ac:dyDescent="0.3">
      <c r="A150" s="77">
        <v>144</v>
      </c>
      <c r="B150" s="79" t="s">
        <v>2439</v>
      </c>
      <c r="C150" s="79" t="s">
        <v>117</v>
      </c>
      <c r="D150" s="65" t="s">
        <v>117</v>
      </c>
      <c r="E150" s="18" t="s">
        <v>101</v>
      </c>
      <c r="F150" s="63" t="s">
        <v>105</v>
      </c>
      <c r="G150" s="18" t="s">
        <v>41</v>
      </c>
      <c r="H150" s="20"/>
      <c r="I150" s="23"/>
      <c r="J150" s="26"/>
      <c r="K150" s="67" t="s">
        <v>495</v>
      </c>
      <c r="L150" s="67" t="s">
        <v>496</v>
      </c>
      <c r="M150" s="67" t="s">
        <v>497</v>
      </c>
      <c r="N150" s="60">
        <v>21.882434</v>
      </c>
      <c r="O150" s="60">
        <v>91.931269999999998</v>
      </c>
      <c r="P150" s="62">
        <v>350</v>
      </c>
      <c r="Q150" s="62"/>
      <c r="R150" s="18"/>
      <c r="S150" s="18"/>
      <c r="T150" s="27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17"/>
      <c r="AH150" s="24"/>
      <c r="AI150" s="25"/>
      <c r="AJ150" s="25"/>
    </row>
    <row r="151" spans="1:36" ht="15.6" x14ac:dyDescent="0.3">
      <c r="A151" s="77">
        <v>145</v>
      </c>
      <c r="B151" s="79" t="s">
        <v>2439</v>
      </c>
      <c r="C151" s="79" t="s">
        <v>117</v>
      </c>
      <c r="D151" s="65" t="s">
        <v>117</v>
      </c>
      <c r="E151" s="18" t="s">
        <v>101</v>
      </c>
      <c r="F151" s="63" t="s">
        <v>105</v>
      </c>
      <c r="G151" s="18" t="s">
        <v>41</v>
      </c>
      <c r="H151" s="20"/>
      <c r="I151" s="23"/>
      <c r="J151" s="26"/>
      <c r="K151" s="67" t="s">
        <v>498</v>
      </c>
      <c r="L151" s="67" t="s">
        <v>499</v>
      </c>
      <c r="M151" s="67" t="s">
        <v>500</v>
      </c>
      <c r="N151" s="60">
        <v>21.881807999999999</v>
      </c>
      <c r="O151" s="60">
        <v>91.933267999999998</v>
      </c>
      <c r="P151" s="62">
        <v>300</v>
      </c>
      <c r="Q151" s="62"/>
      <c r="R151" s="18"/>
      <c r="S151" s="18"/>
      <c r="T151" s="22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17"/>
      <c r="AH151" s="24"/>
      <c r="AI151" s="25"/>
      <c r="AJ151" s="25"/>
    </row>
    <row r="152" spans="1:36" ht="15.6" x14ac:dyDescent="0.3">
      <c r="A152" s="77">
        <v>146</v>
      </c>
      <c r="B152" s="79" t="s">
        <v>2439</v>
      </c>
      <c r="C152" s="79" t="s">
        <v>117</v>
      </c>
      <c r="D152" s="65" t="s">
        <v>117</v>
      </c>
      <c r="E152" s="18" t="s">
        <v>101</v>
      </c>
      <c r="F152" s="63" t="s">
        <v>105</v>
      </c>
      <c r="G152" s="18" t="s">
        <v>41</v>
      </c>
      <c r="H152" s="20"/>
      <c r="I152" s="23"/>
      <c r="J152" s="21"/>
      <c r="K152" s="67" t="s">
        <v>501</v>
      </c>
      <c r="L152" s="67" t="s">
        <v>502</v>
      </c>
      <c r="M152" s="67" t="s">
        <v>503</v>
      </c>
      <c r="N152" s="60">
        <v>21.879677999999998</v>
      </c>
      <c r="O152" s="60">
        <v>91.935012999999998</v>
      </c>
      <c r="P152" s="62">
        <v>500</v>
      </c>
      <c r="Q152" s="62"/>
      <c r="R152" s="18"/>
      <c r="S152" s="18"/>
      <c r="T152" s="27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17"/>
      <c r="AH152" s="24"/>
      <c r="AI152" s="25"/>
      <c r="AJ152" s="25"/>
    </row>
    <row r="153" spans="1:36" ht="15.6" x14ac:dyDescent="0.3">
      <c r="A153" s="77">
        <v>147</v>
      </c>
      <c r="B153" s="79" t="s">
        <v>2439</v>
      </c>
      <c r="C153" s="79" t="s">
        <v>117</v>
      </c>
      <c r="D153" s="65" t="s">
        <v>117</v>
      </c>
      <c r="E153" s="18" t="s">
        <v>101</v>
      </c>
      <c r="F153" s="63" t="s">
        <v>105</v>
      </c>
      <c r="G153" s="18" t="s">
        <v>41</v>
      </c>
      <c r="H153" s="20"/>
      <c r="I153" s="20"/>
      <c r="J153" s="21"/>
      <c r="K153" s="67" t="s">
        <v>504</v>
      </c>
      <c r="L153" s="67" t="s">
        <v>505</v>
      </c>
      <c r="M153" s="67" t="s">
        <v>506</v>
      </c>
      <c r="N153" s="60">
        <v>21.882300999999998</v>
      </c>
      <c r="O153" s="60">
        <v>91.935755999999998</v>
      </c>
      <c r="P153" s="62">
        <v>950</v>
      </c>
      <c r="Q153" s="62"/>
      <c r="R153" s="18"/>
      <c r="S153" s="18"/>
      <c r="T153" s="27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17"/>
      <c r="AH153" s="24"/>
      <c r="AI153" s="25"/>
      <c r="AJ153" s="25"/>
    </row>
    <row r="154" spans="1:36" ht="15.6" x14ac:dyDescent="0.3">
      <c r="A154" s="77">
        <v>148</v>
      </c>
      <c r="B154" s="79" t="s">
        <v>2439</v>
      </c>
      <c r="C154" s="79" t="s">
        <v>117</v>
      </c>
      <c r="D154" s="65" t="s">
        <v>117</v>
      </c>
      <c r="E154" s="18" t="s">
        <v>101</v>
      </c>
      <c r="F154" s="63" t="s">
        <v>105</v>
      </c>
      <c r="G154" s="18" t="s">
        <v>41</v>
      </c>
      <c r="H154" s="20"/>
      <c r="I154" s="20"/>
      <c r="J154" s="21"/>
      <c r="K154" s="67" t="s">
        <v>507</v>
      </c>
      <c r="L154" s="67" t="s">
        <v>508</v>
      </c>
      <c r="M154" s="67" t="s">
        <v>509</v>
      </c>
      <c r="N154" s="60">
        <v>21.882214000000001</v>
      </c>
      <c r="O154" s="60">
        <v>91.937973</v>
      </c>
      <c r="P154" s="62">
        <v>300</v>
      </c>
      <c r="Q154" s="62"/>
      <c r="R154" s="18"/>
      <c r="S154" s="18"/>
      <c r="T154" s="22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17"/>
      <c r="AH154" s="24"/>
      <c r="AI154" s="25"/>
      <c r="AJ154" s="25"/>
    </row>
    <row r="155" spans="1:36" ht="15.6" x14ac:dyDescent="0.3">
      <c r="A155" s="77">
        <v>149</v>
      </c>
      <c r="B155" s="79" t="s">
        <v>2439</v>
      </c>
      <c r="C155" s="79" t="s">
        <v>117</v>
      </c>
      <c r="D155" s="65" t="s">
        <v>117</v>
      </c>
      <c r="E155" s="18" t="s">
        <v>101</v>
      </c>
      <c r="F155" s="63" t="s">
        <v>105</v>
      </c>
      <c r="G155" s="18" t="s">
        <v>41</v>
      </c>
      <c r="H155" s="20"/>
      <c r="I155" s="20"/>
      <c r="J155" s="21"/>
      <c r="K155" s="67" t="s">
        <v>510</v>
      </c>
      <c r="L155" s="67" t="s">
        <v>511</v>
      </c>
      <c r="M155" s="67" t="s">
        <v>512</v>
      </c>
      <c r="N155" s="60">
        <v>21.888648</v>
      </c>
      <c r="O155" s="60">
        <v>91.937613999999996</v>
      </c>
      <c r="P155" s="62">
        <v>500</v>
      </c>
      <c r="Q155" s="62"/>
      <c r="R155" s="18"/>
      <c r="S155" s="18"/>
      <c r="T155" s="27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17"/>
      <c r="AH155" s="24"/>
      <c r="AI155" s="25"/>
      <c r="AJ155" s="25"/>
    </row>
    <row r="156" spans="1:36" ht="15.6" x14ac:dyDescent="0.3">
      <c r="A156" s="77">
        <v>150</v>
      </c>
      <c r="B156" s="79" t="s">
        <v>2439</v>
      </c>
      <c r="C156" s="79" t="s">
        <v>117</v>
      </c>
      <c r="D156" s="65" t="s">
        <v>117</v>
      </c>
      <c r="E156" s="18" t="s">
        <v>101</v>
      </c>
      <c r="F156" s="63" t="s">
        <v>105</v>
      </c>
      <c r="G156" s="18" t="s">
        <v>41</v>
      </c>
      <c r="H156" s="20"/>
      <c r="I156" s="20"/>
      <c r="J156" s="21"/>
      <c r="K156" s="66" t="s">
        <v>513</v>
      </c>
      <c r="L156" s="67" t="s">
        <v>514</v>
      </c>
      <c r="M156" s="67" t="s">
        <v>515</v>
      </c>
      <c r="N156" s="60">
        <v>21.885293999999998</v>
      </c>
      <c r="O156" s="60">
        <v>91.943886000000006</v>
      </c>
      <c r="P156" s="62">
        <v>500</v>
      </c>
      <c r="Q156" s="62"/>
      <c r="R156" s="18"/>
      <c r="S156" s="18"/>
      <c r="T156" s="22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17"/>
      <c r="AH156" s="24"/>
      <c r="AI156" s="25"/>
      <c r="AJ156" s="25"/>
    </row>
    <row r="157" spans="1:36" ht="15.6" x14ac:dyDescent="0.3">
      <c r="A157" s="77">
        <v>151</v>
      </c>
      <c r="B157" s="79" t="s">
        <v>2439</v>
      </c>
      <c r="C157" s="79" t="s">
        <v>117</v>
      </c>
      <c r="D157" s="65" t="s">
        <v>117</v>
      </c>
      <c r="E157" s="18" t="s">
        <v>101</v>
      </c>
      <c r="F157" s="63" t="s">
        <v>105</v>
      </c>
      <c r="G157" s="18" t="s">
        <v>42</v>
      </c>
      <c r="H157" s="20"/>
      <c r="I157" s="20"/>
      <c r="J157" s="21"/>
      <c r="K157" s="66" t="s">
        <v>516</v>
      </c>
      <c r="L157" s="67" t="s">
        <v>517</v>
      </c>
      <c r="M157" s="67" t="s">
        <v>518</v>
      </c>
      <c r="N157" s="60">
        <v>21.891210999999998</v>
      </c>
      <c r="O157" s="60">
        <v>91.922752000000003</v>
      </c>
      <c r="P157" s="62">
        <v>300</v>
      </c>
      <c r="Q157" s="62"/>
      <c r="R157" s="18"/>
      <c r="S157" s="18"/>
      <c r="T157" s="22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17"/>
      <c r="AH157" s="24"/>
      <c r="AI157" s="25"/>
      <c r="AJ157" s="25"/>
    </row>
    <row r="158" spans="1:36" ht="15.6" x14ac:dyDescent="0.3">
      <c r="A158" s="77">
        <v>152</v>
      </c>
      <c r="B158" s="79" t="s">
        <v>2439</v>
      </c>
      <c r="C158" s="79" t="s">
        <v>117</v>
      </c>
      <c r="D158" s="65" t="s">
        <v>117</v>
      </c>
      <c r="E158" s="18" t="s">
        <v>101</v>
      </c>
      <c r="F158" s="63" t="s">
        <v>105</v>
      </c>
      <c r="G158" s="18" t="s">
        <v>42</v>
      </c>
      <c r="H158" s="20"/>
      <c r="I158" s="20"/>
      <c r="J158" s="21"/>
      <c r="K158" s="67" t="s">
        <v>519</v>
      </c>
      <c r="L158" s="67" t="s">
        <v>520</v>
      </c>
      <c r="M158" s="67" t="s">
        <v>521</v>
      </c>
      <c r="N158" s="60">
        <v>21.890364999999999</v>
      </c>
      <c r="O158" s="60">
        <v>91.927239</v>
      </c>
      <c r="P158" s="62">
        <v>250</v>
      </c>
      <c r="Q158" s="62"/>
      <c r="R158" s="18"/>
      <c r="S158" s="18"/>
      <c r="T158" s="27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17"/>
      <c r="AH158" s="24"/>
      <c r="AI158" s="25"/>
      <c r="AJ158" s="25"/>
    </row>
    <row r="159" spans="1:36" ht="15.6" x14ac:dyDescent="0.3">
      <c r="A159" s="77">
        <v>153</v>
      </c>
      <c r="B159" s="79" t="s">
        <v>2439</v>
      </c>
      <c r="C159" s="79" t="s">
        <v>117</v>
      </c>
      <c r="D159" s="65" t="s">
        <v>117</v>
      </c>
      <c r="E159" s="18" t="s">
        <v>101</v>
      </c>
      <c r="F159" s="63" t="s">
        <v>105</v>
      </c>
      <c r="G159" s="18" t="s">
        <v>42</v>
      </c>
      <c r="H159" s="20"/>
      <c r="I159" s="20"/>
      <c r="J159" s="21"/>
      <c r="K159" s="67" t="s">
        <v>522</v>
      </c>
      <c r="L159" s="67" t="s">
        <v>523</v>
      </c>
      <c r="M159" s="67" t="s">
        <v>524</v>
      </c>
      <c r="N159" s="60">
        <v>21.890333999999999</v>
      </c>
      <c r="O159" s="60">
        <v>91.930007000000003</v>
      </c>
      <c r="P159" s="62">
        <v>100</v>
      </c>
      <c r="Q159" s="62"/>
      <c r="R159" s="18"/>
      <c r="S159" s="18"/>
      <c r="T159" s="27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17"/>
      <c r="AH159" s="24"/>
      <c r="AI159" s="25"/>
      <c r="AJ159" s="25"/>
    </row>
    <row r="160" spans="1:36" ht="15.6" x14ac:dyDescent="0.3">
      <c r="A160" s="77">
        <v>154</v>
      </c>
      <c r="B160" s="79" t="s">
        <v>2439</v>
      </c>
      <c r="C160" s="79" t="s">
        <v>117</v>
      </c>
      <c r="D160" s="65" t="s">
        <v>117</v>
      </c>
      <c r="E160" s="18" t="s">
        <v>101</v>
      </c>
      <c r="F160" s="63" t="s">
        <v>105</v>
      </c>
      <c r="G160" s="18" t="s">
        <v>42</v>
      </c>
      <c r="H160" s="20"/>
      <c r="I160" s="23"/>
      <c r="J160" s="21"/>
      <c r="K160" s="67" t="s">
        <v>525</v>
      </c>
      <c r="L160" s="67" t="s">
        <v>526</v>
      </c>
      <c r="M160" s="67" t="s">
        <v>527</v>
      </c>
      <c r="N160" s="60">
        <v>21.892022000000001</v>
      </c>
      <c r="O160" s="60">
        <v>91.929445999999999</v>
      </c>
      <c r="P160" s="62">
        <v>250</v>
      </c>
      <c r="Q160" s="62"/>
      <c r="R160" s="18"/>
      <c r="S160" s="18"/>
      <c r="T160" s="22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17"/>
      <c r="AH160" s="24"/>
      <c r="AI160" s="25"/>
      <c r="AJ160" s="25"/>
    </row>
    <row r="161" spans="1:36" ht="15.6" x14ac:dyDescent="0.3">
      <c r="A161" s="77">
        <v>155</v>
      </c>
      <c r="B161" s="79" t="s">
        <v>2439</v>
      </c>
      <c r="C161" s="79" t="s">
        <v>117</v>
      </c>
      <c r="D161" s="65" t="s">
        <v>117</v>
      </c>
      <c r="E161" s="18" t="s">
        <v>101</v>
      </c>
      <c r="F161" s="63" t="s">
        <v>105</v>
      </c>
      <c r="G161" s="18" t="s">
        <v>42</v>
      </c>
      <c r="H161" s="20"/>
      <c r="I161" s="23"/>
      <c r="J161" s="21"/>
      <c r="K161" s="67" t="s">
        <v>528</v>
      </c>
      <c r="L161" s="67" t="s">
        <v>529</v>
      </c>
      <c r="M161" s="67" t="s">
        <v>530</v>
      </c>
      <c r="N161" s="60">
        <v>21.891416</v>
      </c>
      <c r="O161" s="60">
        <v>91.929102999999998</v>
      </c>
      <c r="P161" s="62">
        <v>50</v>
      </c>
      <c r="Q161" s="62"/>
      <c r="R161" s="18"/>
      <c r="S161" s="18"/>
      <c r="T161" s="22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17"/>
      <c r="AH161" s="24"/>
      <c r="AI161" s="25"/>
      <c r="AJ161" s="25"/>
    </row>
    <row r="162" spans="1:36" ht="15.6" x14ac:dyDescent="0.3">
      <c r="A162" s="77">
        <v>156</v>
      </c>
      <c r="B162" s="79" t="s">
        <v>2439</v>
      </c>
      <c r="C162" s="79" t="s">
        <v>117</v>
      </c>
      <c r="D162" s="65" t="s">
        <v>117</v>
      </c>
      <c r="E162" s="18" t="s">
        <v>101</v>
      </c>
      <c r="F162" s="63" t="s">
        <v>105</v>
      </c>
      <c r="G162" s="18" t="s">
        <v>42</v>
      </c>
      <c r="H162" s="20"/>
      <c r="I162" s="23"/>
      <c r="J162" s="21"/>
      <c r="K162" s="67" t="s">
        <v>531</v>
      </c>
      <c r="L162" s="67" t="s">
        <v>532</v>
      </c>
      <c r="M162" s="67" t="s">
        <v>533</v>
      </c>
      <c r="N162" s="60">
        <v>21.890385999999999</v>
      </c>
      <c r="O162" s="60">
        <v>91.930846000000003</v>
      </c>
      <c r="P162" s="62">
        <v>250</v>
      </c>
      <c r="Q162" s="62"/>
      <c r="R162" s="18"/>
      <c r="S162" s="18"/>
      <c r="T162" s="22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17"/>
      <c r="AH162" s="24"/>
      <c r="AI162" s="25"/>
      <c r="AJ162" s="25"/>
    </row>
    <row r="163" spans="1:36" ht="15.6" x14ac:dyDescent="0.3">
      <c r="A163" s="77">
        <v>157</v>
      </c>
      <c r="B163" s="79" t="s">
        <v>2439</v>
      </c>
      <c r="C163" s="79" t="s">
        <v>117</v>
      </c>
      <c r="D163" s="65" t="s">
        <v>117</v>
      </c>
      <c r="E163" s="18" t="s">
        <v>101</v>
      </c>
      <c r="F163" s="63" t="s">
        <v>105</v>
      </c>
      <c r="G163" s="18" t="s">
        <v>42</v>
      </c>
      <c r="H163" s="20"/>
      <c r="I163" s="23"/>
      <c r="J163" s="21"/>
      <c r="K163" s="67" t="s">
        <v>534</v>
      </c>
      <c r="L163" s="67" t="s">
        <v>535</v>
      </c>
      <c r="M163" s="67" t="s">
        <v>536</v>
      </c>
      <c r="N163" s="60">
        <v>21.891279000000001</v>
      </c>
      <c r="O163" s="60">
        <v>91.932488000000006</v>
      </c>
      <c r="P163" s="62">
        <v>250</v>
      </c>
      <c r="Q163" s="62"/>
      <c r="R163" s="18"/>
      <c r="S163" s="18"/>
      <c r="T163" s="22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17"/>
      <c r="AH163" s="24"/>
      <c r="AI163" s="25"/>
      <c r="AJ163" s="25"/>
    </row>
    <row r="164" spans="1:36" ht="15.6" x14ac:dyDescent="0.3">
      <c r="A164" s="77">
        <v>158</v>
      </c>
      <c r="B164" s="79" t="s">
        <v>2439</v>
      </c>
      <c r="C164" s="79" t="s">
        <v>117</v>
      </c>
      <c r="D164" s="65" t="s">
        <v>117</v>
      </c>
      <c r="E164" s="18" t="s">
        <v>101</v>
      </c>
      <c r="F164" s="63" t="s">
        <v>105</v>
      </c>
      <c r="G164" s="18" t="s">
        <v>42</v>
      </c>
      <c r="H164" s="20"/>
      <c r="I164" s="23"/>
      <c r="J164" s="21"/>
      <c r="K164" s="67" t="s">
        <v>537</v>
      </c>
      <c r="L164" s="67" t="s">
        <v>538</v>
      </c>
      <c r="M164" s="67" t="s">
        <v>539</v>
      </c>
      <c r="N164" s="60">
        <v>21.893426000000002</v>
      </c>
      <c r="O164" s="60">
        <v>91.934856999999994</v>
      </c>
      <c r="P164" s="62">
        <v>500</v>
      </c>
      <c r="Q164" s="62"/>
      <c r="R164" s="18"/>
      <c r="S164" s="18"/>
      <c r="T164" s="22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17"/>
      <c r="AH164" s="24"/>
      <c r="AI164" s="25"/>
      <c r="AJ164" s="25"/>
    </row>
    <row r="165" spans="1:36" ht="15.6" x14ac:dyDescent="0.3">
      <c r="A165" s="77">
        <v>159</v>
      </c>
      <c r="B165" s="79" t="s">
        <v>2439</v>
      </c>
      <c r="C165" s="79" t="s">
        <v>117</v>
      </c>
      <c r="D165" s="65" t="s">
        <v>117</v>
      </c>
      <c r="E165" s="18" t="s">
        <v>101</v>
      </c>
      <c r="F165" s="63" t="s">
        <v>105</v>
      </c>
      <c r="G165" s="18" t="s">
        <v>42</v>
      </c>
      <c r="H165" s="20"/>
      <c r="I165" s="23"/>
      <c r="J165" s="21"/>
      <c r="K165" s="18" t="s">
        <v>97</v>
      </c>
      <c r="L165" s="66" t="s">
        <v>98</v>
      </c>
      <c r="M165" s="67" t="s">
        <v>540</v>
      </c>
      <c r="N165" s="60">
        <v>21.891141999999999</v>
      </c>
      <c r="O165" s="60">
        <v>91.943151</v>
      </c>
      <c r="P165" s="62">
        <v>120</v>
      </c>
      <c r="Q165" s="62"/>
      <c r="R165" s="18"/>
      <c r="S165" s="18"/>
      <c r="T165" s="22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17"/>
      <c r="AH165" s="24"/>
      <c r="AI165" s="25"/>
      <c r="AJ165" s="25"/>
    </row>
    <row r="166" spans="1:36" ht="15.6" x14ac:dyDescent="0.3">
      <c r="A166" s="77">
        <v>160</v>
      </c>
      <c r="B166" s="79" t="s">
        <v>2439</v>
      </c>
      <c r="C166" s="79" t="s">
        <v>117</v>
      </c>
      <c r="D166" s="65" t="s">
        <v>117</v>
      </c>
      <c r="E166" s="18" t="s">
        <v>101</v>
      </c>
      <c r="F166" s="63" t="s">
        <v>105</v>
      </c>
      <c r="G166" s="18" t="s">
        <v>42</v>
      </c>
      <c r="H166" s="20"/>
      <c r="I166" s="23"/>
      <c r="J166" s="21"/>
      <c r="K166" s="67" t="s">
        <v>88</v>
      </c>
      <c r="L166" s="67" t="s">
        <v>89</v>
      </c>
      <c r="M166" s="67" t="s">
        <v>541</v>
      </c>
      <c r="N166" s="60">
        <v>21.894455000000001</v>
      </c>
      <c r="O166" s="60">
        <v>91.927223999999995</v>
      </c>
      <c r="P166" s="62">
        <v>30</v>
      </c>
      <c r="Q166" s="62"/>
      <c r="R166" s="18"/>
      <c r="S166" s="18"/>
      <c r="T166" s="22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17"/>
      <c r="AH166" s="24"/>
      <c r="AI166" s="25"/>
      <c r="AJ166" s="25"/>
    </row>
    <row r="167" spans="1:36" ht="15.6" x14ac:dyDescent="0.3">
      <c r="A167" s="77">
        <v>161</v>
      </c>
      <c r="B167" s="79" t="s">
        <v>2439</v>
      </c>
      <c r="C167" s="79" t="s">
        <v>117</v>
      </c>
      <c r="D167" s="65" t="s">
        <v>117</v>
      </c>
      <c r="E167" s="18" t="s">
        <v>101</v>
      </c>
      <c r="F167" s="63" t="s">
        <v>105</v>
      </c>
      <c r="G167" s="18" t="s">
        <v>43</v>
      </c>
      <c r="H167" s="20"/>
      <c r="I167" s="23"/>
      <c r="J167" s="21"/>
      <c r="K167" s="67" t="s">
        <v>542</v>
      </c>
      <c r="L167" s="67" t="s">
        <v>543</v>
      </c>
      <c r="M167" s="67" t="s">
        <v>544</v>
      </c>
      <c r="N167" s="60">
        <v>21.899767000000001</v>
      </c>
      <c r="O167" s="60">
        <v>91.922409999999999</v>
      </c>
      <c r="P167" s="62">
        <v>300</v>
      </c>
      <c r="Q167" s="62"/>
      <c r="R167" s="18"/>
      <c r="S167" s="18"/>
      <c r="T167" s="22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17"/>
      <c r="AH167" s="24"/>
      <c r="AI167" s="25"/>
      <c r="AJ167" s="25"/>
    </row>
    <row r="168" spans="1:36" ht="15.6" x14ac:dyDescent="0.3">
      <c r="A168" s="77">
        <v>162</v>
      </c>
      <c r="B168" s="79" t="s">
        <v>2439</v>
      </c>
      <c r="C168" s="79" t="s">
        <v>117</v>
      </c>
      <c r="D168" s="65" t="s">
        <v>117</v>
      </c>
      <c r="E168" s="18" t="s">
        <v>101</v>
      </c>
      <c r="F168" s="63" t="s">
        <v>105</v>
      </c>
      <c r="G168" s="18" t="s">
        <v>43</v>
      </c>
      <c r="H168" s="20"/>
      <c r="I168" s="20"/>
      <c r="J168" s="21"/>
      <c r="K168" s="67" t="s">
        <v>439</v>
      </c>
      <c r="L168" s="67" t="s">
        <v>545</v>
      </c>
      <c r="M168" s="67" t="s">
        <v>546</v>
      </c>
      <c r="N168" s="60">
        <v>21.896156000000001</v>
      </c>
      <c r="O168" s="60">
        <v>91.922184999999999</v>
      </c>
      <c r="P168" s="62">
        <v>100</v>
      </c>
      <c r="Q168" s="62"/>
      <c r="R168" s="18"/>
      <c r="S168" s="18"/>
      <c r="T168" s="22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17"/>
      <c r="AH168" s="24"/>
      <c r="AI168" s="25"/>
      <c r="AJ168" s="25"/>
    </row>
    <row r="169" spans="1:36" ht="15.6" x14ac:dyDescent="0.3">
      <c r="A169" s="77">
        <v>163</v>
      </c>
      <c r="B169" s="79" t="s">
        <v>2439</v>
      </c>
      <c r="C169" s="79" t="s">
        <v>117</v>
      </c>
      <c r="D169" s="65" t="s">
        <v>117</v>
      </c>
      <c r="E169" s="18" t="s">
        <v>101</v>
      </c>
      <c r="F169" s="63" t="s">
        <v>105</v>
      </c>
      <c r="G169" s="18" t="s">
        <v>43</v>
      </c>
      <c r="H169" s="20"/>
      <c r="I169" s="20"/>
      <c r="J169" s="23"/>
      <c r="K169" s="67" t="s">
        <v>547</v>
      </c>
      <c r="L169" s="67" t="s">
        <v>548</v>
      </c>
      <c r="M169" s="67" t="s">
        <v>549</v>
      </c>
      <c r="N169" s="60">
        <v>21.893746</v>
      </c>
      <c r="O169" s="60">
        <v>91.922134</v>
      </c>
      <c r="P169" s="62">
        <v>400</v>
      </c>
      <c r="Q169" s="62"/>
      <c r="R169" s="18"/>
      <c r="S169" s="18"/>
      <c r="T169" s="22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17"/>
      <c r="AH169" s="24"/>
      <c r="AI169" s="25"/>
      <c r="AJ169" s="25"/>
    </row>
    <row r="170" spans="1:36" ht="15.6" x14ac:dyDescent="0.3">
      <c r="A170" s="77">
        <v>164</v>
      </c>
      <c r="B170" s="79" t="s">
        <v>2439</v>
      </c>
      <c r="C170" s="79" t="s">
        <v>117</v>
      </c>
      <c r="D170" s="65" t="s">
        <v>117</v>
      </c>
      <c r="E170" s="18" t="s">
        <v>101</v>
      </c>
      <c r="F170" s="63" t="s">
        <v>105</v>
      </c>
      <c r="G170" s="18" t="s">
        <v>43</v>
      </c>
      <c r="H170" s="20"/>
      <c r="I170" s="20"/>
      <c r="J170" s="21"/>
      <c r="K170" s="67" t="s">
        <v>550</v>
      </c>
      <c r="L170" s="67" t="s">
        <v>551</v>
      </c>
      <c r="M170" s="67" t="s">
        <v>552</v>
      </c>
      <c r="N170" s="60">
        <v>21.892827</v>
      </c>
      <c r="O170" s="60">
        <v>91.926090000000002</v>
      </c>
      <c r="P170" s="62">
        <v>400</v>
      </c>
      <c r="Q170" s="62"/>
      <c r="R170" s="18"/>
      <c r="S170" s="18"/>
      <c r="T170" s="22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17"/>
      <c r="AH170" s="24"/>
      <c r="AI170" s="25"/>
      <c r="AJ170" s="25"/>
    </row>
    <row r="171" spans="1:36" ht="15.6" x14ac:dyDescent="0.3">
      <c r="A171" s="77">
        <v>165</v>
      </c>
      <c r="B171" s="79" t="s">
        <v>2439</v>
      </c>
      <c r="C171" s="79" t="s">
        <v>117</v>
      </c>
      <c r="D171" s="65" t="s">
        <v>117</v>
      </c>
      <c r="E171" s="18" t="s">
        <v>101</v>
      </c>
      <c r="F171" s="63" t="s">
        <v>105</v>
      </c>
      <c r="G171" s="18" t="s">
        <v>43</v>
      </c>
      <c r="H171" s="20"/>
      <c r="I171" s="20"/>
      <c r="J171" s="21"/>
      <c r="K171" s="67" t="s">
        <v>553</v>
      </c>
      <c r="L171" s="67" t="s">
        <v>554</v>
      </c>
      <c r="M171" s="67" t="s">
        <v>555</v>
      </c>
      <c r="N171" s="60">
        <v>21.897615999999999</v>
      </c>
      <c r="O171" s="60">
        <v>91.928106</v>
      </c>
      <c r="P171" s="62">
        <v>250</v>
      </c>
      <c r="Q171" s="62"/>
      <c r="R171" s="18"/>
      <c r="S171" s="18"/>
      <c r="T171" s="22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17"/>
      <c r="AH171" s="24"/>
      <c r="AI171" s="25"/>
      <c r="AJ171" s="25"/>
    </row>
    <row r="172" spans="1:36" ht="15.6" x14ac:dyDescent="0.3">
      <c r="A172" s="77">
        <v>166</v>
      </c>
      <c r="B172" s="79" t="s">
        <v>2439</v>
      </c>
      <c r="C172" s="79" t="s">
        <v>117</v>
      </c>
      <c r="D172" s="65" t="s">
        <v>117</v>
      </c>
      <c r="E172" s="18" t="s">
        <v>101</v>
      </c>
      <c r="F172" s="63" t="s">
        <v>105</v>
      </c>
      <c r="G172" s="18" t="s">
        <v>43</v>
      </c>
      <c r="H172" s="20"/>
      <c r="I172" s="20"/>
      <c r="J172" s="21"/>
      <c r="K172" s="67" t="s">
        <v>556</v>
      </c>
      <c r="L172" s="67" t="s">
        <v>557</v>
      </c>
      <c r="M172" s="67" t="s">
        <v>558</v>
      </c>
      <c r="N172" s="60">
        <v>21.900262000000001</v>
      </c>
      <c r="O172" s="60">
        <v>91.927096000000006</v>
      </c>
      <c r="P172" s="62">
        <v>200</v>
      </c>
      <c r="Q172" s="62"/>
      <c r="R172" s="18"/>
      <c r="S172" s="18"/>
      <c r="T172" s="22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17"/>
      <c r="AH172" s="24"/>
      <c r="AI172" s="25"/>
      <c r="AJ172" s="25"/>
    </row>
    <row r="173" spans="1:36" ht="15.6" x14ac:dyDescent="0.3">
      <c r="A173" s="77">
        <v>167</v>
      </c>
      <c r="B173" s="79" t="s">
        <v>2439</v>
      </c>
      <c r="C173" s="79" t="s">
        <v>117</v>
      </c>
      <c r="D173" s="65" t="s">
        <v>117</v>
      </c>
      <c r="E173" s="18" t="s">
        <v>101</v>
      </c>
      <c r="F173" s="63" t="s">
        <v>105</v>
      </c>
      <c r="G173" s="18" t="s">
        <v>43</v>
      </c>
      <c r="H173" s="20"/>
      <c r="I173" s="20"/>
      <c r="J173" s="26"/>
      <c r="K173" s="67" t="s">
        <v>83</v>
      </c>
      <c r="L173" s="67" t="s">
        <v>84</v>
      </c>
      <c r="M173" s="67" t="s">
        <v>559</v>
      </c>
      <c r="N173" s="60">
        <v>21.896571000000002</v>
      </c>
      <c r="O173" s="60">
        <v>91.932990000000004</v>
      </c>
      <c r="P173" s="62">
        <v>150</v>
      </c>
      <c r="Q173" s="62"/>
      <c r="R173" s="18"/>
      <c r="S173" s="18"/>
      <c r="T173" s="22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17"/>
      <c r="AH173" s="24"/>
      <c r="AI173" s="25"/>
      <c r="AJ173" s="25"/>
    </row>
    <row r="174" spans="1:36" ht="15.6" x14ac:dyDescent="0.3">
      <c r="A174" s="77">
        <v>168</v>
      </c>
      <c r="B174" s="79" t="s">
        <v>2439</v>
      </c>
      <c r="C174" s="79" t="s">
        <v>117</v>
      </c>
      <c r="D174" s="65" t="s">
        <v>117</v>
      </c>
      <c r="E174" s="18" t="s">
        <v>101</v>
      </c>
      <c r="F174" s="63" t="s">
        <v>105</v>
      </c>
      <c r="G174" s="18" t="s">
        <v>43</v>
      </c>
      <c r="H174" s="20"/>
      <c r="I174" s="20"/>
      <c r="J174" s="26"/>
      <c r="K174" s="67" t="s">
        <v>560</v>
      </c>
      <c r="L174" s="67" t="s">
        <v>561</v>
      </c>
      <c r="M174" s="67" t="s">
        <v>562</v>
      </c>
      <c r="N174" s="60">
        <v>21.896101000000002</v>
      </c>
      <c r="O174" s="60">
        <v>91.936610999999999</v>
      </c>
      <c r="P174" s="62">
        <v>450</v>
      </c>
      <c r="Q174" s="62"/>
      <c r="R174" s="18"/>
      <c r="S174" s="18"/>
      <c r="T174" s="22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17"/>
      <c r="AH174" s="24"/>
      <c r="AI174" s="25"/>
      <c r="AJ174" s="25"/>
    </row>
    <row r="175" spans="1:36" ht="15.6" x14ac:dyDescent="0.3">
      <c r="A175" s="77">
        <v>169</v>
      </c>
      <c r="B175" s="79" t="s">
        <v>2439</v>
      </c>
      <c r="C175" s="79" t="s">
        <v>117</v>
      </c>
      <c r="D175" s="65" t="s">
        <v>117</v>
      </c>
      <c r="E175" s="18" t="s">
        <v>101</v>
      </c>
      <c r="F175" s="63" t="s">
        <v>105</v>
      </c>
      <c r="G175" s="18" t="s">
        <v>44</v>
      </c>
      <c r="H175" s="20"/>
      <c r="I175" s="23"/>
      <c r="J175" s="26"/>
      <c r="K175" s="63" t="s">
        <v>211</v>
      </c>
      <c r="L175" s="18" t="s">
        <v>212</v>
      </c>
      <c r="M175" s="67" t="s">
        <v>563</v>
      </c>
      <c r="N175" s="60">
        <v>21.875081999999999</v>
      </c>
      <c r="O175" s="60">
        <v>91.921443999999994</v>
      </c>
      <c r="P175" s="62">
        <v>1200</v>
      </c>
      <c r="Q175" s="62"/>
      <c r="R175" s="18"/>
      <c r="S175" s="18"/>
      <c r="T175" s="22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17"/>
      <c r="AH175" s="24"/>
      <c r="AI175" s="25"/>
      <c r="AJ175" s="25"/>
    </row>
    <row r="176" spans="1:36" ht="15.6" x14ac:dyDescent="0.3">
      <c r="A176" s="77">
        <v>170</v>
      </c>
      <c r="B176" s="79" t="s">
        <v>2439</v>
      </c>
      <c r="C176" s="79" t="s">
        <v>117</v>
      </c>
      <c r="D176" s="65" t="s">
        <v>117</v>
      </c>
      <c r="E176" s="18" t="s">
        <v>101</v>
      </c>
      <c r="F176" s="63" t="s">
        <v>105</v>
      </c>
      <c r="G176" s="18" t="s">
        <v>44</v>
      </c>
      <c r="H176" s="20"/>
      <c r="I176" s="20"/>
      <c r="J176" s="26"/>
      <c r="K176" s="67" t="s">
        <v>564</v>
      </c>
      <c r="L176" s="67" t="s">
        <v>565</v>
      </c>
      <c r="M176" s="67" t="s">
        <v>566</v>
      </c>
      <c r="N176" s="60">
        <v>21.881367999999998</v>
      </c>
      <c r="O176" s="60">
        <v>91.915762999999998</v>
      </c>
      <c r="P176" s="62">
        <v>600</v>
      </c>
      <c r="Q176" s="62"/>
      <c r="R176" s="18"/>
      <c r="S176" s="18"/>
      <c r="T176" s="27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17"/>
      <c r="AH176" s="24"/>
      <c r="AI176" s="25"/>
      <c r="AJ176" s="25"/>
    </row>
    <row r="177" spans="1:36" ht="15.6" x14ac:dyDescent="0.3">
      <c r="A177" s="77">
        <v>171</v>
      </c>
      <c r="B177" s="79" t="s">
        <v>2439</v>
      </c>
      <c r="C177" s="79" t="s">
        <v>117</v>
      </c>
      <c r="D177" s="65" t="s">
        <v>117</v>
      </c>
      <c r="E177" s="18" t="s">
        <v>101</v>
      </c>
      <c r="F177" s="63" t="s">
        <v>105</v>
      </c>
      <c r="G177" s="18" t="s">
        <v>44</v>
      </c>
      <c r="H177" s="20"/>
      <c r="I177" s="20"/>
      <c r="J177" s="26"/>
      <c r="K177" s="67" t="s">
        <v>567</v>
      </c>
      <c r="L177" s="67" t="s">
        <v>568</v>
      </c>
      <c r="M177" s="67" t="s">
        <v>569</v>
      </c>
      <c r="N177" s="60">
        <v>21.877300999999999</v>
      </c>
      <c r="O177" s="60">
        <v>91.921002000000001</v>
      </c>
      <c r="P177" s="62">
        <v>160</v>
      </c>
      <c r="Q177" s="62"/>
      <c r="R177" s="18"/>
      <c r="S177" s="18"/>
      <c r="T177" s="27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17"/>
      <c r="AH177" s="24"/>
      <c r="AI177" s="25"/>
      <c r="AJ177" s="25"/>
    </row>
    <row r="178" spans="1:36" ht="15.6" x14ac:dyDescent="0.3">
      <c r="A178" s="77">
        <v>172</v>
      </c>
      <c r="B178" s="79" t="s">
        <v>2439</v>
      </c>
      <c r="C178" s="79" t="s">
        <v>117</v>
      </c>
      <c r="D178" s="65" t="s">
        <v>117</v>
      </c>
      <c r="E178" s="18" t="s">
        <v>101</v>
      </c>
      <c r="F178" s="63" t="s">
        <v>105</v>
      </c>
      <c r="G178" s="18" t="s">
        <v>44</v>
      </c>
      <c r="H178" s="20"/>
      <c r="I178" s="20"/>
      <c r="J178" s="26"/>
      <c r="K178" s="67" t="s">
        <v>570</v>
      </c>
      <c r="L178" s="67" t="s">
        <v>571</v>
      </c>
      <c r="M178" s="67" t="s">
        <v>572</v>
      </c>
      <c r="N178" s="60">
        <v>21.878858000000001</v>
      </c>
      <c r="O178" s="60">
        <v>91.924334999999999</v>
      </c>
      <c r="P178" s="62">
        <v>280</v>
      </c>
      <c r="Q178" s="62"/>
      <c r="R178" s="18"/>
      <c r="S178" s="18"/>
      <c r="T178" s="27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17"/>
      <c r="AH178" s="24"/>
      <c r="AI178" s="25"/>
      <c r="AJ178" s="25"/>
    </row>
    <row r="179" spans="1:36" ht="15.6" x14ac:dyDescent="0.3">
      <c r="A179" s="77">
        <v>173</v>
      </c>
      <c r="B179" s="79" t="s">
        <v>2439</v>
      </c>
      <c r="C179" s="79" t="s">
        <v>117</v>
      </c>
      <c r="D179" s="65" t="s">
        <v>117</v>
      </c>
      <c r="E179" s="18" t="s">
        <v>101</v>
      </c>
      <c r="F179" s="63" t="s">
        <v>105</v>
      </c>
      <c r="G179" s="18" t="s">
        <v>44</v>
      </c>
      <c r="H179" s="20"/>
      <c r="I179" s="20"/>
      <c r="J179" s="26"/>
      <c r="K179" s="66" t="s">
        <v>573</v>
      </c>
      <c r="L179" s="67" t="s">
        <v>574</v>
      </c>
      <c r="M179" s="67" t="s">
        <v>575</v>
      </c>
      <c r="N179" s="60">
        <v>21.879677000000001</v>
      </c>
      <c r="O179" s="60">
        <v>91.922234000000003</v>
      </c>
      <c r="P179" s="62">
        <v>450</v>
      </c>
      <c r="Q179" s="62"/>
      <c r="R179" s="18"/>
      <c r="S179" s="18"/>
      <c r="T179" s="27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17"/>
      <c r="AH179" s="24"/>
      <c r="AI179" s="25"/>
      <c r="AJ179" s="25"/>
    </row>
    <row r="180" spans="1:36" ht="15.6" x14ac:dyDescent="0.3">
      <c r="A180" s="77">
        <v>174</v>
      </c>
      <c r="B180" s="79" t="s">
        <v>2439</v>
      </c>
      <c r="C180" s="79" t="s">
        <v>117</v>
      </c>
      <c r="D180" s="65" t="s">
        <v>117</v>
      </c>
      <c r="E180" s="18" t="s">
        <v>101</v>
      </c>
      <c r="F180" s="63" t="s">
        <v>105</v>
      </c>
      <c r="G180" s="18" t="s">
        <v>44</v>
      </c>
      <c r="H180" s="20"/>
      <c r="I180" s="20"/>
      <c r="J180" s="26"/>
      <c r="K180" s="67" t="s">
        <v>576</v>
      </c>
      <c r="L180" s="67" t="s">
        <v>577</v>
      </c>
      <c r="M180" s="67" t="s">
        <v>578</v>
      </c>
      <c r="N180" s="60">
        <v>21.881118000000001</v>
      </c>
      <c r="O180" s="60">
        <v>91.924511999999993</v>
      </c>
      <c r="P180" s="62">
        <v>100</v>
      </c>
      <c r="Q180" s="62"/>
      <c r="R180" s="18"/>
      <c r="S180" s="18"/>
      <c r="T180" s="27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17"/>
      <c r="AH180" s="24"/>
      <c r="AI180" s="25"/>
      <c r="AJ180" s="25"/>
    </row>
    <row r="181" spans="1:36" ht="15.6" x14ac:dyDescent="0.3">
      <c r="A181" s="77">
        <v>175</v>
      </c>
      <c r="B181" s="79" t="s">
        <v>2439</v>
      </c>
      <c r="C181" s="79" t="s">
        <v>117</v>
      </c>
      <c r="D181" s="65" t="s">
        <v>117</v>
      </c>
      <c r="E181" s="18" t="s">
        <v>101</v>
      </c>
      <c r="F181" s="63" t="s">
        <v>105</v>
      </c>
      <c r="G181" s="18" t="s">
        <v>44</v>
      </c>
      <c r="H181" s="20"/>
      <c r="I181" s="20"/>
      <c r="J181" s="26"/>
      <c r="K181" s="67" t="s">
        <v>579</v>
      </c>
      <c r="L181" s="67" t="s">
        <v>580</v>
      </c>
      <c r="M181" s="67" t="s">
        <v>581</v>
      </c>
      <c r="N181" s="60">
        <v>21.879156999999999</v>
      </c>
      <c r="O181" s="60">
        <v>91.918942000000001</v>
      </c>
      <c r="P181" s="62">
        <v>200</v>
      </c>
      <c r="Q181" s="62"/>
      <c r="R181" s="18"/>
      <c r="S181" s="18"/>
      <c r="T181" s="27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17"/>
      <c r="AH181" s="24"/>
      <c r="AI181" s="25"/>
      <c r="AJ181" s="25"/>
    </row>
    <row r="182" spans="1:36" ht="15.6" x14ac:dyDescent="0.3">
      <c r="A182" s="77">
        <v>176</v>
      </c>
      <c r="B182" s="79" t="s">
        <v>2439</v>
      </c>
      <c r="C182" s="79" t="s">
        <v>117</v>
      </c>
      <c r="D182" s="65" t="s">
        <v>117</v>
      </c>
      <c r="E182" s="18" t="s">
        <v>101</v>
      </c>
      <c r="F182" s="63" t="s">
        <v>105</v>
      </c>
      <c r="G182" s="18" t="s">
        <v>44</v>
      </c>
      <c r="H182" s="20"/>
      <c r="I182" s="20"/>
      <c r="J182" s="26"/>
      <c r="K182" s="18" t="s">
        <v>582</v>
      </c>
      <c r="L182" s="67" t="s">
        <v>583</v>
      </c>
      <c r="M182" s="67" t="s">
        <v>584</v>
      </c>
      <c r="N182" s="60">
        <v>21.880877999999999</v>
      </c>
      <c r="O182" s="60">
        <v>91.917202000000003</v>
      </c>
      <c r="P182" s="62">
        <v>450</v>
      </c>
      <c r="Q182" s="62"/>
      <c r="R182" s="18"/>
      <c r="S182" s="18"/>
      <c r="T182" s="27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17"/>
      <c r="AH182" s="24"/>
      <c r="AI182" s="25"/>
      <c r="AJ182" s="25"/>
    </row>
    <row r="183" spans="1:36" ht="15.6" x14ac:dyDescent="0.3">
      <c r="A183" s="77">
        <v>177</v>
      </c>
      <c r="B183" s="79" t="s">
        <v>2439</v>
      </c>
      <c r="C183" s="79" t="s">
        <v>117</v>
      </c>
      <c r="D183" s="65" t="s">
        <v>117</v>
      </c>
      <c r="E183" s="18" t="s">
        <v>101</v>
      </c>
      <c r="F183" s="63" t="s">
        <v>105</v>
      </c>
      <c r="G183" s="18" t="s">
        <v>44</v>
      </c>
      <c r="H183" s="20"/>
      <c r="I183" s="20"/>
      <c r="J183" s="26"/>
      <c r="K183" s="67" t="s">
        <v>585</v>
      </c>
      <c r="L183" s="67" t="s">
        <v>586</v>
      </c>
      <c r="M183" s="67" t="s">
        <v>587</v>
      </c>
      <c r="N183" s="60">
        <v>21.883963999999999</v>
      </c>
      <c r="O183" s="60">
        <v>91.917474999999996</v>
      </c>
      <c r="P183" s="62">
        <v>1000</v>
      </c>
      <c r="Q183" s="62"/>
      <c r="R183" s="18"/>
      <c r="S183" s="18"/>
      <c r="T183" s="27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17"/>
      <c r="AH183" s="24"/>
      <c r="AI183" s="25"/>
      <c r="AJ183" s="25"/>
    </row>
    <row r="184" spans="1:36" ht="15.6" x14ac:dyDescent="0.3">
      <c r="A184" s="77">
        <v>178</v>
      </c>
      <c r="B184" s="79" t="s">
        <v>2439</v>
      </c>
      <c r="C184" s="79" t="s">
        <v>117</v>
      </c>
      <c r="D184" s="65" t="s">
        <v>117</v>
      </c>
      <c r="E184" s="18" t="s">
        <v>101</v>
      </c>
      <c r="F184" s="63" t="s">
        <v>105</v>
      </c>
      <c r="G184" s="18" t="s">
        <v>44</v>
      </c>
      <c r="H184" s="20"/>
      <c r="I184" s="20"/>
      <c r="J184" s="26"/>
      <c r="K184" s="67" t="s">
        <v>588</v>
      </c>
      <c r="L184" s="67" t="s">
        <v>589</v>
      </c>
      <c r="M184" s="67" t="s">
        <v>590</v>
      </c>
      <c r="N184" s="60">
        <v>21.885351</v>
      </c>
      <c r="O184" s="60">
        <v>91.916713999999999</v>
      </c>
      <c r="P184" s="62">
        <v>600</v>
      </c>
      <c r="Q184" s="62"/>
      <c r="R184" s="18"/>
      <c r="S184" s="18"/>
      <c r="T184" s="27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17"/>
      <c r="AH184" s="24"/>
      <c r="AI184" s="25"/>
      <c r="AJ184" s="25"/>
    </row>
    <row r="185" spans="1:36" ht="15.6" x14ac:dyDescent="0.3">
      <c r="A185" s="77">
        <v>179</v>
      </c>
      <c r="B185" s="79" t="s">
        <v>2439</v>
      </c>
      <c r="C185" s="79" t="s">
        <v>117</v>
      </c>
      <c r="D185" s="65" t="s">
        <v>117</v>
      </c>
      <c r="E185" s="18" t="s">
        <v>101</v>
      </c>
      <c r="F185" s="63" t="s">
        <v>105</v>
      </c>
      <c r="G185" s="18" t="s">
        <v>44</v>
      </c>
      <c r="H185" s="20"/>
      <c r="I185" s="20"/>
      <c r="J185" s="26"/>
      <c r="K185" s="67" t="s">
        <v>591</v>
      </c>
      <c r="L185" s="67" t="s">
        <v>592</v>
      </c>
      <c r="M185" s="67" t="s">
        <v>593</v>
      </c>
      <c r="N185" s="60">
        <v>21.884450999999999</v>
      </c>
      <c r="O185" s="60">
        <v>91.919577000000004</v>
      </c>
      <c r="P185" s="62">
        <v>450</v>
      </c>
      <c r="Q185" s="62"/>
      <c r="R185" s="18"/>
      <c r="S185" s="18"/>
      <c r="T185" s="27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17"/>
      <c r="AH185" s="24"/>
      <c r="AI185" s="25"/>
      <c r="AJ185" s="25"/>
    </row>
    <row r="186" spans="1:36" ht="15.6" x14ac:dyDescent="0.3">
      <c r="A186" s="77">
        <v>180</v>
      </c>
      <c r="B186" s="79" t="s">
        <v>2439</v>
      </c>
      <c r="C186" s="79" t="s">
        <v>117</v>
      </c>
      <c r="D186" s="65" t="s">
        <v>117</v>
      </c>
      <c r="E186" s="18" t="s">
        <v>101</v>
      </c>
      <c r="F186" s="63" t="s">
        <v>105</v>
      </c>
      <c r="G186" s="18" t="s">
        <v>45</v>
      </c>
      <c r="H186" s="20"/>
      <c r="I186" s="20"/>
      <c r="J186" s="26"/>
      <c r="K186" s="67" t="s">
        <v>594</v>
      </c>
      <c r="L186" s="67" t="s">
        <v>595</v>
      </c>
      <c r="M186" s="67" t="s">
        <v>596</v>
      </c>
      <c r="N186" s="60">
        <v>21.901893999999999</v>
      </c>
      <c r="O186" s="60">
        <v>91.918961999999993</v>
      </c>
      <c r="P186" s="62">
        <v>4400</v>
      </c>
      <c r="Q186" s="62"/>
      <c r="R186" s="18"/>
      <c r="S186" s="18"/>
      <c r="T186" s="27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17"/>
      <c r="AH186" s="24"/>
      <c r="AI186" s="25"/>
      <c r="AJ186" s="25"/>
    </row>
    <row r="187" spans="1:36" ht="15.6" x14ac:dyDescent="0.3">
      <c r="A187" s="77">
        <v>181</v>
      </c>
      <c r="B187" s="79" t="s">
        <v>2439</v>
      </c>
      <c r="C187" s="79" t="s">
        <v>117</v>
      </c>
      <c r="D187" s="65" t="s">
        <v>117</v>
      </c>
      <c r="E187" s="18" t="s">
        <v>101</v>
      </c>
      <c r="F187" s="63" t="s">
        <v>105</v>
      </c>
      <c r="G187" s="18" t="s">
        <v>45</v>
      </c>
      <c r="H187" s="20"/>
      <c r="I187" s="20"/>
      <c r="J187" s="26"/>
      <c r="K187" s="67" t="s">
        <v>597</v>
      </c>
      <c r="L187" s="67" t="s">
        <v>598</v>
      </c>
      <c r="M187" s="67" t="s">
        <v>599</v>
      </c>
      <c r="N187" s="60">
        <v>21.900594999999999</v>
      </c>
      <c r="O187" s="60">
        <v>91.910310999999993</v>
      </c>
      <c r="P187" s="62">
        <v>400</v>
      </c>
      <c r="Q187" s="62"/>
      <c r="R187" s="18"/>
      <c r="S187" s="18"/>
      <c r="T187" s="27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17"/>
      <c r="AH187" s="24"/>
      <c r="AI187" s="25"/>
      <c r="AJ187" s="25"/>
    </row>
    <row r="188" spans="1:36" ht="15.6" x14ac:dyDescent="0.3">
      <c r="A188" s="77">
        <v>182</v>
      </c>
      <c r="B188" s="79" t="s">
        <v>2439</v>
      </c>
      <c r="C188" s="79" t="s">
        <v>117</v>
      </c>
      <c r="D188" s="65" t="s">
        <v>117</v>
      </c>
      <c r="E188" s="18" t="s">
        <v>101</v>
      </c>
      <c r="F188" s="63" t="s">
        <v>105</v>
      </c>
      <c r="G188" s="18" t="s">
        <v>45</v>
      </c>
      <c r="H188" s="20"/>
      <c r="I188" s="20"/>
      <c r="J188" s="26"/>
      <c r="K188" s="67" t="s">
        <v>600</v>
      </c>
      <c r="L188" s="67" t="s">
        <v>601</v>
      </c>
      <c r="M188" s="67" t="s">
        <v>602</v>
      </c>
      <c r="N188" s="60">
        <v>21.898095000000001</v>
      </c>
      <c r="O188" s="60">
        <v>91.912077999999994</v>
      </c>
      <c r="P188" s="62">
        <v>600</v>
      </c>
      <c r="Q188" s="62"/>
      <c r="R188" s="18"/>
      <c r="S188" s="18"/>
      <c r="T188" s="27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17"/>
      <c r="AH188" s="24"/>
      <c r="AI188" s="25"/>
      <c r="AJ188" s="25"/>
    </row>
    <row r="189" spans="1:36" ht="15.6" x14ac:dyDescent="0.3">
      <c r="A189" s="77">
        <v>183</v>
      </c>
      <c r="B189" s="79" t="s">
        <v>2439</v>
      </c>
      <c r="C189" s="79" t="s">
        <v>117</v>
      </c>
      <c r="D189" s="65" t="s">
        <v>117</v>
      </c>
      <c r="E189" s="18" t="s">
        <v>101</v>
      </c>
      <c r="F189" s="63" t="s">
        <v>105</v>
      </c>
      <c r="G189" s="18" t="s">
        <v>45</v>
      </c>
      <c r="H189" s="20"/>
      <c r="I189" s="20"/>
      <c r="J189" s="26"/>
      <c r="K189" s="67" t="s">
        <v>603</v>
      </c>
      <c r="L189" s="67" t="s">
        <v>604</v>
      </c>
      <c r="M189" s="67" t="s">
        <v>605</v>
      </c>
      <c r="N189" s="60">
        <v>21.897081</v>
      </c>
      <c r="O189" s="60">
        <v>91.915907000000004</v>
      </c>
      <c r="P189" s="62">
        <v>1500</v>
      </c>
      <c r="Q189" s="62"/>
      <c r="R189" s="18"/>
      <c r="S189" s="18"/>
      <c r="T189" s="27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17"/>
      <c r="AH189" s="24"/>
      <c r="AI189" s="25"/>
      <c r="AJ189" s="25"/>
    </row>
    <row r="190" spans="1:36" ht="15.6" x14ac:dyDescent="0.3">
      <c r="A190" s="77">
        <v>184</v>
      </c>
      <c r="B190" s="79" t="s">
        <v>2439</v>
      </c>
      <c r="C190" s="79" t="s">
        <v>117</v>
      </c>
      <c r="D190" s="65" t="s">
        <v>117</v>
      </c>
      <c r="E190" s="18" t="s">
        <v>101</v>
      </c>
      <c r="F190" s="63" t="s">
        <v>105</v>
      </c>
      <c r="G190" s="18" t="s">
        <v>45</v>
      </c>
      <c r="H190" s="20"/>
      <c r="I190" s="20"/>
      <c r="J190" s="26"/>
      <c r="K190" s="67" t="s">
        <v>606</v>
      </c>
      <c r="L190" s="67" t="s">
        <v>607</v>
      </c>
      <c r="M190" s="67" t="s">
        <v>608</v>
      </c>
      <c r="N190" s="60">
        <v>21.897518000000002</v>
      </c>
      <c r="O190" s="60">
        <v>91.920912999999999</v>
      </c>
      <c r="P190" s="62">
        <v>550</v>
      </c>
      <c r="Q190" s="62"/>
      <c r="R190" s="18"/>
      <c r="S190" s="18"/>
      <c r="T190" s="27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17"/>
      <c r="AH190" s="24"/>
      <c r="AI190" s="25"/>
      <c r="AJ190" s="25"/>
    </row>
    <row r="191" spans="1:36" ht="15.6" x14ac:dyDescent="0.3">
      <c r="A191" s="77">
        <v>185</v>
      </c>
      <c r="B191" s="79" t="s">
        <v>2439</v>
      </c>
      <c r="C191" s="79" t="s">
        <v>117</v>
      </c>
      <c r="D191" s="65" t="s">
        <v>117</v>
      </c>
      <c r="E191" s="18" t="s">
        <v>101</v>
      </c>
      <c r="F191" s="63" t="s">
        <v>105</v>
      </c>
      <c r="G191" s="18" t="s">
        <v>45</v>
      </c>
      <c r="H191" s="20"/>
      <c r="I191" s="20"/>
      <c r="J191" s="26"/>
      <c r="K191" s="67" t="s">
        <v>609</v>
      </c>
      <c r="L191" s="67" t="s">
        <v>610</v>
      </c>
      <c r="M191" s="67" t="s">
        <v>611</v>
      </c>
      <c r="N191" s="60">
        <v>21.894801999999999</v>
      </c>
      <c r="O191" s="60">
        <v>91.915360000000007</v>
      </c>
      <c r="P191" s="62">
        <v>400</v>
      </c>
      <c r="Q191" s="62"/>
      <c r="R191" s="18"/>
      <c r="S191" s="18"/>
      <c r="T191" s="27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17"/>
      <c r="AH191" s="24"/>
      <c r="AI191" s="25"/>
      <c r="AJ191" s="25"/>
    </row>
    <row r="192" spans="1:36" ht="15.6" x14ac:dyDescent="0.3">
      <c r="A192" s="77">
        <v>186</v>
      </c>
      <c r="B192" s="79" t="s">
        <v>2439</v>
      </c>
      <c r="C192" s="79" t="s">
        <v>117</v>
      </c>
      <c r="D192" s="65" t="s">
        <v>117</v>
      </c>
      <c r="E192" s="18" t="s">
        <v>101</v>
      </c>
      <c r="F192" s="63" t="s">
        <v>105</v>
      </c>
      <c r="G192" s="18" t="s">
        <v>45</v>
      </c>
      <c r="H192" s="20"/>
      <c r="I192" s="20"/>
      <c r="J192" s="26"/>
      <c r="K192" s="67" t="s">
        <v>612</v>
      </c>
      <c r="L192" s="67" t="s">
        <v>613</v>
      </c>
      <c r="M192" s="67" t="s">
        <v>614</v>
      </c>
      <c r="N192" s="60">
        <v>21.893256999999998</v>
      </c>
      <c r="O192" s="60">
        <v>91.915583999999996</v>
      </c>
      <c r="P192" s="62">
        <v>900</v>
      </c>
      <c r="Q192" s="62"/>
      <c r="R192" s="18"/>
      <c r="S192" s="18"/>
      <c r="T192" s="27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17"/>
      <c r="AH192" s="24"/>
      <c r="AI192" s="25"/>
      <c r="AJ192" s="25"/>
    </row>
    <row r="193" spans="1:36" ht="15.6" x14ac:dyDescent="0.3">
      <c r="A193" s="77">
        <v>187</v>
      </c>
      <c r="B193" s="79" t="s">
        <v>2439</v>
      </c>
      <c r="C193" s="79" t="s">
        <v>117</v>
      </c>
      <c r="D193" s="65" t="s">
        <v>117</v>
      </c>
      <c r="E193" s="18" t="s">
        <v>101</v>
      </c>
      <c r="F193" s="63" t="s">
        <v>105</v>
      </c>
      <c r="G193" s="18" t="s">
        <v>45</v>
      </c>
      <c r="H193" s="20"/>
      <c r="I193" s="20"/>
      <c r="J193" s="26"/>
      <c r="K193" s="67" t="s">
        <v>615</v>
      </c>
      <c r="L193" s="67" t="s">
        <v>616</v>
      </c>
      <c r="M193" s="67" t="s">
        <v>617</v>
      </c>
      <c r="N193" s="60">
        <v>21.891708999999999</v>
      </c>
      <c r="O193" s="60">
        <v>91.916460000000001</v>
      </c>
      <c r="P193" s="62">
        <v>450</v>
      </c>
      <c r="Q193" s="62"/>
      <c r="R193" s="18"/>
      <c r="S193" s="18"/>
      <c r="T193" s="27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17"/>
      <c r="AH193" s="24"/>
      <c r="AI193" s="25"/>
      <c r="AJ193" s="25"/>
    </row>
    <row r="194" spans="1:36" ht="15.6" x14ac:dyDescent="0.3">
      <c r="A194" s="77">
        <v>188</v>
      </c>
      <c r="B194" s="79" t="s">
        <v>2439</v>
      </c>
      <c r="C194" s="79" t="s">
        <v>117</v>
      </c>
      <c r="D194" s="65" t="s">
        <v>117</v>
      </c>
      <c r="E194" s="18" t="s">
        <v>101</v>
      </c>
      <c r="F194" s="63" t="s">
        <v>105</v>
      </c>
      <c r="G194" s="18" t="s">
        <v>45</v>
      </c>
      <c r="H194" s="20"/>
      <c r="I194" s="20"/>
      <c r="J194" s="26"/>
      <c r="K194" s="67" t="s">
        <v>618</v>
      </c>
      <c r="L194" s="67" t="s">
        <v>619</v>
      </c>
      <c r="M194" s="67" t="s">
        <v>620</v>
      </c>
      <c r="N194" s="60">
        <v>21.890418</v>
      </c>
      <c r="O194" s="60">
        <v>91.921544999999995</v>
      </c>
      <c r="P194" s="62">
        <v>1500</v>
      </c>
      <c r="Q194" s="62"/>
      <c r="R194" s="18"/>
      <c r="S194" s="18"/>
      <c r="T194" s="27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17"/>
      <c r="AH194" s="24"/>
      <c r="AI194" s="25"/>
      <c r="AJ194" s="25"/>
    </row>
    <row r="195" spans="1:36" ht="15.6" x14ac:dyDescent="0.3">
      <c r="A195" s="77">
        <v>189</v>
      </c>
      <c r="B195" s="79" t="s">
        <v>2439</v>
      </c>
      <c r="C195" s="79" t="s">
        <v>117</v>
      </c>
      <c r="D195" s="65" t="s">
        <v>117</v>
      </c>
      <c r="E195" s="18" t="s">
        <v>101</v>
      </c>
      <c r="F195" s="63" t="s">
        <v>105</v>
      </c>
      <c r="G195" s="18" t="s">
        <v>45</v>
      </c>
      <c r="H195" s="20"/>
      <c r="I195" s="20"/>
      <c r="J195" s="26"/>
      <c r="K195" s="67" t="s">
        <v>621</v>
      </c>
      <c r="L195" s="67" t="s">
        <v>622</v>
      </c>
      <c r="M195" s="67" t="s">
        <v>623</v>
      </c>
      <c r="N195" s="60">
        <v>21.88674</v>
      </c>
      <c r="O195" s="60">
        <v>91.917180999999999</v>
      </c>
      <c r="P195" s="62">
        <v>1600</v>
      </c>
      <c r="Q195" s="62"/>
      <c r="R195" s="18"/>
      <c r="S195" s="18"/>
      <c r="T195" s="27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17"/>
      <c r="AH195" s="24"/>
      <c r="AI195" s="25"/>
      <c r="AJ195" s="25"/>
    </row>
    <row r="196" spans="1:36" ht="15.6" x14ac:dyDescent="0.3">
      <c r="A196" s="77">
        <v>190</v>
      </c>
      <c r="B196" s="79" t="s">
        <v>2439</v>
      </c>
      <c r="C196" s="79" t="s">
        <v>117</v>
      </c>
      <c r="D196" s="65" t="s">
        <v>117</v>
      </c>
      <c r="E196" s="18" t="s">
        <v>101</v>
      </c>
      <c r="F196" s="63" t="s">
        <v>105</v>
      </c>
      <c r="G196" s="18" t="s">
        <v>45</v>
      </c>
      <c r="H196" s="20"/>
      <c r="I196" s="20"/>
      <c r="J196" s="26"/>
      <c r="K196" s="67" t="s">
        <v>564</v>
      </c>
      <c r="L196" s="67" t="s">
        <v>565</v>
      </c>
      <c r="M196" s="67" t="s">
        <v>624</v>
      </c>
      <c r="N196" s="60">
        <v>21.886513999999998</v>
      </c>
      <c r="O196" s="60">
        <v>91.914940999999999</v>
      </c>
      <c r="P196" s="62">
        <v>900</v>
      </c>
      <c r="Q196" s="62"/>
      <c r="R196" s="18"/>
      <c r="S196" s="18"/>
      <c r="T196" s="27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17"/>
      <c r="AH196" s="24"/>
      <c r="AI196" s="25"/>
      <c r="AJ196" s="25"/>
    </row>
    <row r="197" spans="1:36" ht="15.6" x14ac:dyDescent="0.3">
      <c r="A197" s="77">
        <v>191</v>
      </c>
      <c r="B197" s="79" t="s">
        <v>2439</v>
      </c>
      <c r="C197" s="79" t="s">
        <v>117</v>
      </c>
      <c r="D197" s="65" t="s">
        <v>117</v>
      </c>
      <c r="E197" s="18" t="s">
        <v>101</v>
      </c>
      <c r="F197" s="63" t="s">
        <v>105</v>
      </c>
      <c r="G197" s="18" t="s">
        <v>46</v>
      </c>
      <c r="H197" s="20"/>
      <c r="I197" s="20"/>
      <c r="J197" s="26"/>
      <c r="K197" s="67" t="s">
        <v>83</v>
      </c>
      <c r="L197" s="67" t="s">
        <v>84</v>
      </c>
      <c r="M197" s="67" t="s">
        <v>625</v>
      </c>
      <c r="N197" s="60">
        <v>21.903862</v>
      </c>
      <c r="O197" s="60">
        <v>91.936081999999999</v>
      </c>
      <c r="P197" s="62">
        <v>4000</v>
      </c>
      <c r="Q197" s="62"/>
      <c r="R197" s="18"/>
      <c r="S197" s="18"/>
      <c r="T197" s="27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17"/>
      <c r="AH197" s="24"/>
      <c r="AI197" s="25"/>
      <c r="AJ197" s="25"/>
    </row>
    <row r="198" spans="1:36" ht="15.6" x14ac:dyDescent="0.3">
      <c r="A198" s="77">
        <v>192</v>
      </c>
      <c r="B198" s="79" t="s">
        <v>2439</v>
      </c>
      <c r="C198" s="79" t="s">
        <v>117</v>
      </c>
      <c r="D198" s="65" t="s">
        <v>117</v>
      </c>
      <c r="E198" s="18" t="s">
        <v>101</v>
      </c>
      <c r="F198" s="63" t="s">
        <v>105</v>
      </c>
      <c r="G198" s="18" t="s">
        <v>46</v>
      </c>
      <c r="H198" s="20"/>
      <c r="I198" s="20"/>
      <c r="J198" s="26"/>
      <c r="K198" s="67" t="s">
        <v>626</v>
      </c>
      <c r="L198" s="67" t="s">
        <v>627</v>
      </c>
      <c r="M198" s="67" t="s">
        <v>628</v>
      </c>
      <c r="N198" s="60">
        <v>21.903195</v>
      </c>
      <c r="O198" s="60">
        <v>91.928314999999998</v>
      </c>
      <c r="P198" s="62">
        <v>1000</v>
      </c>
      <c r="Q198" s="62"/>
      <c r="R198" s="18"/>
      <c r="S198" s="18"/>
      <c r="T198" s="27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17"/>
      <c r="AH198" s="24"/>
      <c r="AI198" s="25"/>
      <c r="AJ198" s="25"/>
    </row>
    <row r="199" spans="1:36" ht="15.6" x14ac:dyDescent="0.3">
      <c r="A199" s="77">
        <v>193</v>
      </c>
      <c r="B199" s="79" t="s">
        <v>2439</v>
      </c>
      <c r="C199" s="79" t="s">
        <v>117</v>
      </c>
      <c r="D199" s="65" t="s">
        <v>117</v>
      </c>
      <c r="E199" s="18" t="s">
        <v>101</v>
      </c>
      <c r="F199" s="63" t="s">
        <v>105</v>
      </c>
      <c r="G199" s="18" t="s">
        <v>46</v>
      </c>
      <c r="H199" s="20"/>
      <c r="I199" s="20"/>
      <c r="J199" s="26"/>
      <c r="K199" s="67" t="s">
        <v>629</v>
      </c>
      <c r="L199" s="67" t="s">
        <v>630</v>
      </c>
      <c r="M199" s="67" t="s">
        <v>631</v>
      </c>
      <c r="N199" s="60">
        <v>21.904768000000001</v>
      </c>
      <c r="O199" s="60">
        <v>91.922897000000006</v>
      </c>
      <c r="P199" s="62">
        <v>1500</v>
      </c>
      <c r="Q199" s="62"/>
      <c r="R199" s="18"/>
      <c r="S199" s="18"/>
      <c r="T199" s="27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17"/>
      <c r="AH199" s="24"/>
      <c r="AI199" s="25"/>
      <c r="AJ199" s="25"/>
    </row>
    <row r="200" spans="1:36" ht="15.6" x14ac:dyDescent="0.3">
      <c r="A200" s="77">
        <v>194</v>
      </c>
      <c r="B200" s="79" t="s">
        <v>2439</v>
      </c>
      <c r="C200" s="79" t="s">
        <v>117</v>
      </c>
      <c r="D200" s="65" t="s">
        <v>117</v>
      </c>
      <c r="E200" s="18" t="s">
        <v>101</v>
      </c>
      <c r="F200" s="63" t="s">
        <v>105</v>
      </c>
      <c r="G200" s="18" t="s">
        <v>46</v>
      </c>
      <c r="H200" s="20"/>
      <c r="I200" s="20"/>
      <c r="J200" s="26"/>
      <c r="K200" s="67" t="s">
        <v>632</v>
      </c>
      <c r="L200" s="67" t="s">
        <v>633</v>
      </c>
      <c r="M200" s="67" t="s">
        <v>634</v>
      </c>
      <c r="N200" s="60">
        <v>21.902415999999999</v>
      </c>
      <c r="O200" s="60">
        <v>91.920991999999998</v>
      </c>
      <c r="P200" s="62">
        <v>1000</v>
      </c>
      <c r="Q200" s="62"/>
      <c r="R200" s="18"/>
      <c r="S200" s="18"/>
      <c r="T200" s="27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17"/>
      <c r="AH200" s="24"/>
      <c r="AI200" s="25"/>
      <c r="AJ200" s="25"/>
    </row>
    <row r="201" spans="1:36" ht="15.6" x14ac:dyDescent="0.3">
      <c r="A201" s="77">
        <v>195</v>
      </c>
      <c r="B201" s="79" t="s">
        <v>2439</v>
      </c>
      <c r="C201" s="79" t="s">
        <v>117</v>
      </c>
      <c r="D201" s="65" t="s">
        <v>117</v>
      </c>
      <c r="E201" s="18" t="s">
        <v>101</v>
      </c>
      <c r="F201" s="63" t="s">
        <v>105</v>
      </c>
      <c r="G201" s="18" t="s">
        <v>46</v>
      </c>
      <c r="H201" s="20"/>
      <c r="I201" s="20"/>
      <c r="J201" s="26"/>
      <c r="K201" s="67" t="s">
        <v>635</v>
      </c>
      <c r="L201" s="67" t="s">
        <v>636</v>
      </c>
      <c r="M201" s="67" t="s">
        <v>637</v>
      </c>
      <c r="N201" s="60">
        <v>21.904233000000001</v>
      </c>
      <c r="O201" s="60">
        <v>91.918745999999999</v>
      </c>
      <c r="P201" s="62">
        <v>1000</v>
      </c>
      <c r="Q201" s="62"/>
      <c r="R201" s="18"/>
      <c r="S201" s="18"/>
      <c r="T201" s="27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17"/>
      <c r="AH201" s="24"/>
      <c r="AI201" s="25"/>
      <c r="AJ201" s="25"/>
    </row>
    <row r="202" spans="1:36" ht="15.6" x14ac:dyDescent="0.3">
      <c r="A202" s="77">
        <v>196</v>
      </c>
      <c r="B202" s="79" t="s">
        <v>2439</v>
      </c>
      <c r="C202" s="79" t="s">
        <v>117</v>
      </c>
      <c r="D202" s="65" t="s">
        <v>117</v>
      </c>
      <c r="E202" s="18" t="s">
        <v>101</v>
      </c>
      <c r="F202" s="63" t="s">
        <v>105</v>
      </c>
      <c r="G202" s="18" t="s">
        <v>46</v>
      </c>
      <c r="H202" s="20"/>
      <c r="I202" s="20"/>
      <c r="J202" s="26"/>
      <c r="K202" s="67" t="s">
        <v>638</v>
      </c>
      <c r="L202" s="67" t="s">
        <v>639</v>
      </c>
      <c r="M202" s="67" t="s">
        <v>640</v>
      </c>
      <c r="N202" s="60">
        <v>21.903271</v>
      </c>
      <c r="O202" s="60">
        <v>91.917714000000004</v>
      </c>
      <c r="P202" s="62">
        <v>1000</v>
      </c>
      <c r="Q202" s="62"/>
      <c r="R202" s="18"/>
      <c r="S202" s="18"/>
      <c r="T202" s="27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17"/>
      <c r="AH202" s="24"/>
      <c r="AI202" s="25"/>
      <c r="AJ202" s="25"/>
    </row>
    <row r="203" spans="1:36" ht="15.6" x14ac:dyDescent="0.3">
      <c r="A203" s="77">
        <v>197</v>
      </c>
      <c r="B203" s="79" t="s">
        <v>2439</v>
      </c>
      <c r="C203" s="79" t="s">
        <v>117</v>
      </c>
      <c r="D203" s="65" t="s">
        <v>117</v>
      </c>
      <c r="E203" s="18" t="s">
        <v>101</v>
      </c>
      <c r="F203" s="63" t="s">
        <v>105</v>
      </c>
      <c r="G203" s="18" t="s">
        <v>46</v>
      </c>
      <c r="H203" s="20"/>
      <c r="I203" s="20"/>
      <c r="J203" s="26"/>
      <c r="K203" s="67" t="s">
        <v>641</v>
      </c>
      <c r="L203" s="67" t="s">
        <v>642</v>
      </c>
      <c r="M203" s="67" t="s">
        <v>643</v>
      </c>
      <c r="N203" s="60">
        <v>21.903860999999999</v>
      </c>
      <c r="O203" s="60">
        <v>91.913781999999998</v>
      </c>
      <c r="P203" s="62">
        <v>1500</v>
      </c>
      <c r="Q203" s="62"/>
      <c r="R203" s="18"/>
      <c r="S203" s="18"/>
      <c r="T203" s="27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17"/>
      <c r="AH203" s="24"/>
      <c r="AI203" s="25"/>
      <c r="AJ203" s="25"/>
    </row>
    <row r="204" spans="1:36" ht="15.6" x14ac:dyDescent="0.3">
      <c r="A204" s="77">
        <v>198</v>
      </c>
      <c r="B204" s="79" t="s">
        <v>2439</v>
      </c>
      <c r="C204" s="79" t="s">
        <v>117</v>
      </c>
      <c r="D204" s="65" t="s">
        <v>117</v>
      </c>
      <c r="E204" s="18" t="s">
        <v>101</v>
      </c>
      <c r="F204" s="63" t="s">
        <v>105</v>
      </c>
      <c r="G204" s="18" t="s">
        <v>46</v>
      </c>
      <c r="H204" s="20"/>
      <c r="I204" s="20"/>
      <c r="J204" s="26"/>
      <c r="K204" s="67" t="s">
        <v>644</v>
      </c>
      <c r="L204" s="67" t="s">
        <v>645</v>
      </c>
      <c r="M204" s="67" t="s">
        <v>646</v>
      </c>
      <c r="N204" s="60">
        <v>21.905507</v>
      </c>
      <c r="O204" s="60">
        <v>91.909440000000004</v>
      </c>
      <c r="P204" s="62">
        <v>1500</v>
      </c>
      <c r="Q204" s="62"/>
      <c r="R204" s="18"/>
      <c r="S204" s="18"/>
      <c r="T204" s="27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17"/>
      <c r="AH204" s="24"/>
      <c r="AI204" s="25"/>
      <c r="AJ204" s="25"/>
    </row>
    <row r="205" spans="1:36" ht="15.6" x14ac:dyDescent="0.3">
      <c r="A205" s="77">
        <v>199</v>
      </c>
      <c r="B205" s="79" t="s">
        <v>2439</v>
      </c>
      <c r="C205" s="79" t="s">
        <v>117</v>
      </c>
      <c r="D205" s="65" t="s">
        <v>117</v>
      </c>
      <c r="E205" s="18" t="s">
        <v>101</v>
      </c>
      <c r="F205" s="63" t="s">
        <v>105</v>
      </c>
      <c r="G205" s="18" t="s">
        <v>47</v>
      </c>
      <c r="H205" s="20"/>
      <c r="I205" s="20"/>
      <c r="J205" s="26"/>
      <c r="K205" s="67" t="s">
        <v>647</v>
      </c>
      <c r="L205" s="67" t="s">
        <v>648</v>
      </c>
      <c r="M205" s="67" t="s">
        <v>649</v>
      </c>
      <c r="N205" s="60">
        <v>21.914110000000001</v>
      </c>
      <c r="O205" s="60">
        <v>91.927503000000002</v>
      </c>
      <c r="P205" s="62">
        <v>1700</v>
      </c>
      <c r="Q205" s="62"/>
      <c r="R205" s="18"/>
      <c r="S205" s="18"/>
      <c r="T205" s="27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17"/>
      <c r="AH205" s="24"/>
      <c r="AI205" s="25"/>
      <c r="AJ205" s="25"/>
    </row>
    <row r="206" spans="1:36" ht="15.6" x14ac:dyDescent="0.3">
      <c r="A206" s="77">
        <v>200</v>
      </c>
      <c r="B206" s="79" t="s">
        <v>2439</v>
      </c>
      <c r="C206" s="79" t="s">
        <v>117</v>
      </c>
      <c r="D206" s="65" t="s">
        <v>117</v>
      </c>
      <c r="E206" s="18" t="s">
        <v>101</v>
      </c>
      <c r="F206" s="63" t="s">
        <v>105</v>
      </c>
      <c r="G206" s="18" t="s">
        <v>47</v>
      </c>
      <c r="H206" s="20"/>
      <c r="I206" s="20"/>
      <c r="J206" s="26"/>
      <c r="K206" s="67" t="s">
        <v>650</v>
      </c>
      <c r="L206" s="67" t="s">
        <v>651</v>
      </c>
      <c r="M206" s="67" t="s">
        <v>652</v>
      </c>
      <c r="N206" s="60">
        <v>21.912963999999999</v>
      </c>
      <c r="O206" s="60">
        <v>91.925459000000004</v>
      </c>
      <c r="P206" s="62">
        <v>400</v>
      </c>
      <c r="Q206" s="62"/>
      <c r="R206" s="18"/>
      <c r="S206" s="18"/>
      <c r="T206" s="27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17"/>
      <c r="AH206" s="24"/>
      <c r="AI206" s="25"/>
      <c r="AJ206" s="25"/>
    </row>
    <row r="207" spans="1:36" ht="15.6" x14ac:dyDescent="0.3">
      <c r="A207" s="77">
        <v>201</v>
      </c>
      <c r="B207" s="79" t="s">
        <v>2439</v>
      </c>
      <c r="C207" s="79" t="s">
        <v>117</v>
      </c>
      <c r="D207" s="65" t="s">
        <v>117</v>
      </c>
      <c r="E207" s="18" t="s">
        <v>101</v>
      </c>
      <c r="F207" s="63" t="s">
        <v>105</v>
      </c>
      <c r="G207" s="18" t="s">
        <v>47</v>
      </c>
      <c r="H207" s="20"/>
      <c r="I207" s="20"/>
      <c r="J207" s="26"/>
      <c r="K207" s="67" t="s">
        <v>653</v>
      </c>
      <c r="L207" s="67" t="s">
        <v>654</v>
      </c>
      <c r="M207" s="67" t="s">
        <v>655</v>
      </c>
      <c r="N207" s="60">
        <v>21.90868</v>
      </c>
      <c r="O207" s="60">
        <v>91.924779000000001</v>
      </c>
      <c r="P207" s="62">
        <v>600</v>
      </c>
      <c r="Q207" s="62"/>
      <c r="R207" s="18"/>
      <c r="S207" s="18"/>
      <c r="T207" s="27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17"/>
      <c r="AH207" s="24"/>
      <c r="AI207" s="25"/>
      <c r="AJ207" s="25"/>
    </row>
    <row r="208" spans="1:36" ht="15.6" x14ac:dyDescent="0.3">
      <c r="A208" s="77">
        <v>202</v>
      </c>
      <c r="B208" s="79" t="s">
        <v>2439</v>
      </c>
      <c r="C208" s="79" t="s">
        <v>117</v>
      </c>
      <c r="D208" s="65" t="s">
        <v>117</v>
      </c>
      <c r="E208" s="18" t="s">
        <v>101</v>
      </c>
      <c r="F208" s="63" t="s">
        <v>105</v>
      </c>
      <c r="G208" s="18" t="s">
        <v>47</v>
      </c>
      <c r="H208" s="20"/>
      <c r="I208" s="20"/>
      <c r="J208" s="26"/>
      <c r="K208" s="67" t="s">
        <v>656</v>
      </c>
      <c r="L208" s="67" t="s">
        <v>657</v>
      </c>
      <c r="M208" s="67" t="s">
        <v>658</v>
      </c>
      <c r="N208" s="60">
        <v>21.908612000000002</v>
      </c>
      <c r="O208" s="60">
        <v>91.927372000000005</v>
      </c>
      <c r="P208" s="62">
        <v>1500</v>
      </c>
      <c r="Q208" s="62"/>
      <c r="R208" s="18"/>
      <c r="S208" s="18"/>
      <c r="T208" s="27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17"/>
      <c r="AH208" s="24"/>
      <c r="AI208" s="25"/>
      <c r="AJ208" s="25"/>
    </row>
    <row r="209" spans="1:36" ht="15.6" x14ac:dyDescent="0.3">
      <c r="A209" s="77">
        <v>203</v>
      </c>
      <c r="B209" s="79" t="s">
        <v>2439</v>
      </c>
      <c r="C209" s="79" t="s">
        <v>117</v>
      </c>
      <c r="D209" s="65" t="s">
        <v>117</v>
      </c>
      <c r="E209" s="18" t="s">
        <v>101</v>
      </c>
      <c r="F209" s="63" t="s">
        <v>105</v>
      </c>
      <c r="G209" s="18" t="s">
        <v>47</v>
      </c>
      <c r="H209" s="20"/>
      <c r="I209" s="20"/>
      <c r="J209" s="26"/>
      <c r="K209" s="67" t="s">
        <v>659</v>
      </c>
      <c r="L209" s="67" t="s">
        <v>660</v>
      </c>
      <c r="M209" s="67" t="s">
        <v>661</v>
      </c>
      <c r="N209" s="60">
        <v>21.91264</v>
      </c>
      <c r="O209" s="60">
        <v>91.932049000000006</v>
      </c>
      <c r="P209" s="62">
        <v>1500</v>
      </c>
      <c r="Q209" s="62"/>
      <c r="R209" s="18"/>
      <c r="S209" s="18"/>
      <c r="T209" s="27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17"/>
      <c r="AH209" s="24"/>
      <c r="AI209" s="25"/>
      <c r="AJ209" s="25"/>
    </row>
    <row r="210" spans="1:36" ht="15.6" x14ac:dyDescent="0.3">
      <c r="A210" s="77">
        <v>204</v>
      </c>
      <c r="B210" s="79" t="s">
        <v>2439</v>
      </c>
      <c r="C210" s="79" t="s">
        <v>117</v>
      </c>
      <c r="D210" s="65" t="s">
        <v>117</v>
      </c>
      <c r="E210" s="18" t="s">
        <v>101</v>
      </c>
      <c r="F210" s="63" t="s">
        <v>105</v>
      </c>
      <c r="G210" s="18" t="s">
        <v>47</v>
      </c>
      <c r="H210" s="20"/>
      <c r="I210" s="20"/>
      <c r="J210" s="26"/>
      <c r="K210" s="67" t="s">
        <v>662</v>
      </c>
      <c r="L210" s="67" t="s">
        <v>663</v>
      </c>
      <c r="M210" s="67" t="s">
        <v>664</v>
      </c>
      <c r="N210" s="60">
        <v>21.910936</v>
      </c>
      <c r="O210" s="60">
        <v>91.927462000000006</v>
      </c>
      <c r="P210" s="62">
        <v>500</v>
      </c>
      <c r="Q210" s="62"/>
      <c r="R210" s="18"/>
      <c r="S210" s="18"/>
      <c r="T210" s="27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17"/>
      <c r="AH210" s="24"/>
      <c r="AI210" s="25"/>
      <c r="AJ210" s="25"/>
    </row>
    <row r="211" spans="1:36" ht="15.6" x14ac:dyDescent="0.3">
      <c r="A211" s="77">
        <v>205</v>
      </c>
      <c r="B211" s="79" t="s">
        <v>2439</v>
      </c>
      <c r="C211" s="79" t="s">
        <v>117</v>
      </c>
      <c r="D211" s="65" t="s">
        <v>117</v>
      </c>
      <c r="E211" s="18" t="s">
        <v>101</v>
      </c>
      <c r="F211" s="63" t="s">
        <v>105</v>
      </c>
      <c r="G211" s="18" t="s">
        <v>47</v>
      </c>
      <c r="H211" s="20"/>
      <c r="I211" s="20"/>
      <c r="J211" s="26"/>
      <c r="K211" s="67" t="s">
        <v>665</v>
      </c>
      <c r="L211" s="67" t="s">
        <v>666</v>
      </c>
      <c r="M211" s="67" t="s">
        <v>667</v>
      </c>
      <c r="N211" s="60">
        <v>21.910160000000001</v>
      </c>
      <c r="O211" s="60">
        <v>91.933904999999996</v>
      </c>
      <c r="P211" s="62">
        <v>1000</v>
      </c>
      <c r="Q211" s="62"/>
      <c r="R211" s="18"/>
      <c r="S211" s="18"/>
      <c r="T211" s="27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17"/>
      <c r="AH211" s="24"/>
      <c r="AI211" s="25"/>
      <c r="AJ211" s="25"/>
    </row>
    <row r="212" spans="1:36" ht="15.6" x14ac:dyDescent="0.3">
      <c r="A212" s="77">
        <v>206</v>
      </c>
      <c r="B212" s="79" t="s">
        <v>2439</v>
      </c>
      <c r="C212" s="79" t="s">
        <v>117</v>
      </c>
      <c r="D212" s="65" t="s">
        <v>117</v>
      </c>
      <c r="E212" s="18" t="s">
        <v>101</v>
      </c>
      <c r="F212" s="63" t="s">
        <v>105</v>
      </c>
      <c r="G212" s="18" t="s">
        <v>47</v>
      </c>
      <c r="H212" s="20"/>
      <c r="I212" s="20"/>
      <c r="J212" s="26"/>
      <c r="K212" s="67" t="s">
        <v>668</v>
      </c>
      <c r="L212" s="67" t="s">
        <v>669</v>
      </c>
      <c r="M212" s="67" t="s">
        <v>670</v>
      </c>
      <c r="N212" s="60">
        <v>21.912548000000001</v>
      </c>
      <c r="O212" s="60">
        <v>91.927724999999995</v>
      </c>
      <c r="P212" s="62">
        <v>500</v>
      </c>
      <c r="Q212" s="62"/>
      <c r="R212" s="18"/>
      <c r="S212" s="18"/>
      <c r="T212" s="27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17"/>
      <c r="AH212" s="24"/>
      <c r="AI212" s="25"/>
      <c r="AJ212" s="25"/>
    </row>
    <row r="213" spans="1:36" ht="15.6" x14ac:dyDescent="0.3">
      <c r="A213" s="77">
        <v>207</v>
      </c>
      <c r="B213" s="79" t="s">
        <v>2439</v>
      </c>
      <c r="C213" s="79" t="s">
        <v>117</v>
      </c>
      <c r="D213" s="65" t="s">
        <v>117</v>
      </c>
      <c r="E213" s="18" t="s">
        <v>101</v>
      </c>
      <c r="F213" s="63" t="s">
        <v>105</v>
      </c>
      <c r="G213" s="18" t="s">
        <v>47</v>
      </c>
      <c r="H213" s="20"/>
      <c r="I213" s="20"/>
      <c r="J213" s="26"/>
      <c r="K213" s="67" t="s">
        <v>671</v>
      </c>
      <c r="L213" s="67" t="s">
        <v>672</v>
      </c>
      <c r="M213" s="67" t="s">
        <v>673</v>
      </c>
      <c r="N213" s="60">
        <v>21.912980000000001</v>
      </c>
      <c r="O213" s="60">
        <v>91.939271000000005</v>
      </c>
      <c r="P213" s="62">
        <v>500</v>
      </c>
      <c r="Q213" s="62"/>
      <c r="R213" s="18"/>
      <c r="S213" s="18"/>
      <c r="T213" s="27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17"/>
      <c r="AH213" s="24"/>
      <c r="AI213" s="25"/>
      <c r="AJ213" s="25"/>
    </row>
    <row r="214" spans="1:36" ht="15.6" x14ac:dyDescent="0.3">
      <c r="A214" s="77">
        <v>208</v>
      </c>
      <c r="B214" s="79" t="s">
        <v>2439</v>
      </c>
      <c r="C214" s="79" t="s">
        <v>117</v>
      </c>
      <c r="D214" s="65" t="s">
        <v>117</v>
      </c>
      <c r="E214" s="18" t="s">
        <v>101</v>
      </c>
      <c r="F214" s="63" t="s">
        <v>105</v>
      </c>
      <c r="G214" s="18" t="s">
        <v>47</v>
      </c>
      <c r="H214" s="20"/>
      <c r="I214" s="20"/>
      <c r="J214" s="26"/>
      <c r="K214" s="67" t="s">
        <v>674</v>
      </c>
      <c r="L214" s="67" t="s">
        <v>675</v>
      </c>
      <c r="M214" s="67" t="s">
        <v>676</v>
      </c>
      <c r="N214" s="60">
        <v>21.908441</v>
      </c>
      <c r="O214" s="60">
        <v>91.924325999999994</v>
      </c>
      <c r="P214" s="62">
        <v>400</v>
      </c>
      <c r="Q214" s="62"/>
      <c r="R214" s="18"/>
      <c r="S214" s="18"/>
      <c r="T214" s="27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17"/>
      <c r="AH214" s="24"/>
      <c r="AI214" s="25"/>
      <c r="AJ214" s="25"/>
    </row>
    <row r="215" spans="1:36" ht="15.6" x14ac:dyDescent="0.3">
      <c r="A215" s="77">
        <v>209</v>
      </c>
      <c r="B215" s="79" t="s">
        <v>2439</v>
      </c>
      <c r="C215" s="79" t="s">
        <v>117</v>
      </c>
      <c r="D215" s="65" t="s">
        <v>117</v>
      </c>
      <c r="E215" s="18" t="s">
        <v>101</v>
      </c>
      <c r="F215" s="63" t="s">
        <v>105</v>
      </c>
      <c r="G215" s="18" t="s">
        <v>48</v>
      </c>
      <c r="H215" s="20"/>
      <c r="I215" s="20"/>
      <c r="J215" s="26"/>
      <c r="K215" s="67" t="s">
        <v>677</v>
      </c>
      <c r="L215" s="67" t="s">
        <v>678</v>
      </c>
      <c r="M215" s="67" t="s">
        <v>679</v>
      </c>
      <c r="N215" s="60">
        <v>21.914577000000001</v>
      </c>
      <c r="O215" s="60">
        <v>91.907767000000007</v>
      </c>
      <c r="P215" s="62">
        <v>300</v>
      </c>
      <c r="Q215" s="62"/>
      <c r="R215" s="18"/>
      <c r="S215" s="18"/>
      <c r="T215" s="27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17"/>
      <c r="AH215" s="24"/>
      <c r="AI215" s="25"/>
      <c r="AJ215" s="25"/>
    </row>
    <row r="216" spans="1:36" ht="15.6" x14ac:dyDescent="0.3">
      <c r="A216" s="77">
        <v>210</v>
      </c>
      <c r="B216" s="79" t="s">
        <v>2439</v>
      </c>
      <c r="C216" s="79" t="s">
        <v>117</v>
      </c>
      <c r="D216" s="65" t="s">
        <v>117</v>
      </c>
      <c r="E216" s="18" t="s">
        <v>101</v>
      </c>
      <c r="F216" s="63" t="s">
        <v>105</v>
      </c>
      <c r="G216" s="18" t="s">
        <v>48</v>
      </c>
      <c r="H216" s="20"/>
      <c r="I216" s="20"/>
      <c r="J216" s="26"/>
      <c r="K216" s="67" t="s">
        <v>680</v>
      </c>
      <c r="L216" s="67" t="s">
        <v>681</v>
      </c>
      <c r="M216" s="67" t="s">
        <v>682</v>
      </c>
      <c r="N216" s="60">
        <v>21.914797</v>
      </c>
      <c r="O216" s="60">
        <v>91.910443999999998</v>
      </c>
      <c r="P216" s="62">
        <v>1000</v>
      </c>
      <c r="Q216" s="62"/>
      <c r="R216" s="18"/>
      <c r="S216" s="18"/>
      <c r="T216" s="22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17"/>
      <c r="AH216" s="24"/>
      <c r="AI216" s="25"/>
      <c r="AJ216" s="25"/>
    </row>
    <row r="217" spans="1:36" ht="15.6" x14ac:dyDescent="0.3">
      <c r="A217" s="77">
        <v>211</v>
      </c>
      <c r="B217" s="79" t="s">
        <v>2439</v>
      </c>
      <c r="C217" s="79" t="s">
        <v>117</v>
      </c>
      <c r="D217" s="65" t="s">
        <v>117</v>
      </c>
      <c r="E217" s="18" t="s">
        <v>101</v>
      </c>
      <c r="F217" s="63" t="s">
        <v>105</v>
      </c>
      <c r="G217" s="18" t="s">
        <v>48</v>
      </c>
      <c r="H217" s="20"/>
      <c r="I217" s="20"/>
      <c r="J217" s="26"/>
      <c r="K217" s="18" t="s">
        <v>92</v>
      </c>
      <c r="L217" s="67" t="s">
        <v>93</v>
      </c>
      <c r="M217" s="67" t="s">
        <v>683</v>
      </c>
      <c r="N217" s="60">
        <v>21.918551999999998</v>
      </c>
      <c r="O217" s="60">
        <v>91.924262999999996</v>
      </c>
      <c r="P217" s="62">
        <v>1000</v>
      </c>
      <c r="Q217" s="62"/>
      <c r="R217" s="18"/>
      <c r="S217" s="18"/>
      <c r="T217" s="27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17"/>
      <c r="AH217" s="24"/>
      <c r="AI217" s="25"/>
      <c r="AJ217" s="25"/>
    </row>
    <row r="218" spans="1:36" ht="15.6" x14ac:dyDescent="0.3">
      <c r="A218" s="77">
        <v>212</v>
      </c>
      <c r="B218" s="79" t="s">
        <v>2439</v>
      </c>
      <c r="C218" s="79" t="s">
        <v>117</v>
      </c>
      <c r="D218" s="65" t="s">
        <v>117</v>
      </c>
      <c r="E218" s="18" t="s">
        <v>101</v>
      </c>
      <c r="F218" s="63" t="s">
        <v>105</v>
      </c>
      <c r="G218" s="18" t="s">
        <v>48</v>
      </c>
      <c r="H218" s="20"/>
      <c r="I218" s="20"/>
      <c r="J218" s="26"/>
      <c r="K218" s="67" t="s">
        <v>684</v>
      </c>
      <c r="L218" s="67" t="s">
        <v>685</v>
      </c>
      <c r="M218" s="67" t="s">
        <v>686</v>
      </c>
      <c r="N218" s="60">
        <v>21.911021000000002</v>
      </c>
      <c r="O218" s="60">
        <v>91.923164</v>
      </c>
      <c r="P218" s="62">
        <v>200</v>
      </c>
      <c r="Q218" s="62"/>
      <c r="R218" s="18"/>
      <c r="S218" s="18"/>
      <c r="T218" s="27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17"/>
      <c r="AH218" s="24"/>
      <c r="AI218" s="25"/>
      <c r="AJ218" s="25"/>
    </row>
    <row r="219" spans="1:36" ht="15.6" x14ac:dyDescent="0.3">
      <c r="A219" s="77">
        <v>213</v>
      </c>
      <c r="B219" s="79" t="s">
        <v>2439</v>
      </c>
      <c r="C219" s="79" t="s">
        <v>117</v>
      </c>
      <c r="D219" s="65" t="s">
        <v>117</v>
      </c>
      <c r="E219" s="18" t="s">
        <v>101</v>
      </c>
      <c r="F219" s="63" t="s">
        <v>105</v>
      </c>
      <c r="G219" s="18" t="s">
        <v>48</v>
      </c>
      <c r="H219" s="20"/>
      <c r="I219" s="20"/>
      <c r="J219" s="26"/>
      <c r="K219" s="67" t="s">
        <v>687</v>
      </c>
      <c r="L219" s="67" t="s">
        <v>688</v>
      </c>
      <c r="M219" s="67" t="s">
        <v>689</v>
      </c>
      <c r="N219" s="60">
        <v>21.909655999999998</v>
      </c>
      <c r="O219" s="60">
        <v>91.923539000000005</v>
      </c>
      <c r="P219" s="62">
        <v>1000</v>
      </c>
      <c r="Q219" s="62"/>
      <c r="R219" s="18"/>
      <c r="S219" s="18"/>
      <c r="T219" s="27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17"/>
      <c r="AH219" s="24"/>
      <c r="AI219" s="25"/>
      <c r="AJ219" s="25"/>
    </row>
    <row r="220" spans="1:36" ht="15.6" x14ac:dyDescent="0.3">
      <c r="A220" s="77">
        <v>214</v>
      </c>
      <c r="B220" s="79" t="s">
        <v>2439</v>
      </c>
      <c r="C220" s="79" t="s">
        <v>117</v>
      </c>
      <c r="D220" s="65" t="s">
        <v>117</v>
      </c>
      <c r="E220" s="18" t="s">
        <v>101</v>
      </c>
      <c r="F220" s="63" t="s">
        <v>105</v>
      </c>
      <c r="G220" s="18" t="s">
        <v>48</v>
      </c>
      <c r="H220" s="20"/>
      <c r="I220" s="20"/>
      <c r="J220" s="26"/>
      <c r="K220" s="67" t="s">
        <v>690</v>
      </c>
      <c r="L220" s="67" t="s">
        <v>691</v>
      </c>
      <c r="M220" s="67" t="s">
        <v>692</v>
      </c>
      <c r="N220" s="60">
        <v>21.907122999999999</v>
      </c>
      <c r="O220" s="60">
        <v>91.911564999999996</v>
      </c>
      <c r="P220" s="62">
        <v>350</v>
      </c>
      <c r="Q220" s="62"/>
      <c r="R220" s="18"/>
      <c r="S220" s="18"/>
      <c r="T220" s="27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17"/>
      <c r="AH220" s="24"/>
      <c r="AI220" s="25"/>
      <c r="AJ220" s="25"/>
    </row>
    <row r="221" spans="1:36" ht="15.6" x14ac:dyDescent="0.3">
      <c r="A221" s="77">
        <v>215</v>
      </c>
      <c r="B221" s="79" t="s">
        <v>2439</v>
      </c>
      <c r="C221" s="79" t="s">
        <v>117</v>
      </c>
      <c r="D221" s="65" t="s">
        <v>117</v>
      </c>
      <c r="E221" s="18" t="s">
        <v>101</v>
      </c>
      <c r="F221" s="63" t="s">
        <v>105</v>
      </c>
      <c r="G221" s="18" t="s">
        <v>48</v>
      </c>
      <c r="H221" s="20"/>
      <c r="I221" s="20"/>
      <c r="J221" s="26"/>
      <c r="K221" s="67" t="s">
        <v>693</v>
      </c>
      <c r="L221" s="67" t="s">
        <v>694</v>
      </c>
      <c r="M221" s="67" t="s">
        <v>695</v>
      </c>
      <c r="N221" s="60">
        <v>21.910299999999999</v>
      </c>
      <c r="O221" s="60">
        <v>91.907397000000003</v>
      </c>
      <c r="P221" s="62">
        <v>300</v>
      </c>
      <c r="Q221" s="62"/>
      <c r="R221" s="18"/>
      <c r="S221" s="18"/>
      <c r="T221" s="27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17"/>
      <c r="AH221" s="24"/>
      <c r="AI221" s="25"/>
      <c r="AJ221" s="25"/>
    </row>
    <row r="222" spans="1:36" ht="15.6" x14ac:dyDescent="0.3">
      <c r="A222" s="77">
        <v>216</v>
      </c>
      <c r="B222" s="79" t="s">
        <v>2439</v>
      </c>
      <c r="C222" s="79" t="s">
        <v>117</v>
      </c>
      <c r="D222" s="65" t="s">
        <v>117</v>
      </c>
      <c r="E222" s="18" t="s">
        <v>101</v>
      </c>
      <c r="F222" s="63" t="s">
        <v>105</v>
      </c>
      <c r="G222" s="18" t="s">
        <v>48</v>
      </c>
      <c r="H222" s="20"/>
      <c r="I222" s="20"/>
      <c r="J222" s="26"/>
      <c r="K222" s="67" t="s">
        <v>696</v>
      </c>
      <c r="L222" s="67" t="s">
        <v>697</v>
      </c>
      <c r="M222" s="67" t="s">
        <v>698</v>
      </c>
      <c r="N222" s="60">
        <v>21.913262</v>
      </c>
      <c r="O222" s="60">
        <v>91.907865000000001</v>
      </c>
      <c r="P222" s="62">
        <v>400</v>
      </c>
      <c r="Q222" s="62"/>
      <c r="R222" s="18"/>
      <c r="S222" s="18"/>
      <c r="T222" s="27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17"/>
      <c r="AH222" s="24"/>
      <c r="AI222" s="25"/>
      <c r="AJ222" s="25"/>
    </row>
    <row r="223" spans="1:36" ht="15.6" x14ac:dyDescent="0.3">
      <c r="A223" s="77">
        <v>217</v>
      </c>
      <c r="B223" s="79" t="s">
        <v>2439</v>
      </c>
      <c r="C223" s="79" t="s">
        <v>117</v>
      </c>
      <c r="D223" s="65" t="s">
        <v>117</v>
      </c>
      <c r="E223" s="18" t="s">
        <v>101</v>
      </c>
      <c r="F223" s="63" t="s">
        <v>105</v>
      </c>
      <c r="G223" s="18" t="s">
        <v>48</v>
      </c>
      <c r="H223" s="20"/>
      <c r="I223" s="20"/>
      <c r="J223" s="26"/>
      <c r="K223" s="67" t="s">
        <v>699</v>
      </c>
      <c r="L223" s="67" t="s">
        <v>700</v>
      </c>
      <c r="M223" s="67" t="s">
        <v>701</v>
      </c>
      <c r="N223" s="60">
        <v>21.912481</v>
      </c>
      <c r="O223" s="60">
        <v>91.910651999999999</v>
      </c>
      <c r="P223" s="62">
        <v>700</v>
      </c>
      <c r="Q223" s="62"/>
      <c r="R223" s="18"/>
      <c r="S223" s="18"/>
      <c r="T223" s="27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17"/>
      <c r="AH223" s="24"/>
      <c r="AI223" s="25"/>
      <c r="AJ223" s="25"/>
    </row>
    <row r="224" spans="1:36" ht="15.6" x14ac:dyDescent="0.3">
      <c r="A224" s="77">
        <v>218</v>
      </c>
      <c r="B224" s="79" t="s">
        <v>2439</v>
      </c>
      <c r="C224" s="79" t="s">
        <v>117</v>
      </c>
      <c r="D224" s="65" t="s">
        <v>117</v>
      </c>
      <c r="E224" s="18" t="s">
        <v>101</v>
      </c>
      <c r="F224" s="63" t="s">
        <v>105</v>
      </c>
      <c r="G224" s="18" t="s">
        <v>48</v>
      </c>
      <c r="H224" s="20"/>
      <c r="I224" s="20"/>
      <c r="J224" s="26"/>
      <c r="K224" s="67" t="s">
        <v>702</v>
      </c>
      <c r="L224" s="67" t="s">
        <v>703</v>
      </c>
      <c r="M224" s="67" t="s">
        <v>704</v>
      </c>
      <c r="N224" s="60">
        <v>21.912437000000001</v>
      </c>
      <c r="O224" s="60">
        <v>91.911373999999995</v>
      </c>
      <c r="P224" s="62">
        <v>500</v>
      </c>
      <c r="Q224" s="62"/>
      <c r="R224" s="18"/>
      <c r="S224" s="18"/>
      <c r="T224" s="27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17"/>
      <c r="AH224" s="24"/>
      <c r="AI224" s="25"/>
      <c r="AJ224" s="25"/>
    </row>
    <row r="225" spans="1:36" ht="15.6" x14ac:dyDescent="0.3">
      <c r="A225" s="77">
        <v>219</v>
      </c>
      <c r="B225" s="79" t="s">
        <v>2439</v>
      </c>
      <c r="C225" s="79" t="s">
        <v>117</v>
      </c>
      <c r="D225" s="65" t="s">
        <v>117</v>
      </c>
      <c r="E225" s="18" t="s">
        <v>101</v>
      </c>
      <c r="F225" s="63" t="s">
        <v>105</v>
      </c>
      <c r="G225" s="18" t="s">
        <v>48</v>
      </c>
      <c r="H225" s="20"/>
      <c r="I225" s="20"/>
      <c r="J225" s="26"/>
      <c r="K225" s="67" t="s">
        <v>507</v>
      </c>
      <c r="L225" s="67" t="s">
        <v>508</v>
      </c>
      <c r="M225" s="67" t="s">
        <v>705</v>
      </c>
      <c r="N225" s="60">
        <v>21.91244</v>
      </c>
      <c r="O225" s="60">
        <v>91.918724999999995</v>
      </c>
      <c r="P225" s="62">
        <v>500</v>
      </c>
      <c r="Q225" s="62"/>
      <c r="R225" s="18"/>
      <c r="S225" s="18"/>
      <c r="T225" s="27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17"/>
      <c r="AH225" s="24"/>
      <c r="AI225" s="25"/>
      <c r="AJ225" s="25"/>
    </row>
    <row r="226" spans="1:36" ht="15.6" x14ac:dyDescent="0.3">
      <c r="A226" s="77">
        <v>220</v>
      </c>
      <c r="B226" s="79" t="s">
        <v>2439</v>
      </c>
      <c r="C226" s="79" t="s">
        <v>117</v>
      </c>
      <c r="D226" s="65" t="s">
        <v>117</v>
      </c>
      <c r="E226" s="18" t="s">
        <v>101</v>
      </c>
      <c r="F226" s="63" t="s">
        <v>105</v>
      </c>
      <c r="G226" s="18" t="s">
        <v>48</v>
      </c>
      <c r="H226" s="20"/>
      <c r="I226" s="20"/>
      <c r="J226" s="26"/>
      <c r="K226" s="67" t="s">
        <v>706</v>
      </c>
      <c r="L226" s="18" t="s">
        <v>707</v>
      </c>
      <c r="M226" s="67" t="s">
        <v>708</v>
      </c>
      <c r="N226" s="60">
        <v>21.914747999999999</v>
      </c>
      <c r="O226" s="60">
        <v>91.917614999999998</v>
      </c>
      <c r="P226" s="62">
        <v>200</v>
      </c>
      <c r="Q226" s="62"/>
      <c r="R226" s="18"/>
      <c r="S226" s="18"/>
      <c r="T226" s="27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17"/>
      <c r="AH226" s="24"/>
      <c r="AI226" s="25"/>
      <c r="AJ226" s="25"/>
    </row>
    <row r="227" spans="1:36" ht="15.6" x14ac:dyDescent="0.3">
      <c r="A227" s="77">
        <v>221</v>
      </c>
      <c r="B227" s="79" t="s">
        <v>2439</v>
      </c>
      <c r="C227" s="79" t="s">
        <v>117</v>
      </c>
      <c r="D227" s="65" t="s">
        <v>117</v>
      </c>
      <c r="E227" s="18" t="s">
        <v>101</v>
      </c>
      <c r="F227" s="63" t="s">
        <v>105</v>
      </c>
      <c r="G227" s="18" t="s">
        <v>48</v>
      </c>
      <c r="H227" s="20"/>
      <c r="I227" s="20"/>
      <c r="J227" s="26"/>
      <c r="K227" s="67" t="s">
        <v>709</v>
      </c>
      <c r="L227" s="67" t="s">
        <v>710</v>
      </c>
      <c r="M227" s="67" t="s">
        <v>711</v>
      </c>
      <c r="N227" s="60">
        <v>21.914006000000001</v>
      </c>
      <c r="O227" s="60">
        <v>91.914457999999996</v>
      </c>
      <c r="P227" s="62">
        <v>700</v>
      </c>
      <c r="Q227" s="62"/>
      <c r="R227" s="18"/>
      <c r="S227" s="18"/>
      <c r="T227" s="27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17"/>
      <c r="AH227" s="24"/>
      <c r="AI227" s="25"/>
      <c r="AJ227" s="25"/>
    </row>
    <row r="228" spans="1:36" ht="15.6" x14ac:dyDescent="0.3">
      <c r="A228" s="77">
        <v>222</v>
      </c>
      <c r="B228" s="79" t="s">
        <v>2439</v>
      </c>
      <c r="C228" s="79" t="s">
        <v>117</v>
      </c>
      <c r="D228" s="65" t="s">
        <v>117</v>
      </c>
      <c r="E228" s="18" t="s">
        <v>101</v>
      </c>
      <c r="F228" s="63" t="s">
        <v>105</v>
      </c>
      <c r="G228" s="18" t="s">
        <v>49</v>
      </c>
      <c r="H228" s="20"/>
      <c r="I228" s="20"/>
      <c r="J228" s="26"/>
      <c r="K228" s="67" t="s">
        <v>712</v>
      </c>
      <c r="L228" s="67" t="s">
        <v>713</v>
      </c>
      <c r="M228" s="67" t="s">
        <v>714</v>
      </c>
      <c r="N228" s="60">
        <v>21.924994000000002</v>
      </c>
      <c r="O228" s="60">
        <v>91.911779999999993</v>
      </c>
      <c r="P228" s="62">
        <v>1000</v>
      </c>
      <c r="Q228" s="62"/>
      <c r="R228" s="18"/>
      <c r="S228" s="18"/>
      <c r="T228" s="27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17"/>
      <c r="AH228" s="24"/>
      <c r="AI228" s="25"/>
      <c r="AJ228" s="25"/>
    </row>
    <row r="229" spans="1:36" ht="15.6" x14ac:dyDescent="0.3">
      <c r="A229" s="77">
        <v>223</v>
      </c>
      <c r="B229" s="79" t="s">
        <v>2439</v>
      </c>
      <c r="C229" s="79" t="s">
        <v>117</v>
      </c>
      <c r="D229" s="65" t="s">
        <v>117</v>
      </c>
      <c r="E229" s="18" t="s">
        <v>101</v>
      </c>
      <c r="F229" s="63" t="s">
        <v>105</v>
      </c>
      <c r="G229" s="18" t="s">
        <v>49</v>
      </c>
      <c r="H229" s="20"/>
      <c r="I229" s="20"/>
      <c r="J229" s="26"/>
      <c r="K229" s="67" t="s">
        <v>715</v>
      </c>
      <c r="L229" s="67" t="s">
        <v>716</v>
      </c>
      <c r="M229" s="67" t="s">
        <v>717</v>
      </c>
      <c r="N229" s="60">
        <v>21.927341999999999</v>
      </c>
      <c r="O229" s="60">
        <v>91.914338999999998</v>
      </c>
      <c r="P229" s="62">
        <v>2000</v>
      </c>
      <c r="Q229" s="62"/>
      <c r="R229" s="18"/>
      <c r="S229" s="18"/>
      <c r="T229" s="27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17"/>
      <c r="AH229" s="24"/>
      <c r="AI229" s="25"/>
      <c r="AJ229" s="25"/>
    </row>
    <row r="230" spans="1:36" ht="15.6" x14ac:dyDescent="0.3">
      <c r="A230" s="77">
        <v>224</v>
      </c>
      <c r="B230" s="79" t="s">
        <v>2439</v>
      </c>
      <c r="C230" s="79" t="s">
        <v>117</v>
      </c>
      <c r="D230" s="65" t="s">
        <v>117</v>
      </c>
      <c r="E230" s="18" t="s">
        <v>101</v>
      </c>
      <c r="F230" s="63" t="s">
        <v>105</v>
      </c>
      <c r="G230" s="18" t="s">
        <v>49</v>
      </c>
      <c r="H230" s="20"/>
      <c r="I230" s="20"/>
      <c r="J230" s="26"/>
      <c r="K230" s="18" t="s">
        <v>92</v>
      </c>
      <c r="L230" s="67" t="s">
        <v>93</v>
      </c>
      <c r="M230" s="67" t="s">
        <v>718</v>
      </c>
      <c r="N230" s="60">
        <v>21.922678999999999</v>
      </c>
      <c r="O230" s="60">
        <v>91.921369999999996</v>
      </c>
      <c r="P230" s="62">
        <v>500</v>
      </c>
      <c r="Q230" s="62"/>
      <c r="R230" s="18"/>
      <c r="S230" s="18"/>
      <c r="T230" s="27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17"/>
      <c r="AH230" s="24"/>
      <c r="AI230" s="25"/>
      <c r="AJ230" s="25"/>
    </row>
    <row r="231" spans="1:36" ht="15.6" x14ac:dyDescent="0.3">
      <c r="A231" s="77">
        <v>225</v>
      </c>
      <c r="B231" s="79" t="s">
        <v>2439</v>
      </c>
      <c r="C231" s="79" t="s">
        <v>117</v>
      </c>
      <c r="D231" s="65" t="s">
        <v>117</v>
      </c>
      <c r="E231" s="18" t="s">
        <v>101</v>
      </c>
      <c r="F231" s="63" t="s">
        <v>105</v>
      </c>
      <c r="G231" s="18" t="s">
        <v>49</v>
      </c>
      <c r="H231" s="20"/>
      <c r="I231" s="20"/>
      <c r="J231" s="26"/>
      <c r="K231" s="67" t="s">
        <v>719</v>
      </c>
      <c r="L231" s="67" t="s">
        <v>720</v>
      </c>
      <c r="M231" s="67" t="s">
        <v>721</v>
      </c>
      <c r="N231" s="60">
        <v>21.929563000000002</v>
      </c>
      <c r="O231" s="60">
        <v>91.930128999999994</v>
      </c>
      <c r="P231" s="62">
        <v>3000</v>
      </c>
      <c r="Q231" s="62"/>
      <c r="R231" s="18"/>
      <c r="S231" s="18"/>
      <c r="T231" s="27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17"/>
      <c r="AH231" s="24"/>
      <c r="AI231" s="25"/>
      <c r="AJ231" s="25"/>
    </row>
    <row r="232" spans="1:36" ht="15.6" x14ac:dyDescent="0.3">
      <c r="A232" s="77">
        <v>226</v>
      </c>
      <c r="B232" s="79" t="s">
        <v>2439</v>
      </c>
      <c r="C232" s="79" t="s">
        <v>117</v>
      </c>
      <c r="D232" s="65" t="s">
        <v>117</v>
      </c>
      <c r="E232" s="18" t="s">
        <v>101</v>
      </c>
      <c r="F232" s="63" t="s">
        <v>106</v>
      </c>
      <c r="G232" s="18" t="s">
        <v>41</v>
      </c>
      <c r="H232" s="20"/>
      <c r="I232" s="20"/>
      <c r="J232" s="26"/>
      <c r="K232" s="18" t="s">
        <v>722</v>
      </c>
      <c r="L232" s="18" t="s">
        <v>723</v>
      </c>
      <c r="M232" s="18" t="s">
        <v>724</v>
      </c>
      <c r="N232" s="60">
        <v>21.962800000000001</v>
      </c>
      <c r="O232" s="60">
        <v>91.936104</v>
      </c>
      <c r="P232" s="62">
        <v>4500</v>
      </c>
      <c r="Q232" s="62"/>
      <c r="R232" s="18"/>
      <c r="S232" s="18"/>
      <c r="T232" s="27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17"/>
      <c r="AH232" s="24"/>
      <c r="AI232" s="25"/>
      <c r="AJ232" s="25"/>
    </row>
    <row r="233" spans="1:36" ht="15.6" x14ac:dyDescent="0.3">
      <c r="A233" s="77">
        <v>227</v>
      </c>
      <c r="B233" s="79" t="s">
        <v>2439</v>
      </c>
      <c r="C233" s="79" t="s">
        <v>117</v>
      </c>
      <c r="D233" s="65" t="s">
        <v>117</v>
      </c>
      <c r="E233" s="18" t="s">
        <v>101</v>
      </c>
      <c r="F233" s="63" t="s">
        <v>106</v>
      </c>
      <c r="G233" s="18" t="s">
        <v>41</v>
      </c>
      <c r="H233" s="20"/>
      <c r="I233" s="20"/>
      <c r="J233" s="26"/>
      <c r="K233" s="18" t="s">
        <v>423</v>
      </c>
      <c r="L233" s="18" t="s">
        <v>424</v>
      </c>
      <c r="M233" s="18" t="s">
        <v>725</v>
      </c>
      <c r="N233" s="60">
        <v>21.965132000000001</v>
      </c>
      <c r="O233" s="60">
        <v>91.934201999999999</v>
      </c>
      <c r="P233" s="62">
        <v>1000</v>
      </c>
      <c r="Q233" s="62"/>
      <c r="R233" s="18"/>
      <c r="S233" s="18"/>
      <c r="T233" s="27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17"/>
      <c r="AH233" s="24"/>
      <c r="AI233" s="25"/>
      <c r="AJ233" s="25"/>
    </row>
    <row r="234" spans="1:36" ht="15.6" x14ac:dyDescent="0.3">
      <c r="A234" s="77">
        <v>228</v>
      </c>
      <c r="B234" s="79" t="s">
        <v>2439</v>
      </c>
      <c r="C234" s="79" t="s">
        <v>117</v>
      </c>
      <c r="D234" s="65" t="s">
        <v>117</v>
      </c>
      <c r="E234" s="18" t="s">
        <v>101</v>
      </c>
      <c r="F234" s="63" t="s">
        <v>106</v>
      </c>
      <c r="G234" s="18" t="s">
        <v>41</v>
      </c>
      <c r="H234" s="20"/>
      <c r="I234" s="20"/>
      <c r="J234" s="26"/>
      <c r="K234" s="18" t="s">
        <v>726</v>
      </c>
      <c r="L234" s="18" t="s">
        <v>727</v>
      </c>
      <c r="M234" s="18" t="s">
        <v>728</v>
      </c>
      <c r="N234" s="60">
        <v>21.967213000000001</v>
      </c>
      <c r="O234" s="60">
        <v>91.927019000000001</v>
      </c>
      <c r="P234" s="62">
        <v>300</v>
      </c>
      <c r="Q234" s="62"/>
      <c r="R234" s="18"/>
      <c r="S234" s="18"/>
      <c r="T234" s="27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17"/>
      <c r="AH234" s="24"/>
      <c r="AI234" s="25"/>
      <c r="AJ234" s="25"/>
    </row>
    <row r="235" spans="1:36" ht="15.6" x14ac:dyDescent="0.3">
      <c r="A235" s="77">
        <v>229</v>
      </c>
      <c r="B235" s="79" t="s">
        <v>2439</v>
      </c>
      <c r="C235" s="79" t="s">
        <v>117</v>
      </c>
      <c r="D235" s="65" t="s">
        <v>117</v>
      </c>
      <c r="E235" s="18" t="s">
        <v>101</v>
      </c>
      <c r="F235" s="63" t="s">
        <v>106</v>
      </c>
      <c r="G235" s="18" t="s">
        <v>41</v>
      </c>
      <c r="H235" s="20"/>
      <c r="I235" s="20"/>
      <c r="J235" s="26"/>
      <c r="K235" s="18" t="s">
        <v>58</v>
      </c>
      <c r="L235" s="18" t="s">
        <v>59</v>
      </c>
      <c r="M235" s="18" t="s">
        <v>729</v>
      </c>
      <c r="N235" s="60">
        <v>21.969982000000002</v>
      </c>
      <c r="O235" s="60">
        <v>91.924322000000004</v>
      </c>
      <c r="P235" s="62">
        <v>700</v>
      </c>
      <c r="Q235" s="62"/>
      <c r="R235" s="18"/>
      <c r="S235" s="18"/>
      <c r="T235" s="27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17"/>
      <c r="AH235" s="24"/>
      <c r="AI235" s="25"/>
      <c r="AJ235" s="25"/>
    </row>
    <row r="236" spans="1:36" ht="15.6" x14ac:dyDescent="0.3">
      <c r="A236" s="77">
        <v>230</v>
      </c>
      <c r="B236" s="79" t="s">
        <v>2439</v>
      </c>
      <c r="C236" s="79" t="s">
        <v>117</v>
      </c>
      <c r="D236" s="65" t="s">
        <v>117</v>
      </c>
      <c r="E236" s="18" t="s">
        <v>101</v>
      </c>
      <c r="F236" s="63" t="s">
        <v>106</v>
      </c>
      <c r="G236" s="18" t="s">
        <v>41</v>
      </c>
      <c r="H236" s="20"/>
      <c r="I236" s="20"/>
      <c r="J236" s="26"/>
      <c r="K236" s="18" t="s">
        <v>86</v>
      </c>
      <c r="L236" s="18" t="s">
        <v>87</v>
      </c>
      <c r="M236" s="18" t="s">
        <v>730</v>
      </c>
      <c r="N236" s="60">
        <v>21.973081000000001</v>
      </c>
      <c r="O236" s="60">
        <v>91.920208000000002</v>
      </c>
      <c r="P236" s="62">
        <v>1000</v>
      </c>
      <c r="Q236" s="62"/>
      <c r="R236" s="18"/>
      <c r="S236" s="18"/>
      <c r="T236" s="27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17"/>
      <c r="AH236" s="24"/>
      <c r="AI236" s="25"/>
      <c r="AJ236" s="25"/>
    </row>
    <row r="237" spans="1:36" ht="15.6" x14ac:dyDescent="0.3">
      <c r="A237" s="77">
        <v>231</v>
      </c>
      <c r="B237" s="79" t="s">
        <v>2439</v>
      </c>
      <c r="C237" s="79" t="s">
        <v>117</v>
      </c>
      <c r="D237" s="65" t="s">
        <v>117</v>
      </c>
      <c r="E237" s="18" t="s">
        <v>101</v>
      </c>
      <c r="F237" s="63" t="s">
        <v>106</v>
      </c>
      <c r="G237" s="18" t="s">
        <v>41</v>
      </c>
      <c r="H237" s="20"/>
      <c r="I237" s="20"/>
      <c r="J237" s="26"/>
      <c r="K237" s="18" t="s">
        <v>731</v>
      </c>
      <c r="L237" s="18" t="s">
        <v>732</v>
      </c>
      <c r="M237" s="18" t="s">
        <v>733</v>
      </c>
      <c r="N237" s="60">
        <v>21.969654999999999</v>
      </c>
      <c r="O237" s="60">
        <v>91.918833000000006</v>
      </c>
      <c r="P237" s="62">
        <v>100</v>
      </c>
      <c r="Q237" s="62"/>
      <c r="R237" s="18"/>
      <c r="S237" s="18"/>
      <c r="T237" s="27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17"/>
      <c r="AH237" s="24"/>
      <c r="AI237" s="25"/>
      <c r="AJ237" s="25"/>
    </row>
    <row r="238" spans="1:36" ht="15.6" x14ac:dyDescent="0.3">
      <c r="A238" s="77">
        <v>232</v>
      </c>
      <c r="B238" s="79" t="s">
        <v>2439</v>
      </c>
      <c r="C238" s="79" t="s">
        <v>117</v>
      </c>
      <c r="D238" s="65" t="s">
        <v>117</v>
      </c>
      <c r="E238" s="18" t="s">
        <v>101</v>
      </c>
      <c r="F238" s="63" t="s">
        <v>106</v>
      </c>
      <c r="G238" s="18" t="s">
        <v>41</v>
      </c>
      <c r="H238" s="20"/>
      <c r="I238" s="20"/>
      <c r="J238" s="26"/>
      <c r="K238" s="18" t="s">
        <v>734</v>
      </c>
      <c r="L238" s="18" t="s">
        <v>735</v>
      </c>
      <c r="M238" s="18" t="s">
        <v>736</v>
      </c>
      <c r="N238" s="60">
        <v>21.967873000000001</v>
      </c>
      <c r="O238" s="60">
        <v>91.920527000000007</v>
      </c>
      <c r="P238" s="62">
        <v>150</v>
      </c>
      <c r="Q238" s="62"/>
      <c r="R238" s="18"/>
      <c r="S238" s="18"/>
      <c r="T238" s="27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17"/>
      <c r="AH238" s="24"/>
      <c r="AI238" s="25"/>
      <c r="AJ238" s="25"/>
    </row>
    <row r="239" spans="1:36" ht="15.6" x14ac:dyDescent="0.3">
      <c r="A239" s="77">
        <v>233</v>
      </c>
      <c r="B239" s="79" t="s">
        <v>2439</v>
      </c>
      <c r="C239" s="79" t="s">
        <v>117</v>
      </c>
      <c r="D239" s="65" t="s">
        <v>117</v>
      </c>
      <c r="E239" s="18" t="s">
        <v>101</v>
      </c>
      <c r="F239" s="63" t="s">
        <v>106</v>
      </c>
      <c r="G239" s="18" t="s">
        <v>42</v>
      </c>
      <c r="H239" s="20"/>
      <c r="I239" s="20"/>
      <c r="J239" s="26"/>
      <c r="K239" s="63" t="s">
        <v>737</v>
      </c>
      <c r="L239" s="18" t="s">
        <v>738</v>
      </c>
      <c r="M239" s="18" t="s">
        <v>739</v>
      </c>
      <c r="N239" s="60">
        <v>21.964849000000001</v>
      </c>
      <c r="O239" s="60">
        <v>91.955646999999999</v>
      </c>
      <c r="P239" s="62">
        <v>800</v>
      </c>
      <c r="Q239" s="62"/>
      <c r="R239" s="18"/>
      <c r="S239" s="18"/>
      <c r="T239" s="27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17"/>
      <c r="AH239" s="24"/>
      <c r="AI239" s="25"/>
      <c r="AJ239" s="25"/>
    </row>
    <row r="240" spans="1:36" ht="15.6" x14ac:dyDescent="0.3">
      <c r="A240" s="77">
        <v>234</v>
      </c>
      <c r="B240" s="79" t="s">
        <v>2439</v>
      </c>
      <c r="C240" s="79" t="s">
        <v>117</v>
      </c>
      <c r="D240" s="65" t="s">
        <v>117</v>
      </c>
      <c r="E240" s="18" t="s">
        <v>101</v>
      </c>
      <c r="F240" s="63" t="s">
        <v>106</v>
      </c>
      <c r="G240" s="18" t="s">
        <v>42</v>
      </c>
      <c r="H240" s="20"/>
      <c r="I240" s="20"/>
      <c r="J240" s="26"/>
      <c r="K240" s="18" t="s">
        <v>740</v>
      </c>
      <c r="L240" s="18" t="s">
        <v>741</v>
      </c>
      <c r="M240" s="18" t="s">
        <v>742</v>
      </c>
      <c r="N240" s="60">
        <v>21.965584</v>
      </c>
      <c r="O240" s="60">
        <v>91.955189000000004</v>
      </c>
      <c r="P240" s="62">
        <v>400</v>
      </c>
      <c r="Q240" s="62"/>
      <c r="R240" s="18"/>
      <c r="S240" s="18"/>
      <c r="T240" s="27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17"/>
      <c r="AH240" s="24"/>
      <c r="AI240" s="25"/>
      <c r="AJ240" s="25"/>
    </row>
    <row r="241" spans="1:36" ht="15.6" x14ac:dyDescent="0.3">
      <c r="A241" s="77">
        <v>235</v>
      </c>
      <c r="B241" s="79" t="s">
        <v>2439</v>
      </c>
      <c r="C241" s="79" t="s">
        <v>117</v>
      </c>
      <c r="D241" s="65" t="s">
        <v>117</v>
      </c>
      <c r="E241" s="18" t="s">
        <v>101</v>
      </c>
      <c r="F241" s="63" t="s">
        <v>106</v>
      </c>
      <c r="G241" s="18" t="s">
        <v>42</v>
      </c>
      <c r="H241" s="20"/>
      <c r="I241" s="20"/>
      <c r="J241" s="26"/>
      <c r="K241" s="18" t="s">
        <v>743</v>
      </c>
      <c r="L241" s="18" t="s">
        <v>744</v>
      </c>
      <c r="M241" s="18" t="s">
        <v>745</v>
      </c>
      <c r="N241" s="60">
        <v>21.96659</v>
      </c>
      <c r="O241" s="60">
        <v>91.955301000000006</v>
      </c>
      <c r="P241" s="62">
        <v>800</v>
      </c>
      <c r="Q241" s="62"/>
      <c r="R241" s="18"/>
      <c r="S241" s="18"/>
      <c r="T241" s="27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17"/>
      <c r="AH241" s="24"/>
      <c r="AI241" s="25"/>
      <c r="AJ241" s="25"/>
    </row>
    <row r="242" spans="1:36" ht="15.6" x14ac:dyDescent="0.3">
      <c r="A242" s="77">
        <v>236</v>
      </c>
      <c r="B242" s="79" t="s">
        <v>2439</v>
      </c>
      <c r="C242" s="79" t="s">
        <v>117</v>
      </c>
      <c r="D242" s="65" t="s">
        <v>117</v>
      </c>
      <c r="E242" s="18" t="s">
        <v>101</v>
      </c>
      <c r="F242" s="63" t="s">
        <v>106</v>
      </c>
      <c r="G242" s="18" t="s">
        <v>42</v>
      </c>
      <c r="H242" s="20"/>
      <c r="I242" s="20"/>
      <c r="J242" s="26"/>
      <c r="K242" s="18" t="s">
        <v>746</v>
      </c>
      <c r="L242" s="18" t="s">
        <v>747</v>
      </c>
      <c r="M242" s="18" t="s">
        <v>748</v>
      </c>
      <c r="N242" s="60">
        <v>21.96799</v>
      </c>
      <c r="O242" s="60">
        <v>91.954351000000003</v>
      </c>
      <c r="P242" s="62">
        <v>400</v>
      </c>
      <c r="Q242" s="62"/>
      <c r="R242" s="18"/>
      <c r="S242" s="18"/>
      <c r="T242" s="27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17"/>
      <c r="AH242" s="24"/>
      <c r="AI242" s="25"/>
      <c r="AJ242" s="25"/>
    </row>
    <row r="243" spans="1:36" ht="15.6" x14ac:dyDescent="0.3">
      <c r="A243" s="77">
        <v>237</v>
      </c>
      <c r="B243" s="79" t="s">
        <v>2439</v>
      </c>
      <c r="C243" s="79" t="s">
        <v>117</v>
      </c>
      <c r="D243" s="65" t="s">
        <v>117</v>
      </c>
      <c r="E243" s="18" t="s">
        <v>101</v>
      </c>
      <c r="F243" s="63" t="s">
        <v>106</v>
      </c>
      <c r="G243" s="18" t="s">
        <v>42</v>
      </c>
      <c r="H243" s="20"/>
      <c r="I243" s="20"/>
      <c r="J243" s="26"/>
      <c r="K243" s="18" t="s">
        <v>749</v>
      </c>
      <c r="L243" s="18" t="s">
        <v>750</v>
      </c>
      <c r="M243" s="18" t="s">
        <v>751</v>
      </c>
      <c r="N243" s="60">
        <v>21.968934999999998</v>
      </c>
      <c r="O243" s="60">
        <v>91.954991000000007</v>
      </c>
      <c r="P243" s="62">
        <v>2000</v>
      </c>
      <c r="Q243" s="62"/>
      <c r="R243" s="18"/>
      <c r="S243" s="18"/>
      <c r="T243" s="27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17"/>
      <c r="AH243" s="24"/>
      <c r="AI243" s="25"/>
      <c r="AJ243" s="25"/>
    </row>
    <row r="244" spans="1:36" ht="15.6" x14ac:dyDescent="0.3">
      <c r="A244" s="77">
        <v>238</v>
      </c>
      <c r="B244" s="79" t="s">
        <v>2439</v>
      </c>
      <c r="C244" s="79" t="s">
        <v>117</v>
      </c>
      <c r="D244" s="65" t="s">
        <v>117</v>
      </c>
      <c r="E244" s="18" t="s">
        <v>101</v>
      </c>
      <c r="F244" s="63" t="s">
        <v>106</v>
      </c>
      <c r="G244" s="18" t="s">
        <v>42</v>
      </c>
      <c r="H244" s="20"/>
      <c r="I244" s="20"/>
      <c r="J244" s="26"/>
      <c r="K244" s="18" t="s">
        <v>752</v>
      </c>
      <c r="L244" s="18" t="s">
        <v>753</v>
      </c>
      <c r="M244" s="18" t="s">
        <v>754</v>
      </c>
      <c r="N244" s="60">
        <v>21.971691</v>
      </c>
      <c r="O244" s="60">
        <v>91.954454999999996</v>
      </c>
      <c r="P244" s="62">
        <v>1000</v>
      </c>
      <c r="Q244" s="62"/>
      <c r="R244" s="18"/>
      <c r="S244" s="18"/>
      <c r="T244" s="22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17"/>
      <c r="AH244" s="24"/>
      <c r="AI244" s="25"/>
      <c r="AJ244" s="25"/>
    </row>
    <row r="245" spans="1:36" ht="15.6" x14ac:dyDescent="0.3">
      <c r="A245" s="77">
        <v>239</v>
      </c>
      <c r="B245" s="79" t="s">
        <v>2439</v>
      </c>
      <c r="C245" s="79" t="s">
        <v>117</v>
      </c>
      <c r="D245" s="65" t="s">
        <v>117</v>
      </c>
      <c r="E245" s="18" t="s">
        <v>101</v>
      </c>
      <c r="F245" s="63" t="s">
        <v>106</v>
      </c>
      <c r="G245" s="18" t="s">
        <v>42</v>
      </c>
      <c r="H245" s="20"/>
      <c r="I245" s="20"/>
      <c r="J245" s="26"/>
      <c r="K245" s="66" t="s">
        <v>755</v>
      </c>
      <c r="L245" s="18" t="s">
        <v>756</v>
      </c>
      <c r="M245" s="18" t="s">
        <v>757</v>
      </c>
      <c r="N245" s="60">
        <v>21.971495999999998</v>
      </c>
      <c r="O245" s="60">
        <v>91.953586000000001</v>
      </c>
      <c r="P245" s="62">
        <v>200</v>
      </c>
      <c r="Q245" s="62"/>
      <c r="R245" s="18"/>
      <c r="S245" s="18"/>
      <c r="T245" s="27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17"/>
      <c r="AH245" s="24"/>
      <c r="AI245" s="25"/>
      <c r="AJ245" s="25"/>
    </row>
    <row r="246" spans="1:36" ht="15.6" x14ac:dyDescent="0.3">
      <c r="A246" s="77">
        <v>240</v>
      </c>
      <c r="B246" s="79" t="s">
        <v>2439</v>
      </c>
      <c r="C246" s="79" t="s">
        <v>117</v>
      </c>
      <c r="D246" s="65" t="s">
        <v>117</v>
      </c>
      <c r="E246" s="18" t="s">
        <v>101</v>
      </c>
      <c r="F246" s="63" t="s">
        <v>106</v>
      </c>
      <c r="G246" s="18" t="s">
        <v>42</v>
      </c>
      <c r="H246" s="20"/>
      <c r="I246" s="20"/>
      <c r="J246" s="28"/>
      <c r="K246" s="63" t="s">
        <v>758</v>
      </c>
      <c r="L246" s="18" t="s">
        <v>759</v>
      </c>
      <c r="M246" s="18" t="s">
        <v>760</v>
      </c>
      <c r="N246" s="60">
        <v>21.971516999999999</v>
      </c>
      <c r="O246" s="60">
        <v>91.951995999999994</v>
      </c>
      <c r="P246" s="62">
        <v>50</v>
      </c>
      <c r="Q246" s="62"/>
      <c r="R246" s="18"/>
      <c r="S246" s="18"/>
      <c r="T246" s="27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17"/>
      <c r="AH246" s="24"/>
      <c r="AI246" s="25"/>
      <c r="AJ246" s="25"/>
    </row>
    <row r="247" spans="1:36" ht="15.6" x14ac:dyDescent="0.3">
      <c r="A247" s="77">
        <v>241</v>
      </c>
      <c r="B247" s="79" t="s">
        <v>2439</v>
      </c>
      <c r="C247" s="79" t="s">
        <v>117</v>
      </c>
      <c r="D247" s="65" t="s">
        <v>117</v>
      </c>
      <c r="E247" s="18" t="s">
        <v>101</v>
      </c>
      <c r="F247" s="63" t="s">
        <v>106</v>
      </c>
      <c r="G247" s="18" t="s">
        <v>42</v>
      </c>
      <c r="H247" s="20"/>
      <c r="I247" s="20"/>
      <c r="J247" s="26"/>
      <c r="K247" s="63" t="s">
        <v>761</v>
      </c>
      <c r="L247" s="18" t="s">
        <v>762</v>
      </c>
      <c r="M247" s="18" t="s">
        <v>763</v>
      </c>
      <c r="N247" s="60">
        <v>21.972329999999999</v>
      </c>
      <c r="O247" s="60">
        <v>91.948518000000007</v>
      </c>
      <c r="P247" s="62">
        <v>3000</v>
      </c>
      <c r="Q247" s="62"/>
      <c r="R247" s="18"/>
      <c r="S247" s="18"/>
      <c r="T247" s="27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17"/>
      <c r="AH247" s="24"/>
      <c r="AI247" s="25"/>
      <c r="AJ247" s="25"/>
    </row>
    <row r="248" spans="1:36" ht="15.6" x14ac:dyDescent="0.3">
      <c r="A248" s="77">
        <v>242</v>
      </c>
      <c r="B248" s="79" t="s">
        <v>2439</v>
      </c>
      <c r="C248" s="79" t="s">
        <v>117</v>
      </c>
      <c r="D248" s="65" t="s">
        <v>117</v>
      </c>
      <c r="E248" s="18" t="s">
        <v>101</v>
      </c>
      <c r="F248" s="63" t="s">
        <v>106</v>
      </c>
      <c r="G248" s="18" t="s">
        <v>42</v>
      </c>
      <c r="H248" s="20"/>
      <c r="I248" s="20"/>
      <c r="J248" s="26"/>
      <c r="K248" s="63" t="s">
        <v>92</v>
      </c>
      <c r="L248" s="18" t="s">
        <v>764</v>
      </c>
      <c r="M248" s="18" t="s">
        <v>765</v>
      </c>
      <c r="N248" s="60">
        <v>21.971420999999999</v>
      </c>
      <c r="O248" s="60">
        <v>91.943323000000007</v>
      </c>
      <c r="P248" s="62">
        <v>300</v>
      </c>
      <c r="Q248" s="62"/>
      <c r="R248" s="18"/>
      <c r="S248" s="18"/>
      <c r="T248" s="27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17"/>
      <c r="AH248" s="24"/>
      <c r="AI248" s="25"/>
      <c r="AJ248" s="25"/>
    </row>
    <row r="249" spans="1:36" ht="15.6" x14ac:dyDescent="0.3">
      <c r="A249" s="77">
        <v>243</v>
      </c>
      <c r="B249" s="79" t="s">
        <v>2439</v>
      </c>
      <c r="C249" s="79" t="s">
        <v>117</v>
      </c>
      <c r="D249" s="65" t="s">
        <v>117</v>
      </c>
      <c r="E249" s="18" t="s">
        <v>101</v>
      </c>
      <c r="F249" s="63" t="s">
        <v>106</v>
      </c>
      <c r="G249" s="18" t="s">
        <v>42</v>
      </c>
      <c r="H249" s="20"/>
      <c r="I249" s="20"/>
      <c r="J249" s="26"/>
      <c r="K249" s="63" t="s">
        <v>766</v>
      </c>
      <c r="L249" s="18" t="s">
        <v>767</v>
      </c>
      <c r="M249" s="18" t="s">
        <v>768</v>
      </c>
      <c r="N249" s="60">
        <v>21.969546999999999</v>
      </c>
      <c r="O249" s="60">
        <v>91.941794000000002</v>
      </c>
      <c r="P249" s="62">
        <v>500</v>
      </c>
      <c r="Q249" s="62"/>
      <c r="R249" s="18"/>
      <c r="S249" s="18"/>
      <c r="T249" s="27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17"/>
      <c r="AH249" s="24"/>
      <c r="AI249" s="25"/>
      <c r="AJ249" s="25"/>
    </row>
    <row r="250" spans="1:36" ht="15.6" x14ac:dyDescent="0.3">
      <c r="A250" s="77">
        <v>244</v>
      </c>
      <c r="B250" s="79" t="s">
        <v>2439</v>
      </c>
      <c r="C250" s="79" t="s">
        <v>117</v>
      </c>
      <c r="D250" s="65" t="s">
        <v>117</v>
      </c>
      <c r="E250" s="18" t="s">
        <v>101</v>
      </c>
      <c r="F250" s="63" t="s">
        <v>106</v>
      </c>
      <c r="G250" s="18" t="s">
        <v>42</v>
      </c>
      <c r="H250" s="20"/>
      <c r="I250" s="20"/>
      <c r="J250" s="26"/>
      <c r="K250" s="18" t="s">
        <v>769</v>
      </c>
      <c r="L250" s="18" t="s">
        <v>770</v>
      </c>
      <c r="M250" s="18" t="s">
        <v>771</v>
      </c>
      <c r="N250" s="60">
        <v>21.970227000000001</v>
      </c>
      <c r="O250" s="60">
        <v>91.936335</v>
      </c>
      <c r="P250" s="62">
        <v>1500</v>
      </c>
      <c r="Q250" s="62"/>
      <c r="R250" s="18"/>
      <c r="S250" s="18"/>
      <c r="T250" s="27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17"/>
      <c r="AH250" s="24"/>
      <c r="AI250" s="25"/>
      <c r="AJ250" s="25"/>
    </row>
    <row r="251" spans="1:36" ht="15.6" x14ac:dyDescent="0.3">
      <c r="A251" s="77">
        <v>245</v>
      </c>
      <c r="B251" s="79" t="s">
        <v>2439</v>
      </c>
      <c r="C251" s="79" t="s">
        <v>117</v>
      </c>
      <c r="D251" s="65" t="s">
        <v>117</v>
      </c>
      <c r="E251" s="18" t="s">
        <v>101</v>
      </c>
      <c r="F251" s="63" t="s">
        <v>106</v>
      </c>
      <c r="G251" s="18" t="s">
        <v>42</v>
      </c>
      <c r="H251" s="20"/>
      <c r="I251" s="20"/>
      <c r="J251" s="23"/>
      <c r="K251" s="18" t="s">
        <v>772</v>
      </c>
      <c r="L251" s="18" t="s">
        <v>773</v>
      </c>
      <c r="M251" s="18" t="s">
        <v>774</v>
      </c>
      <c r="N251" s="60">
        <v>21.976212</v>
      </c>
      <c r="O251" s="60">
        <v>91.931207000000001</v>
      </c>
      <c r="P251" s="62">
        <v>400</v>
      </c>
      <c r="Q251" s="62"/>
      <c r="R251" s="18"/>
      <c r="S251" s="18"/>
      <c r="T251" s="27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17"/>
      <c r="AH251" s="24"/>
      <c r="AI251" s="25"/>
      <c r="AJ251" s="25"/>
    </row>
    <row r="252" spans="1:36" ht="15.6" x14ac:dyDescent="0.3">
      <c r="A252" s="77">
        <v>246</v>
      </c>
      <c r="B252" s="79" t="s">
        <v>2439</v>
      </c>
      <c r="C252" s="79" t="s">
        <v>117</v>
      </c>
      <c r="D252" s="65" t="s">
        <v>117</v>
      </c>
      <c r="E252" s="18" t="s">
        <v>101</v>
      </c>
      <c r="F252" s="63" t="s">
        <v>106</v>
      </c>
      <c r="G252" s="18" t="s">
        <v>42</v>
      </c>
      <c r="H252" s="20"/>
      <c r="I252" s="20"/>
      <c r="J252" s="26"/>
      <c r="K252" s="18" t="s">
        <v>69</v>
      </c>
      <c r="L252" s="18" t="s">
        <v>775</v>
      </c>
      <c r="M252" s="18" t="s">
        <v>776</v>
      </c>
      <c r="N252" s="60">
        <v>21.969994</v>
      </c>
      <c r="O252" s="60">
        <v>91.931781999999998</v>
      </c>
      <c r="P252" s="62">
        <v>500</v>
      </c>
      <c r="Q252" s="62"/>
      <c r="R252" s="18"/>
      <c r="S252" s="18"/>
      <c r="T252" s="27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17"/>
      <c r="AH252" s="24"/>
      <c r="AI252" s="25"/>
      <c r="AJ252" s="25"/>
    </row>
    <row r="253" spans="1:36" ht="15.6" x14ac:dyDescent="0.3">
      <c r="A253" s="77">
        <v>247</v>
      </c>
      <c r="B253" s="79" t="s">
        <v>2439</v>
      </c>
      <c r="C253" s="79" t="s">
        <v>117</v>
      </c>
      <c r="D253" s="65" t="s">
        <v>117</v>
      </c>
      <c r="E253" s="18" t="s">
        <v>101</v>
      </c>
      <c r="F253" s="63" t="s">
        <v>106</v>
      </c>
      <c r="G253" s="18" t="s">
        <v>43</v>
      </c>
      <c r="H253" s="20"/>
      <c r="I253" s="20"/>
      <c r="J253" s="26"/>
      <c r="K253" s="18" t="s">
        <v>777</v>
      </c>
      <c r="L253" s="18" t="s">
        <v>778</v>
      </c>
      <c r="M253" s="18" t="s">
        <v>779</v>
      </c>
      <c r="N253" s="60">
        <v>21.962291</v>
      </c>
      <c r="O253" s="60">
        <v>91.954396000000003</v>
      </c>
      <c r="P253" s="62">
        <v>1200</v>
      </c>
      <c r="Q253" s="62"/>
      <c r="R253" s="18"/>
      <c r="S253" s="18"/>
      <c r="T253" s="27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17"/>
      <c r="AH253" s="24"/>
      <c r="AI253" s="25"/>
      <c r="AJ253" s="25"/>
    </row>
    <row r="254" spans="1:36" ht="15.6" x14ac:dyDescent="0.3">
      <c r="A254" s="77">
        <v>248</v>
      </c>
      <c r="B254" s="79" t="s">
        <v>2439</v>
      </c>
      <c r="C254" s="79" t="s">
        <v>117</v>
      </c>
      <c r="D254" s="65" t="s">
        <v>117</v>
      </c>
      <c r="E254" s="18" t="s">
        <v>101</v>
      </c>
      <c r="F254" s="63" t="s">
        <v>106</v>
      </c>
      <c r="G254" s="18" t="s">
        <v>43</v>
      </c>
      <c r="H254" s="20"/>
      <c r="I254" s="20"/>
      <c r="J254" s="26"/>
      <c r="K254" s="18" t="s">
        <v>208</v>
      </c>
      <c r="L254" s="18" t="s">
        <v>209</v>
      </c>
      <c r="M254" s="18" t="s">
        <v>780</v>
      </c>
      <c r="N254" s="60">
        <v>21.960152000000001</v>
      </c>
      <c r="O254" s="60">
        <v>91.952156000000002</v>
      </c>
      <c r="P254" s="62">
        <v>600</v>
      </c>
      <c r="Q254" s="62"/>
      <c r="R254" s="18"/>
      <c r="S254" s="18"/>
      <c r="T254" s="27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17"/>
      <c r="AH254" s="24"/>
      <c r="AI254" s="25"/>
      <c r="AJ254" s="25"/>
    </row>
    <row r="255" spans="1:36" ht="15.6" x14ac:dyDescent="0.3">
      <c r="A255" s="77">
        <v>249</v>
      </c>
      <c r="B255" s="79" t="s">
        <v>2439</v>
      </c>
      <c r="C255" s="79" t="s">
        <v>117</v>
      </c>
      <c r="D255" s="65" t="s">
        <v>117</v>
      </c>
      <c r="E255" s="18" t="s">
        <v>101</v>
      </c>
      <c r="F255" s="63" t="s">
        <v>106</v>
      </c>
      <c r="G255" s="18" t="s">
        <v>43</v>
      </c>
      <c r="H255" s="20"/>
      <c r="I255" s="20"/>
      <c r="J255" s="26"/>
      <c r="K255" s="18" t="s">
        <v>410</v>
      </c>
      <c r="L255" s="18" t="s">
        <v>411</v>
      </c>
      <c r="M255" s="18" t="s">
        <v>781</v>
      </c>
      <c r="N255" s="60">
        <v>21.959852000000001</v>
      </c>
      <c r="O255" s="60">
        <v>91.949710999999994</v>
      </c>
      <c r="P255" s="62">
        <v>350</v>
      </c>
      <c r="Q255" s="62"/>
      <c r="R255" s="18"/>
      <c r="S255" s="18"/>
      <c r="T255" s="27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17"/>
      <c r="AH255" s="24"/>
      <c r="AI255" s="25"/>
      <c r="AJ255" s="25"/>
    </row>
    <row r="256" spans="1:36" ht="15.6" x14ac:dyDescent="0.3">
      <c r="A256" s="77">
        <v>250</v>
      </c>
      <c r="B256" s="79" t="s">
        <v>2439</v>
      </c>
      <c r="C256" s="79" t="s">
        <v>117</v>
      </c>
      <c r="D256" s="65" t="s">
        <v>117</v>
      </c>
      <c r="E256" s="18" t="s">
        <v>101</v>
      </c>
      <c r="F256" s="63" t="s">
        <v>106</v>
      </c>
      <c r="G256" s="18" t="s">
        <v>43</v>
      </c>
      <c r="H256" s="20"/>
      <c r="I256" s="20"/>
      <c r="J256" s="26"/>
      <c r="K256" s="18" t="s">
        <v>196</v>
      </c>
      <c r="L256" s="18" t="s">
        <v>197</v>
      </c>
      <c r="M256" s="18" t="s">
        <v>782</v>
      </c>
      <c r="N256" s="60">
        <v>21.960514</v>
      </c>
      <c r="O256" s="60">
        <v>91.946826000000001</v>
      </c>
      <c r="P256" s="62">
        <v>500</v>
      </c>
      <c r="Q256" s="62"/>
      <c r="R256" s="18"/>
      <c r="S256" s="18"/>
      <c r="T256" s="27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17"/>
      <c r="AH256" s="24"/>
      <c r="AI256" s="25"/>
      <c r="AJ256" s="25"/>
    </row>
    <row r="257" spans="1:36" ht="15.6" x14ac:dyDescent="0.3">
      <c r="A257" s="77">
        <v>251</v>
      </c>
      <c r="B257" s="79" t="s">
        <v>2439</v>
      </c>
      <c r="C257" s="79" t="s">
        <v>117</v>
      </c>
      <c r="D257" s="65" t="s">
        <v>117</v>
      </c>
      <c r="E257" s="18" t="s">
        <v>101</v>
      </c>
      <c r="F257" s="63" t="s">
        <v>106</v>
      </c>
      <c r="G257" s="18" t="s">
        <v>43</v>
      </c>
      <c r="H257" s="20"/>
      <c r="I257" s="20"/>
      <c r="J257" s="26"/>
      <c r="K257" s="67" t="s">
        <v>70</v>
      </c>
      <c r="L257" s="18" t="s">
        <v>162</v>
      </c>
      <c r="M257" s="18" t="s">
        <v>783</v>
      </c>
      <c r="N257" s="60">
        <v>21.959405</v>
      </c>
      <c r="O257" s="60">
        <v>91.945314999999994</v>
      </c>
      <c r="P257" s="62">
        <v>900</v>
      </c>
      <c r="Q257" s="62"/>
      <c r="R257" s="18"/>
      <c r="S257" s="18"/>
      <c r="T257" s="27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17"/>
      <c r="AH257" s="24"/>
      <c r="AI257" s="25"/>
      <c r="AJ257" s="25"/>
    </row>
    <row r="258" spans="1:36" ht="15.6" x14ac:dyDescent="0.3">
      <c r="A258" s="77">
        <v>252</v>
      </c>
      <c r="B258" s="79" t="s">
        <v>2439</v>
      </c>
      <c r="C258" s="79" t="s">
        <v>117</v>
      </c>
      <c r="D258" s="65" t="s">
        <v>117</v>
      </c>
      <c r="E258" s="18" t="s">
        <v>101</v>
      </c>
      <c r="F258" s="63" t="s">
        <v>106</v>
      </c>
      <c r="G258" s="18" t="s">
        <v>43</v>
      </c>
      <c r="H258" s="20"/>
      <c r="I258" s="20"/>
      <c r="J258" s="26"/>
      <c r="K258" s="18" t="s">
        <v>784</v>
      </c>
      <c r="L258" s="18" t="s">
        <v>785</v>
      </c>
      <c r="M258" s="18" t="s">
        <v>786</v>
      </c>
      <c r="N258" s="60">
        <v>21.961850999999999</v>
      </c>
      <c r="O258" s="60">
        <v>91.944632999999996</v>
      </c>
      <c r="P258" s="62">
        <v>120</v>
      </c>
      <c r="Q258" s="62"/>
      <c r="R258" s="18"/>
      <c r="S258" s="18"/>
      <c r="T258" s="27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17"/>
      <c r="AH258" s="24"/>
      <c r="AI258" s="25"/>
      <c r="AJ258" s="25"/>
    </row>
    <row r="259" spans="1:36" ht="15.6" x14ac:dyDescent="0.3">
      <c r="A259" s="77">
        <v>253</v>
      </c>
      <c r="B259" s="79" t="s">
        <v>2439</v>
      </c>
      <c r="C259" s="79" t="s">
        <v>117</v>
      </c>
      <c r="D259" s="65" t="s">
        <v>117</v>
      </c>
      <c r="E259" s="18" t="s">
        <v>101</v>
      </c>
      <c r="F259" s="63" t="s">
        <v>106</v>
      </c>
      <c r="G259" s="18" t="s">
        <v>43</v>
      </c>
      <c r="H259" s="20"/>
      <c r="I259" s="20"/>
      <c r="J259" s="26"/>
      <c r="K259" s="18" t="s">
        <v>787</v>
      </c>
      <c r="L259" s="18" t="s">
        <v>788</v>
      </c>
      <c r="M259" s="18" t="s">
        <v>789</v>
      </c>
      <c r="N259" s="60">
        <v>21.960732</v>
      </c>
      <c r="O259" s="60">
        <v>91.944462000000001</v>
      </c>
      <c r="P259" s="62">
        <v>600</v>
      </c>
      <c r="Q259" s="62"/>
      <c r="R259" s="18"/>
      <c r="S259" s="18"/>
      <c r="T259" s="22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17"/>
      <c r="AH259" s="24"/>
      <c r="AI259" s="25"/>
      <c r="AJ259" s="25"/>
    </row>
    <row r="260" spans="1:36" ht="15.6" x14ac:dyDescent="0.3">
      <c r="A260" s="77">
        <v>254</v>
      </c>
      <c r="B260" s="79" t="s">
        <v>2439</v>
      </c>
      <c r="C260" s="79" t="s">
        <v>117</v>
      </c>
      <c r="D260" s="65" t="s">
        <v>117</v>
      </c>
      <c r="E260" s="18" t="s">
        <v>101</v>
      </c>
      <c r="F260" s="63" t="s">
        <v>106</v>
      </c>
      <c r="G260" s="18" t="s">
        <v>43</v>
      </c>
      <c r="H260" s="20"/>
      <c r="I260" s="20"/>
      <c r="J260" s="26"/>
      <c r="K260" s="18" t="s">
        <v>790</v>
      </c>
      <c r="L260" s="18" t="s">
        <v>791</v>
      </c>
      <c r="M260" s="18" t="s">
        <v>792</v>
      </c>
      <c r="N260" s="60">
        <v>21.957758999999999</v>
      </c>
      <c r="O260" s="60">
        <v>91.943134999999998</v>
      </c>
      <c r="P260" s="62">
        <v>900</v>
      </c>
      <c r="Q260" s="62"/>
      <c r="R260" s="18"/>
      <c r="S260" s="18"/>
      <c r="T260" s="27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17"/>
      <c r="AH260" s="24"/>
      <c r="AI260" s="25"/>
      <c r="AJ260" s="25"/>
    </row>
    <row r="261" spans="1:36" ht="15.6" x14ac:dyDescent="0.3">
      <c r="A261" s="77">
        <v>255</v>
      </c>
      <c r="B261" s="79" t="s">
        <v>2439</v>
      </c>
      <c r="C261" s="79" t="s">
        <v>117</v>
      </c>
      <c r="D261" s="65" t="s">
        <v>117</v>
      </c>
      <c r="E261" s="18" t="s">
        <v>101</v>
      </c>
      <c r="F261" s="63" t="s">
        <v>106</v>
      </c>
      <c r="G261" s="18" t="s">
        <v>43</v>
      </c>
      <c r="H261" s="20"/>
      <c r="I261" s="20"/>
      <c r="J261" s="26"/>
      <c r="K261" s="18" t="s">
        <v>793</v>
      </c>
      <c r="L261" s="18" t="s">
        <v>794</v>
      </c>
      <c r="M261" s="18" t="s">
        <v>795</v>
      </c>
      <c r="N261" s="60">
        <v>21.958275</v>
      </c>
      <c r="O261" s="60">
        <v>91.940365</v>
      </c>
      <c r="P261" s="62">
        <v>900</v>
      </c>
      <c r="Q261" s="62"/>
      <c r="R261" s="18"/>
      <c r="S261" s="18"/>
      <c r="T261" s="27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17"/>
      <c r="AH261" s="24"/>
      <c r="AI261" s="25"/>
      <c r="AJ261" s="25"/>
    </row>
    <row r="262" spans="1:36" ht="15.6" x14ac:dyDescent="0.3">
      <c r="A262" s="77">
        <v>256</v>
      </c>
      <c r="B262" s="79" t="s">
        <v>2439</v>
      </c>
      <c r="C262" s="79" t="s">
        <v>117</v>
      </c>
      <c r="D262" s="65" t="s">
        <v>117</v>
      </c>
      <c r="E262" s="18" t="s">
        <v>101</v>
      </c>
      <c r="F262" s="63" t="s">
        <v>106</v>
      </c>
      <c r="G262" s="18" t="s">
        <v>43</v>
      </c>
      <c r="H262" s="20"/>
      <c r="I262" s="20"/>
      <c r="J262" s="26"/>
      <c r="K262" s="18" t="s">
        <v>796</v>
      </c>
      <c r="L262" s="18" t="s">
        <v>797</v>
      </c>
      <c r="M262" s="18" t="s">
        <v>798</v>
      </c>
      <c r="N262" s="60">
        <v>21.959571</v>
      </c>
      <c r="O262" s="60">
        <v>91.936246999999995</v>
      </c>
      <c r="P262" s="62">
        <v>600</v>
      </c>
      <c r="Q262" s="62"/>
      <c r="R262" s="18"/>
      <c r="S262" s="18"/>
      <c r="T262" s="27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17"/>
      <c r="AH262" s="24"/>
      <c r="AI262" s="25"/>
      <c r="AJ262" s="25"/>
    </row>
    <row r="263" spans="1:36" ht="15.6" x14ac:dyDescent="0.3">
      <c r="A263" s="77">
        <v>257</v>
      </c>
      <c r="B263" s="79" t="s">
        <v>2439</v>
      </c>
      <c r="C263" s="79" t="s">
        <v>117</v>
      </c>
      <c r="D263" s="65" t="s">
        <v>117</v>
      </c>
      <c r="E263" s="18" t="s">
        <v>101</v>
      </c>
      <c r="F263" s="63" t="s">
        <v>106</v>
      </c>
      <c r="G263" s="18" t="s">
        <v>43</v>
      </c>
      <c r="H263" s="20"/>
      <c r="I263" s="20"/>
      <c r="J263" s="26"/>
      <c r="K263" s="18" t="s">
        <v>799</v>
      </c>
      <c r="L263" s="18" t="s">
        <v>800</v>
      </c>
      <c r="M263" s="18" t="s">
        <v>801</v>
      </c>
      <c r="N263" s="60">
        <v>21.955888999999999</v>
      </c>
      <c r="O263" s="60">
        <v>91.937817999999993</v>
      </c>
      <c r="P263" s="62">
        <v>300</v>
      </c>
      <c r="Q263" s="62"/>
      <c r="R263" s="18"/>
      <c r="S263" s="18"/>
      <c r="T263" s="27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17"/>
      <c r="AH263" s="24"/>
      <c r="AI263" s="25"/>
      <c r="AJ263" s="25"/>
    </row>
    <row r="264" spans="1:36" ht="15.6" x14ac:dyDescent="0.3">
      <c r="A264" s="77">
        <v>258</v>
      </c>
      <c r="B264" s="79" t="s">
        <v>2439</v>
      </c>
      <c r="C264" s="79" t="s">
        <v>117</v>
      </c>
      <c r="D264" s="65" t="s">
        <v>117</v>
      </c>
      <c r="E264" s="18" t="s">
        <v>101</v>
      </c>
      <c r="F264" s="63" t="s">
        <v>106</v>
      </c>
      <c r="G264" s="18" t="s">
        <v>44</v>
      </c>
      <c r="H264" s="20"/>
      <c r="I264" s="20"/>
      <c r="J264" s="26"/>
      <c r="K264" s="18" t="s">
        <v>802</v>
      </c>
      <c r="L264" s="18" t="s">
        <v>803</v>
      </c>
      <c r="M264" s="18" t="s">
        <v>804</v>
      </c>
      <c r="N264" s="60">
        <v>21.959676000000002</v>
      </c>
      <c r="O264" s="60">
        <v>91.956232999999997</v>
      </c>
      <c r="P264" s="62">
        <v>500</v>
      </c>
      <c r="Q264" s="62"/>
      <c r="R264" s="18"/>
      <c r="S264" s="18"/>
      <c r="T264" s="27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17"/>
      <c r="AH264" s="24"/>
      <c r="AI264" s="25"/>
      <c r="AJ264" s="25"/>
    </row>
    <row r="265" spans="1:36" ht="15.6" x14ac:dyDescent="0.3">
      <c r="A265" s="77">
        <v>259</v>
      </c>
      <c r="B265" s="79" t="s">
        <v>2439</v>
      </c>
      <c r="C265" s="79" t="s">
        <v>117</v>
      </c>
      <c r="D265" s="65" t="s">
        <v>117</v>
      </c>
      <c r="E265" s="18" t="s">
        <v>101</v>
      </c>
      <c r="F265" s="63" t="s">
        <v>106</v>
      </c>
      <c r="G265" s="18" t="s">
        <v>44</v>
      </c>
      <c r="H265" s="20"/>
      <c r="I265" s="20"/>
      <c r="J265" s="26"/>
      <c r="K265" s="18" t="s">
        <v>805</v>
      </c>
      <c r="L265" s="18" t="s">
        <v>806</v>
      </c>
      <c r="M265" s="18" t="s">
        <v>807</v>
      </c>
      <c r="N265" s="60">
        <v>21.957501000000001</v>
      </c>
      <c r="O265" s="60">
        <v>91.951368000000002</v>
      </c>
      <c r="P265" s="62">
        <v>4000</v>
      </c>
      <c r="Q265" s="62"/>
      <c r="R265" s="18"/>
      <c r="S265" s="18"/>
      <c r="T265" s="27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17"/>
      <c r="AH265" s="24"/>
      <c r="AI265" s="25"/>
      <c r="AJ265" s="25"/>
    </row>
    <row r="266" spans="1:36" ht="15.6" x14ac:dyDescent="0.3">
      <c r="A266" s="77">
        <v>260</v>
      </c>
      <c r="B266" s="79" t="s">
        <v>2439</v>
      </c>
      <c r="C266" s="79" t="s">
        <v>117</v>
      </c>
      <c r="D266" s="65" t="s">
        <v>117</v>
      </c>
      <c r="E266" s="18" t="s">
        <v>101</v>
      </c>
      <c r="F266" s="63" t="s">
        <v>106</v>
      </c>
      <c r="G266" s="18" t="s">
        <v>44</v>
      </c>
      <c r="H266" s="20"/>
      <c r="I266" s="20"/>
      <c r="J266" s="23"/>
      <c r="K266" s="18" t="s">
        <v>808</v>
      </c>
      <c r="L266" s="63" t="s">
        <v>809</v>
      </c>
      <c r="M266" s="18" t="s">
        <v>810</v>
      </c>
      <c r="N266" s="60">
        <v>21.953211</v>
      </c>
      <c r="O266" s="60">
        <v>91.939817000000005</v>
      </c>
      <c r="P266" s="62">
        <v>150</v>
      </c>
      <c r="Q266" s="62"/>
      <c r="R266" s="18"/>
      <c r="S266" s="18"/>
      <c r="T266" s="27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17"/>
      <c r="AH266" s="24"/>
      <c r="AI266" s="25"/>
      <c r="AJ266" s="25"/>
    </row>
    <row r="267" spans="1:36" ht="15.6" x14ac:dyDescent="0.3">
      <c r="A267" s="77">
        <v>261</v>
      </c>
      <c r="B267" s="79" t="s">
        <v>2439</v>
      </c>
      <c r="C267" s="79" t="s">
        <v>117</v>
      </c>
      <c r="D267" s="65" t="s">
        <v>117</v>
      </c>
      <c r="E267" s="18" t="s">
        <v>101</v>
      </c>
      <c r="F267" s="63" t="s">
        <v>106</v>
      </c>
      <c r="G267" s="18" t="s">
        <v>44</v>
      </c>
      <c r="H267" s="20"/>
      <c r="I267" s="20"/>
      <c r="J267" s="23"/>
      <c r="K267" s="18" t="s">
        <v>811</v>
      </c>
      <c r="L267" s="18" t="s">
        <v>812</v>
      </c>
      <c r="M267" s="18" t="s">
        <v>813</v>
      </c>
      <c r="N267" s="60">
        <v>21.955681999999999</v>
      </c>
      <c r="O267" s="60">
        <v>91.947783000000001</v>
      </c>
      <c r="P267" s="62">
        <v>400</v>
      </c>
      <c r="Q267" s="62"/>
      <c r="R267" s="18"/>
      <c r="S267" s="18"/>
      <c r="T267" s="27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17"/>
      <c r="AH267" s="24"/>
      <c r="AI267" s="25"/>
      <c r="AJ267" s="25"/>
    </row>
    <row r="268" spans="1:36" ht="15.6" x14ac:dyDescent="0.3">
      <c r="A268" s="77">
        <v>262</v>
      </c>
      <c r="B268" s="79" t="s">
        <v>2439</v>
      </c>
      <c r="C268" s="79" t="s">
        <v>117</v>
      </c>
      <c r="D268" s="65" t="s">
        <v>117</v>
      </c>
      <c r="E268" s="18" t="s">
        <v>101</v>
      </c>
      <c r="F268" s="63" t="s">
        <v>106</v>
      </c>
      <c r="G268" s="18" t="s">
        <v>44</v>
      </c>
      <c r="H268" s="20"/>
      <c r="I268" s="20"/>
      <c r="J268" s="23"/>
      <c r="K268" s="18" t="s">
        <v>814</v>
      </c>
      <c r="L268" s="18" t="s">
        <v>815</v>
      </c>
      <c r="M268" s="18" t="s">
        <v>816</v>
      </c>
      <c r="N268" s="60">
        <v>21.954249999999998</v>
      </c>
      <c r="O268" s="60">
        <v>91.945311000000004</v>
      </c>
      <c r="P268" s="62">
        <v>700</v>
      </c>
      <c r="Q268" s="62"/>
      <c r="R268" s="18"/>
      <c r="S268" s="18"/>
      <c r="T268" s="22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17"/>
      <c r="AH268" s="24"/>
      <c r="AI268" s="25"/>
      <c r="AJ268" s="25"/>
    </row>
    <row r="269" spans="1:36" ht="15.6" x14ac:dyDescent="0.3">
      <c r="A269" s="77">
        <v>263</v>
      </c>
      <c r="B269" s="79" t="s">
        <v>2439</v>
      </c>
      <c r="C269" s="79" t="s">
        <v>117</v>
      </c>
      <c r="D269" s="65" t="s">
        <v>117</v>
      </c>
      <c r="E269" s="18" t="s">
        <v>101</v>
      </c>
      <c r="F269" s="63" t="s">
        <v>106</v>
      </c>
      <c r="G269" s="18" t="s">
        <v>44</v>
      </c>
      <c r="H269" s="20"/>
      <c r="I269" s="20"/>
      <c r="J269" s="23"/>
      <c r="K269" s="18" t="s">
        <v>817</v>
      </c>
      <c r="L269" s="18" t="s">
        <v>818</v>
      </c>
      <c r="M269" s="18" t="s">
        <v>819</v>
      </c>
      <c r="N269" s="60">
        <v>21.951785999999998</v>
      </c>
      <c r="O269" s="60">
        <v>91.941957000000002</v>
      </c>
      <c r="P269" s="62">
        <v>300</v>
      </c>
      <c r="Q269" s="62"/>
      <c r="R269" s="18"/>
      <c r="S269" s="18"/>
      <c r="T269" s="27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17"/>
      <c r="AH269" s="24"/>
      <c r="AI269" s="25"/>
      <c r="AJ269" s="25"/>
    </row>
    <row r="270" spans="1:36" ht="15.6" x14ac:dyDescent="0.3">
      <c r="A270" s="77">
        <v>264</v>
      </c>
      <c r="B270" s="79" t="s">
        <v>2439</v>
      </c>
      <c r="C270" s="79" t="s">
        <v>117</v>
      </c>
      <c r="D270" s="65" t="s">
        <v>117</v>
      </c>
      <c r="E270" s="18" t="s">
        <v>101</v>
      </c>
      <c r="F270" s="63" t="s">
        <v>106</v>
      </c>
      <c r="G270" s="18" t="s">
        <v>44</v>
      </c>
      <c r="H270" s="20"/>
      <c r="I270" s="20"/>
      <c r="J270" s="23"/>
      <c r="K270" s="18" t="s">
        <v>137</v>
      </c>
      <c r="L270" s="18" t="s">
        <v>820</v>
      </c>
      <c r="M270" s="18" t="s">
        <v>821</v>
      </c>
      <c r="N270" s="60">
        <v>21.951667</v>
      </c>
      <c r="O270" s="60">
        <v>91.950524999999999</v>
      </c>
      <c r="P270" s="62">
        <v>750</v>
      </c>
      <c r="Q270" s="62"/>
      <c r="R270" s="18"/>
      <c r="S270" s="18"/>
      <c r="T270" s="27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17"/>
      <c r="AH270" s="24"/>
      <c r="AI270" s="25"/>
      <c r="AJ270" s="25"/>
    </row>
    <row r="271" spans="1:36" ht="15.6" x14ac:dyDescent="0.3">
      <c r="A271" s="77">
        <v>265</v>
      </c>
      <c r="B271" s="79" t="s">
        <v>2439</v>
      </c>
      <c r="C271" s="79" t="s">
        <v>117</v>
      </c>
      <c r="D271" s="65" t="s">
        <v>117</v>
      </c>
      <c r="E271" s="18" t="s">
        <v>101</v>
      </c>
      <c r="F271" s="63" t="s">
        <v>106</v>
      </c>
      <c r="G271" s="18" t="s">
        <v>44</v>
      </c>
      <c r="H271" s="20"/>
      <c r="I271" s="20"/>
      <c r="J271" s="23"/>
      <c r="K271" s="18" t="s">
        <v>822</v>
      </c>
      <c r="L271" s="18" t="s">
        <v>823</v>
      </c>
      <c r="M271" s="18" t="s">
        <v>824</v>
      </c>
      <c r="N271" s="60">
        <v>21.954454999999999</v>
      </c>
      <c r="O271" s="60">
        <v>91.949872999999997</v>
      </c>
      <c r="P271" s="62">
        <v>800</v>
      </c>
      <c r="Q271" s="62"/>
      <c r="R271" s="18"/>
      <c r="S271" s="18"/>
      <c r="T271" s="27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17"/>
      <c r="AH271" s="24"/>
      <c r="AI271" s="25"/>
      <c r="AJ271" s="25"/>
    </row>
    <row r="272" spans="1:36" ht="15.6" x14ac:dyDescent="0.3">
      <c r="A272" s="77">
        <v>266</v>
      </c>
      <c r="B272" s="79" t="s">
        <v>2439</v>
      </c>
      <c r="C272" s="79" t="s">
        <v>117</v>
      </c>
      <c r="D272" s="65" t="s">
        <v>117</v>
      </c>
      <c r="E272" s="18" t="s">
        <v>101</v>
      </c>
      <c r="F272" s="63" t="s">
        <v>106</v>
      </c>
      <c r="G272" s="18" t="s">
        <v>44</v>
      </c>
      <c r="H272" s="20"/>
      <c r="I272" s="20"/>
      <c r="J272" s="23"/>
      <c r="K272" s="18" t="s">
        <v>92</v>
      </c>
      <c r="L272" s="18" t="s">
        <v>93</v>
      </c>
      <c r="M272" s="18" t="s">
        <v>825</v>
      </c>
      <c r="N272" s="60">
        <v>21.953872</v>
      </c>
      <c r="O272" s="60">
        <v>91.954369</v>
      </c>
      <c r="P272" s="62">
        <v>900</v>
      </c>
      <c r="Q272" s="62"/>
      <c r="R272" s="18"/>
      <c r="S272" s="18"/>
      <c r="T272" s="27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17"/>
      <c r="AH272" s="24"/>
      <c r="AI272" s="25"/>
      <c r="AJ272" s="25"/>
    </row>
    <row r="273" spans="1:36" ht="15.6" x14ac:dyDescent="0.3">
      <c r="A273" s="77">
        <v>267</v>
      </c>
      <c r="B273" s="79" t="s">
        <v>2439</v>
      </c>
      <c r="C273" s="79" t="s">
        <v>117</v>
      </c>
      <c r="D273" s="65" t="s">
        <v>117</v>
      </c>
      <c r="E273" s="18" t="s">
        <v>101</v>
      </c>
      <c r="F273" s="63" t="s">
        <v>106</v>
      </c>
      <c r="G273" s="18" t="s">
        <v>44</v>
      </c>
      <c r="H273" s="20"/>
      <c r="I273" s="20"/>
      <c r="J273" s="23"/>
      <c r="K273" s="18" t="s">
        <v>826</v>
      </c>
      <c r="L273" s="18" t="s">
        <v>827</v>
      </c>
      <c r="M273" s="18" t="s">
        <v>828</v>
      </c>
      <c r="N273" s="60">
        <v>21.954951999999999</v>
      </c>
      <c r="O273" s="60">
        <v>91.950704000000002</v>
      </c>
      <c r="P273" s="62">
        <v>900</v>
      </c>
      <c r="Q273" s="62"/>
      <c r="R273" s="18"/>
      <c r="S273" s="18"/>
      <c r="T273" s="27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17"/>
      <c r="AH273" s="24"/>
      <c r="AI273" s="25"/>
      <c r="AJ273" s="25"/>
    </row>
    <row r="274" spans="1:36" x14ac:dyDescent="0.3">
      <c r="A274" s="77">
        <v>268</v>
      </c>
      <c r="B274" s="79" t="s">
        <v>2439</v>
      </c>
      <c r="C274" s="79" t="s">
        <v>117</v>
      </c>
      <c r="D274" s="65" t="s">
        <v>117</v>
      </c>
      <c r="E274" s="18" t="s">
        <v>101</v>
      </c>
      <c r="F274" s="63" t="s">
        <v>106</v>
      </c>
      <c r="G274" s="18" t="s">
        <v>44</v>
      </c>
      <c r="H274" s="23"/>
      <c r="I274" s="23"/>
      <c r="J274" s="23"/>
      <c r="K274" s="18" t="s">
        <v>829</v>
      </c>
      <c r="L274" s="18" t="s">
        <v>830</v>
      </c>
      <c r="M274" s="18" t="s">
        <v>831</v>
      </c>
      <c r="N274" s="60">
        <v>21.952577000000002</v>
      </c>
      <c r="O274" s="60">
        <v>91.946219999999997</v>
      </c>
      <c r="P274" s="62">
        <v>400</v>
      </c>
      <c r="Q274" s="62"/>
      <c r="R274" s="18"/>
      <c r="S274" s="18"/>
      <c r="T274" s="27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17"/>
      <c r="AH274" s="24"/>
      <c r="AI274" s="25"/>
      <c r="AJ274" s="25"/>
    </row>
    <row r="275" spans="1:36" x14ac:dyDescent="0.3">
      <c r="A275" s="77">
        <v>269</v>
      </c>
      <c r="B275" s="79" t="s">
        <v>2439</v>
      </c>
      <c r="C275" s="79" t="s">
        <v>117</v>
      </c>
      <c r="D275" s="65" t="s">
        <v>117</v>
      </c>
      <c r="E275" s="18" t="s">
        <v>101</v>
      </c>
      <c r="F275" s="63" t="s">
        <v>106</v>
      </c>
      <c r="G275" s="18" t="s">
        <v>45</v>
      </c>
      <c r="H275" s="23"/>
      <c r="I275" s="23"/>
      <c r="J275" s="23"/>
      <c r="K275" s="18" t="s">
        <v>832</v>
      </c>
      <c r="L275" s="18" t="s">
        <v>833</v>
      </c>
      <c r="M275" s="18" t="s">
        <v>834</v>
      </c>
      <c r="N275" s="60">
        <v>21.957218999999998</v>
      </c>
      <c r="O275" s="60">
        <v>91.956981999999996</v>
      </c>
      <c r="P275" s="62">
        <v>500</v>
      </c>
      <c r="Q275" s="62"/>
      <c r="R275" s="18"/>
      <c r="S275" s="18"/>
      <c r="T275" s="27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17"/>
      <c r="AH275" s="24"/>
      <c r="AI275" s="25"/>
      <c r="AJ275" s="25"/>
    </row>
    <row r="276" spans="1:36" x14ac:dyDescent="0.3">
      <c r="A276" s="77">
        <v>270</v>
      </c>
      <c r="B276" s="79" t="s">
        <v>2439</v>
      </c>
      <c r="C276" s="79" t="s">
        <v>117</v>
      </c>
      <c r="D276" s="65" t="s">
        <v>117</v>
      </c>
      <c r="E276" s="18" t="s">
        <v>101</v>
      </c>
      <c r="F276" s="63" t="s">
        <v>106</v>
      </c>
      <c r="G276" s="18" t="s">
        <v>45</v>
      </c>
      <c r="H276" s="23"/>
      <c r="I276" s="23"/>
      <c r="J276" s="23"/>
      <c r="K276" s="18" t="s">
        <v>155</v>
      </c>
      <c r="L276" s="18" t="s">
        <v>156</v>
      </c>
      <c r="M276" s="18" t="s">
        <v>835</v>
      </c>
      <c r="N276" s="60">
        <v>21.956287</v>
      </c>
      <c r="O276" s="60">
        <v>91.959243000000001</v>
      </c>
      <c r="P276" s="62">
        <v>600</v>
      </c>
      <c r="Q276" s="62"/>
      <c r="R276" s="18"/>
      <c r="S276" s="18"/>
      <c r="T276" s="27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17"/>
      <c r="AH276" s="24"/>
      <c r="AI276" s="25"/>
      <c r="AJ276" s="25"/>
    </row>
    <row r="277" spans="1:36" x14ac:dyDescent="0.3">
      <c r="A277" s="77">
        <v>271</v>
      </c>
      <c r="B277" s="79" t="s">
        <v>2439</v>
      </c>
      <c r="C277" s="79" t="s">
        <v>117</v>
      </c>
      <c r="D277" s="65" t="s">
        <v>117</v>
      </c>
      <c r="E277" s="18" t="s">
        <v>101</v>
      </c>
      <c r="F277" s="63" t="s">
        <v>106</v>
      </c>
      <c r="G277" s="18" t="s">
        <v>45</v>
      </c>
      <c r="H277" s="23"/>
      <c r="I277" s="23"/>
      <c r="J277" s="23"/>
      <c r="K277" s="18" t="s">
        <v>836</v>
      </c>
      <c r="L277" s="18" t="s">
        <v>837</v>
      </c>
      <c r="M277" s="18" t="s">
        <v>838</v>
      </c>
      <c r="N277" s="60">
        <v>21.957038000000001</v>
      </c>
      <c r="O277" s="60">
        <v>91.960526999999999</v>
      </c>
      <c r="P277" s="62">
        <v>400</v>
      </c>
      <c r="Q277" s="62"/>
      <c r="R277" s="18"/>
      <c r="S277" s="18"/>
      <c r="T277" s="27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17"/>
      <c r="AH277" s="24"/>
      <c r="AI277" s="25"/>
      <c r="AJ277" s="25"/>
    </row>
    <row r="278" spans="1:36" x14ac:dyDescent="0.3">
      <c r="A278" s="77">
        <v>272</v>
      </c>
      <c r="B278" s="79" t="s">
        <v>2439</v>
      </c>
      <c r="C278" s="79" t="s">
        <v>117</v>
      </c>
      <c r="D278" s="65" t="s">
        <v>117</v>
      </c>
      <c r="E278" s="18" t="s">
        <v>101</v>
      </c>
      <c r="F278" s="63" t="s">
        <v>106</v>
      </c>
      <c r="G278" s="18" t="s">
        <v>45</v>
      </c>
      <c r="H278" s="23"/>
      <c r="I278" s="23"/>
      <c r="J278" s="23"/>
      <c r="K278" s="18" t="s">
        <v>839</v>
      </c>
      <c r="L278" s="18" t="s">
        <v>840</v>
      </c>
      <c r="M278" s="18" t="s">
        <v>841</v>
      </c>
      <c r="N278" s="60">
        <v>21.954260999999999</v>
      </c>
      <c r="O278" s="60">
        <v>91.957735</v>
      </c>
      <c r="P278" s="62">
        <v>800</v>
      </c>
      <c r="Q278" s="62"/>
      <c r="R278" s="18"/>
      <c r="S278" s="18"/>
      <c r="T278" s="27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17"/>
      <c r="AH278" s="24"/>
      <c r="AI278" s="25"/>
      <c r="AJ278" s="25"/>
    </row>
    <row r="279" spans="1:36" x14ac:dyDescent="0.3">
      <c r="A279" s="77">
        <v>273</v>
      </c>
      <c r="B279" s="79" t="s">
        <v>2439</v>
      </c>
      <c r="C279" s="79" t="s">
        <v>117</v>
      </c>
      <c r="D279" s="65" t="s">
        <v>117</v>
      </c>
      <c r="E279" s="18" t="s">
        <v>101</v>
      </c>
      <c r="F279" s="63" t="s">
        <v>106</v>
      </c>
      <c r="G279" s="18" t="s">
        <v>45</v>
      </c>
      <c r="H279" s="23"/>
      <c r="I279" s="23"/>
      <c r="J279" s="23"/>
      <c r="K279" s="18" t="s">
        <v>842</v>
      </c>
      <c r="L279" s="18" t="s">
        <v>843</v>
      </c>
      <c r="M279" s="18" t="s">
        <v>844</v>
      </c>
      <c r="N279" s="60">
        <v>21.952082999999998</v>
      </c>
      <c r="O279" s="60">
        <v>91.957995999999994</v>
      </c>
      <c r="P279" s="62">
        <v>600</v>
      </c>
      <c r="Q279" s="62"/>
      <c r="R279" s="18"/>
      <c r="S279" s="18"/>
      <c r="T279" s="27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17"/>
      <c r="AH279" s="24"/>
      <c r="AI279" s="25"/>
      <c r="AJ279" s="25"/>
    </row>
    <row r="280" spans="1:36" x14ac:dyDescent="0.3">
      <c r="A280" s="77">
        <v>274</v>
      </c>
      <c r="B280" s="79" t="s">
        <v>2439</v>
      </c>
      <c r="C280" s="79" t="s">
        <v>117</v>
      </c>
      <c r="D280" s="65" t="s">
        <v>117</v>
      </c>
      <c r="E280" s="18" t="s">
        <v>101</v>
      </c>
      <c r="F280" s="63" t="s">
        <v>106</v>
      </c>
      <c r="G280" s="18" t="s">
        <v>45</v>
      </c>
      <c r="H280" s="23"/>
      <c r="I280" s="23"/>
      <c r="J280" s="23"/>
      <c r="K280" s="18" t="s">
        <v>845</v>
      </c>
      <c r="L280" s="18" t="s">
        <v>846</v>
      </c>
      <c r="M280" s="18" t="s">
        <v>847</v>
      </c>
      <c r="N280" s="60">
        <v>21.949265</v>
      </c>
      <c r="O280" s="60">
        <v>91.959676999999999</v>
      </c>
      <c r="P280" s="62">
        <v>400</v>
      </c>
      <c r="Q280" s="62"/>
      <c r="R280" s="18"/>
      <c r="S280" s="18"/>
      <c r="T280" s="22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17"/>
      <c r="AH280" s="24"/>
      <c r="AI280" s="25"/>
      <c r="AJ280" s="25"/>
    </row>
    <row r="281" spans="1:36" x14ac:dyDescent="0.3">
      <c r="A281" s="77">
        <v>275</v>
      </c>
      <c r="B281" s="79" t="s">
        <v>2439</v>
      </c>
      <c r="C281" s="79" t="s">
        <v>117</v>
      </c>
      <c r="D281" s="65" t="s">
        <v>117</v>
      </c>
      <c r="E281" s="18" t="s">
        <v>101</v>
      </c>
      <c r="F281" s="63" t="s">
        <v>106</v>
      </c>
      <c r="G281" s="18" t="s">
        <v>45</v>
      </c>
      <c r="H281" s="23"/>
      <c r="I281" s="23"/>
      <c r="J281" s="23"/>
      <c r="K281" s="18" t="s">
        <v>848</v>
      </c>
      <c r="L281" s="18" t="s">
        <v>849</v>
      </c>
      <c r="M281" s="18" t="s">
        <v>850</v>
      </c>
      <c r="N281" s="60">
        <v>21.953143000000001</v>
      </c>
      <c r="O281" s="60">
        <v>91.961267000000007</v>
      </c>
      <c r="P281" s="62">
        <v>900</v>
      </c>
      <c r="Q281" s="62"/>
      <c r="R281" s="18"/>
      <c r="S281" s="18"/>
      <c r="T281" s="22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17"/>
      <c r="AH281" s="24"/>
      <c r="AI281" s="25"/>
      <c r="AJ281" s="25"/>
    </row>
    <row r="282" spans="1:36" x14ac:dyDescent="0.3">
      <c r="A282" s="77">
        <v>276</v>
      </c>
      <c r="B282" s="79" t="s">
        <v>2439</v>
      </c>
      <c r="C282" s="79" t="s">
        <v>117</v>
      </c>
      <c r="D282" s="65" t="s">
        <v>117</v>
      </c>
      <c r="E282" s="18" t="s">
        <v>101</v>
      </c>
      <c r="F282" s="63" t="s">
        <v>106</v>
      </c>
      <c r="G282" s="18" t="s">
        <v>45</v>
      </c>
      <c r="H282" s="23"/>
      <c r="I282" s="23"/>
      <c r="J282" s="23"/>
      <c r="K282" s="18" t="s">
        <v>851</v>
      </c>
      <c r="L282" s="18" t="s">
        <v>852</v>
      </c>
      <c r="M282" s="18" t="s">
        <v>853</v>
      </c>
      <c r="N282" s="60">
        <v>21.950724999999998</v>
      </c>
      <c r="O282" s="60">
        <v>91.962610999999995</v>
      </c>
      <c r="P282" s="62">
        <v>400</v>
      </c>
      <c r="Q282" s="62"/>
      <c r="R282" s="18"/>
      <c r="S282" s="18"/>
      <c r="T282" s="27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17"/>
      <c r="AH282" s="24"/>
      <c r="AI282" s="25"/>
      <c r="AJ282" s="25"/>
    </row>
    <row r="283" spans="1:36" x14ac:dyDescent="0.3">
      <c r="A283" s="77">
        <v>277</v>
      </c>
      <c r="B283" s="79" t="s">
        <v>2439</v>
      </c>
      <c r="C283" s="79" t="s">
        <v>117</v>
      </c>
      <c r="D283" s="65" t="s">
        <v>117</v>
      </c>
      <c r="E283" s="18" t="s">
        <v>101</v>
      </c>
      <c r="F283" s="63" t="s">
        <v>106</v>
      </c>
      <c r="G283" s="18" t="s">
        <v>45</v>
      </c>
      <c r="H283" s="23"/>
      <c r="I283" s="23"/>
      <c r="J283" s="23"/>
      <c r="K283" s="18" t="s">
        <v>854</v>
      </c>
      <c r="L283" s="18" t="s">
        <v>855</v>
      </c>
      <c r="M283" s="18" t="s">
        <v>856</v>
      </c>
      <c r="N283" s="60">
        <v>21.947164999999998</v>
      </c>
      <c r="O283" s="60">
        <v>91.958411999999996</v>
      </c>
      <c r="P283" s="62">
        <v>400</v>
      </c>
      <c r="Q283" s="62"/>
      <c r="R283" s="18"/>
      <c r="S283" s="18"/>
      <c r="T283" s="22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17"/>
      <c r="AH283" s="24"/>
      <c r="AI283" s="25"/>
      <c r="AJ283" s="25"/>
    </row>
    <row r="284" spans="1:36" x14ac:dyDescent="0.3">
      <c r="A284" s="77">
        <v>278</v>
      </c>
      <c r="B284" s="79" t="s">
        <v>2439</v>
      </c>
      <c r="C284" s="79" t="s">
        <v>117</v>
      </c>
      <c r="D284" s="65" t="s">
        <v>117</v>
      </c>
      <c r="E284" s="18" t="s">
        <v>101</v>
      </c>
      <c r="F284" s="63" t="s">
        <v>106</v>
      </c>
      <c r="G284" s="18" t="s">
        <v>45</v>
      </c>
      <c r="H284" s="23"/>
      <c r="I284" s="23"/>
      <c r="J284" s="23"/>
      <c r="K284" s="18" t="s">
        <v>857</v>
      </c>
      <c r="L284" s="18" t="s">
        <v>858</v>
      </c>
      <c r="M284" s="18" t="s">
        <v>859</v>
      </c>
      <c r="N284" s="60">
        <v>21.945734000000002</v>
      </c>
      <c r="O284" s="60">
        <v>91.960006000000007</v>
      </c>
      <c r="P284" s="62">
        <v>700</v>
      </c>
      <c r="Q284" s="62"/>
      <c r="R284" s="18"/>
      <c r="S284" s="18"/>
      <c r="T284" s="22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17"/>
      <c r="AH284" s="24"/>
      <c r="AI284" s="25"/>
      <c r="AJ284" s="25"/>
    </row>
    <row r="285" spans="1:36" x14ac:dyDescent="0.3">
      <c r="A285" s="77">
        <v>279</v>
      </c>
      <c r="B285" s="79" t="s">
        <v>2439</v>
      </c>
      <c r="C285" s="79" t="s">
        <v>117</v>
      </c>
      <c r="D285" s="65" t="s">
        <v>117</v>
      </c>
      <c r="E285" s="18" t="s">
        <v>101</v>
      </c>
      <c r="F285" s="63" t="s">
        <v>106</v>
      </c>
      <c r="G285" s="18" t="s">
        <v>45</v>
      </c>
      <c r="H285" s="23"/>
      <c r="I285" s="23"/>
      <c r="J285" s="23"/>
      <c r="K285" s="18" t="s">
        <v>860</v>
      </c>
      <c r="L285" s="18" t="s">
        <v>861</v>
      </c>
      <c r="M285" s="18" t="s">
        <v>862</v>
      </c>
      <c r="N285" s="60">
        <v>21.944645999999999</v>
      </c>
      <c r="O285" s="60">
        <v>91.960667999999998</v>
      </c>
      <c r="P285" s="62">
        <v>600</v>
      </c>
      <c r="Q285" s="62"/>
      <c r="R285" s="18"/>
      <c r="S285" s="18"/>
      <c r="T285" s="27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17"/>
      <c r="AH285" s="24"/>
      <c r="AI285" s="25"/>
      <c r="AJ285" s="25"/>
    </row>
    <row r="286" spans="1:36" x14ac:dyDescent="0.3">
      <c r="A286" s="77">
        <v>280</v>
      </c>
      <c r="B286" s="79" t="s">
        <v>2439</v>
      </c>
      <c r="C286" s="79" t="s">
        <v>117</v>
      </c>
      <c r="D286" s="65" t="s">
        <v>117</v>
      </c>
      <c r="E286" s="18" t="s">
        <v>101</v>
      </c>
      <c r="F286" s="63" t="s">
        <v>106</v>
      </c>
      <c r="G286" s="18" t="s">
        <v>45</v>
      </c>
      <c r="H286" s="23"/>
      <c r="I286" s="23"/>
      <c r="J286" s="23"/>
      <c r="K286" s="18" t="s">
        <v>863</v>
      </c>
      <c r="L286" s="18" t="s">
        <v>864</v>
      </c>
      <c r="M286" s="18" t="s">
        <v>865</v>
      </c>
      <c r="N286" s="60">
        <v>21.954778999999998</v>
      </c>
      <c r="O286" s="60">
        <v>91.959536999999997</v>
      </c>
      <c r="P286" s="62">
        <v>200</v>
      </c>
      <c r="Q286" s="62"/>
      <c r="R286" s="18"/>
      <c r="S286" s="18"/>
      <c r="T286" s="27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17"/>
      <c r="AH286" s="24"/>
      <c r="AI286" s="25"/>
      <c r="AJ286" s="25"/>
    </row>
    <row r="287" spans="1:36" x14ac:dyDescent="0.3">
      <c r="A287" s="77">
        <v>281</v>
      </c>
      <c r="B287" s="79" t="s">
        <v>2439</v>
      </c>
      <c r="C287" s="79" t="s">
        <v>117</v>
      </c>
      <c r="D287" s="65" t="s">
        <v>117</v>
      </c>
      <c r="E287" s="18" t="s">
        <v>101</v>
      </c>
      <c r="F287" s="63" t="s">
        <v>106</v>
      </c>
      <c r="G287" s="18" t="s">
        <v>46</v>
      </c>
      <c r="H287" s="23"/>
      <c r="I287" s="23"/>
      <c r="J287" s="23"/>
      <c r="K287" s="18" t="s">
        <v>866</v>
      </c>
      <c r="L287" s="18" t="s">
        <v>867</v>
      </c>
      <c r="M287" s="18" t="s">
        <v>868</v>
      </c>
      <c r="N287" s="60">
        <v>21.949940000000002</v>
      </c>
      <c r="O287" s="60">
        <v>91.966144999999997</v>
      </c>
      <c r="P287" s="62">
        <v>500</v>
      </c>
      <c r="Q287" s="62"/>
      <c r="R287" s="18"/>
      <c r="S287" s="18"/>
      <c r="T287" s="27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17"/>
      <c r="AH287" s="24"/>
      <c r="AI287" s="25"/>
      <c r="AJ287" s="25"/>
    </row>
    <row r="288" spans="1:36" x14ac:dyDescent="0.3">
      <c r="A288" s="77">
        <v>282</v>
      </c>
      <c r="B288" s="79" t="s">
        <v>2439</v>
      </c>
      <c r="C288" s="79" t="s">
        <v>117</v>
      </c>
      <c r="D288" s="65" t="s">
        <v>117</v>
      </c>
      <c r="E288" s="18" t="s">
        <v>101</v>
      </c>
      <c r="F288" s="63" t="s">
        <v>106</v>
      </c>
      <c r="G288" s="18" t="s">
        <v>46</v>
      </c>
      <c r="H288" s="23"/>
      <c r="I288" s="23"/>
      <c r="J288" s="23"/>
      <c r="K288" s="18" t="s">
        <v>869</v>
      </c>
      <c r="L288" s="18" t="s">
        <v>870</v>
      </c>
      <c r="M288" s="18" t="s">
        <v>871</v>
      </c>
      <c r="N288" s="60">
        <v>21.943328999999999</v>
      </c>
      <c r="O288" s="60">
        <v>91.966500999999994</v>
      </c>
      <c r="P288" s="62">
        <v>700</v>
      </c>
      <c r="Q288" s="62"/>
      <c r="R288" s="18"/>
      <c r="S288" s="18"/>
      <c r="T288" s="27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17"/>
      <c r="AH288" s="24"/>
      <c r="AI288" s="25"/>
      <c r="AJ288" s="25"/>
    </row>
    <row r="289" spans="1:36" x14ac:dyDescent="0.3">
      <c r="A289" s="77">
        <v>283</v>
      </c>
      <c r="B289" s="79" t="s">
        <v>2439</v>
      </c>
      <c r="C289" s="79" t="s">
        <v>117</v>
      </c>
      <c r="D289" s="65" t="s">
        <v>117</v>
      </c>
      <c r="E289" s="18" t="s">
        <v>101</v>
      </c>
      <c r="F289" s="63" t="s">
        <v>106</v>
      </c>
      <c r="G289" s="18" t="s">
        <v>46</v>
      </c>
      <c r="H289" s="23"/>
      <c r="I289" s="23"/>
      <c r="J289" s="23"/>
      <c r="K289" s="18" t="s">
        <v>872</v>
      </c>
      <c r="L289" s="18" t="s">
        <v>873</v>
      </c>
      <c r="M289" s="18" t="s">
        <v>874</v>
      </c>
      <c r="N289" s="60">
        <v>21.948321</v>
      </c>
      <c r="O289" s="60">
        <v>91.971385999999995</v>
      </c>
      <c r="P289" s="62">
        <v>1200</v>
      </c>
      <c r="Q289" s="62"/>
      <c r="R289" s="18"/>
      <c r="S289" s="18"/>
      <c r="T289" s="27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17"/>
      <c r="AH289" s="24"/>
      <c r="AI289" s="25"/>
      <c r="AJ289" s="25"/>
    </row>
    <row r="290" spans="1:36" x14ac:dyDescent="0.3">
      <c r="A290" s="77">
        <v>284</v>
      </c>
      <c r="B290" s="79" t="s">
        <v>2439</v>
      </c>
      <c r="C290" s="79" t="s">
        <v>117</v>
      </c>
      <c r="D290" s="65" t="s">
        <v>117</v>
      </c>
      <c r="E290" s="18" t="s">
        <v>101</v>
      </c>
      <c r="F290" s="63" t="s">
        <v>106</v>
      </c>
      <c r="G290" s="18" t="s">
        <v>46</v>
      </c>
      <c r="H290" s="23"/>
      <c r="I290" s="23"/>
      <c r="J290" s="23"/>
      <c r="K290" s="18" t="s">
        <v>875</v>
      </c>
      <c r="L290" s="18" t="s">
        <v>876</v>
      </c>
      <c r="M290" s="18" t="s">
        <v>877</v>
      </c>
      <c r="N290" s="60">
        <v>21.951726000000001</v>
      </c>
      <c r="O290" s="60">
        <v>91.981541000000007</v>
      </c>
      <c r="P290" s="62">
        <v>800</v>
      </c>
      <c r="Q290" s="62"/>
      <c r="R290" s="18"/>
      <c r="S290" s="18"/>
      <c r="T290" s="27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17"/>
      <c r="AH290" s="24"/>
      <c r="AI290" s="25"/>
      <c r="AJ290" s="25"/>
    </row>
    <row r="291" spans="1:36" x14ac:dyDescent="0.3">
      <c r="A291" s="77">
        <v>285</v>
      </c>
      <c r="B291" s="79" t="s">
        <v>2439</v>
      </c>
      <c r="C291" s="79" t="s">
        <v>117</v>
      </c>
      <c r="D291" s="65" t="s">
        <v>117</v>
      </c>
      <c r="E291" s="18" t="s">
        <v>101</v>
      </c>
      <c r="F291" s="63" t="s">
        <v>106</v>
      </c>
      <c r="G291" s="18" t="s">
        <v>46</v>
      </c>
      <c r="H291" s="23"/>
      <c r="I291" s="23"/>
      <c r="J291" s="23"/>
      <c r="K291" s="18" t="s">
        <v>878</v>
      </c>
      <c r="L291" s="18" t="s">
        <v>879</v>
      </c>
      <c r="M291" s="18" t="s">
        <v>880</v>
      </c>
      <c r="N291" s="60">
        <v>21.946641</v>
      </c>
      <c r="O291" s="60">
        <v>91.976761999999994</v>
      </c>
      <c r="P291" s="62">
        <v>500</v>
      </c>
      <c r="Q291" s="62"/>
      <c r="R291" s="18"/>
      <c r="S291" s="18"/>
      <c r="T291" s="22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17"/>
      <c r="AH291" s="24"/>
      <c r="AI291" s="25"/>
      <c r="AJ291" s="25"/>
    </row>
    <row r="292" spans="1:36" x14ac:dyDescent="0.3">
      <c r="A292" s="77">
        <v>286</v>
      </c>
      <c r="B292" s="79" t="s">
        <v>2439</v>
      </c>
      <c r="C292" s="79" t="s">
        <v>117</v>
      </c>
      <c r="D292" s="65" t="s">
        <v>117</v>
      </c>
      <c r="E292" s="18" t="s">
        <v>101</v>
      </c>
      <c r="F292" s="63" t="s">
        <v>106</v>
      </c>
      <c r="G292" s="18" t="s">
        <v>46</v>
      </c>
      <c r="H292" s="23"/>
      <c r="I292" s="23"/>
      <c r="J292" s="23"/>
      <c r="K292" s="18" t="s">
        <v>51</v>
      </c>
      <c r="L292" s="18" t="s">
        <v>77</v>
      </c>
      <c r="M292" s="18" t="s">
        <v>881</v>
      </c>
      <c r="N292" s="60">
        <v>21.947476000000002</v>
      </c>
      <c r="O292" s="60">
        <v>91.964023999999995</v>
      </c>
      <c r="P292" s="62">
        <v>300</v>
      </c>
      <c r="Q292" s="62"/>
      <c r="R292" s="18"/>
      <c r="S292" s="18"/>
      <c r="T292" s="22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17"/>
      <c r="AH292" s="24"/>
      <c r="AI292" s="25"/>
      <c r="AJ292" s="25"/>
    </row>
    <row r="293" spans="1:36" x14ac:dyDescent="0.3">
      <c r="A293" s="77">
        <v>287</v>
      </c>
      <c r="B293" s="79" t="s">
        <v>2439</v>
      </c>
      <c r="C293" s="79" t="s">
        <v>117</v>
      </c>
      <c r="D293" s="65" t="s">
        <v>117</v>
      </c>
      <c r="E293" s="18" t="s">
        <v>101</v>
      </c>
      <c r="F293" s="63" t="s">
        <v>106</v>
      </c>
      <c r="G293" s="18" t="s">
        <v>46</v>
      </c>
      <c r="H293" s="23"/>
      <c r="I293" s="23"/>
      <c r="J293" s="23"/>
      <c r="K293" s="18" t="s">
        <v>882</v>
      </c>
      <c r="L293" s="18" t="s">
        <v>883</v>
      </c>
      <c r="M293" s="18" t="s">
        <v>884</v>
      </c>
      <c r="N293" s="60">
        <v>21.949873</v>
      </c>
      <c r="O293" s="60">
        <v>91.964596</v>
      </c>
      <c r="P293" s="62">
        <v>200</v>
      </c>
      <c r="Q293" s="62"/>
      <c r="R293" s="18"/>
      <c r="S293" s="18"/>
      <c r="T293" s="22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17"/>
      <c r="AH293" s="24"/>
      <c r="AI293" s="25"/>
      <c r="AJ293" s="25"/>
    </row>
    <row r="294" spans="1:36" x14ac:dyDescent="0.3">
      <c r="A294" s="77">
        <v>288</v>
      </c>
      <c r="B294" s="79" t="s">
        <v>2439</v>
      </c>
      <c r="C294" s="79" t="s">
        <v>117</v>
      </c>
      <c r="D294" s="65" t="s">
        <v>117</v>
      </c>
      <c r="E294" s="18" t="s">
        <v>101</v>
      </c>
      <c r="F294" s="63" t="s">
        <v>106</v>
      </c>
      <c r="G294" s="18" t="s">
        <v>46</v>
      </c>
      <c r="H294" s="23"/>
      <c r="I294" s="23"/>
      <c r="J294" s="23"/>
      <c r="K294" s="18" t="s">
        <v>885</v>
      </c>
      <c r="L294" s="18" t="s">
        <v>886</v>
      </c>
      <c r="M294" s="18" t="s">
        <v>887</v>
      </c>
      <c r="N294" s="60">
        <v>21.950458999999999</v>
      </c>
      <c r="O294" s="60">
        <v>91.975603000000007</v>
      </c>
      <c r="P294" s="62">
        <v>400</v>
      </c>
      <c r="Q294" s="62"/>
      <c r="R294" s="18"/>
      <c r="S294" s="18"/>
      <c r="T294" s="27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17"/>
      <c r="AH294" s="24"/>
      <c r="AI294" s="25"/>
      <c r="AJ294" s="25"/>
    </row>
    <row r="295" spans="1:36" x14ac:dyDescent="0.3">
      <c r="A295" s="77">
        <v>289</v>
      </c>
      <c r="B295" s="79" t="s">
        <v>2439</v>
      </c>
      <c r="C295" s="79" t="s">
        <v>117</v>
      </c>
      <c r="D295" s="65" t="s">
        <v>117</v>
      </c>
      <c r="E295" s="18" t="s">
        <v>101</v>
      </c>
      <c r="F295" s="63" t="s">
        <v>106</v>
      </c>
      <c r="G295" s="18" t="s">
        <v>46</v>
      </c>
      <c r="H295" s="23"/>
      <c r="I295" s="23"/>
      <c r="J295" s="23"/>
      <c r="K295" s="18" t="s">
        <v>888</v>
      </c>
      <c r="L295" s="18" t="s">
        <v>889</v>
      </c>
      <c r="M295" s="18" t="s">
        <v>890</v>
      </c>
      <c r="N295" s="60">
        <v>21.953475999999998</v>
      </c>
      <c r="O295" s="60">
        <v>91.968585000000004</v>
      </c>
      <c r="P295" s="62">
        <v>300</v>
      </c>
      <c r="Q295" s="62"/>
      <c r="R295" s="18"/>
      <c r="S295" s="18"/>
      <c r="T295" s="22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17"/>
      <c r="AH295" s="24"/>
      <c r="AI295" s="25"/>
      <c r="AJ295" s="25"/>
    </row>
    <row r="296" spans="1:36" x14ac:dyDescent="0.3">
      <c r="A296" s="77">
        <v>290</v>
      </c>
      <c r="B296" s="79" t="s">
        <v>2439</v>
      </c>
      <c r="C296" s="79" t="s">
        <v>117</v>
      </c>
      <c r="D296" s="65" t="s">
        <v>117</v>
      </c>
      <c r="E296" s="18" t="s">
        <v>101</v>
      </c>
      <c r="F296" s="63" t="s">
        <v>106</v>
      </c>
      <c r="G296" s="18" t="s">
        <v>47</v>
      </c>
      <c r="H296" s="23"/>
      <c r="I296" s="23"/>
      <c r="J296" s="23"/>
      <c r="K296" s="18" t="s">
        <v>836</v>
      </c>
      <c r="L296" s="18" t="s">
        <v>891</v>
      </c>
      <c r="M296" s="18" t="s">
        <v>892</v>
      </c>
      <c r="N296" s="60">
        <v>21.958411999999999</v>
      </c>
      <c r="O296" s="60">
        <v>91.960983999999996</v>
      </c>
      <c r="P296" s="62">
        <v>900</v>
      </c>
      <c r="Q296" s="62"/>
      <c r="R296" s="18"/>
      <c r="S296" s="18"/>
      <c r="T296" s="22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17"/>
      <c r="AH296" s="24"/>
      <c r="AI296" s="25"/>
      <c r="AJ296" s="25"/>
    </row>
    <row r="297" spans="1:36" x14ac:dyDescent="0.3">
      <c r="A297" s="77">
        <v>291</v>
      </c>
      <c r="B297" s="79" t="s">
        <v>2439</v>
      </c>
      <c r="C297" s="79" t="s">
        <v>117</v>
      </c>
      <c r="D297" s="65" t="s">
        <v>117</v>
      </c>
      <c r="E297" s="18" t="s">
        <v>101</v>
      </c>
      <c r="F297" s="63" t="s">
        <v>106</v>
      </c>
      <c r="G297" s="18" t="s">
        <v>47</v>
      </c>
      <c r="H297" s="23"/>
      <c r="I297" s="23"/>
      <c r="J297" s="23"/>
      <c r="K297" s="18" t="s">
        <v>893</v>
      </c>
      <c r="L297" s="18" t="s">
        <v>894</v>
      </c>
      <c r="M297" s="18" t="s">
        <v>895</v>
      </c>
      <c r="N297" s="60">
        <v>21.961027999999999</v>
      </c>
      <c r="O297" s="60">
        <v>91.958547999999993</v>
      </c>
      <c r="P297" s="62">
        <v>1200</v>
      </c>
      <c r="Q297" s="62"/>
      <c r="R297" s="18"/>
      <c r="S297" s="18"/>
      <c r="T297" s="27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17"/>
      <c r="AH297" s="24"/>
      <c r="AI297" s="25"/>
      <c r="AJ297" s="25"/>
    </row>
    <row r="298" spans="1:36" x14ac:dyDescent="0.3">
      <c r="A298" s="77">
        <v>292</v>
      </c>
      <c r="B298" s="79" t="s">
        <v>2439</v>
      </c>
      <c r="C298" s="79" t="s">
        <v>117</v>
      </c>
      <c r="D298" s="65" t="s">
        <v>117</v>
      </c>
      <c r="E298" s="18" t="s">
        <v>101</v>
      </c>
      <c r="F298" s="63" t="s">
        <v>106</v>
      </c>
      <c r="G298" s="18" t="s">
        <v>47</v>
      </c>
      <c r="H298" s="23"/>
      <c r="I298" s="23"/>
      <c r="J298" s="23"/>
      <c r="K298" s="18" t="s">
        <v>73</v>
      </c>
      <c r="L298" s="18" t="s">
        <v>74</v>
      </c>
      <c r="M298" s="18" t="s">
        <v>896</v>
      </c>
      <c r="N298" s="60">
        <v>21.962616000000001</v>
      </c>
      <c r="O298" s="60">
        <v>91.960944999999995</v>
      </c>
      <c r="P298" s="62">
        <v>450</v>
      </c>
      <c r="Q298" s="62"/>
      <c r="R298" s="18"/>
      <c r="S298" s="18"/>
      <c r="T298" s="27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17"/>
      <c r="AH298" s="24"/>
      <c r="AI298" s="25"/>
      <c r="AJ298" s="25"/>
    </row>
    <row r="299" spans="1:36" x14ac:dyDescent="0.3">
      <c r="A299" s="77">
        <v>293</v>
      </c>
      <c r="B299" s="79" t="s">
        <v>2439</v>
      </c>
      <c r="C299" s="79" t="s">
        <v>117</v>
      </c>
      <c r="D299" s="65" t="s">
        <v>117</v>
      </c>
      <c r="E299" s="18" t="s">
        <v>101</v>
      </c>
      <c r="F299" s="63" t="s">
        <v>106</v>
      </c>
      <c r="G299" s="18" t="s">
        <v>47</v>
      </c>
      <c r="H299" s="23"/>
      <c r="I299" s="23"/>
      <c r="J299" s="23"/>
      <c r="K299" s="18" t="s">
        <v>184</v>
      </c>
      <c r="L299" s="18" t="s">
        <v>185</v>
      </c>
      <c r="M299" s="18" t="s">
        <v>897</v>
      </c>
      <c r="N299" s="60">
        <v>21.95645</v>
      </c>
      <c r="O299" s="60">
        <v>91.966211999999999</v>
      </c>
      <c r="P299" s="62">
        <v>240</v>
      </c>
      <c r="Q299" s="62"/>
      <c r="R299" s="18"/>
      <c r="S299" s="18"/>
      <c r="T299" s="22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17"/>
      <c r="AH299" s="24"/>
      <c r="AI299" s="25"/>
      <c r="AJ299" s="25"/>
    </row>
    <row r="300" spans="1:36" x14ac:dyDescent="0.3">
      <c r="A300" s="77">
        <v>294</v>
      </c>
      <c r="B300" s="79" t="s">
        <v>2439</v>
      </c>
      <c r="C300" s="79" t="s">
        <v>117</v>
      </c>
      <c r="D300" s="65" t="s">
        <v>117</v>
      </c>
      <c r="E300" s="18" t="s">
        <v>101</v>
      </c>
      <c r="F300" s="63" t="s">
        <v>106</v>
      </c>
      <c r="G300" s="18" t="s">
        <v>47</v>
      </c>
      <c r="H300" s="23"/>
      <c r="I300" s="23"/>
      <c r="J300" s="23"/>
      <c r="K300" s="18" t="s">
        <v>898</v>
      </c>
      <c r="L300" s="18" t="s">
        <v>899</v>
      </c>
      <c r="M300" s="18" t="s">
        <v>900</v>
      </c>
      <c r="N300" s="60">
        <v>21.955570000000002</v>
      </c>
      <c r="O300" s="60">
        <v>91.966198000000006</v>
      </c>
      <c r="P300" s="62">
        <v>100</v>
      </c>
      <c r="Q300" s="62"/>
      <c r="R300" s="18"/>
      <c r="S300" s="18"/>
      <c r="T300" s="27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17"/>
      <c r="AH300" s="24"/>
      <c r="AI300" s="25"/>
      <c r="AJ300" s="25"/>
    </row>
    <row r="301" spans="1:36" x14ac:dyDescent="0.3">
      <c r="A301" s="77">
        <v>295</v>
      </c>
      <c r="B301" s="79" t="s">
        <v>2439</v>
      </c>
      <c r="C301" s="79" t="s">
        <v>117</v>
      </c>
      <c r="D301" s="65" t="s">
        <v>117</v>
      </c>
      <c r="E301" s="18" t="s">
        <v>101</v>
      </c>
      <c r="F301" s="63" t="s">
        <v>106</v>
      </c>
      <c r="G301" s="18" t="s">
        <v>47</v>
      </c>
      <c r="H301" s="23"/>
      <c r="I301" s="23"/>
      <c r="J301" s="23"/>
      <c r="K301" s="18" t="s">
        <v>901</v>
      </c>
      <c r="L301" s="18" t="s">
        <v>902</v>
      </c>
      <c r="M301" s="18" t="s">
        <v>903</v>
      </c>
      <c r="N301" s="60">
        <v>21.954636000000001</v>
      </c>
      <c r="O301" s="60">
        <v>91.962316000000001</v>
      </c>
      <c r="P301" s="62">
        <v>750</v>
      </c>
      <c r="Q301" s="62"/>
      <c r="R301" s="18"/>
      <c r="S301" s="18"/>
      <c r="T301" s="27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17"/>
      <c r="AH301" s="24"/>
      <c r="AI301" s="25"/>
      <c r="AJ301" s="25"/>
    </row>
    <row r="302" spans="1:36" x14ac:dyDescent="0.3">
      <c r="A302" s="77">
        <v>296</v>
      </c>
      <c r="B302" s="79" t="s">
        <v>2439</v>
      </c>
      <c r="C302" s="79" t="s">
        <v>117</v>
      </c>
      <c r="D302" s="65" t="s">
        <v>117</v>
      </c>
      <c r="E302" s="18" t="s">
        <v>101</v>
      </c>
      <c r="F302" s="63" t="s">
        <v>106</v>
      </c>
      <c r="G302" s="18" t="s">
        <v>47</v>
      </c>
      <c r="H302" s="23"/>
      <c r="I302" s="23"/>
      <c r="J302" s="23"/>
      <c r="K302" s="18" t="s">
        <v>904</v>
      </c>
      <c r="L302" s="18" t="s">
        <v>905</v>
      </c>
      <c r="M302" s="18" t="s">
        <v>906</v>
      </c>
      <c r="N302" s="60">
        <v>21.961953999999999</v>
      </c>
      <c r="O302" s="60">
        <v>91.964232999999993</v>
      </c>
      <c r="P302" s="62">
        <v>1800</v>
      </c>
      <c r="Q302" s="62"/>
      <c r="R302" s="18"/>
      <c r="S302" s="18"/>
      <c r="T302" s="27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17"/>
      <c r="AH302" s="24"/>
      <c r="AI302" s="25"/>
      <c r="AJ302" s="25"/>
    </row>
    <row r="303" spans="1:36" x14ac:dyDescent="0.3">
      <c r="A303" s="77">
        <v>297</v>
      </c>
      <c r="B303" s="79" t="s">
        <v>2439</v>
      </c>
      <c r="C303" s="79" t="s">
        <v>117</v>
      </c>
      <c r="D303" s="65" t="s">
        <v>117</v>
      </c>
      <c r="E303" s="18" t="s">
        <v>101</v>
      </c>
      <c r="F303" s="63" t="s">
        <v>106</v>
      </c>
      <c r="G303" s="18" t="s">
        <v>47</v>
      </c>
      <c r="H303" s="23"/>
      <c r="I303" s="23"/>
      <c r="J303" s="23"/>
      <c r="K303" s="18" t="s">
        <v>878</v>
      </c>
      <c r="L303" s="18" t="s">
        <v>879</v>
      </c>
      <c r="M303" s="18" t="s">
        <v>907</v>
      </c>
      <c r="N303" s="60">
        <v>21.959409999999998</v>
      </c>
      <c r="O303" s="60">
        <v>91.97242</v>
      </c>
      <c r="P303" s="62">
        <v>900</v>
      </c>
      <c r="Q303" s="62"/>
      <c r="R303" s="18"/>
      <c r="S303" s="18"/>
      <c r="T303" s="27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17"/>
      <c r="AH303" s="24"/>
      <c r="AI303" s="25"/>
      <c r="AJ303" s="25"/>
    </row>
    <row r="304" spans="1:36" x14ac:dyDescent="0.3">
      <c r="A304" s="77">
        <v>298</v>
      </c>
      <c r="B304" s="79" t="s">
        <v>2439</v>
      </c>
      <c r="C304" s="79" t="s">
        <v>117</v>
      </c>
      <c r="D304" s="65" t="s">
        <v>117</v>
      </c>
      <c r="E304" s="18" t="s">
        <v>101</v>
      </c>
      <c r="F304" s="63" t="s">
        <v>106</v>
      </c>
      <c r="G304" s="18" t="s">
        <v>47</v>
      </c>
      <c r="H304" s="23"/>
      <c r="I304" s="23"/>
      <c r="J304" s="23"/>
      <c r="K304" s="18" t="s">
        <v>908</v>
      </c>
      <c r="L304" s="18" t="s">
        <v>909</v>
      </c>
      <c r="M304" s="18" t="s">
        <v>910</v>
      </c>
      <c r="N304" s="60">
        <v>21.960678999999999</v>
      </c>
      <c r="O304" s="60">
        <v>91.961687999999995</v>
      </c>
      <c r="P304" s="62">
        <v>600</v>
      </c>
      <c r="Q304" s="62"/>
      <c r="R304" s="18"/>
      <c r="S304" s="18"/>
      <c r="T304" s="27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17"/>
      <c r="AH304" s="24"/>
      <c r="AI304" s="25"/>
      <c r="AJ304" s="25"/>
    </row>
    <row r="305" spans="1:36" x14ac:dyDescent="0.3">
      <c r="A305" s="77">
        <v>299</v>
      </c>
      <c r="B305" s="79" t="s">
        <v>2439</v>
      </c>
      <c r="C305" s="79" t="s">
        <v>117</v>
      </c>
      <c r="D305" s="65" t="s">
        <v>117</v>
      </c>
      <c r="E305" s="18" t="s">
        <v>101</v>
      </c>
      <c r="F305" s="63" t="s">
        <v>106</v>
      </c>
      <c r="G305" s="18" t="s">
        <v>47</v>
      </c>
      <c r="H305" s="23"/>
      <c r="I305" s="23"/>
      <c r="J305" s="23"/>
      <c r="K305" s="18" t="s">
        <v>396</v>
      </c>
      <c r="L305" s="18" t="s">
        <v>911</v>
      </c>
      <c r="M305" s="18" t="s">
        <v>912</v>
      </c>
      <c r="N305" s="60">
        <v>21.959498</v>
      </c>
      <c r="O305" s="60">
        <v>91.963507000000007</v>
      </c>
      <c r="P305" s="62">
        <v>900</v>
      </c>
      <c r="Q305" s="62"/>
      <c r="R305" s="18"/>
      <c r="S305" s="18"/>
      <c r="T305" s="27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17"/>
      <c r="AH305" s="24"/>
      <c r="AI305" s="25"/>
      <c r="AJ305" s="25"/>
    </row>
    <row r="306" spans="1:36" x14ac:dyDescent="0.3">
      <c r="A306" s="77">
        <v>300</v>
      </c>
      <c r="B306" s="79" t="s">
        <v>2439</v>
      </c>
      <c r="C306" s="79" t="s">
        <v>117</v>
      </c>
      <c r="D306" s="65" t="s">
        <v>117</v>
      </c>
      <c r="E306" s="18" t="s">
        <v>101</v>
      </c>
      <c r="F306" s="63" t="s">
        <v>106</v>
      </c>
      <c r="G306" s="18" t="s">
        <v>47</v>
      </c>
      <c r="H306" s="23"/>
      <c r="I306" s="23"/>
      <c r="J306" s="23"/>
      <c r="K306" s="18" t="s">
        <v>913</v>
      </c>
      <c r="L306" s="18" t="s">
        <v>914</v>
      </c>
      <c r="M306" s="18" t="s">
        <v>915</v>
      </c>
      <c r="N306" s="60">
        <v>21.959361000000001</v>
      </c>
      <c r="O306" s="60">
        <v>91.966942000000003</v>
      </c>
      <c r="P306" s="62">
        <v>150</v>
      </c>
      <c r="Q306" s="62"/>
      <c r="R306" s="18"/>
      <c r="S306" s="18"/>
      <c r="T306" s="27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17"/>
      <c r="AH306" s="24"/>
      <c r="AI306" s="25"/>
      <c r="AJ306" s="25"/>
    </row>
    <row r="307" spans="1:36" x14ac:dyDescent="0.3">
      <c r="A307" s="77">
        <v>301</v>
      </c>
      <c r="B307" s="79" t="s">
        <v>2439</v>
      </c>
      <c r="C307" s="79" t="s">
        <v>117</v>
      </c>
      <c r="D307" s="65" t="s">
        <v>117</v>
      </c>
      <c r="E307" s="18" t="s">
        <v>101</v>
      </c>
      <c r="F307" s="63" t="s">
        <v>106</v>
      </c>
      <c r="G307" s="18" t="s">
        <v>47</v>
      </c>
      <c r="H307" s="23"/>
      <c r="I307" s="23"/>
      <c r="J307" s="23"/>
      <c r="K307" s="18" t="s">
        <v>916</v>
      </c>
      <c r="L307" s="18" t="s">
        <v>917</v>
      </c>
      <c r="M307" s="18" t="s">
        <v>918</v>
      </c>
      <c r="N307" s="60">
        <v>21.957487</v>
      </c>
      <c r="O307" s="60">
        <v>91.966639999999998</v>
      </c>
      <c r="P307" s="62">
        <v>2100</v>
      </c>
      <c r="Q307" s="62"/>
      <c r="R307" s="18"/>
      <c r="S307" s="18"/>
      <c r="T307" s="27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17"/>
      <c r="AH307" s="24"/>
      <c r="AI307" s="25"/>
      <c r="AJ307" s="25"/>
    </row>
    <row r="308" spans="1:36" x14ac:dyDescent="0.3">
      <c r="A308" s="77">
        <v>302</v>
      </c>
      <c r="B308" s="79" t="s">
        <v>2439</v>
      </c>
      <c r="C308" s="79" t="s">
        <v>117</v>
      </c>
      <c r="D308" s="65" t="s">
        <v>117</v>
      </c>
      <c r="E308" s="18" t="s">
        <v>101</v>
      </c>
      <c r="F308" s="63" t="s">
        <v>106</v>
      </c>
      <c r="G308" s="18" t="s">
        <v>48</v>
      </c>
      <c r="H308" s="23"/>
      <c r="I308" s="23"/>
      <c r="J308" s="23"/>
      <c r="K308" s="18" t="s">
        <v>919</v>
      </c>
      <c r="L308" s="18" t="s">
        <v>920</v>
      </c>
      <c r="M308" s="18" t="s">
        <v>921</v>
      </c>
      <c r="N308" s="60">
        <v>21.961562000000001</v>
      </c>
      <c r="O308" s="60">
        <v>91.956614000000002</v>
      </c>
      <c r="P308" s="62">
        <v>80</v>
      </c>
      <c r="Q308" s="62"/>
      <c r="R308" s="18"/>
      <c r="S308" s="18"/>
      <c r="T308" s="27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17"/>
      <c r="AH308" s="24"/>
      <c r="AI308" s="25"/>
      <c r="AJ308" s="25"/>
    </row>
    <row r="309" spans="1:36" x14ac:dyDescent="0.3">
      <c r="A309" s="77">
        <v>303</v>
      </c>
      <c r="B309" s="79" t="s">
        <v>2439</v>
      </c>
      <c r="C309" s="79" t="s">
        <v>117</v>
      </c>
      <c r="D309" s="65" t="s">
        <v>117</v>
      </c>
      <c r="E309" s="18" t="s">
        <v>101</v>
      </c>
      <c r="F309" s="63" t="s">
        <v>106</v>
      </c>
      <c r="G309" s="18" t="s">
        <v>48</v>
      </c>
      <c r="H309" s="23"/>
      <c r="I309" s="23"/>
      <c r="J309" s="23"/>
      <c r="K309" s="18" t="s">
        <v>57</v>
      </c>
      <c r="L309" s="18" t="s">
        <v>78</v>
      </c>
      <c r="M309" s="18" t="s">
        <v>922</v>
      </c>
      <c r="N309" s="60">
        <v>21.963847000000001</v>
      </c>
      <c r="O309" s="60">
        <v>91.958601000000002</v>
      </c>
      <c r="P309" s="62">
        <v>300</v>
      </c>
      <c r="Q309" s="62"/>
      <c r="R309" s="18"/>
      <c r="S309" s="18"/>
      <c r="T309" s="27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17"/>
      <c r="AH309" s="24"/>
      <c r="AI309" s="25"/>
      <c r="AJ309" s="25"/>
    </row>
    <row r="310" spans="1:36" x14ac:dyDescent="0.3">
      <c r="A310" s="77">
        <v>304</v>
      </c>
      <c r="B310" s="79" t="s">
        <v>2439</v>
      </c>
      <c r="C310" s="79" t="s">
        <v>117</v>
      </c>
      <c r="D310" s="65" t="s">
        <v>117</v>
      </c>
      <c r="E310" s="18" t="s">
        <v>101</v>
      </c>
      <c r="F310" s="63" t="s">
        <v>106</v>
      </c>
      <c r="G310" s="18" t="s">
        <v>48</v>
      </c>
      <c r="H310" s="23"/>
      <c r="I310" s="23"/>
      <c r="J310" s="23"/>
      <c r="K310" s="18" t="s">
        <v>923</v>
      </c>
      <c r="L310" s="18" t="s">
        <v>924</v>
      </c>
      <c r="M310" s="18" t="s">
        <v>925</v>
      </c>
      <c r="N310" s="60">
        <v>21.963486</v>
      </c>
      <c r="O310" s="60">
        <v>91.956659000000002</v>
      </c>
      <c r="P310" s="62">
        <v>110</v>
      </c>
      <c r="Q310" s="62"/>
      <c r="R310" s="18"/>
      <c r="S310" s="18"/>
      <c r="T310" s="27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17"/>
      <c r="AH310" s="24"/>
      <c r="AI310" s="25"/>
      <c r="AJ310" s="25"/>
    </row>
    <row r="311" spans="1:36" x14ac:dyDescent="0.3">
      <c r="A311" s="77">
        <v>305</v>
      </c>
      <c r="B311" s="79" t="s">
        <v>2439</v>
      </c>
      <c r="C311" s="79" t="s">
        <v>117</v>
      </c>
      <c r="D311" s="65" t="s">
        <v>117</v>
      </c>
      <c r="E311" s="18" t="s">
        <v>101</v>
      </c>
      <c r="F311" s="63" t="s">
        <v>106</v>
      </c>
      <c r="G311" s="18" t="s">
        <v>48</v>
      </c>
      <c r="H311" s="23"/>
      <c r="I311" s="23"/>
      <c r="J311" s="23"/>
      <c r="K311" s="18" t="s">
        <v>50</v>
      </c>
      <c r="L311" s="63" t="s">
        <v>926</v>
      </c>
      <c r="M311" s="18" t="s">
        <v>927</v>
      </c>
      <c r="N311" s="60">
        <v>21.965976999999999</v>
      </c>
      <c r="O311" s="60">
        <v>91.956710999999999</v>
      </c>
      <c r="P311" s="62">
        <v>900</v>
      </c>
      <c r="Q311" s="62"/>
      <c r="R311" s="18"/>
      <c r="S311" s="18"/>
      <c r="T311" s="27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17"/>
      <c r="AH311" s="24"/>
      <c r="AI311" s="25"/>
      <c r="AJ311" s="25"/>
    </row>
    <row r="312" spans="1:36" x14ac:dyDescent="0.3">
      <c r="A312" s="77">
        <v>306</v>
      </c>
      <c r="B312" s="79" t="s">
        <v>2439</v>
      </c>
      <c r="C312" s="79" t="s">
        <v>117</v>
      </c>
      <c r="D312" s="65" t="s">
        <v>117</v>
      </c>
      <c r="E312" s="18" t="s">
        <v>101</v>
      </c>
      <c r="F312" s="63" t="s">
        <v>106</v>
      </c>
      <c r="G312" s="18" t="s">
        <v>48</v>
      </c>
      <c r="H312" s="23"/>
      <c r="I312" s="23"/>
      <c r="J312" s="23"/>
      <c r="K312" s="18" t="s">
        <v>928</v>
      </c>
      <c r="L312" s="18" t="s">
        <v>929</v>
      </c>
      <c r="M312" s="18" t="s">
        <v>930</v>
      </c>
      <c r="N312" s="60">
        <v>21.968381000000001</v>
      </c>
      <c r="O312" s="60">
        <v>91.956888000000006</v>
      </c>
      <c r="P312" s="62">
        <v>750</v>
      </c>
      <c r="Q312" s="62"/>
      <c r="R312" s="18"/>
      <c r="S312" s="18"/>
      <c r="T312" s="27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4"/>
      <c r="AI312" s="25"/>
      <c r="AJ312" s="25"/>
    </row>
    <row r="313" spans="1:36" x14ac:dyDescent="0.3">
      <c r="A313" s="77">
        <v>307</v>
      </c>
      <c r="B313" s="79" t="s">
        <v>2439</v>
      </c>
      <c r="C313" s="79" t="s">
        <v>117</v>
      </c>
      <c r="D313" s="65" t="s">
        <v>117</v>
      </c>
      <c r="E313" s="18" t="s">
        <v>101</v>
      </c>
      <c r="F313" s="63" t="s">
        <v>106</v>
      </c>
      <c r="G313" s="18" t="s">
        <v>48</v>
      </c>
      <c r="H313" s="23"/>
      <c r="I313" s="23"/>
      <c r="J313" s="23"/>
      <c r="K313" s="18" t="s">
        <v>931</v>
      </c>
      <c r="L313" s="18" t="s">
        <v>932</v>
      </c>
      <c r="M313" s="18" t="s">
        <v>933</v>
      </c>
      <c r="N313" s="60">
        <v>21.970611000000002</v>
      </c>
      <c r="O313" s="60">
        <v>91.956160999999994</v>
      </c>
      <c r="P313" s="62">
        <v>450</v>
      </c>
      <c r="Q313" s="62"/>
      <c r="R313" s="18"/>
      <c r="S313" s="18"/>
      <c r="T313" s="22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17"/>
      <c r="AH313" s="24"/>
      <c r="AI313" s="25"/>
      <c r="AJ313" s="25"/>
    </row>
    <row r="314" spans="1:36" x14ac:dyDescent="0.3">
      <c r="A314" s="77">
        <v>308</v>
      </c>
      <c r="B314" s="79" t="s">
        <v>2439</v>
      </c>
      <c r="C314" s="79" t="s">
        <v>117</v>
      </c>
      <c r="D314" s="65" t="s">
        <v>117</v>
      </c>
      <c r="E314" s="18" t="s">
        <v>101</v>
      </c>
      <c r="F314" s="63" t="s">
        <v>106</v>
      </c>
      <c r="G314" s="18" t="s">
        <v>48</v>
      </c>
      <c r="H314" s="23"/>
      <c r="I314" s="23"/>
      <c r="J314" s="23"/>
      <c r="K314" s="18" t="s">
        <v>934</v>
      </c>
      <c r="L314" s="18" t="s">
        <v>935</v>
      </c>
      <c r="M314" s="18" t="s">
        <v>936</v>
      </c>
      <c r="N314" s="60">
        <v>21.972124000000001</v>
      </c>
      <c r="O314" s="60">
        <v>91.957331999999994</v>
      </c>
      <c r="P314" s="62">
        <v>380</v>
      </c>
      <c r="Q314" s="62"/>
      <c r="R314" s="18"/>
      <c r="S314" s="18"/>
      <c r="T314" s="27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17"/>
      <c r="AH314" s="24"/>
      <c r="AI314" s="25"/>
      <c r="AJ314" s="25"/>
    </row>
    <row r="315" spans="1:36" x14ac:dyDescent="0.3">
      <c r="A315" s="77">
        <v>309</v>
      </c>
      <c r="B315" s="79" t="s">
        <v>2439</v>
      </c>
      <c r="C315" s="79" t="s">
        <v>117</v>
      </c>
      <c r="D315" s="65" t="s">
        <v>117</v>
      </c>
      <c r="E315" s="18" t="s">
        <v>101</v>
      </c>
      <c r="F315" s="63" t="s">
        <v>106</v>
      </c>
      <c r="G315" s="18" t="s">
        <v>48</v>
      </c>
      <c r="H315" s="23"/>
      <c r="I315" s="23"/>
      <c r="J315" s="23"/>
      <c r="K315" s="67" t="s">
        <v>70</v>
      </c>
      <c r="L315" s="18" t="s">
        <v>162</v>
      </c>
      <c r="M315" s="18" t="s">
        <v>937</v>
      </c>
      <c r="N315" s="60">
        <v>21.972836000000001</v>
      </c>
      <c r="O315" s="60">
        <v>91.958661000000006</v>
      </c>
      <c r="P315" s="62">
        <v>50</v>
      </c>
      <c r="Q315" s="62"/>
      <c r="R315" s="18"/>
      <c r="S315" s="18"/>
      <c r="T315" s="27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17"/>
      <c r="AH315" s="24"/>
      <c r="AI315" s="25"/>
      <c r="AJ315" s="25"/>
    </row>
    <row r="316" spans="1:36" x14ac:dyDescent="0.3">
      <c r="A316" s="77">
        <v>310</v>
      </c>
      <c r="B316" s="79" t="s">
        <v>2439</v>
      </c>
      <c r="C316" s="79" t="s">
        <v>117</v>
      </c>
      <c r="D316" s="65" t="s">
        <v>117</v>
      </c>
      <c r="E316" s="18" t="s">
        <v>101</v>
      </c>
      <c r="F316" s="63" t="s">
        <v>106</v>
      </c>
      <c r="G316" s="18" t="s">
        <v>48</v>
      </c>
      <c r="H316" s="23"/>
      <c r="I316" s="23"/>
      <c r="J316" s="23"/>
      <c r="K316" s="18" t="s">
        <v>938</v>
      </c>
      <c r="L316" s="18" t="s">
        <v>939</v>
      </c>
      <c r="M316" s="18" t="s">
        <v>940</v>
      </c>
      <c r="N316" s="60">
        <v>21.972494999999999</v>
      </c>
      <c r="O316" s="60">
        <v>91.959410000000005</v>
      </c>
      <c r="P316" s="62">
        <v>75</v>
      </c>
      <c r="Q316" s="62"/>
      <c r="R316" s="18"/>
      <c r="S316" s="18"/>
      <c r="T316" s="22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17"/>
      <c r="AH316" s="24"/>
      <c r="AI316" s="25"/>
      <c r="AJ316" s="25"/>
    </row>
    <row r="317" spans="1:36" x14ac:dyDescent="0.3">
      <c r="A317" s="77">
        <v>311</v>
      </c>
      <c r="B317" s="79" t="s">
        <v>2439</v>
      </c>
      <c r="C317" s="79" t="s">
        <v>117</v>
      </c>
      <c r="D317" s="65" t="s">
        <v>117</v>
      </c>
      <c r="E317" s="18" t="s">
        <v>101</v>
      </c>
      <c r="F317" s="63" t="s">
        <v>106</v>
      </c>
      <c r="G317" s="18" t="s">
        <v>48</v>
      </c>
      <c r="H317" s="23"/>
      <c r="I317" s="23"/>
      <c r="J317" s="23"/>
      <c r="K317" s="18" t="s">
        <v>941</v>
      </c>
      <c r="L317" s="18" t="s">
        <v>942</v>
      </c>
      <c r="M317" s="18" t="s">
        <v>943</v>
      </c>
      <c r="N317" s="60">
        <v>21.973822999999999</v>
      </c>
      <c r="O317" s="60">
        <v>91.959669000000005</v>
      </c>
      <c r="P317" s="62">
        <v>400</v>
      </c>
      <c r="Q317" s="62"/>
      <c r="R317" s="18"/>
      <c r="S317" s="18"/>
      <c r="T317" s="22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17"/>
      <c r="AH317" s="24"/>
      <c r="AI317" s="25"/>
      <c r="AJ317" s="25"/>
    </row>
    <row r="318" spans="1:36" x14ac:dyDescent="0.3">
      <c r="A318" s="77">
        <v>312</v>
      </c>
      <c r="B318" s="79" t="s">
        <v>2439</v>
      </c>
      <c r="C318" s="79" t="s">
        <v>117</v>
      </c>
      <c r="D318" s="65" t="s">
        <v>117</v>
      </c>
      <c r="E318" s="18" t="s">
        <v>101</v>
      </c>
      <c r="F318" s="63" t="s">
        <v>106</v>
      </c>
      <c r="G318" s="18" t="s">
        <v>48</v>
      </c>
      <c r="H318" s="23"/>
      <c r="I318" s="23"/>
      <c r="J318" s="23"/>
      <c r="K318" s="18" t="s">
        <v>944</v>
      </c>
      <c r="L318" s="18" t="s">
        <v>945</v>
      </c>
      <c r="M318" s="18" t="s">
        <v>946</v>
      </c>
      <c r="N318" s="60">
        <v>21.969639999999998</v>
      </c>
      <c r="O318" s="60">
        <v>91.956698000000003</v>
      </c>
      <c r="P318" s="62">
        <v>130</v>
      </c>
      <c r="Q318" s="62"/>
      <c r="R318" s="18"/>
      <c r="S318" s="18"/>
      <c r="T318" s="27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17"/>
      <c r="AH318" s="24"/>
      <c r="AI318" s="25"/>
      <c r="AJ318" s="25"/>
    </row>
    <row r="319" spans="1:36" x14ac:dyDescent="0.3">
      <c r="A319" s="77">
        <v>313</v>
      </c>
      <c r="B319" s="79" t="s">
        <v>2439</v>
      </c>
      <c r="C319" s="79" t="s">
        <v>117</v>
      </c>
      <c r="D319" s="65" t="s">
        <v>117</v>
      </c>
      <c r="E319" s="18" t="s">
        <v>101</v>
      </c>
      <c r="F319" s="63" t="s">
        <v>106</v>
      </c>
      <c r="G319" s="18" t="s">
        <v>49</v>
      </c>
      <c r="H319" s="23"/>
      <c r="I319" s="23"/>
      <c r="J319" s="23"/>
      <c r="K319" s="18" t="s">
        <v>51</v>
      </c>
      <c r="L319" s="18" t="s">
        <v>52</v>
      </c>
      <c r="M319" s="18" t="s">
        <v>947</v>
      </c>
      <c r="N319" s="60">
        <v>21.971565999999999</v>
      </c>
      <c r="O319" s="60">
        <v>91.960761000000005</v>
      </c>
      <c r="P319" s="62">
        <v>5000</v>
      </c>
      <c r="Q319" s="62"/>
      <c r="R319" s="18"/>
      <c r="S319" s="18"/>
      <c r="T319" s="27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17"/>
      <c r="AH319" s="24"/>
      <c r="AI319" s="25"/>
      <c r="AJ319" s="25"/>
    </row>
    <row r="320" spans="1:36" x14ac:dyDescent="0.3">
      <c r="A320" s="77">
        <v>314</v>
      </c>
      <c r="B320" s="79" t="s">
        <v>2439</v>
      </c>
      <c r="C320" s="79" t="s">
        <v>117</v>
      </c>
      <c r="D320" s="65" t="s">
        <v>117</v>
      </c>
      <c r="E320" s="18" t="s">
        <v>101</v>
      </c>
      <c r="F320" s="63" t="s">
        <v>106</v>
      </c>
      <c r="G320" s="18" t="s">
        <v>49</v>
      </c>
      <c r="H320" s="23"/>
      <c r="I320" s="23"/>
      <c r="J320" s="23"/>
      <c r="K320" s="18" t="s">
        <v>948</v>
      </c>
      <c r="L320" s="18" t="s">
        <v>949</v>
      </c>
      <c r="M320" s="18" t="s">
        <v>950</v>
      </c>
      <c r="N320" s="60">
        <v>21.973738999999998</v>
      </c>
      <c r="O320" s="60">
        <v>91.962272999999996</v>
      </c>
      <c r="P320" s="62">
        <v>1200</v>
      </c>
      <c r="Q320" s="62"/>
      <c r="R320" s="18"/>
      <c r="S320" s="18"/>
      <c r="T320" s="27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17"/>
      <c r="AH320" s="24"/>
      <c r="AI320" s="25"/>
      <c r="AJ320" s="25"/>
    </row>
    <row r="321" spans="1:36" x14ac:dyDescent="0.3">
      <c r="A321" s="77">
        <v>315</v>
      </c>
      <c r="B321" s="79" t="s">
        <v>2439</v>
      </c>
      <c r="C321" s="79" t="s">
        <v>117</v>
      </c>
      <c r="D321" s="65" t="s">
        <v>117</v>
      </c>
      <c r="E321" s="18" t="s">
        <v>101</v>
      </c>
      <c r="F321" s="63" t="s">
        <v>106</v>
      </c>
      <c r="G321" s="18" t="s">
        <v>49</v>
      </c>
      <c r="H321" s="23"/>
      <c r="I321" s="23"/>
      <c r="J321" s="23"/>
      <c r="K321" s="67" t="s">
        <v>134</v>
      </c>
      <c r="L321" s="67" t="s">
        <v>135</v>
      </c>
      <c r="M321" s="18" t="s">
        <v>951</v>
      </c>
      <c r="N321" s="60">
        <v>21.972252000000001</v>
      </c>
      <c r="O321" s="60">
        <v>91.963896000000005</v>
      </c>
      <c r="P321" s="62">
        <v>300</v>
      </c>
      <c r="Q321" s="62"/>
      <c r="R321" s="18"/>
      <c r="S321" s="18"/>
      <c r="T321" s="27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17"/>
      <c r="AH321" s="24"/>
      <c r="AI321" s="25"/>
      <c r="AJ321" s="25"/>
    </row>
    <row r="322" spans="1:36" x14ac:dyDescent="0.3">
      <c r="A322" s="77">
        <v>316</v>
      </c>
      <c r="B322" s="79" t="s">
        <v>2439</v>
      </c>
      <c r="C322" s="79" t="s">
        <v>117</v>
      </c>
      <c r="D322" s="65" t="s">
        <v>117</v>
      </c>
      <c r="E322" s="18" t="s">
        <v>101</v>
      </c>
      <c r="F322" s="63" t="s">
        <v>106</v>
      </c>
      <c r="G322" s="18" t="s">
        <v>49</v>
      </c>
      <c r="H322" s="23"/>
      <c r="I322" s="23"/>
      <c r="J322" s="23"/>
      <c r="K322" s="18" t="s">
        <v>952</v>
      </c>
      <c r="L322" s="18" t="s">
        <v>953</v>
      </c>
      <c r="M322" s="18" t="s">
        <v>954</v>
      </c>
      <c r="N322" s="60">
        <v>21.969356999999999</v>
      </c>
      <c r="O322" s="60">
        <v>91.963189999999997</v>
      </c>
      <c r="P322" s="62">
        <v>2500</v>
      </c>
      <c r="Q322" s="62"/>
      <c r="R322" s="18"/>
      <c r="S322" s="18"/>
      <c r="T322" s="27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17"/>
      <c r="AH322" s="24"/>
      <c r="AI322" s="25"/>
      <c r="AJ322" s="25"/>
    </row>
    <row r="323" spans="1:36" x14ac:dyDescent="0.3">
      <c r="A323" s="77">
        <v>317</v>
      </c>
      <c r="B323" s="79" t="s">
        <v>2439</v>
      </c>
      <c r="C323" s="79" t="s">
        <v>117</v>
      </c>
      <c r="D323" s="65" t="s">
        <v>117</v>
      </c>
      <c r="E323" s="18" t="s">
        <v>101</v>
      </c>
      <c r="F323" s="63" t="s">
        <v>106</v>
      </c>
      <c r="G323" s="18" t="s">
        <v>49</v>
      </c>
      <c r="H323" s="23"/>
      <c r="I323" s="23"/>
      <c r="J323" s="23"/>
      <c r="K323" s="18" t="s">
        <v>955</v>
      </c>
      <c r="L323" s="18" t="s">
        <v>956</v>
      </c>
      <c r="M323" s="18" t="s">
        <v>957</v>
      </c>
      <c r="N323" s="60">
        <v>21.967293999999999</v>
      </c>
      <c r="O323" s="60">
        <v>91.965361999999999</v>
      </c>
      <c r="P323" s="62">
        <v>2000</v>
      </c>
      <c r="Q323" s="62"/>
      <c r="R323" s="18"/>
      <c r="S323" s="18"/>
      <c r="T323" s="22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17"/>
      <c r="AH323" s="24"/>
      <c r="AI323" s="25"/>
      <c r="AJ323" s="25"/>
    </row>
    <row r="324" spans="1:36" x14ac:dyDescent="0.3">
      <c r="A324" s="77">
        <v>318</v>
      </c>
      <c r="B324" s="79" t="s">
        <v>2439</v>
      </c>
      <c r="C324" s="79" t="s">
        <v>117</v>
      </c>
      <c r="D324" s="65" t="s">
        <v>117</v>
      </c>
      <c r="E324" s="18" t="s">
        <v>101</v>
      </c>
      <c r="F324" s="63" t="s">
        <v>106</v>
      </c>
      <c r="G324" s="18" t="s">
        <v>49</v>
      </c>
      <c r="H324" s="23"/>
      <c r="I324" s="23"/>
      <c r="J324" s="23"/>
      <c r="K324" s="18" t="s">
        <v>958</v>
      </c>
      <c r="L324" s="18" t="s">
        <v>959</v>
      </c>
      <c r="M324" s="18" t="s">
        <v>960</v>
      </c>
      <c r="N324" s="60">
        <v>21.965655999999999</v>
      </c>
      <c r="O324" s="60">
        <v>91.967771999999997</v>
      </c>
      <c r="P324" s="62">
        <v>1800</v>
      </c>
      <c r="Q324" s="62"/>
      <c r="R324" s="18"/>
      <c r="S324" s="18"/>
      <c r="T324" s="27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17"/>
      <c r="AH324" s="24"/>
      <c r="AI324" s="25"/>
      <c r="AJ324" s="25"/>
    </row>
    <row r="325" spans="1:36" x14ac:dyDescent="0.3">
      <c r="A325" s="77">
        <v>319</v>
      </c>
      <c r="B325" s="79" t="s">
        <v>2439</v>
      </c>
      <c r="C325" s="79" t="s">
        <v>117</v>
      </c>
      <c r="D325" s="65" t="s">
        <v>117</v>
      </c>
      <c r="E325" s="18" t="s">
        <v>101</v>
      </c>
      <c r="F325" s="63" t="s">
        <v>106</v>
      </c>
      <c r="G325" s="18" t="s">
        <v>49</v>
      </c>
      <c r="H325" s="23"/>
      <c r="I325" s="23"/>
      <c r="J325" s="23"/>
      <c r="K325" s="18" t="s">
        <v>961</v>
      </c>
      <c r="L325" s="18" t="s">
        <v>962</v>
      </c>
      <c r="M325" s="18" t="s">
        <v>963</v>
      </c>
      <c r="N325" s="60">
        <v>21.967040000000001</v>
      </c>
      <c r="O325" s="60">
        <v>91.974386999999993</v>
      </c>
      <c r="P325" s="62">
        <v>500</v>
      </c>
      <c r="Q325" s="62"/>
      <c r="R325" s="18"/>
      <c r="S325" s="18"/>
      <c r="T325" s="27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17"/>
      <c r="AH325" s="24"/>
      <c r="AI325" s="25"/>
      <c r="AJ325" s="25"/>
    </row>
    <row r="326" spans="1:36" x14ac:dyDescent="0.3">
      <c r="A326" s="77">
        <v>320</v>
      </c>
      <c r="B326" s="79" t="s">
        <v>2439</v>
      </c>
      <c r="C326" s="79" t="s">
        <v>117</v>
      </c>
      <c r="D326" s="65" t="s">
        <v>117</v>
      </c>
      <c r="E326" s="18" t="s">
        <v>101</v>
      </c>
      <c r="F326" s="63" t="s">
        <v>106</v>
      </c>
      <c r="G326" s="18" t="s">
        <v>49</v>
      </c>
      <c r="H326" s="23"/>
      <c r="I326" s="23"/>
      <c r="J326" s="23"/>
      <c r="K326" s="18" t="s">
        <v>964</v>
      </c>
      <c r="L326" s="18" t="s">
        <v>965</v>
      </c>
      <c r="M326" s="18" t="s">
        <v>966</v>
      </c>
      <c r="N326" s="60">
        <v>21.970632999999999</v>
      </c>
      <c r="O326" s="60">
        <v>91.972779000000003</v>
      </c>
      <c r="P326" s="62">
        <v>400</v>
      </c>
      <c r="Q326" s="62"/>
      <c r="R326" s="18"/>
      <c r="S326" s="18"/>
      <c r="T326" s="27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4"/>
      <c r="AI326" s="25"/>
      <c r="AJ326" s="25"/>
    </row>
    <row r="327" spans="1:36" x14ac:dyDescent="0.3">
      <c r="A327" s="77">
        <v>321</v>
      </c>
      <c r="B327" s="79" t="s">
        <v>2439</v>
      </c>
      <c r="C327" s="79" t="s">
        <v>117</v>
      </c>
      <c r="D327" s="65" t="s">
        <v>117</v>
      </c>
      <c r="E327" s="18" t="s">
        <v>101</v>
      </c>
      <c r="F327" s="63" t="s">
        <v>106</v>
      </c>
      <c r="G327" s="18" t="s">
        <v>49</v>
      </c>
      <c r="H327" s="23"/>
      <c r="I327" s="23"/>
      <c r="J327" s="23"/>
      <c r="K327" s="18" t="s">
        <v>967</v>
      </c>
      <c r="L327" s="18" t="s">
        <v>968</v>
      </c>
      <c r="M327" s="18" t="s">
        <v>969</v>
      </c>
      <c r="N327" s="60">
        <v>21.973331000000002</v>
      </c>
      <c r="O327" s="60">
        <v>91.973187999999993</v>
      </c>
      <c r="P327" s="62">
        <v>2000</v>
      </c>
      <c r="Q327" s="62"/>
      <c r="R327" s="18"/>
      <c r="S327" s="18"/>
      <c r="T327" s="27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17"/>
      <c r="AH327" s="24"/>
      <c r="AI327" s="25"/>
      <c r="AJ327" s="25"/>
    </row>
    <row r="328" spans="1:36" x14ac:dyDescent="0.3">
      <c r="A328" s="77">
        <v>322</v>
      </c>
      <c r="B328" s="79" t="s">
        <v>2439</v>
      </c>
      <c r="C328" s="79" t="s">
        <v>117</v>
      </c>
      <c r="D328" s="65" t="s">
        <v>117</v>
      </c>
      <c r="E328" s="18" t="s">
        <v>101</v>
      </c>
      <c r="F328" s="63" t="s">
        <v>106</v>
      </c>
      <c r="G328" s="18" t="s">
        <v>49</v>
      </c>
      <c r="H328" s="23"/>
      <c r="I328" s="23"/>
      <c r="J328" s="23"/>
      <c r="K328" s="18" t="s">
        <v>875</v>
      </c>
      <c r="L328" s="18" t="s">
        <v>876</v>
      </c>
      <c r="M328" s="18" t="s">
        <v>970</v>
      </c>
      <c r="N328" s="60">
        <v>21.976998999999999</v>
      </c>
      <c r="O328" s="60">
        <v>91.977306999999996</v>
      </c>
      <c r="P328" s="62">
        <v>1500</v>
      </c>
      <c r="Q328" s="62"/>
      <c r="R328" s="18"/>
      <c r="S328" s="18"/>
      <c r="T328" s="27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17"/>
      <c r="AH328" s="24"/>
      <c r="AI328" s="25"/>
      <c r="AJ328" s="25"/>
    </row>
    <row r="329" spans="1:36" x14ac:dyDescent="0.3">
      <c r="A329" s="77">
        <v>323</v>
      </c>
      <c r="B329" s="79" t="s">
        <v>2439</v>
      </c>
      <c r="C329" s="79" t="s">
        <v>117</v>
      </c>
      <c r="D329" s="65" t="s">
        <v>117</v>
      </c>
      <c r="E329" s="18" t="s">
        <v>101</v>
      </c>
      <c r="F329" s="63" t="s">
        <v>106</v>
      </c>
      <c r="G329" s="18" t="s">
        <v>49</v>
      </c>
      <c r="H329" s="23"/>
      <c r="I329" s="23"/>
      <c r="J329" s="23"/>
      <c r="K329" s="18" t="s">
        <v>971</v>
      </c>
      <c r="L329" s="18" t="s">
        <v>972</v>
      </c>
      <c r="M329" s="18" t="s">
        <v>973</v>
      </c>
      <c r="N329" s="60">
        <v>21.975528000000001</v>
      </c>
      <c r="O329" s="60">
        <v>91.964862999999994</v>
      </c>
      <c r="P329" s="62">
        <v>300</v>
      </c>
      <c r="Q329" s="62"/>
      <c r="R329" s="18"/>
      <c r="S329" s="18"/>
      <c r="T329" s="27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17"/>
      <c r="AH329" s="24"/>
      <c r="AI329" s="25"/>
      <c r="AJ329" s="25"/>
    </row>
    <row r="330" spans="1:36" x14ac:dyDescent="0.3">
      <c r="A330" s="77">
        <v>324</v>
      </c>
      <c r="B330" s="79" t="s">
        <v>2439</v>
      </c>
      <c r="C330" s="79" t="s">
        <v>117</v>
      </c>
      <c r="D330" s="65" t="s">
        <v>117</v>
      </c>
      <c r="E330" s="18" t="s">
        <v>101</v>
      </c>
      <c r="F330" s="63" t="s">
        <v>106</v>
      </c>
      <c r="G330" s="18" t="s">
        <v>49</v>
      </c>
      <c r="H330" s="23"/>
      <c r="I330" s="23"/>
      <c r="J330" s="23"/>
      <c r="K330" s="18" t="s">
        <v>184</v>
      </c>
      <c r="L330" s="18" t="s">
        <v>185</v>
      </c>
      <c r="M330" s="18" t="s">
        <v>974</v>
      </c>
      <c r="N330" s="60">
        <v>21.973109999999998</v>
      </c>
      <c r="O330" s="60">
        <v>91.966048999999998</v>
      </c>
      <c r="P330" s="62">
        <v>300</v>
      </c>
      <c r="Q330" s="62"/>
      <c r="R330" s="18"/>
      <c r="S330" s="18"/>
      <c r="T330" s="27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17"/>
      <c r="AH330" s="24"/>
      <c r="AI330" s="25"/>
      <c r="AJ330" s="25"/>
    </row>
    <row r="331" spans="1:36" x14ac:dyDescent="0.3">
      <c r="A331" s="77">
        <v>325</v>
      </c>
      <c r="B331" s="79" t="s">
        <v>2439</v>
      </c>
      <c r="C331" s="79" t="s">
        <v>117</v>
      </c>
      <c r="D331" s="65" t="s">
        <v>117</v>
      </c>
      <c r="E331" s="18" t="s">
        <v>101</v>
      </c>
      <c r="F331" s="63" t="s">
        <v>106</v>
      </c>
      <c r="G331" s="18" t="s">
        <v>49</v>
      </c>
      <c r="H331" s="23"/>
      <c r="I331" s="23"/>
      <c r="J331" s="23"/>
      <c r="K331" s="18" t="s">
        <v>975</v>
      </c>
      <c r="L331" s="18" t="s">
        <v>976</v>
      </c>
      <c r="M331" s="18" t="s">
        <v>977</v>
      </c>
      <c r="N331" s="60">
        <v>21.973241999999999</v>
      </c>
      <c r="O331" s="60">
        <v>91.963537000000002</v>
      </c>
      <c r="P331" s="62">
        <v>350</v>
      </c>
      <c r="Q331" s="62"/>
      <c r="R331" s="18"/>
      <c r="S331" s="18"/>
      <c r="T331" s="27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17"/>
      <c r="AH331" s="24"/>
      <c r="AI331" s="25"/>
      <c r="AJ331" s="25"/>
    </row>
    <row r="332" spans="1:36" x14ac:dyDescent="0.3">
      <c r="A332" s="77">
        <v>326</v>
      </c>
      <c r="B332" s="79" t="s">
        <v>2439</v>
      </c>
      <c r="C332" s="79" t="s">
        <v>117</v>
      </c>
      <c r="D332" s="65" t="s">
        <v>117</v>
      </c>
      <c r="E332" s="18" t="s">
        <v>101</v>
      </c>
      <c r="F332" s="63" t="s">
        <v>106</v>
      </c>
      <c r="G332" s="18" t="s">
        <v>49</v>
      </c>
      <c r="H332" s="23"/>
      <c r="I332" s="23"/>
      <c r="J332" s="23"/>
      <c r="K332" s="18" t="s">
        <v>410</v>
      </c>
      <c r="L332" s="18" t="s">
        <v>411</v>
      </c>
      <c r="M332" s="18" t="s">
        <v>978</v>
      </c>
      <c r="N332" s="60">
        <v>21.976739999999999</v>
      </c>
      <c r="O332" s="60">
        <v>91.972318000000001</v>
      </c>
      <c r="P332" s="62">
        <v>800</v>
      </c>
      <c r="Q332" s="62"/>
      <c r="R332" s="18"/>
      <c r="S332" s="18"/>
      <c r="T332" s="22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17"/>
      <c r="AH332" s="24"/>
      <c r="AI332" s="25"/>
      <c r="AJ332" s="25"/>
    </row>
    <row r="333" spans="1:36" x14ac:dyDescent="0.3">
      <c r="A333" s="77">
        <v>327</v>
      </c>
      <c r="B333" s="79" t="s">
        <v>2439</v>
      </c>
      <c r="C333" s="79" t="s">
        <v>117</v>
      </c>
      <c r="D333" s="65" t="s">
        <v>117</v>
      </c>
      <c r="E333" s="61" t="s">
        <v>101</v>
      </c>
      <c r="F333" s="68" t="s">
        <v>107</v>
      </c>
      <c r="G333" s="61" t="s">
        <v>41</v>
      </c>
      <c r="H333" s="23"/>
      <c r="I333" s="23"/>
      <c r="J333" s="23"/>
      <c r="K333" s="62" t="s">
        <v>97</v>
      </c>
      <c r="L333" s="62" t="s">
        <v>979</v>
      </c>
      <c r="M333" s="62" t="s">
        <v>980</v>
      </c>
      <c r="N333" s="60">
        <v>21.996642000000001</v>
      </c>
      <c r="O333" s="60">
        <v>91.891126</v>
      </c>
      <c r="P333" s="62">
        <v>2000</v>
      </c>
      <c r="Q333" s="62"/>
      <c r="R333" s="18"/>
      <c r="S333" s="18"/>
      <c r="T333" s="22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17"/>
      <c r="AH333" s="24"/>
      <c r="AI333" s="25"/>
      <c r="AJ333" s="25"/>
    </row>
    <row r="334" spans="1:36" x14ac:dyDescent="0.3">
      <c r="A334" s="77">
        <v>328</v>
      </c>
      <c r="B334" s="79" t="s">
        <v>2439</v>
      </c>
      <c r="C334" s="79" t="s">
        <v>117</v>
      </c>
      <c r="D334" s="65" t="s">
        <v>117</v>
      </c>
      <c r="E334" s="61" t="s">
        <v>101</v>
      </c>
      <c r="F334" s="68" t="s">
        <v>107</v>
      </c>
      <c r="G334" s="61" t="s">
        <v>41</v>
      </c>
      <c r="H334" s="23"/>
      <c r="I334" s="23"/>
      <c r="J334" s="23"/>
      <c r="K334" s="62" t="s">
        <v>981</v>
      </c>
      <c r="L334" s="62" t="s">
        <v>982</v>
      </c>
      <c r="M334" s="62" t="s">
        <v>983</v>
      </c>
      <c r="N334" s="60">
        <v>21.987931</v>
      </c>
      <c r="O334" s="60">
        <v>91.889741000000001</v>
      </c>
      <c r="P334" s="62">
        <v>1100</v>
      </c>
      <c r="Q334" s="62"/>
      <c r="R334" s="18"/>
      <c r="S334" s="18"/>
      <c r="T334" s="22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17"/>
      <c r="AH334" s="24"/>
      <c r="AI334" s="25"/>
      <c r="AJ334" s="25"/>
    </row>
    <row r="335" spans="1:36" x14ac:dyDescent="0.3">
      <c r="A335" s="77">
        <v>329</v>
      </c>
      <c r="B335" s="79" t="s">
        <v>2439</v>
      </c>
      <c r="C335" s="79" t="s">
        <v>117</v>
      </c>
      <c r="D335" s="65" t="s">
        <v>117</v>
      </c>
      <c r="E335" s="18" t="s">
        <v>101</v>
      </c>
      <c r="F335" s="63" t="s">
        <v>107</v>
      </c>
      <c r="G335" s="18" t="s">
        <v>41</v>
      </c>
      <c r="H335" s="23"/>
      <c r="I335" s="23"/>
      <c r="J335" s="23"/>
      <c r="K335" s="67" t="s">
        <v>984</v>
      </c>
      <c r="L335" s="67" t="s">
        <v>985</v>
      </c>
      <c r="M335" s="67" t="s">
        <v>986</v>
      </c>
      <c r="N335" s="60">
        <v>21.990358000000001</v>
      </c>
      <c r="O335" s="60">
        <v>91.894902999999999</v>
      </c>
      <c r="P335" s="62">
        <v>2500</v>
      </c>
      <c r="Q335" s="62"/>
      <c r="R335" s="18"/>
      <c r="S335" s="18"/>
      <c r="T335" s="27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17"/>
      <c r="AH335" s="24"/>
      <c r="AI335" s="25"/>
      <c r="AJ335" s="25"/>
    </row>
    <row r="336" spans="1:36" x14ac:dyDescent="0.3">
      <c r="A336" s="77">
        <v>330</v>
      </c>
      <c r="B336" s="79" t="s">
        <v>2439</v>
      </c>
      <c r="C336" s="79" t="s">
        <v>117</v>
      </c>
      <c r="D336" s="65" t="s">
        <v>117</v>
      </c>
      <c r="E336" s="18" t="s">
        <v>101</v>
      </c>
      <c r="F336" s="63" t="s">
        <v>107</v>
      </c>
      <c r="G336" s="18" t="s">
        <v>41</v>
      </c>
      <c r="H336" s="23"/>
      <c r="I336" s="23"/>
      <c r="J336" s="23"/>
      <c r="K336" s="67" t="s">
        <v>987</v>
      </c>
      <c r="L336" s="67" t="s">
        <v>988</v>
      </c>
      <c r="M336" s="67" t="s">
        <v>989</v>
      </c>
      <c r="N336" s="60">
        <v>21.987355000000001</v>
      </c>
      <c r="O336" s="60">
        <v>91.894379000000001</v>
      </c>
      <c r="P336" s="62">
        <v>2000</v>
      </c>
      <c r="Q336" s="62"/>
      <c r="R336" s="18"/>
      <c r="S336" s="18"/>
      <c r="T336" s="27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17"/>
      <c r="AH336" s="24"/>
      <c r="AI336" s="25"/>
      <c r="AJ336" s="25"/>
    </row>
    <row r="337" spans="1:36" x14ac:dyDescent="0.3">
      <c r="A337" s="77">
        <v>331</v>
      </c>
      <c r="B337" s="79" t="s">
        <v>2439</v>
      </c>
      <c r="C337" s="79" t="s">
        <v>117</v>
      </c>
      <c r="D337" s="65" t="s">
        <v>117</v>
      </c>
      <c r="E337" s="18" t="s">
        <v>101</v>
      </c>
      <c r="F337" s="63" t="s">
        <v>107</v>
      </c>
      <c r="G337" s="18" t="s">
        <v>41</v>
      </c>
      <c r="H337" s="23"/>
      <c r="I337" s="23"/>
      <c r="J337" s="23"/>
      <c r="K337" s="18" t="s">
        <v>58</v>
      </c>
      <c r="L337" s="67" t="s">
        <v>364</v>
      </c>
      <c r="M337" s="67" t="s">
        <v>990</v>
      </c>
      <c r="N337" s="60">
        <v>21.981563999999999</v>
      </c>
      <c r="O337" s="60">
        <v>91.895202999999995</v>
      </c>
      <c r="P337" s="62">
        <v>1500</v>
      </c>
      <c r="Q337" s="62"/>
      <c r="R337" s="18"/>
      <c r="S337" s="18"/>
      <c r="T337" s="27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17"/>
      <c r="AH337" s="24"/>
      <c r="AI337" s="25"/>
      <c r="AJ337" s="25"/>
    </row>
    <row r="338" spans="1:36" x14ac:dyDescent="0.3">
      <c r="A338" s="77">
        <v>332</v>
      </c>
      <c r="B338" s="79" t="s">
        <v>2439</v>
      </c>
      <c r="C338" s="79" t="s">
        <v>117</v>
      </c>
      <c r="D338" s="65" t="s">
        <v>117</v>
      </c>
      <c r="E338" s="18" t="s">
        <v>101</v>
      </c>
      <c r="F338" s="63" t="s">
        <v>107</v>
      </c>
      <c r="G338" s="18" t="s">
        <v>41</v>
      </c>
      <c r="H338" s="23"/>
      <c r="I338" s="23"/>
      <c r="J338" s="23"/>
      <c r="K338" s="18" t="s">
        <v>991</v>
      </c>
      <c r="L338" s="67" t="s">
        <v>992</v>
      </c>
      <c r="M338" s="67" t="s">
        <v>993</v>
      </c>
      <c r="N338" s="60">
        <v>21.98273</v>
      </c>
      <c r="O338" s="60">
        <v>91.889863000000005</v>
      </c>
      <c r="P338" s="62">
        <v>2500</v>
      </c>
      <c r="Q338" s="62"/>
      <c r="R338" s="18"/>
      <c r="S338" s="18"/>
      <c r="T338" s="27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17"/>
      <c r="AH338" s="24"/>
      <c r="AI338" s="25"/>
      <c r="AJ338" s="25"/>
    </row>
    <row r="339" spans="1:36" x14ac:dyDescent="0.3">
      <c r="A339" s="77">
        <v>333</v>
      </c>
      <c r="B339" s="79" t="s">
        <v>2439</v>
      </c>
      <c r="C339" s="79" t="s">
        <v>117</v>
      </c>
      <c r="D339" s="65" t="s">
        <v>117</v>
      </c>
      <c r="E339" s="18" t="s">
        <v>101</v>
      </c>
      <c r="F339" s="63" t="s">
        <v>107</v>
      </c>
      <c r="G339" s="18" t="s">
        <v>41</v>
      </c>
      <c r="H339" s="23"/>
      <c r="I339" s="23"/>
      <c r="J339" s="23"/>
      <c r="K339" s="67" t="s">
        <v>994</v>
      </c>
      <c r="L339" s="67" t="s">
        <v>995</v>
      </c>
      <c r="M339" s="67" t="s">
        <v>996</v>
      </c>
      <c r="N339" s="60">
        <v>21.975840999999999</v>
      </c>
      <c r="O339" s="60">
        <v>91.895619999999994</v>
      </c>
      <c r="P339" s="62">
        <v>2000</v>
      </c>
      <c r="Q339" s="62"/>
      <c r="R339" s="18"/>
      <c r="S339" s="18"/>
      <c r="T339" s="27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17"/>
      <c r="AH339" s="24"/>
      <c r="AI339" s="25"/>
      <c r="AJ339" s="25"/>
    </row>
    <row r="340" spans="1:36" x14ac:dyDescent="0.3">
      <c r="A340" s="77">
        <v>334</v>
      </c>
      <c r="B340" s="79" t="s">
        <v>2439</v>
      </c>
      <c r="C340" s="79" t="s">
        <v>117</v>
      </c>
      <c r="D340" s="65" t="s">
        <v>117</v>
      </c>
      <c r="E340" s="18" t="s">
        <v>101</v>
      </c>
      <c r="F340" s="63" t="s">
        <v>107</v>
      </c>
      <c r="G340" s="18" t="s">
        <v>41</v>
      </c>
      <c r="H340" s="23"/>
      <c r="I340" s="23"/>
      <c r="J340" s="23"/>
      <c r="K340" s="67" t="s">
        <v>997</v>
      </c>
      <c r="L340" s="67" t="s">
        <v>998</v>
      </c>
      <c r="M340" s="67" t="s">
        <v>999</v>
      </c>
      <c r="N340" s="60">
        <v>21.986463000000001</v>
      </c>
      <c r="O340" s="60">
        <v>91.892223999999999</v>
      </c>
      <c r="P340" s="62">
        <v>400</v>
      </c>
      <c r="Q340" s="62"/>
      <c r="R340" s="18"/>
      <c r="S340" s="18"/>
      <c r="T340" s="22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17"/>
      <c r="AH340" s="24"/>
      <c r="AI340" s="25"/>
      <c r="AJ340" s="25"/>
    </row>
    <row r="341" spans="1:36" x14ac:dyDescent="0.3">
      <c r="A341" s="77">
        <v>335</v>
      </c>
      <c r="B341" s="79" t="s">
        <v>2439</v>
      </c>
      <c r="C341" s="79" t="s">
        <v>117</v>
      </c>
      <c r="D341" s="65" t="s">
        <v>117</v>
      </c>
      <c r="E341" s="18" t="s">
        <v>101</v>
      </c>
      <c r="F341" s="63" t="s">
        <v>107</v>
      </c>
      <c r="G341" s="18" t="s">
        <v>42</v>
      </c>
      <c r="H341" s="23"/>
      <c r="I341" s="23"/>
      <c r="J341" s="23"/>
      <c r="K341" s="66" t="s">
        <v>1000</v>
      </c>
      <c r="L341" s="67" t="s">
        <v>1001</v>
      </c>
      <c r="M341" s="67" t="s">
        <v>1002</v>
      </c>
      <c r="N341" s="60">
        <v>21.993827</v>
      </c>
      <c r="O341" s="60">
        <v>91.899772999999996</v>
      </c>
      <c r="P341" s="62">
        <v>500</v>
      </c>
      <c r="Q341" s="62"/>
      <c r="R341" s="18"/>
      <c r="S341" s="18"/>
      <c r="T341" s="27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17"/>
      <c r="AH341" s="24"/>
      <c r="AI341" s="25"/>
      <c r="AJ341" s="25"/>
    </row>
    <row r="342" spans="1:36" x14ac:dyDescent="0.3">
      <c r="A342" s="77">
        <v>336</v>
      </c>
      <c r="B342" s="79" t="s">
        <v>2439</v>
      </c>
      <c r="C342" s="79" t="s">
        <v>117</v>
      </c>
      <c r="D342" s="65" t="s">
        <v>117</v>
      </c>
      <c r="E342" s="18" t="s">
        <v>101</v>
      </c>
      <c r="F342" s="63" t="s">
        <v>107</v>
      </c>
      <c r="G342" s="18" t="s">
        <v>42</v>
      </c>
      <c r="H342" s="23"/>
      <c r="I342" s="23"/>
      <c r="J342" s="23"/>
      <c r="K342" s="67" t="s">
        <v>1003</v>
      </c>
      <c r="L342" s="67" t="s">
        <v>1004</v>
      </c>
      <c r="M342" s="67" t="s">
        <v>1005</v>
      </c>
      <c r="N342" s="60">
        <v>21.991419</v>
      </c>
      <c r="O342" s="60">
        <v>91.901411999999993</v>
      </c>
      <c r="P342" s="62">
        <v>300</v>
      </c>
      <c r="Q342" s="62"/>
      <c r="R342" s="18"/>
      <c r="S342" s="18"/>
      <c r="T342" s="27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17"/>
      <c r="AH342" s="24"/>
      <c r="AI342" s="25"/>
      <c r="AJ342" s="25"/>
    </row>
    <row r="343" spans="1:36" x14ac:dyDescent="0.3">
      <c r="A343" s="77">
        <v>337</v>
      </c>
      <c r="B343" s="79" t="s">
        <v>2439</v>
      </c>
      <c r="C343" s="79" t="s">
        <v>117</v>
      </c>
      <c r="D343" s="65" t="s">
        <v>117</v>
      </c>
      <c r="E343" s="18" t="s">
        <v>101</v>
      </c>
      <c r="F343" s="63" t="s">
        <v>107</v>
      </c>
      <c r="G343" s="18" t="s">
        <v>42</v>
      </c>
      <c r="H343" s="23"/>
      <c r="I343" s="23"/>
      <c r="J343" s="23"/>
      <c r="K343" s="67" t="s">
        <v>1006</v>
      </c>
      <c r="L343" s="67" t="s">
        <v>1007</v>
      </c>
      <c r="M343" s="67" t="s">
        <v>1008</v>
      </c>
      <c r="N343" s="60">
        <v>21.995856</v>
      </c>
      <c r="O343" s="60">
        <v>91.902004000000005</v>
      </c>
      <c r="P343" s="62">
        <v>250</v>
      </c>
      <c r="Q343" s="62"/>
      <c r="R343" s="18"/>
      <c r="S343" s="18"/>
      <c r="T343" s="27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17"/>
      <c r="AH343" s="24"/>
      <c r="AI343" s="25"/>
      <c r="AJ343" s="25"/>
    </row>
    <row r="344" spans="1:36" x14ac:dyDescent="0.3">
      <c r="A344" s="77">
        <v>338</v>
      </c>
      <c r="B344" s="79" t="s">
        <v>2439</v>
      </c>
      <c r="C344" s="79" t="s">
        <v>117</v>
      </c>
      <c r="D344" s="65" t="s">
        <v>117</v>
      </c>
      <c r="E344" s="18" t="s">
        <v>101</v>
      </c>
      <c r="F344" s="63" t="s">
        <v>107</v>
      </c>
      <c r="G344" s="18" t="s">
        <v>42</v>
      </c>
      <c r="H344" s="23"/>
      <c r="I344" s="23"/>
      <c r="J344" s="23"/>
      <c r="K344" s="67" t="s">
        <v>1009</v>
      </c>
      <c r="L344" s="67" t="s">
        <v>1010</v>
      </c>
      <c r="M344" s="67" t="s">
        <v>1011</v>
      </c>
      <c r="N344" s="60">
        <v>21.994440999999998</v>
      </c>
      <c r="O344" s="60">
        <v>91.904781</v>
      </c>
      <c r="P344" s="62">
        <v>1000</v>
      </c>
      <c r="Q344" s="62"/>
      <c r="R344" s="18"/>
      <c r="S344" s="18"/>
      <c r="T344" s="27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17"/>
      <c r="AH344" s="24"/>
      <c r="AI344" s="25"/>
      <c r="AJ344" s="25"/>
    </row>
    <row r="345" spans="1:36" x14ac:dyDescent="0.3">
      <c r="A345" s="77">
        <v>339</v>
      </c>
      <c r="B345" s="79" t="s">
        <v>2439</v>
      </c>
      <c r="C345" s="79" t="s">
        <v>117</v>
      </c>
      <c r="D345" s="65" t="s">
        <v>117</v>
      </c>
      <c r="E345" s="18" t="s">
        <v>101</v>
      </c>
      <c r="F345" s="63" t="s">
        <v>107</v>
      </c>
      <c r="G345" s="18" t="s">
        <v>42</v>
      </c>
      <c r="H345" s="23"/>
      <c r="I345" s="23"/>
      <c r="J345" s="23"/>
      <c r="K345" s="67" t="s">
        <v>1012</v>
      </c>
      <c r="L345" s="67" t="s">
        <v>1013</v>
      </c>
      <c r="M345" s="67" t="s">
        <v>1014</v>
      </c>
      <c r="N345" s="60">
        <v>21.998742</v>
      </c>
      <c r="O345" s="60">
        <v>91.904538000000002</v>
      </c>
      <c r="P345" s="62">
        <v>200</v>
      </c>
      <c r="Q345" s="62"/>
      <c r="R345" s="18"/>
      <c r="S345" s="18"/>
      <c r="T345" s="27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17"/>
      <c r="AH345" s="24"/>
      <c r="AI345" s="25"/>
      <c r="AJ345" s="25"/>
    </row>
    <row r="346" spans="1:36" x14ac:dyDescent="0.3">
      <c r="A346" s="77">
        <v>340</v>
      </c>
      <c r="B346" s="79" t="s">
        <v>2439</v>
      </c>
      <c r="C346" s="79" t="s">
        <v>117</v>
      </c>
      <c r="D346" s="65" t="s">
        <v>117</v>
      </c>
      <c r="E346" s="18" t="s">
        <v>101</v>
      </c>
      <c r="F346" s="63" t="s">
        <v>107</v>
      </c>
      <c r="G346" s="18" t="s">
        <v>42</v>
      </c>
      <c r="H346" s="23"/>
      <c r="I346" s="23"/>
      <c r="J346" s="23"/>
      <c r="K346" s="67" t="s">
        <v>1015</v>
      </c>
      <c r="L346" s="67" t="s">
        <v>1016</v>
      </c>
      <c r="M346" s="67" t="s">
        <v>1017</v>
      </c>
      <c r="N346" s="60">
        <v>21.995456000000001</v>
      </c>
      <c r="O346" s="60">
        <v>91.906910999999994</v>
      </c>
      <c r="P346" s="62">
        <v>500</v>
      </c>
      <c r="Q346" s="62"/>
      <c r="R346" s="18"/>
      <c r="S346" s="18"/>
      <c r="T346" s="27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17"/>
      <c r="AH346" s="24"/>
      <c r="AI346" s="25"/>
      <c r="AJ346" s="25"/>
    </row>
    <row r="347" spans="1:36" x14ac:dyDescent="0.3">
      <c r="A347" s="77">
        <v>341</v>
      </c>
      <c r="B347" s="79" t="s">
        <v>2439</v>
      </c>
      <c r="C347" s="79" t="s">
        <v>117</v>
      </c>
      <c r="D347" s="65" t="s">
        <v>117</v>
      </c>
      <c r="E347" s="18" t="s">
        <v>101</v>
      </c>
      <c r="F347" s="63" t="s">
        <v>107</v>
      </c>
      <c r="G347" s="18" t="s">
        <v>42</v>
      </c>
      <c r="H347" s="23"/>
      <c r="I347" s="23"/>
      <c r="J347" s="23"/>
      <c r="K347" s="66" t="s">
        <v>1018</v>
      </c>
      <c r="L347" s="67" t="s">
        <v>1019</v>
      </c>
      <c r="M347" s="67" t="s">
        <v>1020</v>
      </c>
      <c r="N347" s="60">
        <v>21.990713</v>
      </c>
      <c r="O347" s="60">
        <v>91.911192999999997</v>
      </c>
      <c r="P347" s="62">
        <v>400</v>
      </c>
      <c r="Q347" s="62"/>
      <c r="R347" s="18"/>
      <c r="S347" s="18"/>
      <c r="T347" s="27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17"/>
      <c r="AH347" s="24"/>
      <c r="AI347" s="25"/>
      <c r="AJ347" s="25"/>
    </row>
    <row r="348" spans="1:36" x14ac:dyDescent="0.3">
      <c r="A348" s="77">
        <v>342</v>
      </c>
      <c r="B348" s="79" t="s">
        <v>2439</v>
      </c>
      <c r="C348" s="79" t="s">
        <v>117</v>
      </c>
      <c r="D348" s="65" t="s">
        <v>117</v>
      </c>
      <c r="E348" s="18" t="s">
        <v>101</v>
      </c>
      <c r="F348" s="63" t="s">
        <v>107</v>
      </c>
      <c r="G348" s="18" t="s">
        <v>42</v>
      </c>
      <c r="H348" s="23"/>
      <c r="I348" s="23"/>
      <c r="J348" s="23"/>
      <c r="K348" s="66" t="s">
        <v>1021</v>
      </c>
      <c r="L348" s="67" t="s">
        <v>1022</v>
      </c>
      <c r="M348" s="67" t="s">
        <v>1023</v>
      </c>
      <c r="N348" s="60">
        <v>21.986384999999999</v>
      </c>
      <c r="O348" s="60">
        <v>91.910875000000004</v>
      </c>
      <c r="P348" s="62">
        <v>800</v>
      </c>
      <c r="Q348" s="62"/>
      <c r="R348" s="18"/>
      <c r="S348" s="18"/>
      <c r="T348" s="22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17"/>
      <c r="AH348" s="24"/>
      <c r="AI348" s="25"/>
      <c r="AJ348" s="25"/>
    </row>
    <row r="349" spans="1:36" x14ac:dyDescent="0.3">
      <c r="A349" s="77">
        <v>343</v>
      </c>
      <c r="B349" s="79" t="s">
        <v>2439</v>
      </c>
      <c r="C349" s="79" t="s">
        <v>117</v>
      </c>
      <c r="D349" s="65" t="s">
        <v>117</v>
      </c>
      <c r="E349" s="18" t="s">
        <v>101</v>
      </c>
      <c r="F349" s="63" t="s">
        <v>107</v>
      </c>
      <c r="G349" s="18" t="s">
        <v>42</v>
      </c>
      <c r="H349" s="23"/>
      <c r="I349" s="23"/>
      <c r="J349" s="23"/>
      <c r="K349" s="66" t="s">
        <v>1024</v>
      </c>
      <c r="L349" s="67" t="s">
        <v>1025</v>
      </c>
      <c r="M349" s="67" t="s">
        <v>1026</v>
      </c>
      <c r="N349" s="60">
        <v>21.987777999999999</v>
      </c>
      <c r="O349" s="60">
        <v>91.906896000000003</v>
      </c>
      <c r="P349" s="62">
        <v>800</v>
      </c>
      <c r="Q349" s="62"/>
      <c r="R349" s="18"/>
      <c r="S349" s="18"/>
      <c r="T349" s="22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17"/>
      <c r="AH349" s="24"/>
      <c r="AI349" s="25"/>
      <c r="AJ349" s="25"/>
    </row>
    <row r="350" spans="1:36" x14ac:dyDescent="0.3">
      <c r="A350" s="77">
        <v>344</v>
      </c>
      <c r="B350" s="79" t="s">
        <v>2439</v>
      </c>
      <c r="C350" s="79" t="s">
        <v>117</v>
      </c>
      <c r="D350" s="65" t="s">
        <v>117</v>
      </c>
      <c r="E350" s="18" t="s">
        <v>101</v>
      </c>
      <c r="F350" s="63" t="s">
        <v>107</v>
      </c>
      <c r="G350" s="18" t="s">
        <v>43</v>
      </c>
      <c r="H350" s="23"/>
      <c r="I350" s="23"/>
      <c r="J350" s="23"/>
      <c r="K350" s="67" t="s">
        <v>1027</v>
      </c>
      <c r="L350" s="67" t="s">
        <v>1028</v>
      </c>
      <c r="M350" s="67" t="s">
        <v>1029</v>
      </c>
      <c r="N350" s="60">
        <v>21.969356000000001</v>
      </c>
      <c r="O350" s="60">
        <v>91.904481000000004</v>
      </c>
      <c r="P350" s="62">
        <v>600</v>
      </c>
      <c r="Q350" s="62"/>
      <c r="R350" s="18"/>
      <c r="S350" s="18"/>
      <c r="T350" s="27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17"/>
      <c r="AH350" s="24"/>
      <c r="AI350" s="25"/>
      <c r="AJ350" s="25"/>
    </row>
    <row r="351" spans="1:36" x14ac:dyDescent="0.3">
      <c r="A351" s="77">
        <v>345</v>
      </c>
      <c r="B351" s="79" t="s">
        <v>2439</v>
      </c>
      <c r="C351" s="79" t="s">
        <v>117</v>
      </c>
      <c r="D351" s="65" t="s">
        <v>117</v>
      </c>
      <c r="E351" s="18" t="s">
        <v>101</v>
      </c>
      <c r="F351" s="63" t="s">
        <v>107</v>
      </c>
      <c r="G351" s="18" t="s">
        <v>43</v>
      </c>
      <c r="H351" s="23"/>
      <c r="I351" s="23"/>
      <c r="J351" s="23"/>
      <c r="K351" s="67" t="s">
        <v>1030</v>
      </c>
      <c r="L351" s="67" t="s">
        <v>1031</v>
      </c>
      <c r="M351" s="67" t="s">
        <v>1032</v>
      </c>
      <c r="N351" s="60">
        <v>21.969895000000001</v>
      </c>
      <c r="O351" s="60">
        <v>91.897407000000001</v>
      </c>
      <c r="P351" s="62">
        <v>120</v>
      </c>
      <c r="Q351" s="62"/>
      <c r="R351" s="18"/>
      <c r="S351" s="18"/>
      <c r="T351" s="22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17"/>
      <c r="AH351" s="39"/>
      <c r="AI351" s="40"/>
      <c r="AJ351" s="40"/>
    </row>
    <row r="352" spans="1:36" x14ac:dyDescent="0.3">
      <c r="A352" s="77">
        <v>346</v>
      </c>
      <c r="B352" s="79" t="s">
        <v>2439</v>
      </c>
      <c r="C352" s="79" t="s">
        <v>117</v>
      </c>
      <c r="D352" s="65" t="s">
        <v>117</v>
      </c>
      <c r="E352" s="18" t="s">
        <v>101</v>
      </c>
      <c r="F352" s="63" t="s">
        <v>107</v>
      </c>
      <c r="G352" s="18" t="s">
        <v>43</v>
      </c>
      <c r="H352" s="23"/>
      <c r="I352" s="23"/>
      <c r="J352" s="23"/>
      <c r="K352" s="67" t="s">
        <v>1033</v>
      </c>
      <c r="L352" s="67" t="s">
        <v>1034</v>
      </c>
      <c r="M352" s="67" t="s">
        <v>1035</v>
      </c>
      <c r="N352" s="60">
        <v>21.967759000000001</v>
      </c>
      <c r="O352" s="60">
        <v>91.898555000000002</v>
      </c>
      <c r="P352" s="62">
        <v>150</v>
      </c>
      <c r="Q352" s="62"/>
      <c r="R352" s="18"/>
      <c r="S352" s="18"/>
      <c r="T352" s="22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17"/>
      <c r="AH352" s="39"/>
      <c r="AI352" s="40"/>
      <c r="AJ352" s="40"/>
    </row>
    <row r="353" spans="1:36" ht="15.6" x14ac:dyDescent="0.3">
      <c r="A353" s="77">
        <v>347</v>
      </c>
      <c r="B353" s="79" t="s">
        <v>2439</v>
      </c>
      <c r="C353" s="79" t="s">
        <v>117</v>
      </c>
      <c r="D353" s="65" t="s">
        <v>117</v>
      </c>
      <c r="E353" s="18" t="s">
        <v>101</v>
      </c>
      <c r="F353" s="63" t="s">
        <v>107</v>
      </c>
      <c r="G353" s="18" t="s">
        <v>43</v>
      </c>
      <c r="H353" s="20"/>
      <c r="I353" s="23"/>
      <c r="J353" s="23"/>
      <c r="K353" s="67" t="s">
        <v>1036</v>
      </c>
      <c r="L353" s="67" t="s">
        <v>1037</v>
      </c>
      <c r="M353" s="67" t="s">
        <v>1038</v>
      </c>
      <c r="N353" s="60">
        <v>21.969380000000001</v>
      </c>
      <c r="O353" s="60">
        <v>91.899321</v>
      </c>
      <c r="P353" s="62">
        <v>200</v>
      </c>
      <c r="Q353" s="62"/>
      <c r="R353" s="18"/>
      <c r="S353" s="18"/>
      <c r="T353" s="22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17"/>
      <c r="AH353" s="23"/>
      <c r="AI353" s="40"/>
      <c r="AJ353" s="40"/>
    </row>
    <row r="354" spans="1:36" ht="15.6" x14ac:dyDescent="0.3">
      <c r="A354" s="77">
        <v>348</v>
      </c>
      <c r="B354" s="79" t="s">
        <v>2439</v>
      </c>
      <c r="C354" s="79" t="s">
        <v>117</v>
      </c>
      <c r="D354" s="65" t="s">
        <v>117</v>
      </c>
      <c r="E354" s="18" t="s">
        <v>101</v>
      </c>
      <c r="F354" s="63" t="s">
        <v>107</v>
      </c>
      <c r="G354" s="18" t="s">
        <v>43</v>
      </c>
      <c r="H354" s="20"/>
      <c r="I354" s="23"/>
      <c r="J354" s="23"/>
      <c r="K354" s="67" t="s">
        <v>1039</v>
      </c>
      <c r="L354" s="67" t="s">
        <v>1040</v>
      </c>
      <c r="M354" s="67" t="s">
        <v>1041</v>
      </c>
      <c r="N354" s="60">
        <v>21.969973</v>
      </c>
      <c r="O354" s="60">
        <v>91.902310999999997</v>
      </c>
      <c r="P354" s="62">
        <v>800</v>
      </c>
      <c r="Q354" s="62"/>
      <c r="R354" s="18"/>
      <c r="S354" s="18"/>
      <c r="T354" s="22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17"/>
      <c r="AH354" s="23"/>
      <c r="AI354" s="40"/>
      <c r="AJ354" s="40"/>
    </row>
    <row r="355" spans="1:36" ht="15.6" x14ac:dyDescent="0.3">
      <c r="A355" s="77">
        <v>349</v>
      </c>
      <c r="B355" s="79" t="s">
        <v>2439</v>
      </c>
      <c r="C355" s="79" t="s">
        <v>117</v>
      </c>
      <c r="D355" s="65" t="s">
        <v>117</v>
      </c>
      <c r="E355" s="18" t="s">
        <v>101</v>
      </c>
      <c r="F355" s="63" t="s">
        <v>107</v>
      </c>
      <c r="G355" s="18" t="s">
        <v>43</v>
      </c>
      <c r="H355" s="20"/>
      <c r="I355" s="23"/>
      <c r="J355" s="23"/>
      <c r="K355" s="67" t="s">
        <v>1042</v>
      </c>
      <c r="L355" s="67" t="s">
        <v>1043</v>
      </c>
      <c r="M355" s="67" t="s">
        <v>1044</v>
      </c>
      <c r="N355" s="60">
        <v>21.97308</v>
      </c>
      <c r="O355" s="60">
        <v>91.900251999999995</v>
      </c>
      <c r="P355" s="62">
        <v>400</v>
      </c>
      <c r="Q355" s="62"/>
      <c r="R355" s="18"/>
      <c r="S355" s="18"/>
      <c r="T355" s="22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17"/>
      <c r="AH355" s="23"/>
      <c r="AI355" s="40"/>
      <c r="AJ355" s="40"/>
    </row>
    <row r="356" spans="1:36" ht="15.6" x14ac:dyDescent="0.3">
      <c r="A356" s="77">
        <v>350</v>
      </c>
      <c r="B356" s="79" t="s">
        <v>2439</v>
      </c>
      <c r="C356" s="79" t="s">
        <v>117</v>
      </c>
      <c r="D356" s="65" t="s">
        <v>117</v>
      </c>
      <c r="E356" s="18" t="s">
        <v>101</v>
      </c>
      <c r="F356" s="63" t="s">
        <v>107</v>
      </c>
      <c r="G356" s="18" t="s">
        <v>43</v>
      </c>
      <c r="H356" s="20"/>
      <c r="I356" s="23"/>
      <c r="J356" s="23"/>
      <c r="K356" s="67" t="s">
        <v>1045</v>
      </c>
      <c r="L356" s="67" t="s">
        <v>1046</v>
      </c>
      <c r="M356" s="67" t="s">
        <v>1047</v>
      </c>
      <c r="N356" s="60">
        <v>21.984345999999999</v>
      </c>
      <c r="O356" s="60">
        <v>91.907017999999994</v>
      </c>
      <c r="P356" s="62">
        <v>80</v>
      </c>
      <c r="Q356" s="62"/>
      <c r="R356" s="18"/>
      <c r="S356" s="18"/>
      <c r="T356" s="22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17"/>
      <c r="AH356" s="23"/>
      <c r="AI356" s="40"/>
      <c r="AJ356" s="40"/>
    </row>
    <row r="357" spans="1:36" ht="15.6" x14ac:dyDescent="0.3">
      <c r="A357" s="77">
        <v>351</v>
      </c>
      <c r="B357" s="79" t="s">
        <v>2439</v>
      </c>
      <c r="C357" s="79" t="s">
        <v>117</v>
      </c>
      <c r="D357" s="65" t="s">
        <v>117</v>
      </c>
      <c r="E357" s="18" t="s">
        <v>101</v>
      </c>
      <c r="F357" s="63" t="s">
        <v>107</v>
      </c>
      <c r="G357" s="18" t="s">
        <v>43</v>
      </c>
      <c r="H357" s="20"/>
      <c r="I357" s="23"/>
      <c r="J357" s="21"/>
      <c r="K357" s="66" t="s">
        <v>1048</v>
      </c>
      <c r="L357" s="18" t="s">
        <v>1049</v>
      </c>
      <c r="M357" s="67" t="s">
        <v>1050</v>
      </c>
      <c r="N357" s="60">
        <v>21.983073999999998</v>
      </c>
      <c r="O357" s="60">
        <v>91.902722999999995</v>
      </c>
      <c r="P357" s="62">
        <v>200</v>
      </c>
      <c r="Q357" s="62"/>
      <c r="R357" s="18"/>
      <c r="S357" s="18"/>
      <c r="T357" s="22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17"/>
      <c r="AH357" s="39"/>
      <c r="AI357" s="40"/>
      <c r="AJ357" s="40"/>
    </row>
    <row r="358" spans="1:36" x14ac:dyDescent="0.3">
      <c r="A358" s="77">
        <v>352</v>
      </c>
      <c r="B358" s="79" t="s">
        <v>2439</v>
      </c>
      <c r="C358" s="79" t="s">
        <v>117</v>
      </c>
      <c r="D358" s="65" t="s">
        <v>117</v>
      </c>
      <c r="E358" s="18" t="s">
        <v>101</v>
      </c>
      <c r="F358" s="63" t="s">
        <v>107</v>
      </c>
      <c r="G358" s="18" t="s">
        <v>43</v>
      </c>
      <c r="H358" s="23"/>
      <c r="I358" s="23"/>
      <c r="J358" s="23"/>
      <c r="K358" s="66" t="s">
        <v>1051</v>
      </c>
      <c r="L358" s="67" t="s">
        <v>1052</v>
      </c>
      <c r="M358" s="67" t="s">
        <v>1053</v>
      </c>
      <c r="N358" s="60">
        <v>21.981193000000001</v>
      </c>
      <c r="O358" s="60">
        <v>91.903809999999993</v>
      </c>
      <c r="P358" s="62">
        <v>250</v>
      </c>
      <c r="Q358" s="62"/>
      <c r="R358" s="18"/>
      <c r="S358" s="18"/>
      <c r="T358" s="22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17"/>
      <c r="AH358" s="39"/>
      <c r="AI358" s="40"/>
      <c r="AJ358" s="40"/>
    </row>
    <row r="359" spans="1:36" x14ac:dyDescent="0.3">
      <c r="A359" s="77">
        <v>353</v>
      </c>
      <c r="B359" s="79" t="s">
        <v>2439</v>
      </c>
      <c r="C359" s="79" t="s">
        <v>117</v>
      </c>
      <c r="D359" s="65" t="s">
        <v>117</v>
      </c>
      <c r="E359" s="18" t="s">
        <v>101</v>
      </c>
      <c r="F359" s="63" t="s">
        <v>107</v>
      </c>
      <c r="G359" s="18" t="s">
        <v>43</v>
      </c>
      <c r="H359" s="23"/>
      <c r="I359" s="23"/>
      <c r="J359" s="23"/>
      <c r="K359" s="67" t="s">
        <v>1054</v>
      </c>
      <c r="L359" s="67" t="s">
        <v>1055</v>
      </c>
      <c r="M359" s="67" t="s">
        <v>1056</v>
      </c>
      <c r="N359" s="60">
        <v>21.982759000000001</v>
      </c>
      <c r="O359" s="60">
        <v>91.904814999999999</v>
      </c>
      <c r="P359" s="62">
        <v>150</v>
      </c>
      <c r="Q359" s="62"/>
      <c r="R359" s="18"/>
      <c r="S359" s="18"/>
      <c r="T359" s="22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17"/>
      <c r="AH359" s="39"/>
      <c r="AI359" s="40"/>
      <c r="AJ359" s="40"/>
    </row>
    <row r="360" spans="1:36" x14ac:dyDescent="0.3">
      <c r="A360" s="77">
        <v>354</v>
      </c>
      <c r="B360" s="79" t="s">
        <v>2439</v>
      </c>
      <c r="C360" s="79" t="s">
        <v>117</v>
      </c>
      <c r="D360" s="65" t="s">
        <v>117</v>
      </c>
      <c r="E360" s="18" t="s">
        <v>101</v>
      </c>
      <c r="F360" s="63" t="s">
        <v>107</v>
      </c>
      <c r="G360" s="18" t="s">
        <v>43</v>
      </c>
      <c r="H360" s="23"/>
      <c r="I360" s="23"/>
      <c r="J360" s="23"/>
      <c r="K360" s="67" t="s">
        <v>1057</v>
      </c>
      <c r="L360" s="67" t="s">
        <v>1058</v>
      </c>
      <c r="M360" s="67" t="s">
        <v>1059</v>
      </c>
      <c r="N360" s="60">
        <v>21.980992000000001</v>
      </c>
      <c r="O360" s="60">
        <v>91.900819999999996</v>
      </c>
      <c r="P360" s="62">
        <v>250</v>
      </c>
      <c r="Q360" s="62"/>
      <c r="R360" s="18"/>
      <c r="S360" s="18"/>
      <c r="T360" s="22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17"/>
      <c r="AH360" s="39"/>
      <c r="AI360" s="40"/>
      <c r="AJ360" s="40"/>
    </row>
    <row r="361" spans="1:36" x14ac:dyDescent="0.3">
      <c r="A361" s="77">
        <v>355</v>
      </c>
      <c r="B361" s="79" t="s">
        <v>2439</v>
      </c>
      <c r="C361" s="79" t="s">
        <v>117</v>
      </c>
      <c r="D361" s="65" t="s">
        <v>117</v>
      </c>
      <c r="E361" s="18" t="s">
        <v>101</v>
      </c>
      <c r="F361" s="63" t="s">
        <v>107</v>
      </c>
      <c r="G361" s="18" t="s">
        <v>43</v>
      </c>
      <c r="H361" s="23"/>
      <c r="I361" s="23"/>
      <c r="J361" s="23"/>
      <c r="K361" s="67" t="s">
        <v>1012</v>
      </c>
      <c r="L361" s="67" t="s">
        <v>1013</v>
      </c>
      <c r="M361" s="67" t="s">
        <v>1060</v>
      </c>
      <c r="N361" s="60">
        <v>21.981169999999999</v>
      </c>
      <c r="O361" s="60">
        <v>91.90231</v>
      </c>
      <c r="P361" s="62">
        <v>250</v>
      </c>
      <c r="Q361" s="62"/>
      <c r="R361" s="18"/>
      <c r="S361" s="18"/>
      <c r="T361" s="22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17"/>
      <c r="AH361" s="39"/>
      <c r="AI361" s="40"/>
      <c r="AJ361" s="40"/>
    </row>
    <row r="362" spans="1:36" ht="15.6" x14ac:dyDescent="0.3">
      <c r="A362" s="77">
        <v>356</v>
      </c>
      <c r="B362" s="79" t="s">
        <v>2439</v>
      </c>
      <c r="C362" s="79" t="s">
        <v>117</v>
      </c>
      <c r="D362" s="65" t="s">
        <v>117</v>
      </c>
      <c r="E362" s="18" t="s">
        <v>101</v>
      </c>
      <c r="F362" s="63" t="s">
        <v>107</v>
      </c>
      <c r="G362" s="18" t="s">
        <v>43</v>
      </c>
      <c r="H362" s="20"/>
      <c r="I362" s="20"/>
      <c r="J362" s="23"/>
      <c r="K362" s="67" t="s">
        <v>1061</v>
      </c>
      <c r="L362" s="67" t="s">
        <v>1062</v>
      </c>
      <c r="M362" s="67" t="s">
        <v>1063</v>
      </c>
      <c r="N362" s="60">
        <v>21.98479</v>
      </c>
      <c r="O362" s="60">
        <v>91.900171999999998</v>
      </c>
      <c r="P362" s="62">
        <v>1200</v>
      </c>
      <c r="Q362" s="62"/>
      <c r="R362" s="18"/>
      <c r="S362" s="18"/>
      <c r="T362" s="22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17"/>
      <c r="AH362" s="39"/>
      <c r="AI362" s="40"/>
      <c r="AJ362" s="40"/>
    </row>
    <row r="363" spans="1:36" ht="15.6" x14ac:dyDescent="0.3">
      <c r="A363" s="77">
        <v>357</v>
      </c>
      <c r="B363" s="79" t="s">
        <v>2439</v>
      </c>
      <c r="C363" s="79" t="s">
        <v>117</v>
      </c>
      <c r="D363" s="65" t="s">
        <v>117</v>
      </c>
      <c r="E363" s="18" t="s">
        <v>101</v>
      </c>
      <c r="F363" s="63" t="s">
        <v>107</v>
      </c>
      <c r="G363" s="18" t="s">
        <v>44</v>
      </c>
      <c r="H363" s="23"/>
      <c r="I363" s="20"/>
      <c r="J363" s="23"/>
      <c r="K363" s="67" t="s">
        <v>1064</v>
      </c>
      <c r="L363" s="67" t="s">
        <v>1065</v>
      </c>
      <c r="M363" s="67" t="s">
        <v>1066</v>
      </c>
      <c r="N363" s="60">
        <v>21.958922000000001</v>
      </c>
      <c r="O363" s="60">
        <v>91.891395000000003</v>
      </c>
      <c r="P363" s="62">
        <v>500</v>
      </c>
      <c r="Q363" s="62"/>
      <c r="R363" s="18"/>
      <c r="S363" s="18"/>
      <c r="T363" s="22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17"/>
      <c r="AH363" s="39"/>
      <c r="AI363" s="40"/>
      <c r="AJ363" s="40"/>
    </row>
    <row r="364" spans="1:36" x14ac:dyDescent="0.3">
      <c r="A364" s="77">
        <v>358</v>
      </c>
      <c r="B364" s="79" t="s">
        <v>2439</v>
      </c>
      <c r="C364" s="79" t="s">
        <v>117</v>
      </c>
      <c r="D364" s="65" t="s">
        <v>117</v>
      </c>
      <c r="E364" s="18" t="s">
        <v>101</v>
      </c>
      <c r="F364" s="63" t="s">
        <v>107</v>
      </c>
      <c r="G364" s="18" t="s">
        <v>44</v>
      </c>
      <c r="H364" s="42"/>
      <c r="I364" s="42"/>
      <c r="J364" s="42"/>
      <c r="K364" s="67" t="s">
        <v>1067</v>
      </c>
      <c r="L364" s="66" t="s">
        <v>1068</v>
      </c>
      <c r="M364" s="67" t="s">
        <v>1069</v>
      </c>
      <c r="N364" s="60">
        <v>21.962955999999998</v>
      </c>
      <c r="O364" s="60">
        <v>91.889476999999999</v>
      </c>
      <c r="P364" s="62">
        <v>500</v>
      </c>
      <c r="Q364" s="62"/>
      <c r="R364" s="18"/>
      <c r="S364" s="18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40"/>
      <c r="AJ364" s="40"/>
    </row>
    <row r="365" spans="1:36" x14ac:dyDescent="0.3">
      <c r="A365" s="77">
        <v>359</v>
      </c>
      <c r="B365" s="79" t="s">
        <v>2439</v>
      </c>
      <c r="C365" s="79" t="s">
        <v>117</v>
      </c>
      <c r="D365" s="65" t="s">
        <v>117</v>
      </c>
      <c r="E365" s="18" t="s">
        <v>101</v>
      </c>
      <c r="F365" s="63" t="s">
        <v>107</v>
      </c>
      <c r="G365" s="18" t="s">
        <v>44</v>
      </c>
      <c r="H365" s="42"/>
      <c r="I365" s="42"/>
      <c r="J365" s="42"/>
      <c r="K365" s="67" t="s">
        <v>1070</v>
      </c>
      <c r="L365" s="67" t="s">
        <v>1071</v>
      </c>
      <c r="M365" s="67" t="s">
        <v>1072</v>
      </c>
      <c r="N365" s="60">
        <v>21.958691000000002</v>
      </c>
      <c r="O365" s="60">
        <v>91.894599999999997</v>
      </c>
      <c r="P365" s="62">
        <v>600</v>
      </c>
      <c r="Q365" s="62"/>
      <c r="R365" s="18"/>
      <c r="S365" s="18"/>
      <c r="T365" s="3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34"/>
      <c r="AH365" s="39"/>
      <c r="AI365" s="40"/>
      <c r="AJ365" s="40"/>
    </row>
    <row r="366" spans="1:36" x14ac:dyDescent="0.3">
      <c r="A366" s="77">
        <v>360</v>
      </c>
      <c r="B366" s="79" t="s">
        <v>2439</v>
      </c>
      <c r="C366" s="79" t="s">
        <v>117</v>
      </c>
      <c r="D366" s="65" t="s">
        <v>117</v>
      </c>
      <c r="E366" s="18" t="s">
        <v>101</v>
      </c>
      <c r="F366" s="63" t="s">
        <v>107</v>
      </c>
      <c r="G366" s="18" t="s">
        <v>44</v>
      </c>
      <c r="H366" s="42"/>
      <c r="I366" s="42"/>
      <c r="J366" s="42"/>
      <c r="K366" s="67" t="s">
        <v>1073</v>
      </c>
      <c r="L366" s="67" t="s">
        <v>1074</v>
      </c>
      <c r="M366" s="67" t="s">
        <v>1075</v>
      </c>
      <c r="N366" s="60">
        <v>21.961369000000001</v>
      </c>
      <c r="O366" s="60">
        <v>91.891420999999994</v>
      </c>
      <c r="P366" s="62">
        <v>700</v>
      </c>
      <c r="Q366" s="62"/>
      <c r="R366" s="18"/>
      <c r="S366" s="18"/>
      <c r="T366" s="34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4"/>
      <c r="AH366" s="39"/>
      <c r="AI366" s="40"/>
      <c r="AJ366" s="40"/>
    </row>
    <row r="367" spans="1:36" x14ac:dyDescent="0.3">
      <c r="A367" s="77">
        <v>361</v>
      </c>
      <c r="B367" s="79" t="s">
        <v>2439</v>
      </c>
      <c r="C367" s="79" t="s">
        <v>117</v>
      </c>
      <c r="D367" s="65" t="s">
        <v>117</v>
      </c>
      <c r="E367" s="18" t="s">
        <v>101</v>
      </c>
      <c r="F367" s="63" t="s">
        <v>107</v>
      </c>
      <c r="G367" s="18" t="s">
        <v>44</v>
      </c>
      <c r="H367" s="42"/>
      <c r="I367" s="42"/>
      <c r="J367" s="42"/>
      <c r="K367" s="67" t="s">
        <v>1076</v>
      </c>
      <c r="L367" s="67" t="s">
        <v>1077</v>
      </c>
      <c r="M367" s="67" t="s">
        <v>1078</v>
      </c>
      <c r="N367" s="60">
        <v>21.963048000000001</v>
      </c>
      <c r="O367" s="60">
        <v>91.893827000000002</v>
      </c>
      <c r="P367" s="62">
        <v>200</v>
      </c>
      <c r="Q367" s="62"/>
      <c r="R367" s="18"/>
      <c r="S367" s="18"/>
      <c r="T367" s="34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4"/>
      <c r="AH367" s="39"/>
      <c r="AI367" s="40"/>
      <c r="AJ367" s="40"/>
    </row>
    <row r="368" spans="1:36" x14ac:dyDescent="0.3">
      <c r="A368" s="77">
        <v>362</v>
      </c>
      <c r="B368" s="79" t="s">
        <v>2439</v>
      </c>
      <c r="C368" s="79" t="s">
        <v>117</v>
      </c>
      <c r="D368" s="65" t="s">
        <v>117</v>
      </c>
      <c r="E368" s="18" t="s">
        <v>101</v>
      </c>
      <c r="F368" s="63" t="s">
        <v>107</v>
      </c>
      <c r="G368" s="18" t="s">
        <v>44</v>
      </c>
      <c r="H368" s="42"/>
      <c r="I368" s="42"/>
      <c r="J368" s="42"/>
      <c r="K368" s="67" t="s">
        <v>1079</v>
      </c>
      <c r="L368" s="67" t="s">
        <v>1080</v>
      </c>
      <c r="M368" s="67" t="s">
        <v>1081</v>
      </c>
      <c r="N368" s="60">
        <v>21.962935000000002</v>
      </c>
      <c r="O368" s="60">
        <v>91.891330999999994</v>
      </c>
      <c r="P368" s="62">
        <v>350</v>
      </c>
      <c r="Q368" s="62"/>
      <c r="R368" s="18"/>
      <c r="S368" s="18"/>
      <c r="T368" s="34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4"/>
      <c r="AH368" s="39"/>
      <c r="AI368" s="40"/>
      <c r="AJ368" s="40"/>
    </row>
    <row r="369" spans="1:36" x14ac:dyDescent="0.3">
      <c r="A369" s="77">
        <v>363</v>
      </c>
      <c r="B369" s="79" t="s">
        <v>2439</v>
      </c>
      <c r="C369" s="79" t="s">
        <v>117</v>
      </c>
      <c r="D369" s="65" t="s">
        <v>117</v>
      </c>
      <c r="E369" s="18" t="s">
        <v>101</v>
      </c>
      <c r="F369" s="63" t="s">
        <v>107</v>
      </c>
      <c r="G369" s="18" t="s">
        <v>44</v>
      </c>
      <c r="H369" s="42"/>
      <c r="I369" s="42"/>
      <c r="J369" s="42"/>
      <c r="K369" s="67" t="s">
        <v>1082</v>
      </c>
      <c r="L369" s="67" t="s">
        <v>1083</v>
      </c>
      <c r="M369" s="67" t="s">
        <v>1084</v>
      </c>
      <c r="N369" s="60">
        <v>21.968781</v>
      </c>
      <c r="O369" s="60">
        <v>91.895386000000002</v>
      </c>
      <c r="P369" s="62">
        <v>200</v>
      </c>
      <c r="Q369" s="62"/>
      <c r="R369" s="18"/>
      <c r="S369" s="18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42"/>
      <c r="AH369" s="39"/>
      <c r="AI369" s="40"/>
      <c r="AJ369" s="40"/>
    </row>
    <row r="370" spans="1:36" x14ac:dyDescent="0.3">
      <c r="A370" s="77">
        <v>364</v>
      </c>
      <c r="B370" s="79" t="s">
        <v>2439</v>
      </c>
      <c r="C370" s="79" t="s">
        <v>117</v>
      </c>
      <c r="D370" s="65" t="s">
        <v>117</v>
      </c>
      <c r="E370" s="18" t="s">
        <v>101</v>
      </c>
      <c r="F370" s="63" t="s">
        <v>107</v>
      </c>
      <c r="G370" s="18" t="s">
        <v>44</v>
      </c>
      <c r="H370" s="42"/>
      <c r="I370" s="42"/>
      <c r="J370" s="42"/>
      <c r="K370" s="67" t="s">
        <v>1085</v>
      </c>
      <c r="L370" s="67" t="s">
        <v>1086</v>
      </c>
      <c r="M370" s="67" t="s">
        <v>1087</v>
      </c>
      <c r="N370" s="60">
        <v>21.971781</v>
      </c>
      <c r="O370" s="60">
        <v>91.895105000000001</v>
      </c>
      <c r="P370" s="62">
        <v>400</v>
      </c>
      <c r="Q370" s="62"/>
      <c r="R370" s="18"/>
      <c r="S370" s="18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42"/>
      <c r="AH370" s="39"/>
      <c r="AI370" s="40"/>
      <c r="AJ370" s="40"/>
    </row>
    <row r="371" spans="1:36" x14ac:dyDescent="0.3">
      <c r="A371" s="77">
        <v>365</v>
      </c>
      <c r="B371" s="79" t="s">
        <v>2439</v>
      </c>
      <c r="C371" s="79" t="s">
        <v>117</v>
      </c>
      <c r="D371" s="65" t="s">
        <v>117</v>
      </c>
      <c r="E371" s="18" t="s">
        <v>101</v>
      </c>
      <c r="F371" s="63" t="s">
        <v>107</v>
      </c>
      <c r="G371" s="18" t="s">
        <v>44</v>
      </c>
      <c r="H371" s="42"/>
      <c r="I371" s="42"/>
      <c r="J371" s="42"/>
      <c r="K371" s="67" t="s">
        <v>1088</v>
      </c>
      <c r="L371" s="67" t="s">
        <v>1089</v>
      </c>
      <c r="M371" s="67" t="s">
        <v>1090</v>
      </c>
      <c r="N371" s="60">
        <v>21.972505000000002</v>
      </c>
      <c r="O371" s="60">
        <v>91.890117000000004</v>
      </c>
      <c r="P371" s="62">
        <v>500</v>
      </c>
      <c r="Q371" s="62"/>
      <c r="R371" s="18"/>
      <c r="S371" s="18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42"/>
      <c r="AH371" s="39"/>
      <c r="AI371" s="40"/>
      <c r="AJ371" s="40"/>
    </row>
    <row r="372" spans="1:36" x14ac:dyDescent="0.3">
      <c r="A372" s="77">
        <v>366</v>
      </c>
      <c r="B372" s="79" t="s">
        <v>2439</v>
      </c>
      <c r="C372" s="79" t="s">
        <v>117</v>
      </c>
      <c r="D372" s="65" t="s">
        <v>117</v>
      </c>
      <c r="E372" s="18" t="s">
        <v>101</v>
      </c>
      <c r="F372" s="63" t="s">
        <v>107</v>
      </c>
      <c r="G372" s="18" t="s">
        <v>45</v>
      </c>
      <c r="H372" s="42"/>
      <c r="I372" s="42"/>
      <c r="J372" s="42"/>
      <c r="K372" s="67" t="s">
        <v>1091</v>
      </c>
      <c r="L372" s="67" t="s">
        <v>1092</v>
      </c>
      <c r="M372" s="67" t="s">
        <v>1093</v>
      </c>
      <c r="N372" s="60">
        <v>21.9559</v>
      </c>
      <c r="O372" s="60">
        <v>91.898567</v>
      </c>
      <c r="P372" s="62">
        <v>350</v>
      </c>
      <c r="Q372" s="62"/>
      <c r="R372" s="18"/>
      <c r="S372" s="18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42"/>
      <c r="AH372" s="39"/>
      <c r="AI372" s="40"/>
      <c r="AJ372" s="40"/>
    </row>
    <row r="373" spans="1:36" x14ac:dyDescent="0.3">
      <c r="A373" s="77">
        <v>367</v>
      </c>
      <c r="B373" s="79" t="s">
        <v>2439</v>
      </c>
      <c r="C373" s="79" t="s">
        <v>117</v>
      </c>
      <c r="D373" s="65" t="s">
        <v>117</v>
      </c>
      <c r="E373" s="18" t="s">
        <v>101</v>
      </c>
      <c r="F373" s="63" t="s">
        <v>107</v>
      </c>
      <c r="G373" s="18" t="s">
        <v>45</v>
      </c>
      <c r="H373" s="42"/>
      <c r="I373" s="42"/>
      <c r="J373" s="42"/>
      <c r="K373" s="67" t="s">
        <v>1094</v>
      </c>
      <c r="L373" s="67" t="s">
        <v>1095</v>
      </c>
      <c r="M373" s="67" t="s">
        <v>1096</v>
      </c>
      <c r="N373" s="60">
        <v>21.959118</v>
      </c>
      <c r="O373" s="60">
        <v>91.897926999999996</v>
      </c>
      <c r="P373" s="62">
        <v>500</v>
      </c>
      <c r="Q373" s="62"/>
      <c r="R373" s="18"/>
      <c r="S373" s="18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42"/>
      <c r="AH373" s="39"/>
      <c r="AI373" s="40"/>
      <c r="AJ373" s="40"/>
    </row>
    <row r="374" spans="1:36" x14ac:dyDescent="0.3">
      <c r="A374" s="77">
        <v>368</v>
      </c>
      <c r="B374" s="79" t="s">
        <v>2439</v>
      </c>
      <c r="C374" s="79" t="s">
        <v>117</v>
      </c>
      <c r="D374" s="65" t="s">
        <v>117</v>
      </c>
      <c r="E374" s="18" t="s">
        <v>101</v>
      </c>
      <c r="F374" s="63" t="s">
        <v>107</v>
      </c>
      <c r="G374" s="18" t="s">
        <v>45</v>
      </c>
      <c r="H374" s="42"/>
      <c r="I374" s="42"/>
      <c r="J374" s="42"/>
      <c r="K374" s="67" t="s">
        <v>1097</v>
      </c>
      <c r="L374" s="67" t="s">
        <v>1098</v>
      </c>
      <c r="M374" s="67" t="s">
        <v>1099</v>
      </c>
      <c r="N374" s="60">
        <v>21.96096</v>
      </c>
      <c r="O374" s="60">
        <v>91.896302000000006</v>
      </c>
      <c r="P374" s="62">
        <v>400</v>
      </c>
      <c r="Q374" s="62"/>
      <c r="R374" s="18"/>
      <c r="S374" s="18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42"/>
      <c r="AH374" s="39"/>
      <c r="AI374" s="40"/>
      <c r="AJ374" s="40"/>
    </row>
    <row r="375" spans="1:36" x14ac:dyDescent="0.3">
      <c r="A375" s="77">
        <v>369</v>
      </c>
      <c r="B375" s="79" t="s">
        <v>2439</v>
      </c>
      <c r="C375" s="79" t="s">
        <v>117</v>
      </c>
      <c r="D375" s="65" t="s">
        <v>117</v>
      </c>
      <c r="E375" s="18" t="s">
        <v>101</v>
      </c>
      <c r="F375" s="63" t="s">
        <v>107</v>
      </c>
      <c r="G375" s="18" t="s">
        <v>45</v>
      </c>
      <c r="H375" s="42"/>
      <c r="I375" s="42"/>
      <c r="J375" s="42"/>
      <c r="K375" s="67" t="s">
        <v>1100</v>
      </c>
      <c r="L375" s="67" t="s">
        <v>1101</v>
      </c>
      <c r="M375" s="67" t="s">
        <v>1102</v>
      </c>
      <c r="N375" s="60">
        <v>21.966353999999999</v>
      </c>
      <c r="O375" s="60">
        <v>91.898233000000005</v>
      </c>
      <c r="P375" s="62">
        <v>350</v>
      </c>
      <c r="Q375" s="62"/>
      <c r="R375" s="18"/>
      <c r="S375" s="18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42"/>
      <c r="AH375" s="39"/>
      <c r="AI375" s="40"/>
      <c r="AJ375" s="40"/>
    </row>
    <row r="376" spans="1:36" x14ac:dyDescent="0.3">
      <c r="A376" s="77">
        <v>370</v>
      </c>
      <c r="B376" s="79" t="s">
        <v>2439</v>
      </c>
      <c r="C376" s="79" t="s">
        <v>117</v>
      </c>
      <c r="D376" s="65" t="s">
        <v>117</v>
      </c>
      <c r="E376" s="18" t="s">
        <v>101</v>
      </c>
      <c r="F376" s="63" t="s">
        <v>107</v>
      </c>
      <c r="G376" s="18" t="s">
        <v>45</v>
      </c>
      <c r="H376" s="42"/>
      <c r="I376" s="42"/>
      <c r="J376" s="42"/>
      <c r="K376" s="67" t="s">
        <v>1103</v>
      </c>
      <c r="L376" s="67" t="s">
        <v>1104</v>
      </c>
      <c r="M376" s="67" t="s">
        <v>1105</v>
      </c>
      <c r="N376" s="60">
        <v>21.964715999999999</v>
      </c>
      <c r="O376" s="60">
        <v>91.896361999999996</v>
      </c>
      <c r="P376" s="62">
        <v>500</v>
      </c>
      <c r="Q376" s="62"/>
      <c r="R376" s="18"/>
      <c r="S376" s="18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42"/>
      <c r="AH376" s="39"/>
      <c r="AI376" s="40"/>
      <c r="AJ376" s="40"/>
    </row>
    <row r="377" spans="1:36" x14ac:dyDescent="0.3">
      <c r="A377" s="77">
        <v>371</v>
      </c>
      <c r="B377" s="79" t="s">
        <v>2439</v>
      </c>
      <c r="C377" s="79" t="s">
        <v>117</v>
      </c>
      <c r="D377" s="65" t="s">
        <v>117</v>
      </c>
      <c r="E377" s="18" t="s">
        <v>101</v>
      </c>
      <c r="F377" s="63" t="s">
        <v>107</v>
      </c>
      <c r="G377" s="18" t="s">
        <v>45</v>
      </c>
      <c r="H377" s="42"/>
      <c r="I377" s="42"/>
      <c r="J377" s="42"/>
      <c r="K377" s="67" t="s">
        <v>1106</v>
      </c>
      <c r="L377" s="67" t="s">
        <v>1107</v>
      </c>
      <c r="M377" s="67" t="s">
        <v>1108</v>
      </c>
      <c r="N377" s="60">
        <v>21.962133999999999</v>
      </c>
      <c r="O377" s="60">
        <v>91.895145999999997</v>
      </c>
      <c r="P377" s="62">
        <v>600</v>
      </c>
      <c r="Q377" s="62"/>
      <c r="R377" s="18"/>
      <c r="S377" s="18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42"/>
      <c r="AH377" s="39"/>
      <c r="AI377" s="40"/>
      <c r="AJ377" s="40"/>
    </row>
    <row r="378" spans="1:36" x14ac:dyDescent="0.3">
      <c r="A378" s="77">
        <v>372</v>
      </c>
      <c r="B378" s="79" t="s">
        <v>2439</v>
      </c>
      <c r="C378" s="79" t="s">
        <v>117</v>
      </c>
      <c r="D378" s="65" t="s">
        <v>117</v>
      </c>
      <c r="E378" s="18" t="s">
        <v>101</v>
      </c>
      <c r="F378" s="63" t="s">
        <v>107</v>
      </c>
      <c r="G378" s="18" t="s">
        <v>45</v>
      </c>
      <c r="H378" s="42"/>
      <c r="I378" s="42"/>
      <c r="J378" s="42"/>
      <c r="K378" s="67" t="s">
        <v>1109</v>
      </c>
      <c r="L378" s="67" t="s">
        <v>1110</v>
      </c>
      <c r="M378" s="67" t="s">
        <v>1111</v>
      </c>
      <c r="N378" s="60">
        <v>21.963853</v>
      </c>
      <c r="O378" s="60">
        <v>91.898719</v>
      </c>
      <c r="P378" s="62">
        <v>1000</v>
      </c>
      <c r="Q378" s="62"/>
      <c r="R378" s="18"/>
      <c r="S378" s="18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42"/>
      <c r="AH378" s="39"/>
      <c r="AI378" s="40"/>
      <c r="AJ378" s="40"/>
    </row>
    <row r="379" spans="1:36" x14ac:dyDescent="0.3">
      <c r="A379" s="77">
        <v>373</v>
      </c>
      <c r="B379" s="79" t="s">
        <v>2439</v>
      </c>
      <c r="C379" s="79" t="s">
        <v>117</v>
      </c>
      <c r="D379" s="65" t="s">
        <v>117</v>
      </c>
      <c r="E379" s="18" t="s">
        <v>101</v>
      </c>
      <c r="F379" s="63" t="s">
        <v>107</v>
      </c>
      <c r="G379" s="18" t="s">
        <v>46</v>
      </c>
      <c r="H379" s="42"/>
      <c r="I379" s="42"/>
      <c r="J379" s="42"/>
      <c r="K379" s="67" t="s">
        <v>1112</v>
      </c>
      <c r="L379" s="67" t="s">
        <v>1113</v>
      </c>
      <c r="M379" s="67" t="s">
        <v>1114</v>
      </c>
      <c r="N379" s="60">
        <v>21.957135000000001</v>
      </c>
      <c r="O379" s="60">
        <v>91.906008999999997</v>
      </c>
      <c r="P379" s="62">
        <v>300</v>
      </c>
      <c r="Q379" s="62"/>
      <c r="R379" s="18"/>
      <c r="S379" s="18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42"/>
      <c r="AH379" s="39"/>
      <c r="AI379" s="40"/>
      <c r="AJ379" s="40"/>
    </row>
    <row r="380" spans="1:36" x14ac:dyDescent="0.3">
      <c r="A380" s="77">
        <v>374</v>
      </c>
      <c r="B380" s="79" t="s">
        <v>2439</v>
      </c>
      <c r="C380" s="79" t="s">
        <v>117</v>
      </c>
      <c r="D380" s="65" t="s">
        <v>117</v>
      </c>
      <c r="E380" s="18" t="s">
        <v>101</v>
      </c>
      <c r="F380" s="63" t="s">
        <v>107</v>
      </c>
      <c r="G380" s="18" t="s">
        <v>46</v>
      </c>
      <c r="H380" s="42"/>
      <c r="I380" s="42"/>
      <c r="J380" s="42"/>
      <c r="K380" s="67" t="s">
        <v>1115</v>
      </c>
      <c r="L380" s="67" t="s">
        <v>1116</v>
      </c>
      <c r="M380" s="67" t="s">
        <v>1117</v>
      </c>
      <c r="N380" s="60">
        <v>21.955506</v>
      </c>
      <c r="O380" s="60">
        <v>91.904544000000001</v>
      </c>
      <c r="P380" s="62">
        <v>700</v>
      </c>
      <c r="Q380" s="62"/>
      <c r="R380" s="18"/>
      <c r="S380" s="18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42"/>
      <c r="AH380" s="39"/>
      <c r="AI380" s="40"/>
      <c r="AJ380" s="40"/>
    </row>
    <row r="381" spans="1:36" x14ac:dyDescent="0.3">
      <c r="A381" s="77">
        <v>375</v>
      </c>
      <c r="B381" s="79" t="s">
        <v>2439</v>
      </c>
      <c r="C381" s="79" t="s">
        <v>117</v>
      </c>
      <c r="D381" s="65" t="s">
        <v>117</v>
      </c>
      <c r="E381" s="18" t="s">
        <v>101</v>
      </c>
      <c r="F381" s="63" t="s">
        <v>107</v>
      </c>
      <c r="G381" s="18" t="s">
        <v>46</v>
      </c>
      <c r="H381" s="42"/>
      <c r="I381" s="42"/>
      <c r="J381" s="42"/>
      <c r="K381" s="67" t="s">
        <v>1118</v>
      </c>
      <c r="L381" s="67" t="s">
        <v>1119</v>
      </c>
      <c r="M381" s="67" t="s">
        <v>1120</v>
      </c>
      <c r="N381" s="60">
        <v>21.954105999999999</v>
      </c>
      <c r="O381" s="60">
        <v>91.900177999999997</v>
      </c>
      <c r="P381" s="62">
        <v>1000</v>
      </c>
      <c r="Q381" s="62"/>
      <c r="R381" s="18"/>
      <c r="S381" s="18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42"/>
      <c r="AH381" s="39"/>
      <c r="AI381" s="40"/>
      <c r="AJ381" s="40"/>
    </row>
    <row r="382" spans="1:36" x14ac:dyDescent="0.3">
      <c r="A382" s="77">
        <v>376</v>
      </c>
      <c r="B382" s="79" t="s">
        <v>2439</v>
      </c>
      <c r="C382" s="79" t="s">
        <v>117</v>
      </c>
      <c r="D382" s="65" t="s">
        <v>117</v>
      </c>
      <c r="E382" s="18" t="s">
        <v>101</v>
      </c>
      <c r="F382" s="63" t="s">
        <v>107</v>
      </c>
      <c r="G382" s="18" t="s">
        <v>46</v>
      </c>
      <c r="H382" s="42"/>
      <c r="I382" s="42"/>
      <c r="J382" s="42"/>
      <c r="K382" s="67" t="s">
        <v>1121</v>
      </c>
      <c r="L382" s="67" t="s">
        <v>1122</v>
      </c>
      <c r="M382" s="67" t="s">
        <v>1123</v>
      </c>
      <c r="N382" s="60">
        <v>21.965751000000001</v>
      </c>
      <c r="O382" s="60">
        <v>91.900617999999994</v>
      </c>
      <c r="P382" s="62">
        <v>300</v>
      </c>
      <c r="Q382" s="62"/>
      <c r="R382" s="18"/>
      <c r="S382" s="18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42"/>
      <c r="AH382" s="39"/>
      <c r="AI382" s="40"/>
      <c r="AJ382" s="40"/>
    </row>
    <row r="383" spans="1:36" x14ac:dyDescent="0.3">
      <c r="A383" s="77">
        <v>377</v>
      </c>
      <c r="B383" s="79" t="s">
        <v>2439</v>
      </c>
      <c r="C383" s="79" t="s">
        <v>117</v>
      </c>
      <c r="D383" s="65" t="s">
        <v>117</v>
      </c>
      <c r="E383" s="18" t="s">
        <v>101</v>
      </c>
      <c r="F383" s="63" t="s">
        <v>107</v>
      </c>
      <c r="G383" s="18" t="s">
        <v>46</v>
      </c>
      <c r="H383" s="42"/>
      <c r="I383" s="42"/>
      <c r="J383" s="42"/>
      <c r="K383" s="67" t="s">
        <v>1124</v>
      </c>
      <c r="L383" s="67" t="s">
        <v>1125</v>
      </c>
      <c r="M383" s="67" t="s">
        <v>1126</v>
      </c>
      <c r="N383" s="60">
        <v>21.966837000000002</v>
      </c>
      <c r="O383" s="60">
        <v>91.903358999999995</v>
      </c>
      <c r="P383" s="62">
        <v>800</v>
      </c>
      <c r="Q383" s="62"/>
      <c r="R383" s="18"/>
      <c r="S383" s="18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42"/>
      <c r="AH383" s="39"/>
      <c r="AI383" s="40"/>
      <c r="AJ383" s="40"/>
    </row>
    <row r="384" spans="1:36" x14ac:dyDescent="0.3">
      <c r="A384" s="77">
        <v>378</v>
      </c>
      <c r="B384" s="79" t="s">
        <v>2439</v>
      </c>
      <c r="C384" s="79" t="s">
        <v>117</v>
      </c>
      <c r="D384" s="65" t="s">
        <v>117</v>
      </c>
      <c r="E384" s="18" t="s">
        <v>101</v>
      </c>
      <c r="F384" s="63" t="s">
        <v>107</v>
      </c>
      <c r="G384" s="18" t="s">
        <v>46</v>
      </c>
      <c r="H384" s="42"/>
      <c r="I384" s="42"/>
      <c r="J384" s="42"/>
      <c r="K384" s="67" t="s">
        <v>1127</v>
      </c>
      <c r="L384" s="67" t="s">
        <v>1128</v>
      </c>
      <c r="M384" s="67" t="s">
        <v>1129</v>
      </c>
      <c r="N384" s="60">
        <v>21.965776999999999</v>
      </c>
      <c r="O384" s="60">
        <v>91.904433999999995</v>
      </c>
      <c r="P384" s="62">
        <v>400</v>
      </c>
      <c r="Q384" s="62"/>
      <c r="R384" s="18"/>
      <c r="S384" s="18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42"/>
      <c r="AH384" s="39"/>
      <c r="AI384" s="40"/>
      <c r="AJ384" s="40"/>
    </row>
    <row r="385" spans="1:36" x14ac:dyDescent="0.3">
      <c r="A385" s="77">
        <v>379</v>
      </c>
      <c r="B385" s="79" t="s">
        <v>2439</v>
      </c>
      <c r="C385" s="79" t="s">
        <v>117</v>
      </c>
      <c r="D385" s="65" t="s">
        <v>117</v>
      </c>
      <c r="E385" s="18" t="s">
        <v>101</v>
      </c>
      <c r="F385" s="63" t="s">
        <v>107</v>
      </c>
      <c r="G385" s="18" t="s">
        <v>46</v>
      </c>
      <c r="H385" s="42"/>
      <c r="I385" s="42"/>
      <c r="J385" s="42"/>
      <c r="K385" s="67" t="s">
        <v>439</v>
      </c>
      <c r="L385" s="67" t="s">
        <v>545</v>
      </c>
      <c r="M385" s="67" t="s">
        <v>1130</v>
      </c>
      <c r="N385" s="60">
        <v>21.962880999999999</v>
      </c>
      <c r="O385" s="60">
        <v>91.901540999999995</v>
      </c>
      <c r="P385" s="62">
        <v>800</v>
      </c>
      <c r="Q385" s="62"/>
      <c r="R385" s="18"/>
      <c r="S385" s="18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42"/>
      <c r="AH385" s="39"/>
      <c r="AI385" s="40"/>
      <c r="AJ385" s="40"/>
    </row>
    <row r="386" spans="1:36" x14ac:dyDescent="0.3">
      <c r="A386" s="77">
        <v>380</v>
      </c>
      <c r="B386" s="79" t="s">
        <v>2439</v>
      </c>
      <c r="C386" s="79" t="s">
        <v>117</v>
      </c>
      <c r="D386" s="65" t="s">
        <v>117</v>
      </c>
      <c r="E386" s="18" t="s">
        <v>101</v>
      </c>
      <c r="F386" s="63" t="s">
        <v>107</v>
      </c>
      <c r="G386" s="18" t="s">
        <v>47</v>
      </c>
      <c r="H386" s="42"/>
      <c r="I386" s="42"/>
      <c r="J386" s="42"/>
      <c r="K386" s="67" t="s">
        <v>1131</v>
      </c>
      <c r="L386" s="67" t="s">
        <v>1132</v>
      </c>
      <c r="M386" s="67" t="s">
        <v>1133</v>
      </c>
      <c r="N386" s="60">
        <v>21.963279</v>
      </c>
      <c r="O386" s="60">
        <v>91.911709999999999</v>
      </c>
      <c r="P386" s="62">
        <v>3000</v>
      </c>
      <c r="Q386" s="62"/>
      <c r="R386" s="18"/>
      <c r="S386" s="18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42"/>
      <c r="AH386" s="39"/>
      <c r="AI386" s="40"/>
      <c r="AJ386" s="40"/>
    </row>
    <row r="387" spans="1:36" x14ac:dyDescent="0.3">
      <c r="A387" s="77">
        <v>381</v>
      </c>
      <c r="B387" s="79" t="s">
        <v>2439</v>
      </c>
      <c r="C387" s="79" t="s">
        <v>117</v>
      </c>
      <c r="D387" s="65" t="s">
        <v>117</v>
      </c>
      <c r="E387" s="18" t="s">
        <v>101</v>
      </c>
      <c r="F387" s="63" t="s">
        <v>107</v>
      </c>
      <c r="G387" s="18" t="s">
        <v>47</v>
      </c>
      <c r="H387" s="42"/>
      <c r="I387" s="42"/>
      <c r="J387" s="42"/>
      <c r="K387" s="67" t="s">
        <v>1134</v>
      </c>
      <c r="L387" s="67" t="s">
        <v>1135</v>
      </c>
      <c r="M387" s="67" t="s">
        <v>1136</v>
      </c>
      <c r="N387" s="60">
        <v>21.961789</v>
      </c>
      <c r="O387" s="60">
        <v>91.918386999999996</v>
      </c>
      <c r="P387" s="62">
        <v>3200</v>
      </c>
      <c r="Q387" s="62"/>
      <c r="R387" s="18"/>
      <c r="S387" s="18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42"/>
      <c r="AH387" s="39"/>
      <c r="AI387" s="40"/>
      <c r="AJ387" s="40"/>
    </row>
    <row r="388" spans="1:36" x14ac:dyDescent="0.3">
      <c r="A388" s="77">
        <v>382</v>
      </c>
      <c r="B388" s="79" t="s">
        <v>2439</v>
      </c>
      <c r="C388" s="79" t="s">
        <v>117</v>
      </c>
      <c r="D388" s="65" t="s">
        <v>117</v>
      </c>
      <c r="E388" s="18" t="s">
        <v>101</v>
      </c>
      <c r="F388" s="63" t="s">
        <v>107</v>
      </c>
      <c r="G388" s="18" t="s">
        <v>47</v>
      </c>
      <c r="H388" s="42"/>
      <c r="I388" s="42"/>
      <c r="J388" s="42"/>
      <c r="K388" s="67" t="s">
        <v>1137</v>
      </c>
      <c r="L388" s="67" t="s">
        <v>1138</v>
      </c>
      <c r="M388" s="67" t="s">
        <v>1139</v>
      </c>
      <c r="N388" s="60">
        <v>21.96698</v>
      </c>
      <c r="O388" s="60">
        <v>91.909932999999995</v>
      </c>
      <c r="P388" s="62">
        <v>750</v>
      </c>
      <c r="Q388" s="62"/>
      <c r="R388" s="18"/>
      <c r="S388" s="18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42"/>
      <c r="AH388" s="39"/>
      <c r="AI388" s="40"/>
      <c r="AJ388" s="40"/>
    </row>
    <row r="389" spans="1:36" x14ac:dyDescent="0.3">
      <c r="A389" s="77">
        <v>383</v>
      </c>
      <c r="B389" s="79" t="s">
        <v>2439</v>
      </c>
      <c r="C389" s="79" t="s">
        <v>117</v>
      </c>
      <c r="D389" s="65" t="s">
        <v>117</v>
      </c>
      <c r="E389" s="18" t="s">
        <v>101</v>
      </c>
      <c r="F389" s="63" t="s">
        <v>107</v>
      </c>
      <c r="G389" s="18" t="s">
        <v>47</v>
      </c>
      <c r="H389" s="42"/>
      <c r="I389" s="42"/>
      <c r="J389" s="42"/>
      <c r="K389" s="67" t="s">
        <v>1140</v>
      </c>
      <c r="L389" s="67" t="s">
        <v>1141</v>
      </c>
      <c r="M389" s="67" t="s">
        <v>1142</v>
      </c>
      <c r="N389" s="60">
        <v>21.965302999999999</v>
      </c>
      <c r="O389" s="60">
        <v>91.918603000000004</v>
      </c>
      <c r="P389" s="62">
        <v>500</v>
      </c>
      <c r="Q389" s="62"/>
      <c r="R389" s="18"/>
      <c r="S389" s="18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42"/>
      <c r="AH389" s="39"/>
      <c r="AI389" s="40"/>
      <c r="AJ389" s="40"/>
    </row>
    <row r="390" spans="1:36" x14ac:dyDescent="0.3">
      <c r="A390" s="77">
        <v>384</v>
      </c>
      <c r="B390" s="79" t="s">
        <v>2439</v>
      </c>
      <c r="C390" s="79" t="s">
        <v>117</v>
      </c>
      <c r="D390" s="65" t="s">
        <v>117</v>
      </c>
      <c r="E390" s="18" t="s">
        <v>101</v>
      </c>
      <c r="F390" s="63" t="s">
        <v>107</v>
      </c>
      <c r="G390" s="18" t="s">
        <v>47</v>
      </c>
      <c r="H390" s="42"/>
      <c r="I390" s="42"/>
      <c r="J390" s="42"/>
      <c r="K390" s="67" t="s">
        <v>1143</v>
      </c>
      <c r="L390" s="67" t="s">
        <v>1144</v>
      </c>
      <c r="M390" s="67" t="s">
        <v>1145</v>
      </c>
      <c r="N390" s="60">
        <v>21.958745</v>
      </c>
      <c r="O390" s="60">
        <v>91.928552999999994</v>
      </c>
      <c r="P390" s="62">
        <v>600</v>
      </c>
      <c r="Q390" s="62"/>
      <c r="R390" s="18"/>
      <c r="S390" s="18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42"/>
      <c r="AH390" s="39"/>
      <c r="AI390" s="40"/>
      <c r="AJ390" s="40"/>
    </row>
    <row r="391" spans="1:36" x14ac:dyDescent="0.3">
      <c r="A391" s="77">
        <v>385</v>
      </c>
      <c r="B391" s="79" t="s">
        <v>2439</v>
      </c>
      <c r="C391" s="79" t="s">
        <v>117</v>
      </c>
      <c r="D391" s="65" t="s">
        <v>117</v>
      </c>
      <c r="E391" s="18" t="s">
        <v>101</v>
      </c>
      <c r="F391" s="63" t="s">
        <v>107</v>
      </c>
      <c r="G391" s="18" t="s">
        <v>47</v>
      </c>
      <c r="H391" s="42"/>
      <c r="I391" s="42"/>
      <c r="J391" s="42"/>
      <c r="K391" s="67" t="s">
        <v>537</v>
      </c>
      <c r="L391" s="67" t="s">
        <v>538</v>
      </c>
      <c r="M391" s="67" t="s">
        <v>1146</v>
      </c>
      <c r="N391" s="60">
        <v>21.961404999999999</v>
      </c>
      <c r="O391" s="60">
        <v>91.929637999999997</v>
      </c>
      <c r="P391" s="62">
        <v>600</v>
      </c>
      <c r="Q391" s="62"/>
      <c r="R391" s="18"/>
      <c r="S391" s="18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42"/>
      <c r="AH391" s="39"/>
      <c r="AI391" s="40"/>
      <c r="AJ391" s="40"/>
    </row>
    <row r="392" spans="1:36" x14ac:dyDescent="0.3">
      <c r="A392" s="77">
        <v>386</v>
      </c>
      <c r="B392" s="79" t="s">
        <v>2439</v>
      </c>
      <c r="C392" s="79" t="s">
        <v>117</v>
      </c>
      <c r="D392" s="65" t="s">
        <v>117</v>
      </c>
      <c r="E392" s="18" t="s">
        <v>101</v>
      </c>
      <c r="F392" s="63" t="s">
        <v>107</v>
      </c>
      <c r="G392" s="18" t="s">
        <v>48</v>
      </c>
      <c r="H392" s="42"/>
      <c r="I392" s="42"/>
      <c r="J392" s="42"/>
      <c r="K392" s="67" t="s">
        <v>1147</v>
      </c>
      <c r="L392" s="67" t="s">
        <v>1148</v>
      </c>
      <c r="M392" s="67" t="s">
        <v>1149</v>
      </c>
      <c r="N392" s="60">
        <v>21.958523</v>
      </c>
      <c r="O392" s="60">
        <v>91.930679999999995</v>
      </c>
      <c r="P392" s="62">
        <v>1200</v>
      </c>
      <c r="Q392" s="62"/>
      <c r="R392" s="18"/>
      <c r="S392" s="18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42"/>
      <c r="AH392" s="39"/>
      <c r="AI392" s="40"/>
      <c r="AJ392" s="40"/>
    </row>
    <row r="393" spans="1:36" x14ac:dyDescent="0.3">
      <c r="A393" s="77">
        <v>387</v>
      </c>
      <c r="B393" s="79" t="s">
        <v>2439</v>
      </c>
      <c r="C393" s="79" t="s">
        <v>117</v>
      </c>
      <c r="D393" s="65" t="s">
        <v>117</v>
      </c>
      <c r="E393" s="18" t="s">
        <v>101</v>
      </c>
      <c r="F393" s="63" t="s">
        <v>107</v>
      </c>
      <c r="G393" s="18" t="s">
        <v>48</v>
      </c>
      <c r="H393" s="42"/>
      <c r="I393" s="42"/>
      <c r="J393" s="42"/>
      <c r="K393" s="67" t="s">
        <v>1150</v>
      </c>
      <c r="L393" s="67" t="s">
        <v>1151</v>
      </c>
      <c r="M393" s="67" t="s">
        <v>1152</v>
      </c>
      <c r="N393" s="60">
        <v>21.956177</v>
      </c>
      <c r="O393" s="60">
        <v>91.929878000000002</v>
      </c>
      <c r="P393" s="62">
        <v>1200</v>
      </c>
      <c r="Q393" s="62"/>
      <c r="R393" s="18"/>
      <c r="S393" s="18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42"/>
      <c r="AH393" s="39"/>
      <c r="AI393" s="40"/>
      <c r="AJ393" s="40"/>
    </row>
    <row r="394" spans="1:36" x14ac:dyDescent="0.3">
      <c r="A394" s="77">
        <v>388</v>
      </c>
      <c r="B394" s="79" t="s">
        <v>2439</v>
      </c>
      <c r="C394" s="79" t="s">
        <v>117</v>
      </c>
      <c r="D394" s="65" t="s">
        <v>117</v>
      </c>
      <c r="E394" s="18" t="s">
        <v>101</v>
      </c>
      <c r="F394" s="63" t="s">
        <v>107</v>
      </c>
      <c r="G394" s="18" t="s">
        <v>48</v>
      </c>
      <c r="H394" s="42"/>
      <c r="I394" s="42"/>
      <c r="J394" s="42"/>
      <c r="K394" s="67" t="s">
        <v>1153</v>
      </c>
      <c r="L394" s="67" t="s">
        <v>1154</v>
      </c>
      <c r="M394" s="67" t="s">
        <v>1155</v>
      </c>
      <c r="N394" s="60">
        <v>21.955369999999998</v>
      </c>
      <c r="O394" s="60">
        <v>91.928434999999993</v>
      </c>
      <c r="P394" s="62">
        <v>1200</v>
      </c>
      <c r="Q394" s="62"/>
      <c r="R394" s="18"/>
      <c r="S394" s="18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42"/>
      <c r="AH394" s="39"/>
      <c r="AI394" s="40"/>
      <c r="AJ394" s="40"/>
    </row>
    <row r="395" spans="1:36" x14ac:dyDescent="0.3">
      <c r="A395" s="77">
        <v>389</v>
      </c>
      <c r="B395" s="79" t="s">
        <v>2439</v>
      </c>
      <c r="C395" s="79" t="s">
        <v>117</v>
      </c>
      <c r="D395" s="65" t="s">
        <v>117</v>
      </c>
      <c r="E395" s="18" t="s">
        <v>101</v>
      </c>
      <c r="F395" s="63" t="s">
        <v>107</v>
      </c>
      <c r="G395" s="18" t="s">
        <v>48</v>
      </c>
      <c r="H395" s="42"/>
      <c r="I395" s="42"/>
      <c r="J395" s="42"/>
      <c r="K395" s="67" t="s">
        <v>1156</v>
      </c>
      <c r="L395" s="67" t="s">
        <v>1157</v>
      </c>
      <c r="M395" s="67" t="s">
        <v>1158</v>
      </c>
      <c r="N395" s="60">
        <v>21.957270999999999</v>
      </c>
      <c r="O395" s="60">
        <v>91.925216000000006</v>
      </c>
      <c r="P395" s="62">
        <v>1200</v>
      </c>
      <c r="Q395" s="62"/>
      <c r="R395" s="18"/>
      <c r="S395" s="18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42"/>
      <c r="AH395" s="39"/>
      <c r="AI395" s="40"/>
      <c r="AJ395" s="40"/>
    </row>
    <row r="396" spans="1:36" x14ac:dyDescent="0.3">
      <c r="A396" s="77">
        <v>390</v>
      </c>
      <c r="B396" s="79" t="s">
        <v>2439</v>
      </c>
      <c r="C396" s="79" t="s">
        <v>117</v>
      </c>
      <c r="D396" s="65" t="s">
        <v>117</v>
      </c>
      <c r="E396" s="18" t="s">
        <v>101</v>
      </c>
      <c r="F396" s="63" t="s">
        <v>107</v>
      </c>
      <c r="G396" s="18" t="s">
        <v>48</v>
      </c>
      <c r="H396" s="42"/>
      <c r="I396" s="42"/>
      <c r="J396" s="42"/>
      <c r="K396" s="67" t="s">
        <v>1159</v>
      </c>
      <c r="L396" s="67" t="s">
        <v>1160</v>
      </c>
      <c r="M396" s="67" t="s">
        <v>1161</v>
      </c>
      <c r="N396" s="60">
        <v>21.957605999999998</v>
      </c>
      <c r="O396" s="60">
        <v>91.921458999999999</v>
      </c>
      <c r="P396" s="62">
        <v>2200</v>
      </c>
      <c r="Q396" s="62"/>
      <c r="R396" s="18"/>
      <c r="S396" s="18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42"/>
      <c r="AH396" s="39"/>
      <c r="AI396" s="40"/>
      <c r="AJ396" s="40"/>
    </row>
    <row r="397" spans="1:36" x14ac:dyDescent="0.3">
      <c r="A397" s="77">
        <v>391</v>
      </c>
      <c r="B397" s="79" t="s">
        <v>2439</v>
      </c>
      <c r="C397" s="79" t="s">
        <v>117</v>
      </c>
      <c r="D397" s="65" t="s">
        <v>117</v>
      </c>
      <c r="E397" s="18" t="s">
        <v>101</v>
      </c>
      <c r="F397" s="63" t="s">
        <v>107</v>
      </c>
      <c r="G397" s="18" t="s">
        <v>48</v>
      </c>
      <c r="H397" s="42"/>
      <c r="I397" s="42"/>
      <c r="J397" s="42"/>
      <c r="K397" s="67" t="s">
        <v>1162</v>
      </c>
      <c r="L397" s="66" t="s">
        <v>1163</v>
      </c>
      <c r="M397" s="67" t="s">
        <v>1164</v>
      </c>
      <c r="N397" s="60">
        <v>21.95279</v>
      </c>
      <c r="O397" s="60">
        <v>91.930030000000002</v>
      </c>
      <c r="P397" s="62">
        <v>2000</v>
      </c>
      <c r="Q397" s="62"/>
      <c r="R397" s="18"/>
      <c r="S397" s="18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42"/>
      <c r="AH397" s="39"/>
      <c r="AI397" s="40"/>
      <c r="AJ397" s="40"/>
    </row>
    <row r="398" spans="1:36" x14ac:dyDescent="0.3">
      <c r="A398" s="77">
        <v>392</v>
      </c>
      <c r="B398" s="79" t="s">
        <v>2439</v>
      </c>
      <c r="C398" s="79" t="s">
        <v>117</v>
      </c>
      <c r="D398" s="65" t="s">
        <v>117</v>
      </c>
      <c r="E398" s="18" t="s">
        <v>101</v>
      </c>
      <c r="F398" s="63" t="s">
        <v>107</v>
      </c>
      <c r="G398" s="18" t="s">
        <v>48</v>
      </c>
      <c r="H398" s="42"/>
      <c r="I398" s="42"/>
      <c r="J398" s="42"/>
      <c r="K398" s="67" t="s">
        <v>1165</v>
      </c>
      <c r="L398" s="67" t="s">
        <v>1166</v>
      </c>
      <c r="M398" s="67" t="s">
        <v>1167</v>
      </c>
      <c r="N398" s="60">
        <v>21.955186999999999</v>
      </c>
      <c r="O398" s="60">
        <v>91.926603999999998</v>
      </c>
      <c r="P398" s="62">
        <v>2000</v>
      </c>
      <c r="Q398" s="62"/>
      <c r="R398" s="18"/>
      <c r="S398" s="18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42"/>
      <c r="AH398" s="39"/>
      <c r="AI398" s="40"/>
      <c r="AJ398" s="40"/>
    </row>
    <row r="399" spans="1:36" x14ac:dyDescent="0.3">
      <c r="A399" s="77">
        <v>393</v>
      </c>
      <c r="B399" s="79" t="s">
        <v>2439</v>
      </c>
      <c r="C399" s="79" t="s">
        <v>117</v>
      </c>
      <c r="D399" s="65" t="s">
        <v>117</v>
      </c>
      <c r="E399" s="18" t="s">
        <v>101</v>
      </c>
      <c r="F399" s="63" t="s">
        <v>107</v>
      </c>
      <c r="G399" s="18" t="s">
        <v>48</v>
      </c>
      <c r="H399" s="42"/>
      <c r="I399" s="42"/>
      <c r="J399" s="42"/>
      <c r="K399" s="67" t="s">
        <v>1168</v>
      </c>
      <c r="L399" s="67" t="s">
        <v>1169</v>
      </c>
      <c r="M399" s="67" t="s">
        <v>1170</v>
      </c>
      <c r="N399" s="60">
        <v>21.944538999999999</v>
      </c>
      <c r="O399" s="60">
        <v>91.930655999999999</v>
      </c>
      <c r="P399" s="62">
        <v>2400</v>
      </c>
      <c r="Q399" s="62"/>
      <c r="R399" s="18"/>
      <c r="S399" s="18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42"/>
      <c r="AH399" s="39"/>
      <c r="AI399" s="40"/>
      <c r="AJ399" s="40"/>
    </row>
    <row r="400" spans="1:36" x14ac:dyDescent="0.3">
      <c r="A400" s="77">
        <v>394</v>
      </c>
      <c r="B400" s="79" t="s">
        <v>2439</v>
      </c>
      <c r="C400" s="79" t="s">
        <v>117</v>
      </c>
      <c r="D400" s="65" t="s">
        <v>117</v>
      </c>
      <c r="E400" s="18" t="s">
        <v>101</v>
      </c>
      <c r="F400" s="63" t="s">
        <v>107</v>
      </c>
      <c r="G400" s="18" t="s">
        <v>48</v>
      </c>
      <c r="H400" s="42"/>
      <c r="I400" s="42"/>
      <c r="J400" s="42"/>
      <c r="K400" s="67" t="s">
        <v>1171</v>
      </c>
      <c r="L400" s="67" t="s">
        <v>1172</v>
      </c>
      <c r="M400" s="67" t="s">
        <v>1173</v>
      </c>
      <c r="N400" s="60">
        <v>21.943912999999998</v>
      </c>
      <c r="O400" s="60">
        <v>91.921694000000002</v>
      </c>
      <c r="P400" s="62">
        <v>2000</v>
      </c>
      <c r="Q400" s="62"/>
      <c r="R400" s="18"/>
      <c r="S400" s="18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42"/>
      <c r="AH400" s="39"/>
      <c r="AI400" s="40"/>
      <c r="AJ400" s="40"/>
    </row>
    <row r="401" spans="1:36" x14ac:dyDescent="0.3">
      <c r="A401" s="77">
        <v>395</v>
      </c>
      <c r="B401" s="79" t="s">
        <v>2439</v>
      </c>
      <c r="C401" s="79" t="s">
        <v>117</v>
      </c>
      <c r="D401" s="65" t="s">
        <v>117</v>
      </c>
      <c r="E401" s="18" t="s">
        <v>101</v>
      </c>
      <c r="F401" s="63" t="s">
        <v>107</v>
      </c>
      <c r="G401" s="18" t="s">
        <v>48</v>
      </c>
      <c r="H401" s="42"/>
      <c r="I401" s="42"/>
      <c r="J401" s="42"/>
      <c r="K401" s="67" t="s">
        <v>1174</v>
      </c>
      <c r="L401" s="67" t="s">
        <v>1175</v>
      </c>
      <c r="M401" s="67" t="s">
        <v>1176</v>
      </c>
      <c r="N401" s="60">
        <v>21.950935999999999</v>
      </c>
      <c r="O401" s="60">
        <v>91.923006000000001</v>
      </c>
      <c r="P401" s="62">
        <v>1900</v>
      </c>
      <c r="Q401" s="62"/>
      <c r="R401" s="18"/>
      <c r="S401" s="18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42"/>
      <c r="AH401" s="39"/>
      <c r="AI401" s="40"/>
      <c r="AJ401" s="40"/>
    </row>
    <row r="402" spans="1:36" x14ac:dyDescent="0.3">
      <c r="A402" s="77">
        <v>396</v>
      </c>
      <c r="B402" s="79" t="s">
        <v>2439</v>
      </c>
      <c r="C402" s="79" t="s">
        <v>117</v>
      </c>
      <c r="D402" s="65" t="s">
        <v>117</v>
      </c>
      <c r="E402" s="18" t="s">
        <v>101</v>
      </c>
      <c r="F402" s="63" t="s">
        <v>107</v>
      </c>
      <c r="G402" s="18" t="s">
        <v>48</v>
      </c>
      <c r="H402" s="42"/>
      <c r="I402" s="42"/>
      <c r="J402" s="42"/>
      <c r="K402" s="67" t="s">
        <v>1177</v>
      </c>
      <c r="L402" s="67" t="s">
        <v>1178</v>
      </c>
      <c r="M402" s="67" t="s">
        <v>1179</v>
      </c>
      <c r="N402" s="60">
        <v>21.95391</v>
      </c>
      <c r="O402" s="60">
        <v>91.921745999999999</v>
      </c>
      <c r="P402" s="62">
        <v>2400</v>
      </c>
      <c r="Q402" s="62"/>
      <c r="R402" s="18"/>
      <c r="S402" s="18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42"/>
      <c r="AH402" s="39"/>
      <c r="AI402" s="40"/>
      <c r="AJ402" s="40"/>
    </row>
    <row r="403" spans="1:36" x14ac:dyDescent="0.3">
      <c r="A403" s="77">
        <v>397</v>
      </c>
      <c r="B403" s="79" t="s">
        <v>2439</v>
      </c>
      <c r="C403" s="79" t="s">
        <v>117</v>
      </c>
      <c r="D403" s="65" t="s">
        <v>117</v>
      </c>
      <c r="E403" s="18" t="s">
        <v>101</v>
      </c>
      <c r="F403" s="63" t="s">
        <v>107</v>
      </c>
      <c r="G403" s="18" t="s">
        <v>49</v>
      </c>
      <c r="H403" s="42"/>
      <c r="I403" s="42"/>
      <c r="J403" s="42"/>
      <c r="K403" s="67" t="s">
        <v>1180</v>
      </c>
      <c r="L403" s="67" t="s">
        <v>1181</v>
      </c>
      <c r="M403" s="67" t="s">
        <v>1182</v>
      </c>
      <c r="N403" s="60">
        <v>21.946906999999999</v>
      </c>
      <c r="O403" s="60">
        <v>91.914193999999995</v>
      </c>
      <c r="P403" s="62">
        <v>800</v>
      </c>
      <c r="Q403" s="62"/>
      <c r="R403" s="18"/>
      <c r="S403" s="18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42"/>
      <c r="AH403" s="39"/>
      <c r="AI403" s="40"/>
      <c r="AJ403" s="40"/>
    </row>
    <row r="404" spans="1:36" x14ac:dyDescent="0.3">
      <c r="A404" s="77">
        <v>398</v>
      </c>
      <c r="B404" s="79" t="s">
        <v>2439</v>
      </c>
      <c r="C404" s="79" t="s">
        <v>117</v>
      </c>
      <c r="D404" s="65" t="s">
        <v>117</v>
      </c>
      <c r="E404" s="18" t="s">
        <v>101</v>
      </c>
      <c r="F404" s="63" t="s">
        <v>107</v>
      </c>
      <c r="G404" s="18" t="s">
        <v>49</v>
      </c>
      <c r="H404" s="42"/>
      <c r="I404" s="42"/>
      <c r="J404" s="42"/>
      <c r="K404" s="67" t="s">
        <v>1183</v>
      </c>
      <c r="L404" s="67" t="s">
        <v>1184</v>
      </c>
      <c r="M404" s="67" t="s">
        <v>1185</v>
      </c>
      <c r="N404" s="60">
        <v>21.947382999999999</v>
      </c>
      <c r="O404" s="60">
        <v>91.917974000000001</v>
      </c>
      <c r="P404" s="62">
        <v>200</v>
      </c>
      <c r="Q404" s="62"/>
      <c r="R404" s="18"/>
      <c r="S404" s="18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42"/>
      <c r="AH404" s="39"/>
      <c r="AI404" s="40"/>
      <c r="AJ404" s="40"/>
    </row>
    <row r="405" spans="1:36" x14ac:dyDescent="0.3">
      <c r="A405" s="77">
        <v>399</v>
      </c>
      <c r="B405" s="79" t="s">
        <v>2439</v>
      </c>
      <c r="C405" s="79" t="s">
        <v>117</v>
      </c>
      <c r="D405" s="65" t="s">
        <v>117</v>
      </c>
      <c r="E405" s="18" t="s">
        <v>101</v>
      </c>
      <c r="F405" s="63" t="s">
        <v>107</v>
      </c>
      <c r="G405" s="18" t="s">
        <v>49</v>
      </c>
      <c r="H405" s="42"/>
      <c r="I405" s="42"/>
      <c r="J405" s="42"/>
      <c r="K405" s="67" t="s">
        <v>1186</v>
      </c>
      <c r="L405" s="67" t="s">
        <v>1187</v>
      </c>
      <c r="M405" s="67" t="s">
        <v>1188</v>
      </c>
      <c r="N405" s="60">
        <v>21.945696000000002</v>
      </c>
      <c r="O405" s="60">
        <v>91.919224</v>
      </c>
      <c r="P405" s="62">
        <v>150</v>
      </c>
      <c r="Q405" s="62"/>
      <c r="R405" s="18"/>
      <c r="S405" s="18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42"/>
      <c r="AH405" s="39"/>
      <c r="AI405" s="40"/>
      <c r="AJ405" s="40"/>
    </row>
    <row r="406" spans="1:36" x14ac:dyDescent="0.3">
      <c r="A406" s="77">
        <v>400</v>
      </c>
      <c r="B406" s="79" t="s">
        <v>2439</v>
      </c>
      <c r="C406" s="79" t="s">
        <v>117</v>
      </c>
      <c r="D406" s="65" t="s">
        <v>117</v>
      </c>
      <c r="E406" s="18" t="s">
        <v>101</v>
      </c>
      <c r="F406" s="63" t="s">
        <v>107</v>
      </c>
      <c r="G406" s="18" t="s">
        <v>49</v>
      </c>
      <c r="H406" s="42"/>
      <c r="I406" s="42"/>
      <c r="J406" s="42"/>
      <c r="K406" s="67" t="s">
        <v>522</v>
      </c>
      <c r="L406" s="67" t="s">
        <v>523</v>
      </c>
      <c r="M406" s="67" t="s">
        <v>1189</v>
      </c>
      <c r="N406" s="60">
        <v>21.953164999999998</v>
      </c>
      <c r="O406" s="60">
        <v>91.914863999999994</v>
      </c>
      <c r="P406" s="62">
        <v>100</v>
      </c>
      <c r="Q406" s="62"/>
      <c r="R406" s="18"/>
      <c r="S406" s="18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42"/>
      <c r="AH406" s="39"/>
      <c r="AI406" s="40"/>
      <c r="AJ406" s="40"/>
    </row>
    <row r="407" spans="1:36" x14ac:dyDescent="0.3">
      <c r="A407" s="77">
        <v>401</v>
      </c>
      <c r="B407" s="79" t="s">
        <v>2439</v>
      </c>
      <c r="C407" s="79" t="s">
        <v>117</v>
      </c>
      <c r="D407" s="65" t="s">
        <v>117</v>
      </c>
      <c r="E407" s="18" t="s">
        <v>101</v>
      </c>
      <c r="F407" s="63" t="s">
        <v>107</v>
      </c>
      <c r="G407" s="18" t="s">
        <v>49</v>
      </c>
      <c r="H407" s="42"/>
      <c r="I407" s="42"/>
      <c r="J407" s="42"/>
      <c r="K407" s="67" t="s">
        <v>1003</v>
      </c>
      <c r="L407" s="67" t="s">
        <v>1004</v>
      </c>
      <c r="M407" s="67" t="s">
        <v>1190</v>
      </c>
      <c r="N407" s="60">
        <v>21.957276</v>
      </c>
      <c r="O407" s="60">
        <v>91.913488999999998</v>
      </c>
      <c r="P407" s="62">
        <v>100</v>
      </c>
      <c r="Q407" s="62"/>
      <c r="R407" s="18"/>
      <c r="S407" s="18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42"/>
      <c r="AH407" s="39"/>
      <c r="AI407" s="40"/>
      <c r="AJ407" s="40"/>
    </row>
    <row r="408" spans="1:36" x14ac:dyDescent="0.3">
      <c r="A408" s="77">
        <v>402</v>
      </c>
      <c r="B408" s="79" t="s">
        <v>2439</v>
      </c>
      <c r="C408" s="79" t="s">
        <v>117</v>
      </c>
      <c r="D408" s="65" t="s">
        <v>117</v>
      </c>
      <c r="E408" s="18" t="s">
        <v>101</v>
      </c>
      <c r="F408" s="63" t="s">
        <v>107</v>
      </c>
      <c r="G408" s="18" t="s">
        <v>49</v>
      </c>
      <c r="H408" s="42"/>
      <c r="I408" s="42"/>
      <c r="J408" s="42"/>
      <c r="K408" s="67" t="s">
        <v>1191</v>
      </c>
      <c r="L408" s="67" t="s">
        <v>1192</v>
      </c>
      <c r="M408" s="67" t="s">
        <v>1193</v>
      </c>
      <c r="N408" s="60">
        <v>21.958131999999999</v>
      </c>
      <c r="O408" s="60">
        <v>91.913002000000006</v>
      </c>
      <c r="P408" s="62">
        <v>400</v>
      </c>
      <c r="Q408" s="62"/>
      <c r="R408" s="18"/>
      <c r="S408" s="18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42"/>
      <c r="AH408" s="39"/>
      <c r="AI408" s="40"/>
      <c r="AJ408" s="40"/>
    </row>
    <row r="409" spans="1:36" x14ac:dyDescent="0.3">
      <c r="A409" s="77">
        <v>403</v>
      </c>
      <c r="B409" s="79" t="s">
        <v>2439</v>
      </c>
      <c r="C409" s="79" t="s">
        <v>117</v>
      </c>
      <c r="D409" s="65" t="s">
        <v>117</v>
      </c>
      <c r="E409" s="18" t="s">
        <v>101</v>
      </c>
      <c r="F409" s="63" t="s">
        <v>107</v>
      </c>
      <c r="G409" s="18" t="s">
        <v>49</v>
      </c>
      <c r="H409" s="42"/>
      <c r="I409" s="42"/>
      <c r="J409" s="42"/>
      <c r="K409" s="67" t="s">
        <v>1194</v>
      </c>
      <c r="L409" s="67" t="s">
        <v>1195</v>
      </c>
      <c r="M409" s="67" t="s">
        <v>1196</v>
      </c>
      <c r="N409" s="60">
        <v>21.953702</v>
      </c>
      <c r="O409" s="60">
        <v>91.907043999999999</v>
      </c>
      <c r="P409" s="62">
        <v>900</v>
      </c>
      <c r="Q409" s="62"/>
      <c r="R409" s="18"/>
      <c r="S409" s="18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42"/>
      <c r="AH409" s="39"/>
      <c r="AI409" s="40"/>
      <c r="AJ409" s="40"/>
    </row>
    <row r="410" spans="1:36" x14ac:dyDescent="0.3">
      <c r="A410" s="77">
        <v>404</v>
      </c>
      <c r="B410" s="79" t="s">
        <v>2439</v>
      </c>
      <c r="C410" s="79" t="s">
        <v>117</v>
      </c>
      <c r="D410" s="65" t="s">
        <v>117</v>
      </c>
      <c r="E410" s="18" t="s">
        <v>101</v>
      </c>
      <c r="F410" s="63" t="s">
        <v>107</v>
      </c>
      <c r="G410" s="18" t="s">
        <v>49</v>
      </c>
      <c r="H410" s="42"/>
      <c r="I410" s="42"/>
      <c r="J410" s="42"/>
      <c r="K410" s="67" t="s">
        <v>1197</v>
      </c>
      <c r="L410" s="67" t="s">
        <v>1198</v>
      </c>
      <c r="M410" s="67" t="s">
        <v>1199</v>
      </c>
      <c r="N410" s="60">
        <v>21.949565</v>
      </c>
      <c r="O410" s="60">
        <v>91.905333999999996</v>
      </c>
      <c r="P410" s="62">
        <v>900</v>
      </c>
      <c r="Q410" s="62"/>
      <c r="R410" s="18"/>
      <c r="S410" s="18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42"/>
      <c r="AH410" s="39"/>
      <c r="AI410" s="40"/>
      <c r="AJ410" s="40"/>
    </row>
    <row r="411" spans="1:36" x14ac:dyDescent="0.3">
      <c r="A411" s="77">
        <v>405</v>
      </c>
      <c r="B411" s="79" t="s">
        <v>2439</v>
      </c>
      <c r="C411" s="79" t="s">
        <v>117</v>
      </c>
      <c r="D411" s="65" t="s">
        <v>117</v>
      </c>
      <c r="E411" s="18" t="s">
        <v>101</v>
      </c>
      <c r="F411" s="63" t="s">
        <v>107</v>
      </c>
      <c r="G411" s="18" t="s">
        <v>49</v>
      </c>
      <c r="H411" s="42"/>
      <c r="I411" s="42"/>
      <c r="J411" s="42"/>
      <c r="K411" s="67" t="s">
        <v>1200</v>
      </c>
      <c r="L411" s="67" t="s">
        <v>1201</v>
      </c>
      <c r="M411" s="67" t="s">
        <v>1202</v>
      </c>
      <c r="N411" s="60">
        <v>21.951892000000001</v>
      </c>
      <c r="O411" s="60">
        <v>91.907914000000005</v>
      </c>
      <c r="P411" s="62">
        <v>500</v>
      </c>
      <c r="Q411" s="62"/>
      <c r="R411" s="18"/>
      <c r="S411" s="18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42"/>
      <c r="AH411" s="39"/>
      <c r="AI411" s="40"/>
      <c r="AJ411" s="40"/>
    </row>
    <row r="412" spans="1:36" x14ac:dyDescent="0.3">
      <c r="A412" s="77">
        <v>406</v>
      </c>
      <c r="B412" s="79" t="s">
        <v>2439</v>
      </c>
      <c r="C412" s="79" t="s">
        <v>117</v>
      </c>
      <c r="D412" s="65" t="s">
        <v>117</v>
      </c>
      <c r="E412" s="18" t="s">
        <v>101</v>
      </c>
      <c r="F412" s="63" t="s">
        <v>107</v>
      </c>
      <c r="G412" s="18" t="s">
        <v>49</v>
      </c>
      <c r="H412" s="42"/>
      <c r="I412" s="42"/>
      <c r="J412" s="42"/>
      <c r="K412" s="67" t="s">
        <v>1203</v>
      </c>
      <c r="L412" s="67" t="s">
        <v>1204</v>
      </c>
      <c r="M412" s="67" t="s">
        <v>1205</v>
      </c>
      <c r="N412" s="60">
        <v>21.945243999999999</v>
      </c>
      <c r="O412" s="60">
        <v>91.904104000000004</v>
      </c>
      <c r="P412" s="62">
        <v>500</v>
      </c>
      <c r="Q412" s="62"/>
      <c r="R412" s="18"/>
      <c r="S412" s="18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42"/>
      <c r="AH412" s="39"/>
      <c r="AI412" s="40"/>
      <c r="AJ412" s="40"/>
    </row>
    <row r="413" spans="1:36" x14ac:dyDescent="0.3">
      <c r="A413" s="77">
        <v>407</v>
      </c>
      <c r="B413" s="79" t="s">
        <v>2439</v>
      </c>
      <c r="C413" s="79" t="s">
        <v>117</v>
      </c>
      <c r="D413" s="65" t="s">
        <v>117</v>
      </c>
      <c r="E413" s="18" t="s">
        <v>101</v>
      </c>
      <c r="F413" s="63" t="s">
        <v>107</v>
      </c>
      <c r="G413" s="18" t="s">
        <v>49</v>
      </c>
      <c r="H413" s="42"/>
      <c r="I413" s="42"/>
      <c r="J413" s="42"/>
      <c r="K413" s="18" t="s">
        <v>423</v>
      </c>
      <c r="L413" s="67" t="s">
        <v>1206</v>
      </c>
      <c r="M413" s="67" t="s">
        <v>1207</v>
      </c>
      <c r="N413" s="60">
        <v>21.940066000000002</v>
      </c>
      <c r="O413" s="60">
        <v>91.925864000000004</v>
      </c>
      <c r="P413" s="62">
        <v>300</v>
      </c>
      <c r="Q413" s="62"/>
      <c r="R413" s="18"/>
      <c r="S413" s="18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42"/>
      <c r="AH413" s="39"/>
      <c r="AI413" s="40"/>
      <c r="AJ413" s="40"/>
    </row>
    <row r="414" spans="1:36" x14ac:dyDescent="0.3">
      <c r="A414" s="77">
        <v>408</v>
      </c>
      <c r="B414" s="79" t="s">
        <v>2439</v>
      </c>
      <c r="C414" s="79" t="s">
        <v>117</v>
      </c>
      <c r="D414" s="65" t="s">
        <v>117</v>
      </c>
      <c r="E414" s="18" t="s">
        <v>101</v>
      </c>
      <c r="F414" s="18" t="s">
        <v>108</v>
      </c>
      <c r="G414" s="18" t="s">
        <v>41</v>
      </c>
      <c r="H414" s="42"/>
      <c r="I414" s="42"/>
      <c r="J414" s="42"/>
      <c r="K414" s="18" t="s">
        <v>1208</v>
      </c>
      <c r="L414" s="18" t="s">
        <v>1209</v>
      </c>
      <c r="M414" s="18" t="s">
        <v>1210</v>
      </c>
      <c r="N414" s="60">
        <v>22.090928999999999</v>
      </c>
      <c r="O414" s="60">
        <v>91.934017999999995</v>
      </c>
      <c r="P414" s="62">
        <v>1000</v>
      </c>
      <c r="Q414" s="62"/>
      <c r="R414" s="18"/>
      <c r="S414" s="18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42"/>
      <c r="AH414" s="39"/>
      <c r="AI414" s="40"/>
      <c r="AJ414" s="40"/>
    </row>
    <row r="415" spans="1:36" x14ac:dyDescent="0.3">
      <c r="A415" s="77">
        <v>409</v>
      </c>
      <c r="B415" s="79" t="s">
        <v>2439</v>
      </c>
      <c r="C415" s="79" t="s">
        <v>117</v>
      </c>
      <c r="D415" s="65" t="s">
        <v>117</v>
      </c>
      <c r="E415" s="18" t="s">
        <v>101</v>
      </c>
      <c r="F415" s="18" t="s">
        <v>108</v>
      </c>
      <c r="G415" s="18" t="s">
        <v>41</v>
      </c>
      <c r="H415" s="42"/>
      <c r="I415" s="42"/>
      <c r="J415" s="42"/>
      <c r="K415" s="18" t="s">
        <v>1211</v>
      </c>
      <c r="L415" s="18" t="s">
        <v>1212</v>
      </c>
      <c r="M415" s="18" t="s">
        <v>1213</v>
      </c>
      <c r="N415" s="60">
        <v>22.086369999999999</v>
      </c>
      <c r="O415" s="60">
        <v>91.935388000000003</v>
      </c>
      <c r="P415" s="62">
        <v>1000</v>
      </c>
      <c r="Q415" s="62"/>
      <c r="R415" s="18"/>
      <c r="S415" s="18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42"/>
      <c r="AH415" s="39"/>
      <c r="AI415" s="40"/>
      <c r="AJ415" s="40"/>
    </row>
    <row r="416" spans="1:36" x14ac:dyDescent="0.3">
      <c r="A416" s="77">
        <v>410</v>
      </c>
      <c r="B416" s="79" t="s">
        <v>2439</v>
      </c>
      <c r="C416" s="79" t="s">
        <v>117</v>
      </c>
      <c r="D416" s="65" t="s">
        <v>117</v>
      </c>
      <c r="E416" s="18" t="s">
        <v>101</v>
      </c>
      <c r="F416" s="18" t="s">
        <v>108</v>
      </c>
      <c r="G416" s="18" t="s">
        <v>41</v>
      </c>
      <c r="H416" s="42"/>
      <c r="I416" s="42"/>
      <c r="J416" s="42"/>
      <c r="K416" s="18" t="s">
        <v>1214</v>
      </c>
      <c r="L416" s="18" t="s">
        <v>1215</v>
      </c>
      <c r="M416" s="18" t="s">
        <v>1216</v>
      </c>
      <c r="N416" s="60">
        <v>22.084651000000001</v>
      </c>
      <c r="O416" s="60">
        <v>91.939565999999999</v>
      </c>
      <c r="P416" s="62">
        <v>800</v>
      </c>
      <c r="Q416" s="62"/>
      <c r="R416" s="18"/>
      <c r="S416" s="18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42"/>
      <c r="AH416" s="39"/>
      <c r="AI416" s="40"/>
      <c r="AJ416" s="40"/>
    </row>
    <row r="417" spans="1:36" x14ac:dyDescent="0.3">
      <c r="A417" s="77">
        <v>411</v>
      </c>
      <c r="B417" s="79" t="s">
        <v>2439</v>
      </c>
      <c r="C417" s="79" t="s">
        <v>117</v>
      </c>
      <c r="D417" s="65" t="s">
        <v>117</v>
      </c>
      <c r="E417" s="18" t="s">
        <v>101</v>
      </c>
      <c r="F417" s="18" t="s">
        <v>108</v>
      </c>
      <c r="G417" s="18" t="s">
        <v>41</v>
      </c>
      <c r="H417" s="42"/>
      <c r="I417" s="42"/>
      <c r="J417" s="42"/>
      <c r="K417" s="18" t="s">
        <v>1217</v>
      </c>
      <c r="L417" s="18" t="s">
        <v>1218</v>
      </c>
      <c r="M417" s="18" t="s">
        <v>1219</v>
      </c>
      <c r="N417" s="60">
        <v>22.087876999999999</v>
      </c>
      <c r="O417" s="60">
        <v>91.942007000000004</v>
      </c>
      <c r="P417" s="62">
        <v>2000</v>
      </c>
      <c r="Q417" s="62"/>
      <c r="R417" s="18"/>
      <c r="S417" s="18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42"/>
      <c r="AH417" s="39"/>
      <c r="AI417" s="40"/>
      <c r="AJ417" s="40"/>
    </row>
    <row r="418" spans="1:36" x14ac:dyDescent="0.3">
      <c r="A418" s="77">
        <v>412</v>
      </c>
      <c r="B418" s="79" t="s">
        <v>2439</v>
      </c>
      <c r="C418" s="79" t="s">
        <v>117</v>
      </c>
      <c r="D418" s="65" t="s">
        <v>117</v>
      </c>
      <c r="E418" s="18" t="s">
        <v>101</v>
      </c>
      <c r="F418" s="18" t="s">
        <v>108</v>
      </c>
      <c r="G418" s="18" t="s">
        <v>41</v>
      </c>
      <c r="H418" s="42"/>
      <c r="I418" s="42"/>
      <c r="J418" s="42"/>
      <c r="K418" s="18" t="s">
        <v>1220</v>
      </c>
      <c r="L418" s="18" t="s">
        <v>1221</v>
      </c>
      <c r="M418" s="18" t="s">
        <v>1222</v>
      </c>
      <c r="N418" s="60">
        <v>22.084792</v>
      </c>
      <c r="O418" s="60">
        <v>91.946567000000002</v>
      </c>
      <c r="P418" s="62">
        <v>2500</v>
      </c>
      <c r="Q418" s="62"/>
      <c r="R418" s="18"/>
      <c r="S418" s="18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42"/>
      <c r="AH418" s="39"/>
      <c r="AI418" s="40"/>
      <c r="AJ418" s="40"/>
    </row>
    <row r="419" spans="1:36" x14ac:dyDescent="0.3">
      <c r="A419" s="77">
        <v>413</v>
      </c>
      <c r="B419" s="79" t="s">
        <v>2439</v>
      </c>
      <c r="C419" s="79" t="s">
        <v>117</v>
      </c>
      <c r="D419" s="65" t="s">
        <v>117</v>
      </c>
      <c r="E419" s="18" t="s">
        <v>101</v>
      </c>
      <c r="F419" s="18" t="s">
        <v>108</v>
      </c>
      <c r="G419" s="18" t="s">
        <v>41</v>
      </c>
      <c r="H419" s="42"/>
      <c r="I419" s="42"/>
      <c r="J419" s="42"/>
      <c r="K419" s="18" t="s">
        <v>1223</v>
      </c>
      <c r="L419" s="18" t="s">
        <v>1224</v>
      </c>
      <c r="M419" s="18" t="s">
        <v>1225</v>
      </c>
      <c r="N419" s="60">
        <v>22.086217000000001</v>
      </c>
      <c r="O419" s="60">
        <v>91.931856999999994</v>
      </c>
      <c r="P419" s="62">
        <v>800</v>
      </c>
      <c r="Q419" s="62"/>
      <c r="R419" s="18"/>
      <c r="S419" s="18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42"/>
      <c r="AH419" s="39"/>
      <c r="AI419" s="40"/>
      <c r="AJ419" s="40"/>
    </row>
    <row r="420" spans="1:36" x14ac:dyDescent="0.3">
      <c r="A420" s="77">
        <v>414</v>
      </c>
      <c r="B420" s="79" t="s">
        <v>2439</v>
      </c>
      <c r="C420" s="79" t="s">
        <v>117</v>
      </c>
      <c r="D420" s="65" t="s">
        <v>117</v>
      </c>
      <c r="E420" s="18" t="s">
        <v>101</v>
      </c>
      <c r="F420" s="18" t="s">
        <v>108</v>
      </c>
      <c r="G420" s="18" t="s">
        <v>41</v>
      </c>
      <c r="H420" s="42"/>
      <c r="I420" s="42"/>
      <c r="J420" s="42"/>
      <c r="K420" s="18" t="s">
        <v>1226</v>
      </c>
      <c r="L420" s="18" t="s">
        <v>1227</v>
      </c>
      <c r="M420" s="18" t="s">
        <v>1228</v>
      </c>
      <c r="N420" s="60">
        <v>22.083853999999999</v>
      </c>
      <c r="O420" s="60">
        <v>91.937230999999997</v>
      </c>
      <c r="P420" s="62">
        <v>700</v>
      </c>
      <c r="Q420" s="62"/>
      <c r="R420" s="18"/>
      <c r="S420" s="18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42"/>
      <c r="AH420" s="39"/>
      <c r="AI420" s="40"/>
      <c r="AJ420" s="40"/>
    </row>
    <row r="421" spans="1:36" x14ac:dyDescent="0.3">
      <c r="A421" s="77">
        <v>415</v>
      </c>
      <c r="B421" s="79" t="s">
        <v>2439</v>
      </c>
      <c r="C421" s="79" t="s">
        <v>117</v>
      </c>
      <c r="D421" s="65" t="s">
        <v>117</v>
      </c>
      <c r="E421" s="18" t="s">
        <v>101</v>
      </c>
      <c r="F421" s="18" t="s">
        <v>108</v>
      </c>
      <c r="G421" s="18" t="s">
        <v>41</v>
      </c>
      <c r="H421" s="42"/>
      <c r="I421" s="42"/>
      <c r="J421" s="42"/>
      <c r="K421" s="18" t="s">
        <v>1229</v>
      </c>
      <c r="L421" s="18" t="s">
        <v>1230</v>
      </c>
      <c r="M421" s="18" t="s">
        <v>1231</v>
      </c>
      <c r="N421" s="60">
        <v>22.083523</v>
      </c>
      <c r="O421" s="60">
        <v>91.934920000000005</v>
      </c>
      <c r="P421" s="62">
        <v>700</v>
      </c>
      <c r="Q421" s="62"/>
      <c r="R421" s="18"/>
      <c r="S421" s="18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42"/>
      <c r="AH421" s="39"/>
      <c r="AI421" s="40"/>
      <c r="AJ421" s="40"/>
    </row>
    <row r="422" spans="1:36" s="13" customFormat="1" x14ac:dyDescent="0.3">
      <c r="A422" s="77">
        <v>416</v>
      </c>
      <c r="B422" s="79" t="s">
        <v>2439</v>
      </c>
      <c r="C422" s="79" t="s">
        <v>117</v>
      </c>
      <c r="D422" s="65" t="s">
        <v>117</v>
      </c>
      <c r="E422" s="18" t="s">
        <v>101</v>
      </c>
      <c r="F422" s="18" t="s">
        <v>108</v>
      </c>
      <c r="G422" s="18" t="s">
        <v>42</v>
      </c>
      <c r="H422" s="43"/>
      <c r="I422" s="43"/>
      <c r="J422" s="43"/>
      <c r="K422" s="18" t="s">
        <v>1232</v>
      </c>
      <c r="L422" s="18" t="s">
        <v>1233</v>
      </c>
      <c r="M422" s="18" t="s">
        <v>1234</v>
      </c>
      <c r="N422" s="60">
        <v>22.088393</v>
      </c>
      <c r="O422" s="60">
        <v>91.918996000000007</v>
      </c>
      <c r="P422" s="62">
        <v>1000</v>
      </c>
      <c r="Q422" s="62"/>
      <c r="R422" s="18"/>
      <c r="S422" s="18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  <c r="AG422" s="43"/>
      <c r="AH422" s="46"/>
      <c r="AI422" s="47"/>
      <c r="AJ422" s="47"/>
    </row>
    <row r="423" spans="1:36" s="13" customFormat="1" x14ac:dyDescent="0.3">
      <c r="A423" s="77">
        <v>417</v>
      </c>
      <c r="B423" s="79" t="s">
        <v>2439</v>
      </c>
      <c r="C423" s="79" t="s">
        <v>117</v>
      </c>
      <c r="D423" s="65" t="s">
        <v>117</v>
      </c>
      <c r="E423" s="18" t="s">
        <v>101</v>
      </c>
      <c r="F423" s="18" t="s">
        <v>108</v>
      </c>
      <c r="G423" s="18" t="s">
        <v>42</v>
      </c>
      <c r="H423" s="43"/>
      <c r="I423" s="43"/>
      <c r="J423" s="43"/>
      <c r="K423" s="18" t="s">
        <v>1235</v>
      </c>
      <c r="L423" s="18" t="s">
        <v>1236</v>
      </c>
      <c r="M423" s="18" t="s">
        <v>1237</v>
      </c>
      <c r="N423" s="60">
        <v>22.088394000000001</v>
      </c>
      <c r="O423" s="60">
        <v>91.921944999999994</v>
      </c>
      <c r="P423" s="62">
        <v>1500</v>
      </c>
      <c r="Q423" s="62"/>
      <c r="R423" s="18"/>
      <c r="S423" s="18"/>
      <c r="T423" s="47"/>
      <c r="U423" s="45"/>
      <c r="V423" s="45"/>
      <c r="W423" s="46"/>
      <c r="X423" s="46"/>
      <c r="Y423" s="46"/>
      <c r="Z423" s="46"/>
      <c r="AA423" s="46"/>
      <c r="AB423" s="46"/>
      <c r="AC423" s="48"/>
      <c r="AD423" s="47"/>
      <c r="AE423" s="48"/>
      <c r="AF423" s="47"/>
      <c r="AG423" s="43"/>
      <c r="AH423" s="43"/>
      <c r="AI423" s="47"/>
      <c r="AJ423" s="47"/>
    </row>
    <row r="424" spans="1:36" s="13" customFormat="1" x14ac:dyDescent="0.3">
      <c r="A424" s="77">
        <v>418</v>
      </c>
      <c r="B424" s="79" t="s">
        <v>2439</v>
      </c>
      <c r="C424" s="79" t="s">
        <v>117</v>
      </c>
      <c r="D424" s="65" t="s">
        <v>117</v>
      </c>
      <c r="E424" s="18" t="s">
        <v>101</v>
      </c>
      <c r="F424" s="18" t="s">
        <v>108</v>
      </c>
      <c r="G424" s="18" t="s">
        <v>42</v>
      </c>
      <c r="H424" s="43"/>
      <c r="I424" s="43"/>
      <c r="J424" s="43"/>
      <c r="K424" s="18" t="s">
        <v>1238</v>
      </c>
      <c r="L424" s="18" t="s">
        <v>1239</v>
      </c>
      <c r="M424" s="18" t="s">
        <v>1240</v>
      </c>
      <c r="N424" s="60">
        <v>22.091512000000002</v>
      </c>
      <c r="O424" s="60">
        <v>91.923029</v>
      </c>
      <c r="P424" s="62">
        <v>1200</v>
      </c>
      <c r="Q424" s="62"/>
      <c r="R424" s="18"/>
      <c r="S424" s="18"/>
      <c r="T424" s="47"/>
      <c r="U424" s="46"/>
      <c r="V424" s="46"/>
      <c r="W424" s="46"/>
      <c r="X424" s="46"/>
      <c r="Y424" s="46"/>
      <c r="Z424" s="46"/>
      <c r="AA424" s="46"/>
      <c r="AB424" s="46"/>
      <c r="AC424" s="47"/>
      <c r="AD424" s="48"/>
      <c r="AE424" s="47"/>
      <c r="AF424" s="47"/>
      <c r="AG424" s="43"/>
      <c r="AH424" s="43"/>
      <c r="AI424" s="47"/>
      <c r="AJ424" s="47"/>
    </row>
    <row r="425" spans="1:36" s="13" customFormat="1" x14ac:dyDescent="0.3">
      <c r="A425" s="77">
        <v>419</v>
      </c>
      <c r="B425" s="79" t="s">
        <v>2439</v>
      </c>
      <c r="C425" s="79" t="s">
        <v>117</v>
      </c>
      <c r="D425" s="65" t="s">
        <v>117</v>
      </c>
      <c r="E425" s="18" t="s">
        <v>101</v>
      </c>
      <c r="F425" s="18" t="s">
        <v>108</v>
      </c>
      <c r="G425" s="18" t="s">
        <v>42</v>
      </c>
      <c r="H425" s="43"/>
      <c r="I425" s="43"/>
      <c r="J425" s="43"/>
      <c r="K425" s="18" t="s">
        <v>1241</v>
      </c>
      <c r="L425" s="18" t="s">
        <v>1242</v>
      </c>
      <c r="M425" s="18" t="s">
        <v>1243</v>
      </c>
      <c r="N425" s="60">
        <v>22.092172999999999</v>
      </c>
      <c r="O425" s="60">
        <v>91.926929000000001</v>
      </c>
      <c r="P425" s="62">
        <v>1000</v>
      </c>
      <c r="Q425" s="62"/>
      <c r="R425" s="18"/>
      <c r="S425" s="18"/>
      <c r="T425" s="47"/>
      <c r="U425" s="46"/>
      <c r="V425" s="46"/>
      <c r="W425" s="46"/>
      <c r="X425" s="46"/>
      <c r="Y425" s="46"/>
      <c r="Z425" s="46"/>
      <c r="AA425" s="46"/>
      <c r="AB425" s="46"/>
      <c r="AC425" s="47"/>
      <c r="AD425" s="47"/>
      <c r="AE425" s="47"/>
      <c r="AF425" s="47"/>
      <c r="AG425" s="43"/>
      <c r="AH425" s="43"/>
      <c r="AI425" s="47"/>
      <c r="AJ425" s="47"/>
    </row>
    <row r="426" spans="1:36" s="13" customFormat="1" x14ac:dyDescent="0.3">
      <c r="A426" s="77">
        <v>420</v>
      </c>
      <c r="B426" s="79" t="s">
        <v>2439</v>
      </c>
      <c r="C426" s="79" t="s">
        <v>117</v>
      </c>
      <c r="D426" s="65" t="s">
        <v>117</v>
      </c>
      <c r="E426" s="18" t="s">
        <v>101</v>
      </c>
      <c r="F426" s="18" t="s">
        <v>108</v>
      </c>
      <c r="G426" s="18" t="s">
        <v>42</v>
      </c>
      <c r="H426" s="43"/>
      <c r="I426" s="43"/>
      <c r="J426" s="43"/>
      <c r="K426" s="18" t="s">
        <v>1244</v>
      </c>
      <c r="L426" s="18" t="s">
        <v>1245</v>
      </c>
      <c r="M426" s="18" t="s">
        <v>1246</v>
      </c>
      <c r="N426" s="60">
        <v>22.087579000000002</v>
      </c>
      <c r="O426" s="60">
        <v>91.916622000000004</v>
      </c>
      <c r="P426" s="62">
        <v>1000</v>
      </c>
      <c r="Q426" s="62"/>
      <c r="R426" s="18"/>
      <c r="S426" s="18"/>
      <c r="T426" s="47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3"/>
      <c r="AH426" s="43"/>
      <c r="AI426" s="47"/>
      <c r="AJ426" s="47"/>
    </row>
    <row r="427" spans="1:36" s="13" customFormat="1" x14ac:dyDescent="0.3">
      <c r="A427" s="77">
        <v>421</v>
      </c>
      <c r="B427" s="79" t="s">
        <v>2439</v>
      </c>
      <c r="C427" s="79" t="s">
        <v>117</v>
      </c>
      <c r="D427" s="65" t="s">
        <v>117</v>
      </c>
      <c r="E427" s="18" t="s">
        <v>101</v>
      </c>
      <c r="F427" s="18" t="s">
        <v>108</v>
      </c>
      <c r="G427" s="18" t="s">
        <v>42</v>
      </c>
      <c r="H427" s="44"/>
      <c r="I427" s="44"/>
      <c r="J427" s="44"/>
      <c r="K427" s="18" t="s">
        <v>1247</v>
      </c>
      <c r="L427" s="18" t="s">
        <v>1248</v>
      </c>
      <c r="M427" s="18" t="s">
        <v>1249</v>
      </c>
      <c r="N427" s="60">
        <v>22.086226</v>
      </c>
      <c r="O427" s="60">
        <v>91.920212000000006</v>
      </c>
      <c r="P427" s="62">
        <v>1500</v>
      </c>
      <c r="Q427" s="62"/>
      <c r="R427" s="18"/>
      <c r="S427" s="18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</row>
    <row r="428" spans="1:36" x14ac:dyDescent="0.3">
      <c r="A428" s="77">
        <v>422</v>
      </c>
      <c r="B428" s="79" t="s">
        <v>2439</v>
      </c>
      <c r="C428" s="79" t="s">
        <v>117</v>
      </c>
      <c r="D428" s="65" t="s">
        <v>117</v>
      </c>
      <c r="E428" s="18" t="s">
        <v>101</v>
      </c>
      <c r="F428" s="18" t="s">
        <v>108</v>
      </c>
      <c r="G428" s="18" t="s">
        <v>42</v>
      </c>
      <c r="H428" s="38"/>
      <c r="I428" s="38"/>
      <c r="J428" s="38"/>
      <c r="K428" s="67" t="s">
        <v>205</v>
      </c>
      <c r="L428" s="18" t="s">
        <v>206</v>
      </c>
      <c r="M428" s="18" t="s">
        <v>1250</v>
      </c>
      <c r="N428" s="60">
        <v>22.090091999999999</v>
      </c>
      <c r="O428" s="60">
        <v>91.927070999999998</v>
      </c>
      <c r="P428" s="62">
        <v>600</v>
      </c>
      <c r="Q428" s="62"/>
      <c r="R428" s="18"/>
      <c r="S428" s="1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</row>
    <row r="429" spans="1:36" x14ac:dyDescent="0.3">
      <c r="A429" s="77">
        <v>423</v>
      </c>
      <c r="B429" s="79" t="s">
        <v>2439</v>
      </c>
      <c r="C429" s="79" t="s">
        <v>117</v>
      </c>
      <c r="D429" s="65" t="s">
        <v>117</v>
      </c>
      <c r="E429" s="18" t="s">
        <v>101</v>
      </c>
      <c r="F429" s="18" t="s">
        <v>108</v>
      </c>
      <c r="G429" s="18" t="s">
        <v>42</v>
      </c>
      <c r="H429" s="38"/>
      <c r="I429" s="38"/>
      <c r="J429" s="38"/>
      <c r="K429" s="18" t="s">
        <v>51</v>
      </c>
      <c r="L429" s="18" t="s">
        <v>77</v>
      </c>
      <c r="M429" s="18" t="s">
        <v>1251</v>
      </c>
      <c r="N429" s="60">
        <v>22.083552999999998</v>
      </c>
      <c r="O429" s="60">
        <v>91.925787</v>
      </c>
      <c r="P429" s="62">
        <v>1000</v>
      </c>
      <c r="Q429" s="62"/>
      <c r="R429" s="18"/>
      <c r="S429" s="1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</row>
    <row r="430" spans="1:36" x14ac:dyDescent="0.3">
      <c r="A430" s="77">
        <v>424</v>
      </c>
      <c r="B430" s="79" t="s">
        <v>2439</v>
      </c>
      <c r="C430" s="79" t="s">
        <v>117</v>
      </c>
      <c r="D430" s="65" t="s">
        <v>117</v>
      </c>
      <c r="E430" s="18" t="s">
        <v>101</v>
      </c>
      <c r="F430" s="18" t="s">
        <v>108</v>
      </c>
      <c r="G430" s="18" t="s">
        <v>42</v>
      </c>
      <c r="H430" s="38"/>
      <c r="I430" s="38"/>
      <c r="J430" s="38"/>
      <c r="K430" s="18" t="s">
        <v>1252</v>
      </c>
      <c r="L430" s="18" t="s">
        <v>1253</v>
      </c>
      <c r="M430" s="18" t="s">
        <v>1254</v>
      </c>
      <c r="N430" s="60">
        <v>22.086147</v>
      </c>
      <c r="O430" s="60">
        <v>91.910376999999997</v>
      </c>
      <c r="P430" s="62">
        <v>300</v>
      </c>
      <c r="Q430" s="62"/>
      <c r="R430" s="18"/>
      <c r="S430" s="1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</row>
    <row r="431" spans="1:36" x14ac:dyDescent="0.3">
      <c r="A431" s="77">
        <v>425</v>
      </c>
      <c r="B431" s="79" t="s">
        <v>2439</v>
      </c>
      <c r="C431" s="79" t="s">
        <v>117</v>
      </c>
      <c r="D431" s="65" t="s">
        <v>117</v>
      </c>
      <c r="E431" s="18" t="s">
        <v>101</v>
      </c>
      <c r="F431" s="18" t="s">
        <v>108</v>
      </c>
      <c r="G431" s="18" t="s">
        <v>43</v>
      </c>
      <c r="H431" s="38"/>
      <c r="I431" s="38"/>
      <c r="J431" s="38"/>
      <c r="K431" s="18" t="s">
        <v>1255</v>
      </c>
      <c r="L431" s="18" t="s">
        <v>1256</v>
      </c>
      <c r="M431" s="18" t="s">
        <v>1257</v>
      </c>
      <c r="N431" s="60">
        <v>22.079547999999999</v>
      </c>
      <c r="O431" s="60">
        <v>91.914010000000005</v>
      </c>
      <c r="P431" s="62">
        <v>1000</v>
      </c>
      <c r="Q431" s="62"/>
      <c r="R431" s="18"/>
      <c r="S431" s="1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</row>
    <row r="432" spans="1:36" x14ac:dyDescent="0.3">
      <c r="A432" s="77">
        <v>426</v>
      </c>
      <c r="B432" s="79" t="s">
        <v>2439</v>
      </c>
      <c r="C432" s="79" t="s">
        <v>117</v>
      </c>
      <c r="D432" s="65" t="s">
        <v>117</v>
      </c>
      <c r="E432" s="18" t="s">
        <v>101</v>
      </c>
      <c r="F432" s="18" t="s">
        <v>108</v>
      </c>
      <c r="G432" s="18" t="s">
        <v>43</v>
      </c>
      <c r="H432" s="38"/>
      <c r="I432" s="38"/>
      <c r="J432" s="38"/>
      <c r="K432" s="18" t="s">
        <v>55</v>
      </c>
      <c r="L432" s="18" t="s">
        <v>1258</v>
      </c>
      <c r="M432" s="18" t="s">
        <v>1259</v>
      </c>
      <c r="N432" s="60">
        <v>22.082554999999999</v>
      </c>
      <c r="O432" s="60">
        <v>91.919077999999999</v>
      </c>
      <c r="P432" s="62">
        <v>300</v>
      </c>
      <c r="Q432" s="62"/>
      <c r="R432" s="18"/>
      <c r="S432" s="1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</row>
    <row r="433" spans="1:36" x14ac:dyDescent="0.3">
      <c r="A433" s="77">
        <v>427</v>
      </c>
      <c r="B433" s="79" t="s">
        <v>2439</v>
      </c>
      <c r="C433" s="79" t="s">
        <v>117</v>
      </c>
      <c r="D433" s="65" t="s">
        <v>117</v>
      </c>
      <c r="E433" s="18" t="s">
        <v>101</v>
      </c>
      <c r="F433" s="18" t="s">
        <v>108</v>
      </c>
      <c r="G433" s="18" t="s">
        <v>43</v>
      </c>
      <c r="H433" s="38"/>
      <c r="I433" s="38"/>
      <c r="J433" s="38"/>
      <c r="K433" s="18" t="s">
        <v>1260</v>
      </c>
      <c r="L433" s="18" t="s">
        <v>1261</v>
      </c>
      <c r="M433" s="18" t="s">
        <v>1262</v>
      </c>
      <c r="N433" s="60">
        <v>22.082136999999999</v>
      </c>
      <c r="O433" s="60">
        <v>91.927431999999996</v>
      </c>
      <c r="P433" s="62">
        <v>100</v>
      </c>
      <c r="Q433" s="62"/>
      <c r="R433" s="18"/>
      <c r="S433" s="1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</row>
    <row r="434" spans="1:36" x14ac:dyDescent="0.3">
      <c r="A434" s="77">
        <v>428</v>
      </c>
      <c r="B434" s="79" t="s">
        <v>2439</v>
      </c>
      <c r="C434" s="79" t="s">
        <v>117</v>
      </c>
      <c r="D434" s="65" t="s">
        <v>117</v>
      </c>
      <c r="E434" s="18" t="s">
        <v>101</v>
      </c>
      <c r="F434" s="18" t="s">
        <v>108</v>
      </c>
      <c r="G434" s="18" t="s">
        <v>43</v>
      </c>
      <c r="H434" s="38"/>
      <c r="I434" s="38"/>
      <c r="J434" s="38"/>
      <c r="K434" s="67" t="s">
        <v>1263</v>
      </c>
      <c r="L434" s="67" t="s">
        <v>1264</v>
      </c>
      <c r="M434" s="18" t="s">
        <v>1265</v>
      </c>
      <c r="N434" s="60">
        <v>22.081005999999999</v>
      </c>
      <c r="O434" s="60">
        <v>91.927066999999994</v>
      </c>
      <c r="P434" s="62">
        <v>100</v>
      </c>
      <c r="Q434" s="62"/>
      <c r="R434" s="18"/>
      <c r="S434" s="1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</row>
    <row r="435" spans="1:36" x14ac:dyDescent="0.3">
      <c r="A435" s="77">
        <v>429</v>
      </c>
      <c r="B435" s="79" t="s">
        <v>2439</v>
      </c>
      <c r="C435" s="79" t="s">
        <v>117</v>
      </c>
      <c r="D435" s="65" t="s">
        <v>117</v>
      </c>
      <c r="E435" s="18" t="s">
        <v>101</v>
      </c>
      <c r="F435" s="18" t="s">
        <v>108</v>
      </c>
      <c r="G435" s="18" t="s">
        <v>43</v>
      </c>
      <c r="H435" s="38"/>
      <c r="I435" s="38"/>
      <c r="J435" s="38"/>
      <c r="K435" s="18" t="s">
        <v>1266</v>
      </c>
      <c r="L435" s="18" t="s">
        <v>1267</v>
      </c>
      <c r="M435" s="18" t="s">
        <v>1268</v>
      </c>
      <c r="N435" s="60">
        <v>22.081682000000001</v>
      </c>
      <c r="O435" s="60">
        <v>91.923918999999998</v>
      </c>
      <c r="P435" s="62">
        <v>200</v>
      </c>
      <c r="Q435" s="62"/>
      <c r="R435" s="18"/>
      <c r="S435" s="1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</row>
    <row r="436" spans="1:36" x14ac:dyDescent="0.3">
      <c r="A436" s="77">
        <v>430</v>
      </c>
      <c r="B436" s="79" t="s">
        <v>2439</v>
      </c>
      <c r="C436" s="79" t="s">
        <v>117</v>
      </c>
      <c r="D436" s="65" t="s">
        <v>117</v>
      </c>
      <c r="E436" s="18" t="s">
        <v>101</v>
      </c>
      <c r="F436" s="18" t="s">
        <v>108</v>
      </c>
      <c r="G436" s="18" t="s">
        <v>43</v>
      </c>
      <c r="H436" s="38"/>
      <c r="I436" s="38"/>
      <c r="J436" s="38"/>
      <c r="K436" s="18" t="s">
        <v>1269</v>
      </c>
      <c r="L436" s="18" t="s">
        <v>1270</v>
      </c>
      <c r="M436" s="18" t="s">
        <v>1271</v>
      </c>
      <c r="N436" s="60">
        <v>22.079151</v>
      </c>
      <c r="O436" s="60">
        <v>91.925529999999995</v>
      </c>
      <c r="P436" s="62">
        <v>500</v>
      </c>
      <c r="Q436" s="62"/>
      <c r="R436" s="18"/>
      <c r="S436" s="1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</row>
    <row r="437" spans="1:36" x14ac:dyDescent="0.3">
      <c r="A437" s="77">
        <v>431</v>
      </c>
      <c r="B437" s="79" t="s">
        <v>2439</v>
      </c>
      <c r="C437" s="79" t="s">
        <v>117</v>
      </c>
      <c r="D437" s="65" t="s">
        <v>117</v>
      </c>
      <c r="E437" s="18" t="s">
        <v>101</v>
      </c>
      <c r="F437" s="18" t="s">
        <v>108</v>
      </c>
      <c r="G437" s="18" t="s">
        <v>43</v>
      </c>
      <c r="H437" s="38"/>
      <c r="I437" s="38"/>
      <c r="J437" s="38"/>
      <c r="K437" s="18" t="s">
        <v>1272</v>
      </c>
      <c r="L437" s="18" t="s">
        <v>1273</v>
      </c>
      <c r="M437" s="18" t="s">
        <v>1274</v>
      </c>
      <c r="N437" s="60">
        <v>22.076388999999999</v>
      </c>
      <c r="O437" s="60">
        <v>91.923259000000002</v>
      </c>
      <c r="P437" s="62">
        <v>100</v>
      </c>
      <c r="Q437" s="62"/>
      <c r="R437" s="18"/>
      <c r="S437" s="1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</row>
    <row r="438" spans="1:36" x14ac:dyDescent="0.3">
      <c r="A438" s="77">
        <v>432</v>
      </c>
      <c r="B438" s="79" t="s">
        <v>2439</v>
      </c>
      <c r="C438" s="79" t="s">
        <v>117</v>
      </c>
      <c r="D438" s="65" t="s">
        <v>117</v>
      </c>
      <c r="E438" s="18" t="s">
        <v>101</v>
      </c>
      <c r="F438" s="18" t="s">
        <v>108</v>
      </c>
      <c r="G438" s="18" t="s">
        <v>43</v>
      </c>
      <c r="H438" s="38"/>
      <c r="I438" s="38"/>
      <c r="J438" s="38"/>
      <c r="K438" s="18" t="s">
        <v>1275</v>
      </c>
      <c r="L438" s="18" t="s">
        <v>1276</v>
      </c>
      <c r="M438" s="18" t="s">
        <v>1277</v>
      </c>
      <c r="N438" s="60">
        <v>22.076847999999998</v>
      </c>
      <c r="O438" s="60">
        <v>91.921115</v>
      </c>
      <c r="P438" s="62">
        <v>30</v>
      </c>
      <c r="Q438" s="62"/>
      <c r="R438" s="18"/>
      <c r="S438" s="1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</row>
    <row r="439" spans="1:36" x14ac:dyDescent="0.3">
      <c r="A439" s="77">
        <v>433</v>
      </c>
      <c r="B439" s="79" t="s">
        <v>2439</v>
      </c>
      <c r="C439" s="79" t="s">
        <v>117</v>
      </c>
      <c r="D439" s="65" t="s">
        <v>117</v>
      </c>
      <c r="E439" s="18" t="s">
        <v>101</v>
      </c>
      <c r="F439" s="18" t="s">
        <v>108</v>
      </c>
      <c r="G439" s="18" t="s">
        <v>43</v>
      </c>
      <c r="H439" s="38"/>
      <c r="I439" s="38"/>
      <c r="J439" s="38"/>
      <c r="K439" s="18" t="s">
        <v>76</v>
      </c>
      <c r="L439" s="18" t="s">
        <v>1278</v>
      </c>
      <c r="M439" s="18" t="s">
        <v>1279</v>
      </c>
      <c r="N439" s="60">
        <v>22.078208</v>
      </c>
      <c r="O439" s="60">
        <v>91.927515</v>
      </c>
      <c r="P439" s="62">
        <v>2600</v>
      </c>
      <c r="Q439" s="62"/>
      <c r="R439" s="18"/>
      <c r="S439" s="1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</row>
    <row r="440" spans="1:36" x14ac:dyDescent="0.3">
      <c r="A440" s="77">
        <v>434</v>
      </c>
      <c r="B440" s="79" t="s">
        <v>2439</v>
      </c>
      <c r="C440" s="79" t="s">
        <v>117</v>
      </c>
      <c r="D440" s="65" t="s">
        <v>117</v>
      </c>
      <c r="E440" s="18" t="s">
        <v>101</v>
      </c>
      <c r="F440" s="18" t="s">
        <v>108</v>
      </c>
      <c r="G440" s="18" t="s">
        <v>43</v>
      </c>
      <c r="H440" s="38"/>
      <c r="I440" s="38"/>
      <c r="J440" s="38"/>
      <c r="K440" s="18" t="s">
        <v>75</v>
      </c>
      <c r="L440" s="18" t="s">
        <v>80</v>
      </c>
      <c r="M440" s="18" t="s">
        <v>1280</v>
      </c>
      <c r="N440" s="60">
        <v>22.078900999999998</v>
      </c>
      <c r="O440" s="60">
        <v>91.933086000000003</v>
      </c>
      <c r="P440" s="62">
        <v>2500</v>
      </c>
      <c r="Q440" s="62"/>
      <c r="R440" s="18"/>
      <c r="S440" s="1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</row>
    <row r="441" spans="1:36" x14ac:dyDescent="0.3">
      <c r="A441" s="77">
        <v>435</v>
      </c>
      <c r="B441" s="79" t="s">
        <v>2439</v>
      </c>
      <c r="C441" s="79" t="s">
        <v>117</v>
      </c>
      <c r="D441" s="65" t="s">
        <v>117</v>
      </c>
      <c r="E441" s="18" t="s">
        <v>101</v>
      </c>
      <c r="F441" s="18" t="s">
        <v>108</v>
      </c>
      <c r="G441" s="18" t="s">
        <v>43</v>
      </c>
      <c r="H441" s="38"/>
      <c r="I441" s="38"/>
      <c r="J441" s="38"/>
      <c r="K441" s="18" t="s">
        <v>1281</v>
      </c>
      <c r="L441" s="18" t="s">
        <v>1282</v>
      </c>
      <c r="M441" s="18" t="s">
        <v>1283</v>
      </c>
      <c r="N441" s="60">
        <v>22.081682000000001</v>
      </c>
      <c r="O441" s="60">
        <v>91.925381999999999</v>
      </c>
      <c r="P441" s="62">
        <v>50</v>
      </c>
      <c r="Q441" s="62"/>
      <c r="R441" s="18"/>
      <c r="S441" s="1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</row>
    <row r="442" spans="1:36" x14ac:dyDescent="0.3">
      <c r="A442" s="77">
        <v>436</v>
      </c>
      <c r="B442" s="79" t="s">
        <v>2439</v>
      </c>
      <c r="C442" s="79" t="s">
        <v>117</v>
      </c>
      <c r="D442" s="65" t="s">
        <v>117</v>
      </c>
      <c r="E442" s="18" t="s">
        <v>101</v>
      </c>
      <c r="F442" s="18" t="s">
        <v>108</v>
      </c>
      <c r="G442" s="18" t="s">
        <v>44</v>
      </c>
      <c r="H442" s="38"/>
      <c r="I442" s="38"/>
      <c r="J442" s="38"/>
      <c r="K442" s="18" t="s">
        <v>1284</v>
      </c>
      <c r="L442" s="18" t="s">
        <v>1285</v>
      </c>
      <c r="M442" s="18" t="s">
        <v>1286</v>
      </c>
      <c r="N442" s="60">
        <v>22.072481</v>
      </c>
      <c r="O442" s="60">
        <v>91.935536999999997</v>
      </c>
      <c r="P442" s="62">
        <v>900</v>
      </c>
      <c r="Q442" s="62"/>
      <c r="R442" s="18"/>
      <c r="S442" s="1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</row>
    <row r="443" spans="1:36" x14ac:dyDescent="0.3">
      <c r="A443" s="77">
        <v>437</v>
      </c>
      <c r="B443" s="79" t="s">
        <v>2439</v>
      </c>
      <c r="C443" s="79" t="s">
        <v>117</v>
      </c>
      <c r="D443" s="65" t="s">
        <v>117</v>
      </c>
      <c r="E443" s="18" t="s">
        <v>101</v>
      </c>
      <c r="F443" s="18" t="s">
        <v>108</v>
      </c>
      <c r="G443" s="18" t="s">
        <v>44</v>
      </c>
      <c r="H443" s="38"/>
      <c r="I443" s="38"/>
      <c r="J443" s="38"/>
      <c r="K443" s="18" t="s">
        <v>1287</v>
      </c>
      <c r="L443" s="18" t="s">
        <v>1288</v>
      </c>
      <c r="M443" s="18" t="s">
        <v>1289</v>
      </c>
      <c r="N443" s="60">
        <v>22.070512999999998</v>
      </c>
      <c r="O443" s="60">
        <v>91.931021999999999</v>
      </c>
      <c r="P443" s="62">
        <v>1200</v>
      </c>
      <c r="Q443" s="62"/>
      <c r="R443" s="18"/>
      <c r="S443" s="1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</row>
    <row r="444" spans="1:36" x14ac:dyDescent="0.3">
      <c r="A444" s="77">
        <v>438</v>
      </c>
      <c r="B444" s="79" t="s">
        <v>2439</v>
      </c>
      <c r="C444" s="79" t="s">
        <v>117</v>
      </c>
      <c r="D444" s="65" t="s">
        <v>117</v>
      </c>
      <c r="E444" s="18" t="s">
        <v>101</v>
      </c>
      <c r="F444" s="18" t="s">
        <v>108</v>
      </c>
      <c r="G444" s="18" t="s">
        <v>44</v>
      </c>
      <c r="H444" s="38"/>
      <c r="I444" s="38"/>
      <c r="J444" s="38"/>
      <c r="K444" s="18" t="s">
        <v>1290</v>
      </c>
      <c r="L444" s="18" t="s">
        <v>1291</v>
      </c>
      <c r="M444" s="18" t="s">
        <v>1292</v>
      </c>
      <c r="N444" s="60">
        <v>22.068573000000001</v>
      </c>
      <c r="O444" s="60">
        <v>91.932760000000002</v>
      </c>
      <c r="P444" s="62">
        <v>1200</v>
      </c>
      <c r="Q444" s="62"/>
      <c r="R444" s="18"/>
      <c r="S444" s="1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</row>
    <row r="445" spans="1:36" x14ac:dyDescent="0.3">
      <c r="A445" s="77">
        <v>439</v>
      </c>
      <c r="B445" s="79" t="s">
        <v>2439</v>
      </c>
      <c r="C445" s="79" t="s">
        <v>117</v>
      </c>
      <c r="D445" s="65" t="s">
        <v>117</v>
      </c>
      <c r="E445" s="18" t="s">
        <v>101</v>
      </c>
      <c r="F445" s="18" t="s">
        <v>108</v>
      </c>
      <c r="G445" s="18" t="s">
        <v>44</v>
      </c>
      <c r="H445" s="38"/>
      <c r="I445" s="38"/>
      <c r="J445" s="38"/>
      <c r="K445" s="18" t="s">
        <v>1293</v>
      </c>
      <c r="L445" s="18" t="s">
        <v>1294</v>
      </c>
      <c r="M445" s="18" t="s">
        <v>1295</v>
      </c>
      <c r="N445" s="60">
        <v>22.065422999999999</v>
      </c>
      <c r="O445" s="60">
        <v>91.930329999999998</v>
      </c>
      <c r="P445" s="62">
        <v>2000</v>
      </c>
      <c r="Q445" s="62"/>
      <c r="R445" s="18"/>
      <c r="S445" s="1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</row>
    <row r="446" spans="1:36" x14ac:dyDescent="0.3">
      <c r="A446" s="77">
        <v>440</v>
      </c>
      <c r="B446" s="79" t="s">
        <v>2439</v>
      </c>
      <c r="C446" s="79" t="s">
        <v>117</v>
      </c>
      <c r="D446" s="65" t="s">
        <v>117</v>
      </c>
      <c r="E446" s="18" t="s">
        <v>101</v>
      </c>
      <c r="F446" s="18" t="s">
        <v>108</v>
      </c>
      <c r="G446" s="18" t="s">
        <v>44</v>
      </c>
      <c r="H446" s="38"/>
      <c r="I446" s="38"/>
      <c r="J446" s="38"/>
      <c r="K446" s="18" t="s">
        <v>1296</v>
      </c>
      <c r="L446" s="18" t="s">
        <v>1297</v>
      </c>
      <c r="M446" s="18" t="s">
        <v>1298</v>
      </c>
      <c r="N446" s="60">
        <v>22.063541000000001</v>
      </c>
      <c r="O446" s="60">
        <v>91.935197000000002</v>
      </c>
      <c r="P446" s="62">
        <v>800</v>
      </c>
      <c r="Q446" s="62"/>
      <c r="R446" s="18"/>
      <c r="S446" s="1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</row>
    <row r="447" spans="1:36" x14ac:dyDescent="0.3">
      <c r="A447" s="77">
        <v>441</v>
      </c>
      <c r="B447" s="79" t="s">
        <v>2439</v>
      </c>
      <c r="C447" s="79" t="s">
        <v>117</v>
      </c>
      <c r="D447" s="65" t="s">
        <v>117</v>
      </c>
      <c r="E447" s="18" t="s">
        <v>101</v>
      </c>
      <c r="F447" s="18" t="s">
        <v>108</v>
      </c>
      <c r="G447" s="18" t="s">
        <v>44</v>
      </c>
      <c r="H447" s="38"/>
      <c r="I447" s="38"/>
      <c r="J447" s="38"/>
      <c r="K447" s="18" t="s">
        <v>1299</v>
      </c>
      <c r="L447" s="18" t="s">
        <v>1300</v>
      </c>
      <c r="M447" s="18" t="s">
        <v>1301</v>
      </c>
      <c r="N447" s="60">
        <v>22.066828999999998</v>
      </c>
      <c r="O447" s="60">
        <v>91.921116999999995</v>
      </c>
      <c r="P447" s="62">
        <v>600</v>
      </c>
      <c r="Q447" s="62"/>
      <c r="R447" s="18"/>
      <c r="S447" s="1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38"/>
    </row>
    <row r="448" spans="1:36" x14ac:dyDescent="0.3">
      <c r="A448" s="77">
        <v>442</v>
      </c>
      <c r="B448" s="79" t="s">
        <v>2439</v>
      </c>
      <c r="C448" s="79" t="s">
        <v>117</v>
      </c>
      <c r="D448" s="65" t="s">
        <v>117</v>
      </c>
      <c r="E448" s="18" t="s">
        <v>101</v>
      </c>
      <c r="F448" s="18" t="s">
        <v>108</v>
      </c>
      <c r="G448" s="18" t="s">
        <v>44</v>
      </c>
      <c r="H448" s="38"/>
      <c r="I448" s="38"/>
      <c r="J448" s="38"/>
      <c r="K448" s="18" t="s">
        <v>882</v>
      </c>
      <c r="L448" s="18" t="s">
        <v>883</v>
      </c>
      <c r="M448" s="18" t="s">
        <v>1302</v>
      </c>
      <c r="N448" s="60">
        <v>22.063367</v>
      </c>
      <c r="O448" s="60">
        <v>91.937511000000001</v>
      </c>
      <c r="P448" s="62">
        <v>1200</v>
      </c>
      <c r="Q448" s="62"/>
      <c r="R448" s="18"/>
      <c r="S448" s="1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38"/>
    </row>
    <row r="449" spans="1:36" x14ac:dyDescent="0.3">
      <c r="A449" s="77">
        <v>443</v>
      </c>
      <c r="B449" s="79" t="s">
        <v>2439</v>
      </c>
      <c r="C449" s="79" t="s">
        <v>117</v>
      </c>
      <c r="D449" s="65" t="s">
        <v>117</v>
      </c>
      <c r="E449" s="18" t="s">
        <v>101</v>
      </c>
      <c r="F449" s="18" t="s">
        <v>108</v>
      </c>
      <c r="G449" s="18" t="s">
        <v>44</v>
      </c>
      <c r="H449" s="38"/>
      <c r="I449" s="38"/>
      <c r="J449" s="38"/>
      <c r="K449" s="18" t="s">
        <v>1303</v>
      </c>
      <c r="L449" s="18" t="s">
        <v>1304</v>
      </c>
      <c r="M449" s="18" t="s">
        <v>1305</v>
      </c>
      <c r="N449" s="60">
        <v>22.064094000000001</v>
      </c>
      <c r="O449" s="60">
        <v>91.933198000000004</v>
      </c>
      <c r="P449" s="62">
        <v>400</v>
      </c>
      <c r="Q449" s="62"/>
      <c r="R449" s="18"/>
      <c r="S449" s="1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</row>
    <row r="450" spans="1:36" x14ac:dyDescent="0.3">
      <c r="A450" s="77">
        <v>444</v>
      </c>
      <c r="B450" s="79" t="s">
        <v>2439</v>
      </c>
      <c r="C450" s="79" t="s">
        <v>117</v>
      </c>
      <c r="D450" s="65" t="s">
        <v>117</v>
      </c>
      <c r="E450" s="18" t="s">
        <v>101</v>
      </c>
      <c r="F450" s="18" t="s">
        <v>108</v>
      </c>
      <c r="G450" s="18" t="s">
        <v>44</v>
      </c>
      <c r="H450" s="38"/>
      <c r="I450" s="38"/>
      <c r="J450" s="38"/>
      <c r="K450" s="18" t="s">
        <v>1306</v>
      </c>
      <c r="L450" s="18" t="s">
        <v>1307</v>
      </c>
      <c r="M450" s="18" t="s">
        <v>1308</v>
      </c>
      <c r="N450" s="60">
        <v>22.066670999999999</v>
      </c>
      <c r="O450" s="60">
        <v>91.936267000000001</v>
      </c>
      <c r="P450" s="62">
        <v>700</v>
      </c>
      <c r="Q450" s="62"/>
      <c r="R450" s="18"/>
      <c r="S450" s="1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</row>
    <row r="451" spans="1:36" x14ac:dyDescent="0.3">
      <c r="A451" s="77">
        <v>445</v>
      </c>
      <c r="B451" s="79" t="s">
        <v>2439</v>
      </c>
      <c r="C451" s="79" t="s">
        <v>117</v>
      </c>
      <c r="D451" s="65" t="s">
        <v>117</v>
      </c>
      <c r="E451" s="18" t="s">
        <v>101</v>
      </c>
      <c r="F451" s="18" t="s">
        <v>108</v>
      </c>
      <c r="G451" s="18" t="s">
        <v>45</v>
      </c>
      <c r="H451" s="38"/>
      <c r="I451" s="38"/>
      <c r="J451" s="38"/>
      <c r="K451" s="18" t="s">
        <v>1309</v>
      </c>
      <c r="L451" s="18" t="s">
        <v>1310</v>
      </c>
      <c r="M451" s="18" t="s">
        <v>1311</v>
      </c>
      <c r="N451" s="60">
        <v>22.073043999999999</v>
      </c>
      <c r="O451" s="60">
        <v>91.937009000000003</v>
      </c>
      <c r="P451" s="62">
        <v>300</v>
      </c>
      <c r="Q451" s="62"/>
      <c r="R451" s="18"/>
      <c r="S451" s="1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</row>
    <row r="452" spans="1:36" x14ac:dyDescent="0.3">
      <c r="A452" s="77">
        <v>446</v>
      </c>
      <c r="B452" s="79" t="s">
        <v>2439</v>
      </c>
      <c r="C452" s="79" t="s">
        <v>117</v>
      </c>
      <c r="D452" s="65" t="s">
        <v>117</v>
      </c>
      <c r="E452" s="18" t="s">
        <v>101</v>
      </c>
      <c r="F452" s="18" t="s">
        <v>108</v>
      </c>
      <c r="G452" s="18" t="s">
        <v>45</v>
      </c>
      <c r="H452" s="38"/>
      <c r="I452" s="38"/>
      <c r="J452" s="38"/>
      <c r="K452" s="18" t="s">
        <v>1312</v>
      </c>
      <c r="L452" s="18" t="s">
        <v>1313</v>
      </c>
      <c r="M452" s="18" t="s">
        <v>1314</v>
      </c>
      <c r="N452" s="60">
        <v>22.073051</v>
      </c>
      <c r="O452" s="60">
        <v>91.938168000000005</v>
      </c>
      <c r="P452" s="62">
        <v>500</v>
      </c>
      <c r="Q452" s="62"/>
      <c r="R452" s="18"/>
      <c r="S452" s="1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</row>
    <row r="453" spans="1:36" x14ac:dyDescent="0.3">
      <c r="A453" s="77">
        <v>447</v>
      </c>
      <c r="B453" s="79" t="s">
        <v>2439</v>
      </c>
      <c r="C453" s="79" t="s">
        <v>117</v>
      </c>
      <c r="D453" s="65" t="s">
        <v>117</v>
      </c>
      <c r="E453" s="18" t="s">
        <v>101</v>
      </c>
      <c r="F453" s="18" t="s">
        <v>108</v>
      </c>
      <c r="G453" s="18" t="s">
        <v>45</v>
      </c>
      <c r="H453" s="38"/>
      <c r="I453" s="38"/>
      <c r="J453" s="38"/>
      <c r="K453" s="18" t="s">
        <v>1315</v>
      </c>
      <c r="L453" s="18" t="s">
        <v>1316</v>
      </c>
      <c r="M453" s="18" t="s">
        <v>1317</v>
      </c>
      <c r="N453" s="60">
        <v>22.070802</v>
      </c>
      <c r="O453" s="60">
        <v>91.937327999999994</v>
      </c>
      <c r="P453" s="62">
        <v>1000</v>
      </c>
      <c r="Q453" s="62"/>
      <c r="R453" s="18"/>
      <c r="S453" s="1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</row>
    <row r="454" spans="1:36" x14ac:dyDescent="0.3">
      <c r="A454" s="77">
        <v>448</v>
      </c>
      <c r="B454" s="79" t="s">
        <v>2439</v>
      </c>
      <c r="C454" s="79" t="s">
        <v>117</v>
      </c>
      <c r="D454" s="65" t="s">
        <v>117</v>
      </c>
      <c r="E454" s="18" t="s">
        <v>101</v>
      </c>
      <c r="F454" s="18" t="s">
        <v>108</v>
      </c>
      <c r="G454" s="18" t="s">
        <v>45</v>
      </c>
      <c r="H454" s="38"/>
      <c r="I454" s="38"/>
      <c r="J454" s="38"/>
      <c r="K454" s="18" t="s">
        <v>1318</v>
      </c>
      <c r="L454" s="18" t="s">
        <v>1319</v>
      </c>
      <c r="M454" s="18" t="s">
        <v>1320</v>
      </c>
      <c r="N454" s="60">
        <v>22.071425000000001</v>
      </c>
      <c r="O454" s="60">
        <v>91.940613999999997</v>
      </c>
      <c r="P454" s="62">
        <v>1000</v>
      </c>
      <c r="Q454" s="62"/>
      <c r="R454" s="18"/>
      <c r="S454" s="1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38"/>
    </row>
    <row r="455" spans="1:36" x14ac:dyDescent="0.3">
      <c r="A455" s="77">
        <v>449</v>
      </c>
      <c r="B455" s="79" t="s">
        <v>2439</v>
      </c>
      <c r="C455" s="79" t="s">
        <v>117</v>
      </c>
      <c r="D455" s="65" t="s">
        <v>117</v>
      </c>
      <c r="E455" s="18" t="s">
        <v>101</v>
      </c>
      <c r="F455" s="18" t="s">
        <v>108</v>
      </c>
      <c r="G455" s="18" t="s">
        <v>45</v>
      </c>
      <c r="H455" s="38"/>
      <c r="I455" s="38"/>
      <c r="J455" s="38"/>
      <c r="K455" s="18" t="s">
        <v>1321</v>
      </c>
      <c r="L455" s="18" t="s">
        <v>1322</v>
      </c>
      <c r="M455" s="18" t="s">
        <v>1323</v>
      </c>
      <c r="N455" s="60">
        <v>22.069647</v>
      </c>
      <c r="O455" s="60">
        <v>91.937702999999999</v>
      </c>
      <c r="P455" s="62">
        <v>300</v>
      </c>
      <c r="Q455" s="62"/>
      <c r="R455" s="18"/>
      <c r="S455" s="1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38"/>
    </row>
    <row r="456" spans="1:36" x14ac:dyDescent="0.3">
      <c r="A456" s="77">
        <v>450</v>
      </c>
      <c r="B456" s="79" t="s">
        <v>2439</v>
      </c>
      <c r="C456" s="79" t="s">
        <v>117</v>
      </c>
      <c r="D456" s="65" t="s">
        <v>117</v>
      </c>
      <c r="E456" s="18" t="s">
        <v>101</v>
      </c>
      <c r="F456" s="18" t="s">
        <v>108</v>
      </c>
      <c r="G456" s="18" t="s">
        <v>45</v>
      </c>
      <c r="H456" s="38"/>
      <c r="I456" s="38"/>
      <c r="J456" s="38"/>
      <c r="K456" s="18" t="s">
        <v>1324</v>
      </c>
      <c r="L456" s="18" t="s">
        <v>1325</v>
      </c>
      <c r="M456" s="18" t="s">
        <v>1326</v>
      </c>
      <c r="N456" s="60">
        <v>22.068076000000001</v>
      </c>
      <c r="O456" s="60">
        <v>91.939245</v>
      </c>
      <c r="P456" s="62">
        <v>500</v>
      </c>
      <c r="Q456" s="62"/>
      <c r="R456" s="18"/>
      <c r="S456" s="1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38"/>
    </row>
    <row r="457" spans="1:36" x14ac:dyDescent="0.3">
      <c r="A457" s="77">
        <v>451</v>
      </c>
      <c r="B457" s="79" t="s">
        <v>2439</v>
      </c>
      <c r="C457" s="79" t="s">
        <v>117</v>
      </c>
      <c r="D457" s="65" t="s">
        <v>117</v>
      </c>
      <c r="E457" s="18" t="s">
        <v>101</v>
      </c>
      <c r="F457" s="18" t="s">
        <v>108</v>
      </c>
      <c r="G457" s="18" t="s">
        <v>45</v>
      </c>
      <c r="H457" s="38"/>
      <c r="I457" s="38"/>
      <c r="J457" s="38"/>
      <c r="K457" s="67" t="s">
        <v>70</v>
      </c>
      <c r="L457" s="18" t="s">
        <v>162</v>
      </c>
      <c r="M457" s="18" t="s">
        <v>1327</v>
      </c>
      <c r="N457" s="60">
        <v>22.069085000000001</v>
      </c>
      <c r="O457" s="60">
        <v>91.942736999999994</v>
      </c>
      <c r="P457" s="62">
        <v>500</v>
      </c>
      <c r="Q457" s="62"/>
      <c r="R457" s="18"/>
      <c r="S457" s="1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38"/>
    </row>
    <row r="458" spans="1:36" x14ac:dyDescent="0.3">
      <c r="A458" s="77">
        <v>452</v>
      </c>
      <c r="B458" s="79" t="s">
        <v>2439</v>
      </c>
      <c r="C458" s="79" t="s">
        <v>117</v>
      </c>
      <c r="D458" s="65" t="s">
        <v>117</v>
      </c>
      <c r="E458" s="18" t="s">
        <v>101</v>
      </c>
      <c r="F458" s="18" t="s">
        <v>108</v>
      </c>
      <c r="G458" s="18" t="s">
        <v>45</v>
      </c>
      <c r="H458" s="38"/>
      <c r="I458" s="38"/>
      <c r="J458" s="38"/>
      <c r="K458" s="18" t="s">
        <v>1328</v>
      </c>
      <c r="L458" s="18" t="s">
        <v>1329</v>
      </c>
      <c r="M458" s="18" t="s">
        <v>1330</v>
      </c>
      <c r="N458" s="60">
        <v>22.067222000000001</v>
      </c>
      <c r="O458" s="60">
        <v>91.943538000000004</v>
      </c>
      <c r="P458" s="62">
        <v>1000</v>
      </c>
      <c r="Q458" s="62"/>
      <c r="R458" s="18"/>
      <c r="S458" s="1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38"/>
    </row>
    <row r="459" spans="1:36" x14ac:dyDescent="0.3">
      <c r="A459" s="77">
        <v>453</v>
      </c>
      <c r="B459" s="79" t="s">
        <v>2439</v>
      </c>
      <c r="C459" s="79" t="s">
        <v>117</v>
      </c>
      <c r="D459" s="65" t="s">
        <v>117</v>
      </c>
      <c r="E459" s="18" t="s">
        <v>101</v>
      </c>
      <c r="F459" s="18" t="s">
        <v>108</v>
      </c>
      <c r="G459" s="18" t="s">
        <v>45</v>
      </c>
      <c r="H459" s="38"/>
      <c r="I459" s="38"/>
      <c r="J459" s="38"/>
      <c r="K459" s="18" t="s">
        <v>1331</v>
      </c>
      <c r="L459" s="18" t="s">
        <v>1332</v>
      </c>
      <c r="M459" s="18" t="s">
        <v>1333</v>
      </c>
      <c r="N459" s="60">
        <v>22.065711</v>
      </c>
      <c r="O459" s="60">
        <v>91.938923000000003</v>
      </c>
      <c r="P459" s="62">
        <v>500</v>
      </c>
      <c r="Q459" s="62"/>
      <c r="R459" s="18"/>
      <c r="S459" s="1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38"/>
    </row>
    <row r="460" spans="1:36" x14ac:dyDescent="0.3">
      <c r="A460" s="77">
        <v>454</v>
      </c>
      <c r="B460" s="79" t="s">
        <v>2439</v>
      </c>
      <c r="C460" s="79" t="s">
        <v>117</v>
      </c>
      <c r="D460" s="65" t="s">
        <v>117</v>
      </c>
      <c r="E460" s="18" t="s">
        <v>101</v>
      </c>
      <c r="F460" s="18" t="s">
        <v>108</v>
      </c>
      <c r="G460" s="18" t="s">
        <v>45</v>
      </c>
      <c r="H460" s="38"/>
      <c r="I460" s="38"/>
      <c r="J460" s="38"/>
      <c r="K460" s="18" t="s">
        <v>1334</v>
      </c>
      <c r="L460" s="18" t="s">
        <v>1335</v>
      </c>
      <c r="M460" s="18" t="s">
        <v>1336</v>
      </c>
      <c r="N460" s="60">
        <v>22.066154999999998</v>
      </c>
      <c r="O460" s="60">
        <v>91.941543999999993</v>
      </c>
      <c r="P460" s="62">
        <v>300</v>
      </c>
      <c r="Q460" s="62"/>
      <c r="R460" s="18"/>
      <c r="S460" s="1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38"/>
    </row>
    <row r="461" spans="1:36" x14ac:dyDescent="0.3">
      <c r="A461" s="77">
        <v>455</v>
      </c>
      <c r="B461" s="79" t="s">
        <v>2439</v>
      </c>
      <c r="C461" s="79" t="s">
        <v>117</v>
      </c>
      <c r="D461" s="65" t="s">
        <v>117</v>
      </c>
      <c r="E461" s="18" t="s">
        <v>101</v>
      </c>
      <c r="F461" s="18" t="s">
        <v>108</v>
      </c>
      <c r="G461" s="18" t="s">
        <v>45</v>
      </c>
      <c r="H461" s="38"/>
      <c r="I461" s="38"/>
      <c r="J461" s="38"/>
      <c r="K461" s="18" t="s">
        <v>1337</v>
      </c>
      <c r="L461" s="18" t="s">
        <v>1338</v>
      </c>
      <c r="M461" s="18" t="s">
        <v>1339</v>
      </c>
      <c r="N461" s="60">
        <v>22.066064999999998</v>
      </c>
      <c r="O461" s="60">
        <v>91.948621000000003</v>
      </c>
      <c r="P461" s="62">
        <v>500</v>
      </c>
      <c r="Q461" s="62"/>
      <c r="R461" s="18"/>
      <c r="S461" s="1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38"/>
    </row>
    <row r="462" spans="1:36" x14ac:dyDescent="0.3">
      <c r="A462" s="77">
        <v>456</v>
      </c>
      <c r="B462" s="79" t="s">
        <v>2439</v>
      </c>
      <c r="C462" s="79" t="s">
        <v>117</v>
      </c>
      <c r="D462" s="65" t="s">
        <v>117</v>
      </c>
      <c r="E462" s="18" t="s">
        <v>101</v>
      </c>
      <c r="F462" s="18" t="s">
        <v>108</v>
      </c>
      <c r="G462" s="18" t="s">
        <v>46</v>
      </c>
      <c r="H462" s="38"/>
      <c r="I462" s="38"/>
      <c r="J462" s="38"/>
      <c r="K462" s="18" t="s">
        <v>1340</v>
      </c>
      <c r="L462" s="18" t="s">
        <v>1341</v>
      </c>
      <c r="M462" s="18" t="s">
        <v>1342</v>
      </c>
      <c r="N462" s="60">
        <v>22.079245</v>
      </c>
      <c r="O462" s="60">
        <v>91.936653000000007</v>
      </c>
      <c r="P462" s="62">
        <v>1500</v>
      </c>
      <c r="Q462" s="62"/>
      <c r="R462" s="18"/>
      <c r="S462" s="1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38"/>
    </row>
    <row r="463" spans="1:36" x14ac:dyDescent="0.3">
      <c r="A463" s="77">
        <v>457</v>
      </c>
      <c r="B463" s="79" t="s">
        <v>2439</v>
      </c>
      <c r="C463" s="79" t="s">
        <v>117</v>
      </c>
      <c r="D463" s="65" t="s">
        <v>117</v>
      </c>
      <c r="E463" s="18" t="s">
        <v>101</v>
      </c>
      <c r="F463" s="18" t="s">
        <v>108</v>
      </c>
      <c r="G463" s="18" t="s">
        <v>46</v>
      </c>
      <c r="H463" s="38"/>
      <c r="I463" s="38"/>
      <c r="J463" s="38"/>
      <c r="K463" s="18" t="s">
        <v>1343</v>
      </c>
      <c r="L463" s="18" t="s">
        <v>1344</v>
      </c>
      <c r="M463" s="18" t="s">
        <v>1345</v>
      </c>
      <c r="N463" s="60">
        <v>22.079270999999999</v>
      </c>
      <c r="O463" s="60">
        <v>91.940898000000004</v>
      </c>
      <c r="P463" s="62">
        <v>800</v>
      </c>
      <c r="Q463" s="62"/>
      <c r="R463" s="18"/>
      <c r="S463" s="1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38"/>
    </row>
    <row r="464" spans="1:36" x14ac:dyDescent="0.3">
      <c r="A464" s="77">
        <v>458</v>
      </c>
      <c r="B464" s="79" t="s">
        <v>2439</v>
      </c>
      <c r="C464" s="79" t="s">
        <v>117</v>
      </c>
      <c r="D464" s="65" t="s">
        <v>117</v>
      </c>
      <c r="E464" s="18" t="s">
        <v>101</v>
      </c>
      <c r="F464" s="18" t="s">
        <v>108</v>
      </c>
      <c r="G464" s="18" t="s">
        <v>46</v>
      </c>
      <c r="H464" s="38"/>
      <c r="I464" s="38"/>
      <c r="J464" s="38"/>
      <c r="K464" s="18" t="s">
        <v>1346</v>
      </c>
      <c r="L464" s="18" t="s">
        <v>1347</v>
      </c>
      <c r="M464" s="18" t="s">
        <v>1348</v>
      </c>
      <c r="N464" s="60">
        <v>22.080446999999999</v>
      </c>
      <c r="O464" s="60">
        <v>91.941941999999997</v>
      </c>
      <c r="P464" s="62">
        <v>1500</v>
      </c>
      <c r="Q464" s="62"/>
      <c r="R464" s="18"/>
      <c r="S464" s="1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38"/>
    </row>
    <row r="465" spans="1:36" x14ac:dyDescent="0.3">
      <c r="A465" s="77">
        <v>459</v>
      </c>
      <c r="B465" s="79" t="s">
        <v>2439</v>
      </c>
      <c r="C465" s="79" t="s">
        <v>117</v>
      </c>
      <c r="D465" s="65" t="s">
        <v>117</v>
      </c>
      <c r="E465" s="18" t="s">
        <v>101</v>
      </c>
      <c r="F465" s="18" t="s">
        <v>108</v>
      </c>
      <c r="G465" s="18" t="s">
        <v>46</v>
      </c>
      <c r="H465" s="38"/>
      <c r="I465" s="38"/>
      <c r="J465" s="38"/>
      <c r="K465" s="18" t="s">
        <v>1349</v>
      </c>
      <c r="L465" s="18" t="s">
        <v>1350</v>
      </c>
      <c r="M465" s="18" t="s">
        <v>1351</v>
      </c>
      <c r="N465" s="60">
        <v>22.079049999999999</v>
      </c>
      <c r="O465" s="60">
        <v>91.943672000000007</v>
      </c>
      <c r="P465" s="62">
        <v>1000</v>
      </c>
      <c r="Q465" s="62"/>
      <c r="R465" s="18"/>
      <c r="S465" s="1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38"/>
    </row>
    <row r="466" spans="1:36" x14ac:dyDescent="0.3">
      <c r="A466" s="77">
        <v>460</v>
      </c>
      <c r="B466" s="79" t="s">
        <v>2439</v>
      </c>
      <c r="C466" s="79" t="s">
        <v>117</v>
      </c>
      <c r="D466" s="65" t="s">
        <v>117</v>
      </c>
      <c r="E466" s="18" t="s">
        <v>101</v>
      </c>
      <c r="F466" s="18" t="s">
        <v>108</v>
      </c>
      <c r="G466" s="18" t="s">
        <v>46</v>
      </c>
      <c r="H466" s="38"/>
      <c r="I466" s="38"/>
      <c r="J466" s="38"/>
      <c r="K466" s="67" t="s">
        <v>439</v>
      </c>
      <c r="L466" s="18" t="s">
        <v>440</v>
      </c>
      <c r="M466" s="18" t="s">
        <v>1352</v>
      </c>
      <c r="N466" s="60">
        <v>22.076739</v>
      </c>
      <c r="O466" s="60">
        <v>91.936874000000003</v>
      </c>
      <c r="P466" s="62">
        <v>800</v>
      </c>
      <c r="Q466" s="62"/>
      <c r="R466" s="18"/>
      <c r="S466" s="1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38"/>
    </row>
    <row r="467" spans="1:36" x14ac:dyDescent="0.3">
      <c r="A467" s="77">
        <v>461</v>
      </c>
      <c r="B467" s="79" t="s">
        <v>2439</v>
      </c>
      <c r="C467" s="79" t="s">
        <v>117</v>
      </c>
      <c r="D467" s="65" t="s">
        <v>117</v>
      </c>
      <c r="E467" s="18" t="s">
        <v>101</v>
      </c>
      <c r="F467" s="18" t="s">
        <v>108</v>
      </c>
      <c r="G467" s="18" t="s">
        <v>46</v>
      </c>
      <c r="H467" s="38"/>
      <c r="I467" s="38"/>
      <c r="J467" s="38"/>
      <c r="K467" s="18" t="s">
        <v>375</v>
      </c>
      <c r="L467" s="18" t="s">
        <v>376</v>
      </c>
      <c r="M467" s="18" t="s">
        <v>1353</v>
      </c>
      <c r="N467" s="60">
        <v>22.07433</v>
      </c>
      <c r="O467" s="60">
        <v>91.938962000000004</v>
      </c>
      <c r="P467" s="62">
        <v>600</v>
      </c>
      <c r="Q467" s="62"/>
      <c r="R467" s="18"/>
      <c r="S467" s="1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38"/>
    </row>
    <row r="468" spans="1:36" x14ac:dyDescent="0.3">
      <c r="A468" s="77">
        <v>462</v>
      </c>
      <c r="B468" s="79" t="s">
        <v>2439</v>
      </c>
      <c r="C468" s="79" t="s">
        <v>117</v>
      </c>
      <c r="D468" s="65" t="s">
        <v>117</v>
      </c>
      <c r="E468" s="18" t="s">
        <v>101</v>
      </c>
      <c r="F468" s="18" t="s">
        <v>108</v>
      </c>
      <c r="G468" s="18" t="s">
        <v>46</v>
      </c>
      <c r="H468" s="38"/>
      <c r="I468" s="38"/>
      <c r="J468" s="38"/>
      <c r="K468" s="67" t="s">
        <v>62</v>
      </c>
      <c r="L468" s="18" t="s">
        <v>176</v>
      </c>
      <c r="M468" s="18" t="s">
        <v>1354</v>
      </c>
      <c r="N468" s="60">
        <v>22.072842000000001</v>
      </c>
      <c r="O468" s="60">
        <v>91.941102000000001</v>
      </c>
      <c r="P468" s="62">
        <v>600</v>
      </c>
      <c r="Q468" s="62"/>
      <c r="R468" s="18"/>
      <c r="S468" s="1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38"/>
    </row>
    <row r="469" spans="1:36" x14ac:dyDescent="0.3">
      <c r="A469" s="77">
        <v>463</v>
      </c>
      <c r="B469" s="79" t="s">
        <v>2439</v>
      </c>
      <c r="C469" s="79" t="s">
        <v>117</v>
      </c>
      <c r="D469" s="65" t="s">
        <v>117</v>
      </c>
      <c r="E469" s="18" t="s">
        <v>101</v>
      </c>
      <c r="F469" s="18" t="s">
        <v>108</v>
      </c>
      <c r="G469" s="18" t="s">
        <v>46</v>
      </c>
      <c r="H469" s="38"/>
      <c r="I469" s="38"/>
      <c r="J469" s="38"/>
      <c r="K469" s="18" t="s">
        <v>1355</v>
      </c>
      <c r="L469" s="18" t="s">
        <v>1356</v>
      </c>
      <c r="M469" s="18" t="s">
        <v>1357</v>
      </c>
      <c r="N469" s="60">
        <v>22.073450999999999</v>
      </c>
      <c r="O469" s="60">
        <v>91.945324999999997</v>
      </c>
      <c r="P469" s="62">
        <v>800</v>
      </c>
      <c r="Q469" s="62"/>
      <c r="R469" s="18"/>
      <c r="S469" s="1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38"/>
    </row>
    <row r="470" spans="1:36" x14ac:dyDescent="0.3">
      <c r="A470" s="77">
        <v>464</v>
      </c>
      <c r="B470" s="79" t="s">
        <v>2439</v>
      </c>
      <c r="C470" s="79" t="s">
        <v>117</v>
      </c>
      <c r="D470" s="65" t="s">
        <v>117</v>
      </c>
      <c r="E470" s="18" t="s">
        <v>101</v>
      </c>
      <c r="F470" s="18" t="s">
        <v>108</v>
      </c>
      <c r="G470" s="18" t="s">
        <v>47</v>
      </c>
      <c r="H470" s="38"/>
      <c r="I470" s="38"/>
      <c r="J470" s="38"/>
      <c r="K470" s="18" t="s">
        <v>1358</v>
      </c>
      <c r="L470" s="18" t="s">
        <v>1359</v>
      </c>
      <c r="M470" s="18" t="s">
        <v>1360</v>
      </c>
      <c r="N470" s="60">
        <v>22.053118000000001</v>
      </c>
      <c r="O470" s="60">
        <v>91.940797000000003</v>
      </c>
      <c r="P470" s="62">
        <v>300</v>
      </c>
      <c r="Q470" s="62"/>
      <c r="R470" s="18"/>
      <c r="S470" s="1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38"/>
    </row>
    <row r="471" spans="1:36" x14ac:dyDescent="0.3">
      <c r="A471" s="77">
        <v>465</v>
      </c>
      <c r="B471" s="79" t="s">
        <v>2439</v>
      </c>
      <c r="C471" s="79" t="s">
        <v>117</v>
      </c>
      <c r="D471" s="65" t="s">
        <v>117</v>
      </c>
      <c r="E471" s="18" t="s">
        <v>101</v>
      </c>
      <c r="F471" s="18" t="s">
        <v>108</v>
      </c>
      <c r="G471" s="18" t="s">
        <v>47</v>
      </c>
      <c r="H471" s="38"/>
      <c r="I471" s="38"/>
      <c r="J471" s="38"/>
      <c r="K471" s="18" t="s">
        <v>1361</v>
      </c>
      <c r="L471" s="18" t="s">
        <v>1362</v>
      </c>
      <c r="M471" s="18" t="s">
        <v>1363</v>
      </c>
      <c r="N471" s="60">
        <v>22.054327000000001</v>
      </c>
      <c r="O471" s="60">
        <v>91.939503000000002</v>
      </c>
      <c r="P471" s="62">
        <v>700</v>
      </c>
      <c r="Q471" s="62"/>
      <c r="R471" s="18"/>
      <c r="S471" s="1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38"/>
    </row>
    <row r="472" spans="1:36" x14ac:dyDescent="0.3">
      <c r="A472" s="77">
        <v>466</v>
      </c>
      <c r="B472" s="79" t="s">
        <v>2439</v>
      </c>
      <c r="C472" s="79" t="s">
        <v>117</v>
      </c>
      <c r="D472" s="65" t="s">
        <v>117</v>
      </c>
      <c r="E472" s="18" t="s">
        <v>101</v>
      </c>
      <c r="F472" s="18" t="s">
        <v>108</v>
      </c>
      <c r="G472" s="18" t="s">
        <v>47</v>
      </c>
      <c r="H472" s="38"/>
      <c r="I472" s="38"/>
      <c r="J472" s="38"/>
      <c r="K472" s="18" t="s">
        <v>196</v>
      </c>
      <c r="L472" s="18" t="s">
        <v>197</v>
      </c>
      <c r="M472" s="18" t="s">
        <v>1364</v>
      </c>
      <c r="N472" s="60">
        <v>22.057991999999999</v>
      </c>
      <c r="O472" s="60">
        <v>91.939057000000005</v>
      </c>
      <c r="P472" s="62">
        <v>150</v>
      </c>
      <c r="Q472" s="62"/>
      <c r="R472" s="18"/>
      <c r="S472" s="1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38"/>
    </row>
    <row r="473" spans="1:36" x14ac:dyDescent="0.3">
      <c r="A473" s="77">
        <v>467</v>
      </c>
      <c r="B473" s="79" t="s">
        <v>2439</v>
      </c>
      <c r="C473" s="79" t="s">
        <v>117</v>
      </c>
      <c r="D473" s="65" t="s">
        <v>117</v>
      </c>
      <c r="E473" s="18" t="s">
        <v>101</v>
      </c>
      <c r="F473" s="18" t="s">
        <v>108</v>
      </c>
      <c r="G473" s="18" t="s">
        <v>47</v>
      </c>
      <c r="H473" s="38"/>
      <c r="I473" s="38"/>
      <c r="J473" s="38"/>
      <c r="K473" s="18" t="s">
        <v>465</v>
      </c>
      <c r="L473" s="18" t="s">
        <v>466</v>
      </c>
      <c r="M473" s="18" t="s">
        <v>1365</v>
      </c>
      <c r="N473" s="60">
        <v>22.061346</v>
      </c>
      <c r="O473" s="60">
        <v>91.938405000000003</v>
      </c>
      <c r="P473" s="62">
        <v>400</v>
      </c>
      <c r="Q473" s="62"/>
      <c r="R473" s="18"/>
      <c r="S473" s="1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38"/>
    </row>
    <row r="474" spans="1:36" x14ac:dyDescent="0.3">
      <c r="A474" s="77">
        <v>468</v>
      </c>
      <c r="B474" s="79" t="s">
        <v>2439</v>
      </c>
      <c r="C474" s="79" t="s">
        <v>117</v>
      </c>
      <c r="D474" s="65" t="s">
        <v>117</v>
      </c>
      <c r="E474" s="18" t="s">
        <v>101</v>
      </c>
      <c r="F474" s="18" t="s">
        <v>108</v>
      </c>
      <c r="G474" s="18" t="s">
        <v>47</v>
      </c>
      <c r="H474" s="38"/>
      <c r="I474" s="38"/>
      <c r="J474" s="38"/>
      <c r="K474" s="18" t="s">
        <v>208</v>
      </c>
      <c r="L474" s="18" t="s">
        <v>209</v>
      </c>
      <c r="M474" s="18" t="s">
        <v>1366</v>
      </c>
      <c r="N474" s="60">
        <v>22.060355000000001</v>
      </c>
      <c r="O474" s="60">
        <v>91.937152999999995</v>
      </c>
      <c r="P474" s="62">
        <v>100</v>
      </c>
      <c r="Q474" s="62"/>
      <c r="R474" s="18"/>
      <c r="S474" s="1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38"/>
    </row>
    <row r="475" spans="1:36" x14ac:dyDescent="0.3">
      <c r="A475" s="77">
        <v>469</v>
      </c>
      <c r="B475" s="79" t="s">
        <v>2439</v>
      </c>
      <c r="C475" s="79" t="s">
        <v>117</v>
      </c>
      <c r="D475" s="65" t="s">
        <v>117</v>
      </c>
      <c r="E475" s="18" t="s">
        <v>101</v>
      </c>
      <c r="F475" s="18" t="s">
        <v>108</v>
      </c>
      <c r="G475" s="18" t="s">
        <v>47</v>
      </c>
      <c r="H475" s="38"/>
      <c r="I475" s="38"/>
      <c r="J475" s="38"/>
      <c r="K475" s="18" t="s">
        <v>1296</v>
      </c>
      <c r="L475" s="18" t="s">
        <v>1297</v>
      </c>
      <c r="M475" s="18" t="s">
        <v>1367</v>
      </c>
      <c r="N475" s="60">
        <v>22.061302999999999</v>
      </c>
      <c r="O475" s="60">
        <v>91.935737000000003</v>
      </c>
      <c r="P475" s="62">
        <v>700</v>
      </c>
      <c r="Q475" s="62"/>
      <c r="R475" s="49"/>
      <c r="S475" s="49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38"/>
    </row>
    <row r="476" spans="1:36" x14ac:dyDescent="0.3">
      <c r="A476" s="77">
        <v>470</v>
      </c>
      <c r="B476" s="79" t="s">
        <v>2439</v>
      </c>
      <c r="C476" s="79" t="s">
        <v>117</v>
      </c>
      <c r="D476" s="65" t="s">
        <v>117</v>
      </c>
      <c r="E476" s="18" t="s">
        <v>101</v>
      </c>
      <c r="F476" s="18" t="s">
        <v>108</v>
      </c>
      <c r="G476" s="18" t="s">
        <v>47</v>
      </c>
      <c r="H476" s="38"/>
      <c r="I476" s="38"/>
      <c r="J476" s="38"/>
      <c r="K476" s="18" t="s">
        <v>423</v>
      </c>
      <c r="L476" s="18" t="s">
        <v>424</v>
      </c>
      <c r="M476" s="18" t="s">
        <v>1368</v>
      </c>
      <c r="N476" s="60">
        <v>22.060680000000001</v>
      </c>
      <c r="O476" s="60">
        <v>91.933667</v>
      </c>
      <c r="P476" s="62">
        <v>200</v>
      </c>
      <c r="Q476" s="62"/>
      <c r="R476" s="18"/>
      <c r="S476" s="1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38"/>
    </row>
    <row r="477" spans="1:36" x14ac:dyDescent="0.3">
      <c r="A477" s="77">
        <v>471</v>
      </c>
      <c r="B477" s="79" t="s">
        <v>2439</v>
      </c>
      <c r="C477" s="79" t="s">
        <v>117</v>
      </c>
      <c r="D477" s="65" t="s">
        <v>117</v>
      </c>
      <c r="E477" s="18" t="s">
        <v>101</v>
      </c>
      <c r="F477" s="18" t="s">
        <v>108</v>
      </c>
      <c r="G477" s="18" t="s">
        <v>47</v>
      </c>
      <c r="H477" s="38"/>
      <c r="I477" s="38"/>
      <c r="J477" s="38"/>
      <c r="K477" s="18" t="s">
        <v>1369</v>
      </c>
      <c r="L477" s="18" t="s">
        <v>1370</v>
      </c>
      <c r="M477" s="18" t="s">
        <v>1371</v>
      </c>
      <c r="N477" s="60">
        <v>22.057753000000002</v>
      </c>
      <c r="O477" s="60">
        <v>91.930717000000001</v>
      </c>
      <c r="P477" s="62">
        <v>600</v>
      </c>
      <c r="Q477" s="62"/>
      <c r="R477" s="18"/>
      <c r="S477" s="1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38"/>
    </row>
    <row r="478" spans="1:36" x14ac:dyDescent="0.3">
      <c r="A478" s="77">
        <v>472</v>
      </c>
      <c r="B478" s="79" t="s">
        <v>2439</v>
      </c>
      <c r="C478" s="79" t="s">
        <v>117</v>
      </c>
      <c r="D478" s="65" t="s">
        <v>117</v>
      </c>
      <c r="E478" s="18" t="s">
        <v>101</v>
      </c>
      <c r="F478" s="18" t="s">
        <v>108</v>
      </c>
      <c r="G478" s="18" t="s">
        <v>48</v>
      </c>
      <c r="H478" s="38"/>
      <c r="I478" s="38"/>
      <c r="J478" s="38"/>
      <c r="K478" s="18" t="s">
        <v>1372</v>
      </c>
      <c r="L478" s="18" t="s">
        <v>1373</v>
      </c>
      <c r="M478" s="18" t="s">
        <v>1374</v>
      </c>
      <c r="N478" s="60">
        <v>22.06382</v>
      </c>
      <c r="O478" s="60">
        <v>91.940079999999995</v>
      </c>
      <c r="P478" s="62">
        <v>1000</v>
      </c>
      <c r="Q478" s="62"/>
      <c r="R478" s="18"/>
      <c r="S478" s="1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38"/>
    </row>
    <row r="479" spans="1:36" x14ac:dyDescent="0.3">
      <c r="A479" s="77">
        <v>473</v>
      </c>
      <c r="B479" s="79" t="s">
        <v>2439</v>
      </c>
      <c r="C479" s="79" t="s">
        <v>117</v>
      </c>
      <c r="D479" s="65" t="s">
        <v>117</v>
      </c>
      <c r="E479" s="18" t="s">
        <v>101</v>
      </c>
      <c r="F479" s="18" t="s">
        <v>108</v>
      </c>
      <c r="G479" s="18" t="s">
        <v>48</v>
      </c>
      <c r="H479" s="38"/>
      <c r="I479" s="38"/>
      <c r="J479" s="38"/>
      <c r="K479" s="18" t="s">
        <v>1375</v>
      </c>
      <c r="L479" s="18" t="s">
        <v>1376</v>
      </c>
      <c r="M479" s="18" t="s">
        <v>1377</v>
      </c>
      <c r="N479" s="60">
        <v>22.061014</v>
      </c>
      <c r="O479" s="60">
        <v>91.940763000000004</v>
      </c>
      <c r="P479" s="62">
        <v>400</v>
      </c>
      <c r="Q479" s="62"/>
      <c r="R479" s="18"/>
      <c r="S479" s="1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38"/>
    </row>
    <row r="480" spans="1:36" x14ac:dyDescent="0.3">
      <c r="A480" s="77">
        <v>474</v>
      </c>
      <c r="B480" s="79" t="s">
        <v>2439</v>
      </c>
      <c r="C480" s="79" t="s">
        <v>117</v>
      </c>
      <c r="D480" s="65" t="s">
        <v>117</v>
      </c>
      <c r="E480" s="18" t="s">
        <v>101</v>
      </c>
      <c r="F480" s="18" t="s">
        <v>108</v>
      </c>
      <c r="G480" s="18" t="s">
        <v>48</v>
      </c>
      <c r="H480" s="38"/>
      <c r="I480" s="38"/>
      <c r="J480" s="38"/>
      <c r="K480" s="18" t="s">
        <v>96</v>
      </c>
      <c r="L480" s="18" t="s">
        <v>1378</v>
      </c>
      <c r="M480" s="18" t="s">
        <v>1379</v>
      </c>
      <c r="N480" s="60">
        <v>22.061696000000001</v>
      </c>
      <c r="O480" s="60">
        <v>91.942886000000001</v>
      </c>
      <c r="P480" s="62">
        <v>2000</v>
      </c>
      <c r="Q480" s="62"/>
      <c r="R480" s="18"/>
      <c r="S480" s="1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38"/>
    </row>
    <row r="481" spans="1:36" x14ac:dyDescent="0.3">
      <c r="A481" s="77">
        <v>475</v>
      </c>
      <c r="B481" s="79" t="s">
        <v>2439</v>
      </c>
      <c r="C481" s="79" t="s">
        <v>117</v>
      </c>
      <c r="D481" s="65" t="s">
        <v>117</v>
      </c>
      <c r="E481" s="18" t="s">
        <v>101</v>
      </c>
      <c r="F481" s="18" t="s">
        <v>108</v>
      </c>
      <c r="G481" s="18" t="s">
        <v>48</v>
      </c>
      <c r="H481" s="38"/>
      <c r="I481" s="38"/>
      <c r="J481" s="38"/>
      <c r="K481" s="18" t="s">
        <v>1380</v>
      </c>
      <c r="L481" s="18" t="s">
        <v>1381</v>
      </c>
      <c r="M481" s="18" t="s">
        <v>1382</v>
      </c>
      <c r="N481" s="60">
        <v>22.05921</v>
      </c>
      <c r="O481" s="60">
        <v>91.941056000000003</v>
      </c>
      <c r="P481" s="62">
        <v>1000</v>
      </c>
      <c r="Q481" s="62"/>
      <c r="R481" s="18"/>
      <c r="S481" s="1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38"/>
    </row>
    <row r="482" spans="1:36" x14ac:dyDescent="0.3">
      <c r="A482" s="77">
        <v>476</v>
      </c>
      <c r="B482" s="79" t="s">
        <v>2439</v>
      </c>
      <c r="C482" s="79" t="s">
        <v>117</v>
      </c>
      <c r="D482" s="65" t="s">
        <v>117</v>
      </c>
      <c r="E482" s="18" t="s">
        <v>101</v>
      </c>
      <c r="F482" s="18" t="s">
        <v>108</v>
      </c>
      <c r="G482" s="18" t="s">
        <v>48</v>
      </c>
      <c r="H482" s="38"/>
      <c r="I482" s="38"/>
      <c r="J482" s="38"/>
      <c r="K482" s="67" t="s">
        <v>205</v>
      </c>
      <c r="L482" s="18" t="s">
        <v>206</v>
      </c>
      <c r="M482" s="18" t="s">
        <v>1383</v>
      </c>
      <c r="N482" s="60">
        <v>22.060600999999998</v>
      </c>
      <c r="O482" s="60">
        <v>91.947260999999997</v>
      </c>
      <c r="P482" s="62">
        <v>500</v>
      </c>
      <c r="Q482" s="62"/>
      <c r="R482" s="18"/>
      <c r="S482" s="1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38"/>
    </row>
    <row r="483" spans="1:36" x14ac:dyDescent="0.3">
      <c r="A483" s="77">
        <v>477</v>
      </c>
      <c r="B483" s="79" t="s">
        <v>2439</v>
      </c>
      <c r="C483" s="79" t="s">
        <v>117</v>
      </c>
      <c r="D483" s="65" t="s">
        <v>117</v>
      </c>
      <c r="E483" s="18" t="s">
        <v>101</v>
      </c>
      <c r="F483" s="18" t="s">
        <v>108</v>
      </c>
      <c r="G483" s="18" t="s">
        <v>48</v>
      </c>
      <c r="H483" s="38"/>
      <c r="I483" s="38"/>
      <c r="J483" s="38"/>
      <c r="K483" s="18" t="s">
        <v>1384</v>
      </c>
      <c r="L483" s="18" t="s">
        <v>1385</v>
      </c>
      <c r="M483" s="18" t="s">
        <v>1386</v>
      </c>
      <c r="N483" s="60">
        <v>22.060231000000002</v>
      </c>
      <c r="O483" s="60">
        <v>91.949460999999999</v>
      </c>
      <c r="P483" s="62">
        <v>900</v>
      </c>
      <c r="Q483" s="62"/>
      <c r="R483" s="18"/>
      <c r="S483" s="1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38"/>
    </row>
    <row r="484" spans="1:36" x14ac:dyDescent="0.3">
      <c r="A484" s="77">
        <v>478</v>
      </c>
      <c r="B484" s="79" t="s">
        <v>2439</v>
      </c>
      <c r="C484" s="79" t="s">
        <v>117</v>
      </c>
      <c r="D484" s="65" t="s">
        <v>117</v>
      </c>
      <c r="E484" s="18" t="s">
        <v>101</v>
      </c>
      <c r="F484" s="18" t="s">
        <v>108</v>
      </c>
      <c r="G484" s="18" t="s">
        <v>48</v>
      </c>
      <c r="H484" s="38"/>
      <c r="I484" s="38"/>
      <c r="J484" s="38"/>
      <c r="K484" s="18" t="s">
        <v>885</v>
      </c>
      <c r="L484" s="18" t="s">
        <v>886</v>
      </c>
      <c r="M484" s="18" t="s">
        <v>1387</v>
      </c>
      <c r="N484" s="60">
        <v>22.060395</v>
      </c>
      <c r="O484" s="60">
        <v>91.952375000000004</v>
      </c>
      <c r="P484" s="62">
        <v>400</v>
      </c>
      <c r="Q484" s="62"/>
      <c r="R484" s="18"/>
      <c r="S484" s="1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38"/>
    </row>
    <row r="485" spans="1:36" x14ac:dyDescent="0.3">
      <c r="A485" s="77">
        <v>479</v>
      </c>
      <c r="B485" s="79" t="s">
        <v>2439</v>
      </c>
      <c r="C485" s="79" t="s">
        <v>117</v>
      </c>
      <c r="D485" s="65" t="s">
        <v>117</v>
      </c>
      <c r="E485" s="18" t="s">
        <v>101</v>
      </c>
      <c r="F485" s="18" t="s">
        <v>108</v>
      </c>
      <c r="G485" s="18" t="s">
        <v>48</v>
      </c>
      <c r="H485" s="38"/>
      <c r="I485" s="38"/>
      <c r="J485" s="38"/>
      <c r="K485" s="18" t="s">
        <v>1388</v>
      </c>
      <c r="L485" s="18" t="s">
        <v>1389</v>
      </c>
      <c r="M485" s="18" t="s">
        <v>1390</v>
      </c>
      <c r="N485" s="60">
        <v>22.064374999999998</v>
      </c>
      <c r="O485" s="60">
        <v>91.948560999999998</v>
      </c>
      <c r="P485" s="62">
        <v>700</v>
      </c>
      <c r="Q485" s="62"/>
      <c r="R485" s="18"/>
      <c r="S485" s="1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38"/>
    </row>
    <row r="486" spans="1:36" x14ac:dyDescent="0.3">
      <c r="A486" s="77">
        <v>480</v>
      </c>
      <c r="B486" s="79" t="s">
        <v>2439</v>
      </c>
      <c r="C486" s="79" t="s">
        <v>117</v>
      </c>
      <c r="D486" s="65" t="s">
        <v>117</v>
      </c>
      <c r="E486" s="18" t="s">
        <v>101</v>
      </c>
      <c r="F486" s="18" t="s">
        <v>108</v>
      </c>
      <c r="G486" s="18" t="s">
        <v>48</v>
      </c>
      <c r="H486" s="38"/>
      <c r="I486" s="38"/>
      <c r="J486" s="38"/>
      <c r="K486" s="18" t="s">
        <v>1391</v>
      </c>
      <c r="L486" s="18" t="s">
        <v>1392</v>
      </c>
      <c r="M486" s="18" t="s">
        <v>1393</v>
      </c>
      <c r="N486" s="60">
        <v>22.066212</v>
      </c>
      <c r="O486" s="60">
        <v>91.944327999999999</v>
      </c>
      <c r="P486" s="62">
        <v>500</v>
      </c>
      <c r="Q486" s="62"/>
      <c r="R486" s="18"/>
      <c r="S486" s="1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38"/>
    </row>
    <row r="487" spans="1:36" x14ac:dyDescent="0.3">
      <c r="A487" s="77">
        <v>481</v>
      </c>
      <c r="B487" s="79" t="s">
        <v>2439</v>
      </c>
      <c r="C487" s="79" t="s">
        <v>117</v>
      </c>
      <c r="D487" s="65" t="s">
        <v>117</v>
      </c>
      <c r="E487" s="18" t="s">
        <v>101</v>
      </c>
      <c r="F487" s="18" t="s">
        <v>108</v>
      </c>
      <c r="G487" s="18" t="s">
        <v>49</v>
      </c>
      <c r="H487" s="38"/>
      <c r="I487" s="38"/>
      <c r="J487" s="38"/>
      <c r="K487" s="18" t="s">
        <v>88</v>
      </c>
      <c r="L487" s="18" t="s">
        <v>1394</v>
      </c>
      <c r="M487" s="18" t="s">
        <v>1395</v>
      </c>
      <c r="N487" s="60">
        <v>22.053802000000001</v>
      </c>
      <c r="O487" s="60">
        <v>91.943192999999994</v>
      </c>
      <c r="P487" s="62">
        <v>1100</v>
      </c>
      <c r="Q487" s="62"/>
      <c r="R487" s="18"/>
      <c r="S487" s="1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38"/>
    </row>
    <row r="488" spans="1:36" x14ac:dyDescent="0.3">
      <c r="A488" s="77">
        <v>482</v>
      </c>
      <c r="B488" s="79" t="s">
        <v>2439</v>
      </c>
      <c r="C488" s="79" t="s">
        <v>117</v>
      </c>
      <c r="D488" s="65" t="s">
        <v>117</v>
      </c>
      <c r="E488" s="18" t="s">
        <v>101</v>
      </c>
      <c r="F488" s="18" t="s">
        <v>108</v>
      </c>
      <c r="G488" s="18" t="s">
        <v>49</v>
      </c>
      <c r="H488" s="38"/>
      <c r="I488" s="38"/>
      <c r="J488" s="38"/>
      <c r="K488" s="18" t="s">
        <v>1396</v>
      </c>
      <c r="L488" s="18" t="s">
        <v>1397</v>
      </c>
      <c r="M488" s="18" t="s">
        <v>1398</v>
      </c>
      <c r="N488" s="60">
        <v>22.053972000000002</v>
      </c>
      <c r="O488" s="60">
        <v>91.946445999999995</v>
      </c>
      <c r="P488" s="62">
        <v>350</v>
      </c>
      <c r="Q488" s="62"/>
      <c r="R488" s="18"/>
      <c r="S488" s="1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38"/>
    </row>
    <row r="489" spans="1:36" x14ac:dyDescent="0.3">
      <c r="A489" s="77">
        <v>483</v>
      </c>
      <c r="B489" s="79" t="s">
        <v>2439</v>
      </c>
      <c r="C489" s="79" t="s">
        <v>117</v>
      </c>
      <c r="D489" s="65" t="s">
        <v>117</v>
      </c>
      <c r="E489" s="18" t="s">
        <v>101</v>
      </c>
      <c r="F489" s="18" t="s">
        <v>108</v>
      </c>
      <c r="G489" s="18" t="s">
        <v>49</v>
      </c>
      <c r="H489" s="38"/>
      <c r="I489" s="38"/>
      <c r="J489" s="38"/>
      <c r="K489" s="18" t="s">
        <v>885</v>
      </c>
      <c r="L489" s="18" t="s">
        <v>886</v>
      </c>
      <c r="M489" s="18" t="s">
        <v>1399</v>
      </c>
      <c r="N489" s="60">
        <v>22.056808</v>
      </c>
      <c r="O489" s="60">
        <v>91.954976000000002</v>
      </c>
      <c r="P489" s="62">
        <v>150</v>
      </c>
      <c r="Q489" s="62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54"/>
      <c r="AH489" s="54"/>
      <c r="AI489" s="54"/>
      <c r="AJ489" s="54"/>
    </row>
    <row r="490" spans="1:36" x14ac:dyDescent="0.3">
      <c r="A490" s="77">
        <v>484</v>
      </c>
      <c r="B490" s="79" t="s">
        <v>2439</v>
      </c>
      <c r="C490" s="79" t="s">
        <v>117</v>
      </c>
      <c r="D490" s="65" t="s">
        <v>117</v>
      </c>
      <c r="E490" s="18" t="s">
        <v>101</v>
      </c>
      <c r="F490" s="18" t="s">
        <v>108</v>
      </c>
      <c r="G490" s="18" t="s">
        <v>49</v>
      </c>
      <c r="H490" s="38"/>
      <c r="I490" s="38"/>
      <c r="J490" s="38"/>
      <c r="K490" s="18" t="s">
        <v>1361</v>
      </c>
      <c r="L490" s="18" t="s">
        <v>1362</v>
      </c>
      <c r="M490" s="67" t="s">
        <v>1400</v>
      </c>
      <c r="N490" s="60">
        <v>22.055281000000001</v>
      </c>
      <c r="O490" s="60">
        <v>91.941753000000006</v>
      </c>
      <c r="P490" s="62">
        <v>750</v>
      </c>
      <c r="Q490" s="62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38"/>
    </row>
    <row r="491" spans="1:36" x14ac:dyDescent="0.3">
      <c r="A491" s="77">
        <v>485</v>
      </c>
      <c r="B491" s="79" t="s">
        <v>2439</v>
      </c>
      <c r="C491" s="79" t="s">
        <v>117</v>
      </c>
      <c r="D491" s="65" t="s">
        <v>117</v>
      </c>
      <c r="E491" s="18" t="s">
        <v>101</v>
      </c>
      <c r="F491" s="18" t="s">
        <v>108</v>
      </c>
      <c r="G491" s="18" t="s">
        <v>49</v>
      </c>
      <c r="H491" s="38"/>
      <c r="I491" s="38"/>
      <c r="J491" s="38"/>
      <c r="K491" s="18" t="s">
        <v>222</v>
      </c>
      <c r="L491" s="18" t="s">
        <v>223</v>
      </c>
      <c r="M491" s="18" t="s">
        <v>1401</v>
      </c>
      <c r="N491" s="60">
        <v>22.056118000000001</v>
      </c>
      <c r="O491" s="60">
        <v>91.942898999999997</v>
      </c>
      <c r="P491" s="62">
        <v>1000</v>
      </c>
      <c r="Q491" s="62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38"/>
    </row>
    <row r="492" spans="1:36" x14ac:dyDescent="0.3">
      <c r="A492" s="77">
        <v>486</v>
      </c>
      <c r="B492" s="79" t="s">
        <v>2439</v>
      </c>
      <c r="C492" s="79" t="s">
        <v>117</v>
      </c>
      <c r="D492" s="65" t="s">
        <v>117</v>
      </c>
      <c r="E492" s="18" t="s">
        <v>101</v>
      </c>
      <c r="F492" s="18" t="s">
        <v>108</v>
      </c>
      <c r="G492" s="18" t="s">
        <v>49</v>
      </c>
      <c r="H492" s="38"/>
      <c r="I492" s="38"/>
      <c r="J492" s="38"/>
      <c r="K492" s="18" t="s">
        <v>1402</v>
      </c>
      <c r="L492" s="18" t="s">
        <v>1403</v>
      </c>
      <c r="M492" s="18" t="s">
        <v>1404</v>
      </c>
      <c r="N492" s="60">
        <v>22.057183999999999</v>
      </c>
      <c r="O492" s="60">
        <v>91.940754999999996</v>
      </c>
      <c r="P492" s="62">
        <v>500</v>
      </c>
      <c r="Q492" s="62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38"/>
    </row>
    <row r="493" spans="1:36" x14ac:dyDescent="0.3">
      <c r="A493" s="77">
        <v>487</v>
      </c>
      <c r="B493" s="79" t="s">
        <v>2439</v>
      </c>
      <c r="C493" s="79" t="s">
        <v>117</v>
      </c>
      <c r="D493" s="65" t="s">
        <v>117</v>
      </c>
      <c r="E493" s="18" t="s">
        <v>101</v>
      </c>
      <c r="F493" s="18" t="s">
        <v>108</v>
      </c>
      <c r="G493" s="18" t="s">
        <v>49</v>
      </c>
      <c r="H493" s="38"/>
      <c r="I493" s="38"/>
      <c r="J493" s="38"/>
      <c r="K493" s="18" t="s">
        <v>1405</v>
      </c>
      <c r="L493" s="18" t="s">
        <v>1406</v>
      </c>
      <c r="M493" s="18" t="s">
        <v>1407</v>
      </c>
      <c r="N493" s="60">
        <v>22.057383000000002</v>
      </c>
      <c r="O493" s="60">
        <v>91.942075000000003</v>
      </c>
      <c r="P493" s="62">
        <v>500</v>
      </c>
      <c r="Q493" s="62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38"/>
    </row>
    <row r="494" spans="1:36" x14ac:dyDescent="0.3">
      <c r="A494" s="77">
        <v>488</v>
      </c>
      <c r="B494" s="79" t="s">
        <v>2439</v>
      </c>
      <c r="C494" s="79" t="s">
        <v>117</v>
      </c>
      <c r="D494" s="65" t="s">
        <v>117</v>
      </c>
      <c r="E494" s="18" t="s">
        <v>101</v>
      </c>
      <c r="F494" s="18" t="s">
        <v>108</v>
      </c>
      <c r="G494" s="18" t="s">
        <v>49</v>
      </c>
      <c r="H494" s="38"/>
      <c r="I494" s="38"/>
      <c r="J494" s="38"/>
      <c r="K494" s="18" t="s">
        <v>196</v>
      </c>
      <c r="L494" s="18" t="s">
        <v>197</v>
      </c>
      <c r="M494" s="18" t="s">
        <v>1408</v>
      </c>
      <c r="N494" s="60">
        <v>22.057924</v>
      </c>
      <c r="O494" s="60">
        <v>91.944184000000007</v>
      </c>
      <c r="P494" s="62">
        <v>250</v>
      </c>
      <c r="Q494" s="62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38"/>
    </row>
    <row r="495" spans="1:36" x14ac:dyDescent="0.3">
      <c r="A495" s="77">
        <v>489</v>
      </c>
      <c r="B495" s="79" t="s">
        <v>2439</v>
      </c>
      <c r="C495" s="79" t="s">
        <v>117</v>
      </c>
      <c r="D495" s="65" t="s">
        <v>117</v>
      </c>
      <c r="E495" s="18" t="s">
        <v>101</v>
      </c>
      <c r="F495" s="18" t="s">
        <v>108</v>
      </c>
      <c r="G495" s="18" t="s">
        <v>49</v>
      </c>
      <c r="H495" s="38"/>
      <c r="I495" s="38"/>
      <c r="J495" s="38"/>
      <c r="K495" s="18" t="s">
        <v>184</v>
      </c>
      <c r="L495" s="18" t="s">
        <v>185</v>
      </c>
      <c r="M495" s="18" t="s">
        <v>1409</v>
      </c>
      <c r="N495" s="60">
        <v>22.057589</v>
      </c>
      <c r="O495" s="60">
        <v>91.945194999999998</v>
      </c>
      <c r="P495" s="62">
        <v>750</v>
      </c>
      <c r="Q495" s="62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38"/>
    </row>
    <row r="496" spans="1:36" x14ac:dyDescent="0.3">
      <c r="A496" s="77">
        <v>490</v>
      </c>
      <c r="B496" s="79" t="s">
        <v>2439</v>
      </c>
      <c r="C496" s="79" t="s">
        <v>117</v>
      </c>
      <c r="D496" s="65" t="s">
        <v>117</v>
      </c>
      <c r="E496" s="18" t="s">
        <v>101</v>
      </c>
      <c r="F496" s="18" t="s">
        <v>108</v>
      </c>
      <c r="G496" s="18" t="s">
        <v>49</v>
      </c>
      <c r="H496" s="38"/>
      <c r="I496" s="38"/>
      <c r="J496" s="38"/>
      <c r="K496" s="18" t="s">
        <v>1410</v>
      </c>
      <c r="L496" s="18" t="s">
        <v>1411</v>
      </c>
      <c r="M496" s="18" t="s">
        <v>1412</v>
      </c>
      <c r="N496" s="60">
        <v>22.055935000000002</v>
      </c>
      <c r="O496" s="60">
        <v>91.945026999999996</v>
      </c>
      <c r="P496" s="62">
        <v>400</v>
      </c>
      <c r="Q496" s="62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38"/>
    </row>
    <row r="497" spans="1:36" x14ac:dyDescent="0.3">
      <c r="A497" s="77">
        <v>491</v>
      </c>
      <c r="B497" s="79" t="s">
        <v>2439</v>
      </c>
      <c r="C497" s="79" t="s">
        <v>117</v>
      </c>
      <c r="D497" s="65" t="s">
        <v>117</v>
      </c>
      <c r="E497" s="18" t="s">
        <v>101</v>
      </c>
      <c r="F497" s="18" t="s">
        <v>108</v>
      </c>
      <c r="G497" s="18" t="s">
        <v>49</v>
      </c>
      <c r="H497" s="38"/>
      <c r="I497" s="38"/>
      <c r="J497" s="38"/>
      <c r="K497" s="18" t="s">
        <v>90</v>
      </c>
      <c r="L497" s="18" t="s">
        <v>1413</v>
      </c>
      <c r="M497" s="18" t="s">
        <v>1414</v>
      </c>
      <c r="N497" s="60">
        <v>22.055771</v>
      </c>
      <c r="O497" s="60">
        <v>91.948830000000001</v>
      </c>
      <c r="P497" s="62">
        <v>1500</v>
      </c>
      <c r="Q497" s="62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38"/>
    </row>
    <row r="498" spans="1:36" x14ac:dyDescent="0.3">
      <c r="A498" s="77">
        <v>492</v>
      </c>
      <c r="B498" s="79" t="s">
        <v>2439</v>
      </c>
      <c r="C498" s="79" t="s">
        <v>117</v>
      </c>
      <c r="D498" s="65" t="s">
        <v>117</v>
      </c>
      <c r="E498" s="18" t="s">
        <v>101</v>
      </c>
      <c r="F498" s="18" t="s">
        <v>109</v>
      </c>
      <c r="G498" s="18" t="s">
        <v>41</v>
      </c>
      <c r="H498" s="38"/>
      <c r="I498" s="38"/>
      <c r="J498" s="38"/>
      <c r="K498" s="18" t="s">
        <v>1415</v>
      </c>
      <c r="L498" s="18" t="s">
        <v>1416</v>
      </c>
      <c r="M498" s="18" t="s">
        <v>1417</v>
      </c>
      <c r="N498" s="60">
        <v>22.03445</v>
      </c>
      <c r="O498" s="60">
        <v>91.896056000000002</v>
      </c>
      <c r="P498" s="62">
        <v>500</v>
      </c>
      <c r="Q498" s="62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</row>
    <row r="499" spans="1:36" x14ac:dyDescent="0.3">
      <c r="A499" s="77">
        <v>493</v>
      </c>
      <c r="B499" s="79" t="s">
        <v>2439</v>
      </c>
      <c r="C499" s="79" t="s">
        <v>117</v>
      </c>
      <c r="D499" s="65" t="s">
        <v>117</v>
      </c>
      <c r="E499" s="18" t="s">
        <v>101</v>
      </c>
      <c r="F499" s="18" t="s">
        <v>109</v>
      </c>
      <c r="G499" s="18" t="s">
        <v>41</v>
      </c>
      <c r="H499" s="38"/>
      <c r="I499" s="38"/>
      <c r="J499" s="38"/>
      <c r="K499" s="18" t="s">
        <v>1418</v>
      </c>
      <c r="L499" s="18" t="s">
        <v>1419</v>
      </c>
      <c r="M499" s="18" t="s">
        <v>1420</v>
      </c>
      <c r="N499" s="60">
        <v>22.038450999999998</v>
      </c>
      <c r="O499" s="60">
        <v>91.899693999999997</v>
      </c>
      <c r="P499" s="62">
        <v>600</v>
      </c>
      <c r="Q499" s="62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38"/>
    </row>
    <row r="500" spans="1:36" x14ac:dyDescent="0.3">
      <c r="A500" s="77">
        <v>494</v>
      </c>
      <c r="B500" s="79" t="s">
        <v>2439</v>
      </c>
      <c r="C500" s="79" t="s">
        <v>117</v>
      </c>
      <c r="D500" s="65" t="s">
        <v>117</v>
      </c>
      <c r="E500" s="18" t="s">
        <v>101</v>
      </c>
      <c r="F500" s="18" t="s">
        <v>109</v>
      </c>
      <c r="G500" s="18" t="s">
        <v>41</v>
      </c>
      <c r="H500" s="38"/>
      <c r="I500" s="38"/>
      <c r="J500" s="38"/>
      <c r="K500" s="18" t="s">
        <v>1421</v>
      </c>
      <c r="L500" s="18" t="s">
        <v>1422</v>
      </c>
      <c r="M500" s="18" t="s">
        <v>1423</v>
      </c>
      <c r="N500" s="60">
        <v>22.037759999999999</v>
      </c>
      <c r="O500" s="60">
        <v>91.896213000000003</v>
      </c>
      <c r="P500" s="62">
        <v>600</v>
      </c>
      <c r="Q500" s="62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38"/>
    </row>
    <row r="501" spans="1:36" x14ac:dyDescent="0.3">
      <c r="A501" s="77">
        <v>495</v>
      </c>
      <c r="B501" s="79" t="s">
        <v>2439</v>
      </c>
      <c r="C501" s="79" t="s">
        <v>117</v>
      </c>
      <c r="D501" s="65" t="s">
        <v>117</v>
      </c>
      <c r="E501" s="18" t="s">
        <v>101</v>
      </c>
      <c r="F501" s="18" t="s">
        <v>109</v>
      </c>
      <c r="G501" s="18" t="s">
        <v>41</v>
      </c>
      <c r="H501" s="38"/>
      <c r="I501" s="38"/>
      <c r="J501" s="38"/>
      <c r="K501" s="18" t="s">
        <v>55</v>
      </c>
      <c r="L501" s="18" t="s">
        <v>1258</v>
      </c>
      <c r="M501" s="18" t="s">
        <v>1424</v>
      </c>
      <c r="N501" s="60">
        <v>22.040911000000001</v>
      </c>
      <c r="O501" s="60">
        <v>91.893890999999996</v>
      </c>
      <c r="P501" s="62">
        <v>400</v>
      </c>
      <c r="Q501" s="62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38"/>
    </row>
    <row r="502" spans="1:36" x14ac:dyDescent="0.3">
      <c r="A502" s="77">
        <v>496</v>
      </c>
      <c r="B502" s="79" t="s">
        <v>2439</v>
      </c>
      <c r="C502" s="79" t="s">
        <v>117</v>
      </c>
      <c r="D502" s="65" t="s">
        <v>117</v>
      </c>
      <c r="E502" s="18" t="s">
        <v>101</v>
      </c>
      <c r="F502" s="18" t="s">
        <v>109</v>
      </c>
      <c r="G502" s="18" t="s">
        <v>41</v>
      </c>
      <c r="H502" s="38"/>
      <c r="I502" s="38"/>
      <c r="J502" s="38"/>
      <c r="K502" s="18" t="s">
        <v>1425</v>
      </c>
      <c r="L502" s="18" t="s">
        <v>1426</v>
      </c>
      <c r="M502" s="18" t="s">
        <v>1427</v>
      </c>
      <c r="N502" s="60">
        <v>22.040655999999998</v>
      </c>
      <c r="O502" s="60">
        <v>91.888520999999997</v>
      </c>
      <c r="P502" s="62">
        <v>2500</v>
      </c>
      <c r="Q502" s="62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38"/>
    </row>
    <row r="503" spans="1:36" x14ac:dyDescent="0.3">
      <c r="A503" s="77">
        <v>497</v>
      </c>
      <c r="B503" s="79" t="s">
        <v>2439</v>
      </c>
      <c r="C503" s="79" t="s">
        <v>117</v>
      </c>
      <c r="D503" s="65" t="s">
        <v>117</v>
      </c>
      <c r="E503" s="18" t="s">
        <v>101</v>
      </c>
      <c r="F503" s="18" t="s">
        <v>109</v>
      </c>
      <c r="G503" s="18" t="s">
        <v>42</v>
      </c>
      <c r="H503" s="38"/>
      <c r="I503" s="38"/>
      <c r="J503" s="38"/>
      <c r="K503" s="18" t="s">
        <v>50</v>
      </c>
      <c r="L503" s="18" t="s">
        <v>926</v>
      </c>
      <c r="M503" s="18" t="s">
        <v>1428</v>
      </c>
      <c r="N503" s="60">
        <v>22.039251</v>
      </c>
      <c r="O503" s="60">
        <v>91.904128</v>
      </c>
      <c r="P503" s="62">
        <v>1000</v>
      </c>
      <c r="Q503" s="62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38"/>
    </row>
    <row r="504" spans="1:36" x14ac:dyDescent="0.3">
      <c r="A504" s="77">
        <v>498</v>
      </c>
      <c r="B504" s="79" t="s">
        <v>2439</v>
      </c>
      <c r="C504" s="79" t="s">
        <v>117</v>
      </c>
      <c r="D504" s="65" t="s">
        <v>117</v>
      </c>
      <c r="E504" s="18" t="s">
        <v>101</v>
      </c>
      <c r="F504" s="18" t="s">
        <v>109</v>
      </c>
      <c r="G504" s="18" t="s">
        <v>42</v>
      </c>
      <c r="H504" s="38"/>
      <c r="I504" s="38"/>
      <c r="J504" s="38"/>
      <c r="K504" s="18" t="s">
        <v>1429</v>
      </c>
      <c r="L504" s="18" t="s">
        <v>1430</v>
      </c>
      <c r="M504" s="18" t="s">
        <v>1431</v>
      </c>
      <c r="N504" s="60">
        <v>22.048096000000001</v>
      </c>
      <c r="O504" s="60">
        <v>91.901240000000001</v>
      </c>
      <c r="P504" s="62">
        <v>1500</v>
      </c>
      <c r="Q504" s="62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38"/>
    </row>
    <row r="505" spans="1:36" x14ac:dyDescent="0.3">
      <c r="A505" s="77">
        <v>499</v>
      </c>
      <c r="B505" s="79" t="s">
        <v>2439</v>
      </c>
      <c r="C505" s="79" t="s">
        <v>117</v>
      </c>
      <c r="D505" s="65" t="s">
        <v>117</v>
      </c>
      <c r="E505" s="18" t="s">
        <v>101</v>
      </c>
      <c r="F505" s="18" t="s">
        <v>109</v>
      </c>
      <c r="G505" s="18" t="s">
        <v>42</v>
      </c>
      <c r="H505" s="38"/>
      <c r="I505" s="38"/>
      <c r="J505" s="38"/>
      <c r="K505" s="18" t="s">
        <v>1432</v>
      </c>
      <c r="L505" s="18" t="s">
        <v>1433</v>
      </c>
      <c r="M505" s="18" t="s">
        <v>1434</v>
      </c>
      <c r="N505" s="60">
        <v>22.044879000000002</v>
      </c>
      <c r="O505" s="60">
        <v>91.902569</v>
      </c>
      <c r="P505" s="62">
        <v>1500</v>
      </c>
      <c r="Q505" s="62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38"/>
    </row>
    <row r="506" spans="1:36" x14ac:dyDescent="0.3">
      <c r="A506" s="77">
        <v>500</v>
      </c>
      <c r="B506" s="79" t="s">
        <v>2439</v>
      </c>
      <c r="C506" s="79" t="s">
        <v>117</v>
      </c>
      <c r="D506" s="65" t="s">
        <v>117</v>
      </c>
      <c r="E506" s="18" t="s">
        <v>101</v>
      </c>
      <c r="F506" s="18" t="s">
        <v>109</v>
      </c>
      <c r="G506" s="18" t="s">
        <v>42</v>
      </c>
      <c r="H506" s="38"/>
      <c r="I506" s="38"/>
      <c r="J506" s="38"/>
      <c r="K506" s="18" t="s">
        <v>1435</v>
      </c>
      <c r="L506" s="18" t="s">
        <v>1436</v>
      </c>
      <c r="M506" s="18" t="s">
        <v>1437</v>
      </c>
      <c r="N506" s="60">
        <v>22.040140999999998</v>
      </c>
      <c r="O506" s="60">
        <v>91.901301000000004</v>
      </c>
      <c r="P506" s="62">
        <v>300</v>
      </c>
      <c r="Q506" s="62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38"/>
    </row>
    <row r="507" spans="1:36" x14ac:dyDescent="0.3">
      <c r="A507" s="77">
        <v>501</v>
      </c>
      <c r="B507" s="79" t="s">
        <v>2439</v>
      </c>
      <c r="C507" s="79" t="s">
        <v>117</v>
      </c>
      <c r="D507" s="65" t="s">
        <v>117</v>
      </c>
      <c r="E507" s="18" t="s">
        <v>101</v>
      </c>
      <c r="F507" s="18" t="s">
        <v>109</v>
      </c>
      <c r="G507" s="18" t="s">
        <v>42</v>
      </c>
      <c r="H507" s="38"/>
      <c r="I507" s="38"/>
      <c r="J507" s="38"/>
      <c r="K507" s="18" t="s">
        <v>58</v>
      </c>
      <c r="L507" s="67" t="s">
        <v>364</v>
      </c>
      <c r="M507" s="18" t="s">
        <v>1438</v>
      </c>
      <c r="N507" s="60">
        <v>22.048998000000001</v>
      </c>
      <c r="O507" s="60">
        <v>91.899214999999998</v>
      </c>
      <c r="P507" s="62">
        <v>1000</v>
      </c>
      <c r="Q507" s="62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38"/>
    </row>
    <row r="508" spans="1:36" x14ac:dyDescent="0.3">
      <c r="A508" s="77">
        <v>502</v>
      </c>
      <c r="B508" s="79" t="s">
        <v>2439</v>
      </c>
      <c r="C508" s="79" t="s">
        <v>117</v>
      </c>
      <c r="D508" s="65" t="s">
        <v>117</v>
      </c>
      <c r="E508" s="18" t="s">
        <v>101</v>
      </c>
      <c r="F508" s="18" t="s">
        <v>109</v>
      </c>
      <c r="G508" s="18" t="s">
        <v>42</v>
      </c>
      <c r="H508" s="38"/>
      <c r="I508" s="38"/>
      <c r="J508" s="38"/>
      <c r="K508" s="18" t="s">
        <v>55</v>
      </c>
      <c r="L508" s="18" t="s">
        <v>1258</v>
      </c>
      <c r="M508" s="18" t="s">
        <v>1439</v>
      </c>
      <c r="N508" s="60">
        <v>22.04447</v>
      </c>
      <c r="O508" s="60">
        <v>91.897052000000002</v>
      </c>
      <c r="P508" s="62">
        <v>200</v>
      </c>
      <c r="Q508" s="62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38"/>
    </row>
    <row r="509" spans="1:36" x14ac:dyDescent="0.3">
      <c r="A509" s="77">
        <v>503</v>
      </c>
      <c r="B509" s="79" t="s">
        <v>2439</v>
      </c>
      <c r="C509" s="79" t="s">
        <v>117</v>
      </c>
      <c r="D509" s="65" t="s">
        <v>117</v>
      </c>
      <c r="E509" s="18" t="s">
        <v>101</v>
      </c>
      <c r="F509" s="18" t="s">
        <v>109</v>
      </c>
      <c r="G509" s="18" t="s">
        <v>43</v>
      </c>
      <c r="H509" s="38"/>
      <c r="I509" s="38"/>
      <c r="J509" s="38"/>
      <c r="K509" s="18" t="s">
        <v>1440</v>
      </c>
      <c r="L509" s="18" t="s">
        <v>1441</v>
      </c>
      <c r="M509" s="18" t="s">
        <v>1442</v>
      </c>
      <c r="N509" s="60">
        <v>22.043932999999999</v>
      </c>
      <c r="O509" s="60">
        <v>91.904894999999996</v>
      </c>
      <c r="P509" s="62">
        <v>500</v>
      </c>
      <c r="Q509" s="62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38"/>
    </row>
    <row r="510" spans="1:36" x14ac:dyDescent="0.3">
      <c r="A510" s="77">
        <v>504</v>
      </c>
      <c r="B510" s="79" t="s">
        <v>2439</v>
      </c>
      <c r="C510" s="79" t="s">
        <v>117</v>
      </c>
      <c r="D510" s="65" t="s">
        <v>117</v>
      </c>
      <c r="E510" s="18" t="s">
        <v>101</v>
      </c>
      <c r="F510" s="18" t="s">
        <v>109</v>
      </c>
      <c r="G510" s="18" t="s">
        <v>43</v>
      </c>
      <c r="H510" s="38"/>
      <c r="I510" s="38"/>
      <c r="J510" s="38"/>
      <c r="K510" s="18" t="s">
        <v>1443</v>
      </c>
      <c r="L510" s="18" t="s">
        <v>1444</v>
      </c>
      <c r="M510" s="18" t="s">
        <v>1445</v>
      </c>
      <c r="N510" s="60">
        <v>22.042120000000001</v>
      </c>
      <c r="O510" s="60">
        <v>91.909312999999997</v>
      </c>
      <c r="P510" s="62">
        <v>1000</v>
      </c>
      <c r="Q510" s="62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38"/>
    </row>
    <row r="511" spans="1:36" x14ac:dyDescent="0.3">
      <c r="A511" s="77">
        <v>505</v>
      </c>
      <c r="B511" s="79" t="s">
        <v>2439</v>
      </c>
      <c r="C511" s="79" t="s">
        <v>117</v>
      </c>
      <c r="D511" s="65" t="s">
        <v>117</v>
      </c>
      <c r="E511" s="18" t="s">
        <v>101</v>
      </c>
      <c r="F511" s="18" t="s">
        <v>109</v>
      </c>
      <c r="G511" s="18" t="s">
        <v>43</v>
      </c>
      <c r="H511" s="38"/>
      <c r="I511" s="38"/>
      <c r="J511" s="38"/>
      <c r="K511" s="18" t="s">
        <v>1446</v>
      </c>
      <c r="L511" s="18" t="s">
        <v>1447</v>
      </c>
      <c r="M511" s="18" t="s">
        <v>1448</v>
      </c>
      <c r="N511" s="60">
        <v>22.049130000000002</v>
      </c>
      <c r="O511" s="60">
        <v>91.903667999999996</v>
      </c>
      <c r="P511" s="62">
        <v>1200</v>
      </c>
      <c r="Q511" s="62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38"/>
    </row>
    <row r="512" spans="1:36" x14ac:dyDescent="0.3">
      <c r="A512" s="77">
        <v>506</v>
      </c>
      <c r="B512" s="79" t="s">
        <v>2439</v>
      </c>
      <c r="C512" s="79" t="s">
        <v>117</v>
      </c>
      <c r="D512" s="65" t="s">
        <v>117</v>
      </c>
      <c r="E512" s="18" t="s">
        <v>101</v>
      </c>
      <c r="F512" s="18" t="s">
        <v>109</v>
      </c>
      <c r="G512" s="18" t="s">
        <v>43</v>
      </c>
      <c r="H512" s="38"/>
      <c r="I512" s="38"/>
      <c r="J512" s="38"/>
      <c r="K512" s="18" t="s">
        <v>96</v>
      </c>
      <c r="L512" s="18" t="s">
        <v>1378</v>
      </c>
      <c r="M512" s="18" t="s">
        <v>1449</v>
      </c>
      <c r="N512" s="60">
        <v>22.046963000000002</v>
      </c>
      <c r="O512" s="60">
        <v>91.904157999999995</v>
      </c>
      <c r="P512" s="62">
        <v>1000</v>
      </c>
      <c r="Q512" s="62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38"/>
    </row>
    <row r="513" spans="1:36" x14ac:dyDescent="0.3">
      <c r="A513" s="77">
        <v>507</v>
      </c>
      <c r="B513" s="79" t="s">
        <v>2439</v>
      </c>
      <c r="C513" s="79" t="s">
        <v>117</v>
      </c>
      <c r="D513" s="65" t="s">
        <v>117</v>
      </c>
      <c r="E513" s="18" t="s">
        <v>101</v>
      </c>
      <c r="F513" s="18" t="s">
        <v>109</v>
      </c>
      <c r="G513" s="18" t="s">
        <v>43</v>
      </c>
      <c r="H513" s="38"/>
      <c r="I513" s="38"/>
      <c r="J513" s="38"/>
      <c r="K513" s="18" t="s">
        <v>50</v>
      </c>
      <c r="L513" s="18" t="s">
        <v>926</v>
      </c>
      <c r="M513" s="18" t="s">
        <v>1450</v>
      </c>
      <c r="N513" s="60">
        <v>22.050068</v>
      </c>
      <c r="O513" s="60">
        <v>91.907376999999997</v>
      </c>
      <c r="P513" s="62">
        <v>1200</v>
      </c>
      <c r="Q513" s="62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38"/>
    </row>
    <row r="514" spans="1:36" x14ac:dyDescent="0.3">
      <c r="A514" s="77">
        <v>508</v>
      </c>
      <c r="B514" s="79" t="s">
        <v>2439</v>
      </c>
      <c r="C514" s="79" t="s">
        <v>117</v>
      </c>
      <c r="D514" s="65" t="s">
        <v>117</v>
      </c>
      <c r="E514" s="18" t="s">
        <v>101</v>
      </c>
      <c r="F514" s="18" t="s">
        <v>109</v>
      </c>
      <c r="G514" s="18" t="s">
        <v>43</v>
      </c>
      <c r="H514" s="38"/>
      <c r="I514" s="38"/>
      <c r="J514" s="38"/>
      <c r="K514" s="18" t="s">
        <v>1451</v>
      </c>
      <c r="L514" s="18" t="s">
        <v>1452</v>
      </c>
      <c r="M514" s="18" t="s">
        <v>1453</v>
      </c>
      <c r="N514" s="60">
        <v>22.046897999999999</v>
      </c>
      <c r="O514" s="60">
        <v>91.907325999999998</v>
      </c>
      <c r="P514" s="62">
        <v>1500</v>
      </c>
      <c r="Q514" s="62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38"/>
    </row>
    <row r="515" spans="1:36" x14ac:dyDescent="0.3">
      <c r="A515" s="77">
        <v>509</v>
      </c>
      <c r="B515" s="79" t="s">
        <v>2439</v>
      </c>
      <c r="C515" s="79" t="s">
        <v>117</v>
      </c>
      <c r="D515" s="65" t="s">
        <v>117</v>
      </c>
      <c r="E515" s="18" t="s">
        <v>101</v>
      </c>
      <c r="F515" s="18" t="s">
        <v>109</v>
      </c>
      <c r="G515" s="18" t="s">
        <v>44</v>
      </c>
      <c r="H515" s="38"/>
      <c r="I515" s="38"/>
      <c r="J515" s="38"/>
      <c r="K515" s="18" t="s">
        <v>1454</v>
      </c>
      <c r="L515" s="18" t="s">
        <v>1455</v>
      </c>
      <c r="M515" s="18" t="s">
        <v>1456</v>
      </c>
      <c r="N515" s="60">
        <v>22.052007</v>
      </c>
      <c r="O515" s="60">
        <v>91.911641000000003</v>
      </c>
      <c r="P515" s="62">
        <v>1500</v>
      </c>
      <c r="Q515" s="62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38"/>
    </row>
    <row r="516" spans="1:36" x14ac:dyDescent="0.3">
      <c r="A516" s="77">
        <v>510</v>
      </c>
      <c r="B516" s="79" t="s">
        <v>2439</v>
      </c>
      <c r="C516" s="79" t="s">
        <v>117</v>
      </c>
      <c r="D516" s="65" t="s">
        <v>117</v>
      </c>
      <c r="E516" s="18" t="s">
        <v>101</v>
      </c>
      <c r="F516" s="18" t="s">
        <v>109</v>
      </c>
      <c r="G516" s="18" t="s">
        <v>44</v>
      </c>
      <c r="H516" s="38"/>
      <c r="I516" s="38"/>
      <c r="J516" s="38"/>
      <c r="K516" s="18" t="s">
        <v>1457</v>
      </c>
      <c r="L516" s="18" t="s">
        <v>1458</v>
      </c>
      <c r="M516" s="18" t="s">
        <v>1459</v>
      </c>
      <c r="N516" s="60">
        <v>22.049050000000001</v>
      </c>
      <c r="O516" s="60">
        <v>91.909706999999997</v>
      </c>
      <c r="P516" s="62">
        <v>1000</v>
      </c>
      <c r="Q516" s="62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38"/>
    </row>
    <row r="517" spans="1:36" x14ac:dyDescent="0.3">
      <c r="A517" s="77">
        <v>511</v>
      </c>
      <c r="B517" s="79" t="s">
        <v>2439</v>
      </c>
      <c r="C517" s="79" t="s">
        <v>117</v>
      </c>
      <c r="D517" s="65" t="s">
        <v>117</v>
      </c>
      <c r="E517" s="18" t="s">
        <v>101</v>
      </c>
      <c r="F517" s="18" t="s">
        <v>109</v>
      </c>
      <c r="G517" s="18" t="s">
        <v>44</v>
      </c>
      <c r="H517" s="38"/>
      <c r="I517" s="38"/>
      <c r="J517" s="38"/>
      <c r="K517" s="18" t="s">
        <v>1460</v>
      </c>
      <c r="L517" s="18" t="s">
        <v>1461</v>
      </c>
      <c r="M517" s="18" t="s">
        <v>1462</v>
      </c>
      <c r="N517" s="60">
        <v>22.052845000000001</v>
      </c>
      <c r="O517" s="60">
        <v>91.909820999999994</v>
      </c>
      <c r="P517" s="62">
        <v>500</v>
      </c>
      <c r="Q517" s="62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38"/>
    </row>
    <row r="518" spans="1:36" x14ac:dyDescent="0.3">
      <c r="A518" s="77">
        <v>512</v>
      </c>
      <c r="B518" s="79" t="s">
        <v>2439</v>
      </c>
      <c r="C518" s="79" t="s">
        <v>117</v>
      </c>
      <c r="D518" s="65" t="s">
        <v>117</v>
      </c>
      <c r="E518" s="18" t="s">
        <v>101</v>
      </c>
      <c r="F518" s="18" t="s">
        <v>109</v>
      </c>
      <c r="G518" s="18" t="s">
        <v>44</v>
      </c>
      <c r="H518" s="38"/>
      <c r="I518" s="38"/>
      <c r="J518" s="38"/>
      <c r="K518" s="18" t="s">
        <v>124</v>
      </c>
      <c r="L518" s="18" t="s">
        <v>125</v>
      </c>
      <c r="M518" s="18" t="s">
        <v>1463</v>
      </c>
      <c r="N518" s="60">
        <v>22.046685</v>
      </c>
      <c r="O518" s="60">
        <v>91.929112000000003</v>
      </c>
      <c r="P518" s="62">
        <v>1200</v>
      </c>
      <c r="Q518" s="62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38"/>
    </row>
    <row r="519" spans="1:36" x14ac:dyDescent="0.3">
      <c r="A519" s="77">
        <v>513</v>
      </c>
      <c r="B519" s="79" t="s">
        <v>2439</v>
      </c>
      <c r="C519" s="79" t="s">
        <v>117</v>
      </c>
      <c r="D519" s="65" t="s">
        <v>117</v>
      </c>
      <c r="E519" s="18" t="s">
        <v>101</v>
      </c>
      <c r="F519" s="18" t="s">
        <v>109</v>
      </c>
      <c r="G519" s="18" t="s">
        <v>44</v>
      </c>
      <c r="H519" s="38"/>
      <c r="I519" s="38"/>
      <c r="J519" s="38"/>
      <c r="K519" s="18" t="s">
        <v>1464</v>
      </c>
      <c r="L519" s="18" t="s">
        <v>1465</v>
      </c>
      <c r="M519" s="18" t="s">
        <v>1466</v>
      </c>
      <c r="N519" s="60">
        <v>22.053031000000001</v>
      </c>
      <c r="O519" s="60">
        <v>91.922096999999994</v>
      </c>
      <c r="P519" s="62">
        <v>1700</v>
      </c>
      <c r="Q519" s="62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38"/>
    </row>
    <row r="520" spans="1:36" x14ac:dyDescent="0.3">
      <c r="A520" s="77">
        <v>514</v>
      </c>
      <c r="B520" s="79" t="s">
        <v>2439</v>
      </c>
      <c r="C520" s="79" t="s">
        <v>117</v>
      </c>
      <c r="D520" s="65" t="s">
        <v>117</v>
      </c>
      <c r="E520" s="18" t="s">
        <v>101</v>
      </c>
      <c r="F520" s="18" t="s">
        <v>109</v>
      </c>
      <c r="G520" s="18" t="s">
        <v>45</v>
      </c>
      <c r="H520" s="38"/>
      <c r="I520" s="38"/>
      <c r="J520" s="38"/>
      <c r="K520" s="18" t="s">
        <v>1467</v>
      </c>
      <c r="L520" s="18" t="s">
        <v>1468</v>
      </c>
      <c r="M520" s="18" t="s">
        <v>1469</v>
      </c>
      <c r="N520" s="60">
        <v>22.037589000000001</v>
      </c>
      <c r="O520" s="60">
        <v>91.904283000000007</v>
      </c>
      <c r="P520" s="62">
        <v>1000</v>
      </c>
      <c r="Q520" s="62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38"/>
    </row>
    <row r="521" spans="1:36" x14ac:dyDescent="0.3">
      <c r="A521" s="77">
        <v>515</v>
      </c>
      <c r="B521" s="79" t="s">
        <v>2439</v>
      </c>
      <c r="C521" s="79" t="s">
        <v>117</v>
      </c>
      <c r="D521" s="65" t="s">
        <v>117</v>
      </c>
      <c r="E521" s="18" t="s">
        <v>101</v>
      </c>
      <c r="F521" s="18" t="s">
        <v>109</v>
      </c>
      <c r="G521" s="18" t="s">
        <v>45</v>
      </c>
      <c r="H521" s="38"/>
      <c r="I521" s="38"/>
      <c r="J521" s="38"/>
      <c r="K521" s="18" t="s">
        <v>904</v>
      </c>
      <c r="L521" s="18" t="s">
        <v>905</v>
      </c>
      <c r="M521" s="18" t="s">
        <v>1470</v>
      </c>
      <c r="N521" s="60">
        <v>22.039453999999999</v>
      </c>
      <c r="O521" s="60">
        <v>91.909075999999999</v>
      </c>
      <c r="P521" s="62">
        <v>1200</v>
      </c>
      <c r="Q521" s="62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38"/>
    </row>
    <row r="522" spans="1:36" x14ac:dyDescent="0.3">
      <c r="A522" s="77">
        <v>516</v>
      </c>
      <c r="B522" s="79" t="s">
        <v>2439</v>
      </c>
      <c r="C522" s="79" t="s">
        <v>117</v>
      </c>
      <c r="D522" s="65" t="s">
        <v>117</v>
      </c>
      <c r="E522" s="18" t="s">
        <v>101</v>
      </c>
      <c r="F522" s="18" t="s">
        <v>109</v>
      </c>
      <c r="G522" s="18" t="s">
        <v>45</v>
      </c>
      <c r="H522" s="38"/>
      <c r="I522" s="38"/>
      <c r="J522" s="38"/>
      <c r="K522" s="18" t="s">
        <v>208</v>
      </c>
      <c r="L522" s="18" t="s">
        <v>209</v>
      </c>
      <c r="M522" s="18" t="s">
        <v>1471</v>
      </c>
      <c r="N522" s="60">
        <v>22.038724999999999</v>
      </c>
      <c r="O522" s="60">
        <v>91.911660999999995</v>
      </c>
      <c r="P522" s="62">
        <v>300</v>
      </c>
      <c r="Q522" s="62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38"/>
    </row>
    <row r="523" spans="1:36" x14ac:dyDescent="0.3">
      <c r="A523" s="77">
        <v>517</v>
      </c>
      <c r="B523" s="79" t="s">
        <v>2439</v>
      </c>
      <c r="C523" s="79" t="s">
        <v>117</v>
      </c>
      <c r="D523" s="65" t="s">
        <v>117</v>
      </c>
      <c r="E523" s="18" t="s">
        <v>101</v>
      </c>
      <c r="F523" s="18" t="s">
        <v>109</v>
      </c>
      <c r="G523" s="18" t="s">
        <v>45</v>
      </c>
      <c r="H523" s="38"/>
      <c r="I523" s="38"/>
      <c r="J523" s="38"/>
      <c r="K523" s="18" t="s">
        <v>1472</v>
      </c>
      <c r="L523" s="18" t="s">
        <v>1473</v>
      </c>
      <c r="M523" s="18" t="s">
        <v>1474</v>
      </c>
      <c r="N523" s="60">
        <v>22.034537</v>
      </c>
      <c r="O523" s="60">
        <v>91.912143999999998</v>
      </c>
      <c r="P523" s="62">
        <v>700</v>
      </c>
      <c r="Q523" s="62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38"/>
    </row>
    <row r="524" spans="1:36" x14ac:dyDescent="0.3">
      <c r="A524" s="77">
        <v>518</v>
      </c>
      <c r="B524" s="79" t="s">
        <v>2439</v>
      </c>
      <c r="C524" s="79" t="s">
        <v>117</v>
      </c>
      <c r="D524" s="65" t="s">
        <v>117</v>
      </c>
      <c r="E524" s="18" t="s">
        <v>101</v>
      </c>
      <c r="F524" s="18" t="s">
        <v>109</v>
      </c>
      <c r="G524" s="18" t="s">
        <v>45</v>
      </c>
      <c r="H524" s="38"/>
      <c r="I524" s="38"/>
      <c r="J524" s="38"/>
      <c r="K524" s="18" t="s">
        <v>1475</v>
      </c>
      <c r="L524" s="18" t="s">
        <v>1476</v>
      </c>
      <c r="M524" s="18" t="s">
        <v>1477</v>
      </c>
      <c r="N524" s="60">
        <v>22.033089</v>
      </c>
      <c r="O524" s="60">
        <v>91.910195000000002</v>
      </c>
      <c r="P524" s="62">
        <v>400</v>
      </c>
      <c r="Q524" s="62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38"/>
    </row>
    <row r="525" spans="1:36" x14ac:dyDescent="0.3">
      <c r="A525" s="77">
        <v>519</v>
      </c>
      <c r="B525" s="79" t="s">
        <v>2439</v>
      </c>
      <c r="C525" s="79" t="s">
        <v>117</v>
      </c>
      <c r="D525" s="65" t="s">
        <v>117</v>
      </c>
      <c r="E525" s="18" t="s">
        <v>101</v>
      </c>
      <c r="F525" s="18" t="s">
        <v>109</v>
      </c>
      <c r="G525" s="18" t="s">
        <v>45</v>
      </c>
      <c r="H525" s="38"/>
      <c r="I525" s="38"/>
      <c r="J525" s="38"/>
      <c r="K525" s="18" t="s">
        <v>1478</v>
      </c>
      <c r="L525" s="18" t="s">
        <v>1479</v>
      </c>
      <c r="M525" s="18" t="s">
        <v>1480</v>
      </c>
      <c r="N525" s="60">
        <v>22.033725</v>
      </c>
      <c r="O525" s="60">
        <v>91.905711999999994</v>
      </c>
      <c r="P525" s="62">
        <v>2000</v>
      </c>
      <c r="Q525" s="62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38"/>
    </row>
    <row r="526" spans="1:36" x14ac:dyDescent="0.3">
      <c r="A526" s="77">
        <v>520</v>
      </c>
      <c r="B526" s="79" t="s">
        <v>2439</v>
      </c>
      <c r="C526" s="79" t="s">
        <v>117</v>
      </c>
      <c r="D526" s="65" t="s">
        <v>117</v>
      </c>
      <c r="E526" s="18" t="s">
        <v>101</v>
      </c>
      <c r="F526" s="18" t="s">
        <v>109</v>
      </c>
      <c r="G526" s="18" t="s">
        <v>46</v>
      </c>
      <c r="H526" s="38"/>
      <c r="I526" s="38"/>
      <c r="J526" s="38"/>
      <c r="K526" s="18" t="s">
        <v>1481</v>
      </c>
      <c r="L526" s="18" t="s">
        <v>1482</v>
      </c>
      <c r="M526" s="18" t="s">
        <v>1483</v>
      </c>
      <c r="N526" s="60">
        <v>22.036860000000001</v>
      </c>
      <c r="O526" s="60">
        <v>91.913734000000005</v>
      </c>
      <c r="P526" s="62">
        <v>1500</v>
      </c>
      <c r="Q526" s="62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38"/>
    </row>
    <row r="527" spans="1:36" x14ac:dyDescent="0.3">
      <c r="A527" s="77">
        <v>521</v>
      </c>
      <c r="B527" s="79" t="s">
        <v>2439</v>
      </c>
      <c r="C527" s="79" t="s">
        <v>117</v>
      </c>
      <c r="D527" s="65" t="s">
        <v>117</v>
      </c>
      <c r="E527" s="18" t="s">
        <v>101</v>
      </c>
      <c r="F527" s="18" t="s">
        <v>109</v>
      </c>
      <c r="G527" s="18" t="s">
        <v>46</v>
      </c>
      <c r="H527" s="38"/>
      <c r="I527" s="38"/>
      <c r="J527" s="38"/>
      <c r="K527" s="18" t="s">
        <v>1484</v>
      </c>
      <c r="L527" s="18" t="s">
        <v>1485</v>
      </c>
      <c r="M527" s="18" t="s">
        <v>1486</v>
      </c>
      <c r="N527" s="60">
        <v>22.036947999999999</v>
      </c>
      <c r="O527" s="60">
        <v>91.919017999999994</v>
      </c>
      <c r="P527" s="62">
        <v>2000</v>
      </c>
      <c r="Q527" s="62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38"/>
    </row>
    <row r="528" spans="1:36" x14ac:dyDescent="0.3">
      <c r="A528" s="77">
        <v>522</v>
      </c>
      <c r="B528" s="79" t="s">
        <v>2439</v>
      </c>
      <c r="C528" s="79" t="s">
        <v>117</v>
      </c>
      <c r="D528" s="65" t="s">
        <v>117</v>
      </c>
      <c r="E528" s="18" t="s">
        <v>101</v>
      </c>
      <c r="F528" s="18" t="s">
        <v>109</v>
      </c>
      <c r="G528" s="18" t="s">
        <v>46</v>
      </c>
      <c r="H528" s="38"/>
      <c r="I528" s="38"/>
      <c r="J528" s="38"/>
      <c r="K528" s="18" t="s">
        <v>58</v>
      </c>
      <c r="L528" s="67" t="s">
        <v>364</v>
      </c>
      <c r="M528" s="18" t="s">
        <v>1487</v>
      </c>
      <c r="N528" s="60">
        <v>22.039688999999999</v>
      </c>
      <c r="O528" s="60">
        <v>91.913994000000002</v>
      </c>
      <c r="P528" s="62">
        <v>1000</v>
      </c>
      <c r="Q528" s="62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38"/>
    </row>
    <row r="529" spans="1:36" x14ac:dyDescent="0.3">
      <c r="A529" s="77">
        <v>523</v>
      </c>
      <c r="B529" s="79" t="s">
        <v>2439</v>
      </c>
      <c r="C529" s="79" t="s">
        <v>117</v>
      </c>
      <c r="D529" s="65" t="s">
        <v>117</v>
      </c>
      <c r="E529" s="18" t="s">
        <v>101</v>
      </c>
      <c r="F529" s="18" t="s">
        <v>109</v>
      </c>
      <c r="G529" s="18" t="s">
        <v>46</v>
      </c>
      <c r="H529" s="38"/>
      <c r="I529" s="38"/>
      <c r="J529" s="38"/>
      <c r="K529" s="18" t="s">
        <v>1488</v>
      </c>
      <c r="L529" s="18" t="s">
        <v>1489</v>
      </c>
      <c r="M529" s="18" t="s">
        <v>1490</v>
      </c>
      <c r="N529" s="60">
        <v>22.032864</v>
      </c>
      <c r="O529" s="60">
        <v>91.912629999999993</v>
      </c>
      <c r="P529" s="62">
        <v>1000</v>
      </c>
      <c r="Q529" s="62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38"/>
    </row>
    <row r="530" spans="1:36" x14ac:dyDescent="0.3">
      <c r="A530" s="77">
        <v>524</v>
      </c>
      <c r="B530" s="79" t="s">
        <v>2439</v>
      </c>
      <c r="C530" s="79" t="s">
        <v>117</v>
      </c>
      <c r="D530" s="65" t="s">
        <v>117</v>
      </c>
      <c r="E530" s="18" t="s">
        <v>101</v>
      </c>
      <c r="F530" s="18" t="s">
        <v>109</v>
      </c>
      <c r="G530" s="18" t="s">
        <v>46</v>
      </c>
      <c r="H530" s="38"/>
      <c r="I530" s="38"/>
      <c r="J530" s="38"/>
      <c r="K530" s="18" t="s">
        <v>208</v>
      </c>
      <c r="L530" s="18" t="s">
        <v>209</v>
      </c>
      <c r="M530" s="18" t="s">
        <v>1491</v>
      </c>
      <c r="N530" s="60">
        <v>22.039273000000001</v>
      </c>
      <c r="O530" s="60">
        <v>91.912273999999996</v>
      </c>
      <c r="P530" s="62">
        <v>200</v>
      </c>
      <c r="Q530" s="62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38"/>
    </row>
    <row r="531" spans="1:36" x14ac:dyDescent="0.3">
      <c r="A531" s="77">
        <v>525</v>
      </c>
      <c r="B531" s="79" t="s">
        <v>2439</v>
      </c>
      <c r="C531" s="79" t="s">
        <v>117</v>
      </c>
      <c r="D531" s="65" t="s">
        <v>117</v>
      </c>
      <c r="E531" s="18" t="s">
        <v>101</v>
      </c>
      <c r="F531" s="18" t="s">
        <v>109</v>
      </c>
      <c r="G531" s="18" t="s">
        <v>47</v>
      </c>
      <c r="H531" s="38"/>
      <c r="I531" s="38"/>
      <c r="J531" s="38"/>
      <c r="K531" s="18" t="s">
        <v>1492</v>
      </c>
      <c r="L531" s="18" t="s">
        <v>1493</v>
      </c>
      <c r="M531" s="18" t="s">
        <v>1494</v>
      </c>
      <c r="N531" s="60">
        <v>22.041910999999999</v>
      </c>
      <c r="O531" s="60">
        <v>91.912486999999999</v>
      </c>
      <c r="P531" s="62">
        <v>1000</v>
      </c>
      <c r="Q531" s="62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38"/>
    </row>
    <row r="532" spans="1:36" x14ac:dyDescent="0.3">
      <c r="A532" s="77">
        <v>526</v>
      </c>
      <c r="B532" s="79" t="s">
        <v>2439</v>
      </c>
      <c r="C532" s="79" t="s">
        <v>117</v>
      </c>
      <c r="D532" s="65" t="s">
        <v>117</v>
      </c>
      <c r="E532" s="18" t="s">
        <v>101</v>
      </c>
      <c r="F532" s="18" t="s">
        <v>109</v>
      </c>
      <c r="G532" s="18" t="s">
        <v>47</v>
      </c>
      <c r="H532" s="38"/>
      <c r="I532" s="38"/>
      <c r="J532" s="38"/>
      <c r="K532" s="18" t="s">
        <v>1495</v>
      </c>
      <c r="L532" s="18" t="s">
        <v>1496</v>
      </c>
      <c r="M532" s="18" t="s">
        <v>1497</v>
      </c>
      <c r="N532" s="60">
        <v>22.041551999999999</v>
      </c>
      <c r="O532" s="60">
        <v>91.918908999999999</v>
      </c>
      <c r="P532" s="62">
        <v>1200</v>
      </c>
      <c r="Q532" s="62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38"/>
    </row>
    <row r="533" spans="1:36" x14ac:dyDescent="0.3">
      <c r="A533" s="77">
        <v>527</v>
      </c>
      <c r="B533" s="79" t="s">
        <v>2439</v>
      </c>
      <c r="C533" s="79" t="s">
        <v>117</v>
      </c>
      <c r="D533" s="65" t="s">
        <v>117</v>
      </c>
      <c r="E533" s="18" t="s">
        <v>101</v>
      </c>
      <c r="F533" s="18" t="s">
        <v>109</v>
      </c>
      <c r="G533" s="18" t="s">
        <v>47</v>
      </c>
      <c r="H533" s="38"/>
      <c r="I533" s="38"/>
      <c r="J533" s="38"/>
      <c r="K533" s="18" t="s">
        <v>1484</v>
      </c>
      <c r="L533" s="18" t="s">
        <v>1485</v>
      </c>
      <c r="M533" s="18" t="s">
        <v>1498</v>
      </c>
      <c r="N533" s="60">
        <v>22.038896000000001</v>
      </c>
      <c r="O533" s="60">
        <v>91.924064999999999</v>
      </c>
      <c r="P533" s="62">
        <v>800</v>
      </c>
      <c r="Q533" s="62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38"/>
    </row>
    <row r="534" spans="1:36" x14ac:dyDescent="0.3">
      <c r="A534" s="77">
        <v>528</v>
      </c>
      <c r="B534" s="79" t="s">
        <v>2439</v>
      </c>
      <c r="C534" s="79" t="s">
        <v>117</v>
      </c>
      <c r="D534" s="65" t="s">
        <v>117</v>
      </c>
      <c r="E534" s="18" t="s">
        <v>101</v>
      </c>
      <c r="F534" s="18" t="s">
        <v>109</v>
      </c>
      <c r="G534" s="18" t="s">
        <v>47</v>
      </c>
      <c r="H534" s="38"/>
      <c r="I534" s="38"/>
      <c r="J534" s="38"/>
      <c r="K534" s="18" t="s">
        <v>1499</v>
      </c>
      <c r="L534" s="18" t="s">
        <v>1500</v>
      </c>
      <c r="M534" s="18" t="s">
        <v>1501</v>
      </c>
      <c r="N534" s="60">
        <v>22.042719000000002</v>
      </c>
      <c r="O534" s="60">
        <v>91.917123000000004</v>
      </c>
      <c r="P534" s="62">
        <v>800</v>
      </c>
      <c r="Q534" s="62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</row>
    <row r="535" spans="1:36" x14ac:dyDescent="0.3">
      <c r="A535" s="77">
        <v>529</v>
      </c>
      <c r="B535" s="79" t="s">
        <v>2439</v>
      </c>
      <c r="C535" s="79" t="s">
        <v>117</v>
      </c>
      <c r="D535" s="65" t="s">
        <v>117</v>
      </c>
      <c r="E535" s="18" t="s">
        <v>101</v>
      </c>
      <c r="F535" s="18" t="s">
        <v>109</v>
      </c>
      <c r="G535" s="18" t="s">
        <v>47</v>
      </c>
      <c r="H535" s="38"/>
      <c r="I535" s="38"/>
      <c r="J535" s="38"/>
      <c r="K535" s="18" t="s">
        <v>1502</v>
      </c>
      <c r="L535" s="18" t="s">
        <v>1503</v>
      </c>
      <c r="M535" s="18" t="s">
        <v>1504</v>
      </c>
      <c r="N535" s="60">
        <v>22.045646999999999</v>
      </c>
      <c r="O535" s="60">
        <v>91.916559000000007</v>
      </c>
      <c r="P535" s="62">
        <v>1500</v>
      </c>
      <c r="Q535" s="62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</row>
    <row r="536" spans="1:36" x14ac:dyDescent="0.3">
      <c r="A536" s="77">
        <v>530</v>
      </c>
      <c r="B536" s="79" t="s">
        <v>2439</v>
      </c>
      <c r="C536" s="79" t="s">
        <v>117</v>
      </c>
      <c r="D536" s="65" t="s">
        <v>117</v>
      </c>
      <c r="E536" s="18" t="s">
        <v>101</v>
      </c>
      <c r="F536" s="18" t="s">
        <v>109</v>
      </c>
      <c r="G536" s="18" t="s">
        <v>47</v>
      </c>
      <c r="H536" s="38"/>
      <c r="I536" s="38"/>
      <c r="J536" s="38"/>
      <c r="K536" s="18" t="s">
        <v>1505</v>
      </c>
      <c r="L536" s="18" t="s">
        <v>1506</v>
      </c>
      <c r="M536" s="18" t="s">
        <v>1507</v>
      </c>
      <c r="N536" s="60">
        <v>22.044329000000001</v>
      </c>
      <c r="O536" s="60">
        <v>91.924401000000003</v>
      </c>
      <c r="P536" s="62">
        <v>800</v>
      </c>
      <c r="Q536" s="62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</row>
    <row r="537" spans="1:36" x14ac:dyDescent="0.3">
      <c r="A537" s="77">
        <v>531</v>
      </c>
      <c r="B537" s="79" t="s">
        <v>2439</v>
      </c>
      <c r="C537" s="79" t="s">
        <v>117</v>
      </c>
      <c r="D537" s="65" t="s">
        <v>117</v>
      </c>
      <c r="E537" s="18" t="s">
        <v>101</v>
      </c>
      <c r="F537" s="18" t="s">
        <v>109</v>
      </c>
      <c r="G537" s="18" t="s">
        <v>48</v>
      </c>
      <c r="H537" s="38"/>
      <c r="I537" s="38"/>
      <c r="J537" s="38"/>
      <c r="K537" s="18" t="s">
        <v>1508</v>
      </c>
      <c r="L537" s="18" t="s">
        <v>1509</v>
      </c>
      <c r="M537" s="18" t="s">
        <v>1510</v>
      </c>
      <c r="N537" s="60">
        <v>22.029299000000002</v>
      </c>
      <c r="O537" s="60">
        <v>91.923171999999994</v>
      </c>
      <c r="P537" s="62">
        <v>3000</v>
      </c>
      <c r="Q537" s="62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</row>
    <row r="538" spans="1:36" x14ac:dyDescent="0.3">
      <c r="A538" s="77">
        <v>532</v>
      </c>
      <c r="B538" s="79" t="s">
        <v>2439</v>
      </c>
      <c r="C538" s="79" t="s">
        <v>117</v>
      </c>
      <c r="D538" s="65" t="s">
        <v>117</v>
      </c>
      <c r="E538" s="18" t="s">
        <v>101</v>
      </c>
      <c r="F538" s="18" t="s">
        <v>109</v>
      </c>
      <c r="G538" s="18" t="s">
        <v>48</v>
      </c>
      <c r="H538" s="38"/>
      <c r="I538" s="38"/>
      <c r="J538" s="38"/>
      <c r="K538" s="18" t="s">
        <v>1511</v>
      </c>
      <c r="L538" s="18" t="s">
        <v>1512</v>
      </c>
      <c r="M538" s="18" t="s">
        <v>1513</v>
      </c>
      <c r="N538" s="60">
        <v>22.031621000000001</v>
      </c>
      <c r="O538" s="60">
        <v>91.917400999999998</v>
      </c>
      <c r="P538" s="62">
        <v>2600</v>
      </c>
      <c r="Q538" s="62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</row>
    <row r="539" spans="1:36" x14ac:dyDescent="0.3">
      <c r="A539" s="77">
        <v>533</v>
      </c>
      <c r="B539" s="79" t="s">
        <v>2439</v>
      </c>
      <c r="C539" s="79" t="s">
        <v>117</v>
      </c>
      <c r="D539" s="65" t="s">
        <v>117</v>
      </c>
      <c r="E539" s="18" t="s">
        <v>101</v>
      </c>
      <c r="F539" s="18" t="s">
        <v>109</v>
      </c>
      <c r="G539" s="18" t="s">
        <v>48</v>
      </c>
      <c r="H539" s="38"/>
      <c r="I539" s="38"/>
      <c r="J539" s="38"/>
      <c r="K539" s="18" t="s">
        <v>208</v>
      </c>
      <c r="L539" s="18" t="s">
        <v>209</v>
      </c>
      <c r="M539" s="18" t="s">
        <v>1514</v>
      </c>
      <c r="N539" s="60">
        <v>22.028129</v>
      </c>
      <c r="O539" s="60">
        <v>91.925168999999997</v>
      </c>
      <c r="P539" s="62">
        <v>500</v>
      </c>
      <c r="Q539" s="62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38"/>
    </row>
    <row r="540" spans="1:36" x14ac:dyDescent="0.3">
      <c r="A540" s="77">
        <v>534</v>
      </c>
      <c r="B540" s="79" t="s">
        <v>2439</v>
      </c>
      <c r="C540" s="79" t="s">
        <v>117</v>
      </c>
      <c r="D540" s="65" t="s">
        <v>117</v>
      </c>
      <c r="E540" s="18" t="s">
        <v>101</v>
      </c>
      <c r="F540" s="18" t="s">
        <v>109</v>
      </c>
      <c r="G540" s="18" t="s">
        <v>49</v>
      </c>
      <c r="H540" s="38"/>
      <c r="I540" s="38"/>
      <c r="J540" s="38"/>
      <c r="K540" s="67" t="s">
        <v>56</v>
      </c>
      <c r="L540" s="67" t="s">
        <v>79</v>
      </c>
      <c r="M540" s="18" t="s">
        <v>1515</v>
      </c>
      <c r="N540" s="60">
        <v>22.032812</v>
      </c>
      <c r="O540" s="60">
        <v>91.927475999999999</v>
      </c>
      <c r="P540" s="62">
        <v>1000</v>
      </c>
      <c r="Q540" s="62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38"/>
    </row>
    <row r="541" spans="1:36" x14ac:dyDescent="0.3">
      <c r="A541" s="77">
        <v>535</v>
      </c>
      <c r="B541" s="79" t="s">
        <v>2439</v>
      </c>
      <c r="C541" s="79" t="s">
        <v>117</v>
      </c>
      <c r="D541" s="65" t="s">
        <v>117</v>
      </c>
      <c r="E541" s="18" t="s">
        <v>101</v>
      </c>
      <c r="F541" s="18" t="s">
        <v>109</v>
      </c>
      <c r="G541" s="18" t="s">
        <v>49</v>
      </c>
      <c r="H541" s="38"/>
      <c r="I541" s="38"/>
      <c r="J541" s="38"/>
      <c r="K541" s="18" t="s">
        <v>58</v>
      </c>
      <c r="L541" s="67" t="s">
        <v>364</v>
      </c>
      <c r="M541" s="18" t="s">
        <v>1516</v>
      </c>
      <c r="N541" s="60">
        <v>22.033459000000001</v>
      </c>
      <c r="O541" s="60">
        <v>91.924578999999994</v>
      </c>
      <c r="P541" s="62">
        <v>460</v>
      </c>
      <c r="Q541" s="62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38"/>
    </row>
    <row r="542" spans="1:36" x14ac:dyDescent="0.3">
      <c r="A542" s="77">
        <v>536</v>
      </c>
      <c r="B542" s="79" t="s">
        <v>2439</v>
      </c>
      <c r="C542" s="79" t="s">
        <v>117</v>
      </c>
      <c r="D542" s="65" t="s">
        <v>117</v>
      </c>
      <c r="E542" s="18" t="s">
        <v>101</v>
      </c>
      <c r="F542" s="18" t="s">
        <v>109</v>
      </c>
      <c r="G542" s="18" t="s">
        <v>49</v>
      </c>
      <c r="H542" s="38"/>
      <c r="I542" s="38"/>
      <c r="J542" s="38"/>
      <c r="K542" s="18" t="s">
        <v>1484</v>
      </c>
      <c r="L542" s="18" t="s">
        <v>1485</v>
      </c>
      <c r="M542" s="18" t="s">
        <v>1517</v>
      </c>
      <c r="N542" s="60">
        <v>22.037261999999998</v>
      </c>
      <c r="O542" s="60">
        <v>91.924648000000005</v>
      </c>
      <c r="P542" s="62">
        <v>1200</v>
      </c>
      <c r="Q542" s="62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38"/>
    </row>
    <row r="543" spans="1:36" x14ac:dyDescent="0.3">
      <c r="A543" s="77">
        <v>537</v>
      </c>
      <c r="B543" s="79" t="s">
        <v>2439</v>
      </c>
      <c r="C543" s="79" t="s">
        <v>117</v>
      </c>
      <c r="D543" s="65" t="s">
        <v>117</v>
      </c>
      <c r="E543" s="18" t="s">
        <v>101</v>
      </c>
      <c r="F543" s="18" t="s">
        <v>109</v>
      </c>
      <c r="G543" s="18" t="s">
        <v>49</v>
      </c>
      <c r="H543" s="38"/>
      <c r="I543" s="38"/>
      <c r="J543" s="38"/>
      <c r="K543" s="18" t="s">
        <v>124</v>
      </c>
      <c r="L543" s="18" t="s">
        <v>125</v>
      </c>
      <c r="M543" s="18" t="s">
        <v>1518</v>
      </c>
      <c r="N543" s="60">
        <v>22.04496</v>
      </c>
      <c r="O543" s="60">
        <v>91.929540000000003</v>
      </c>
      <c r="P543" s="62">
        <v>300</v>
      </c>
      <c r="Q543" s="62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38"/>
    </row>
    <row r="544" spans="1:36" x14ac:dyDescent="0.3">
      <c r="A544" s="77">
        <v>538</v>
      </c>
      <c r="B544" s="79" t="s">
        <v>2439</v>
      </c>
      <c r="C544" s="79" t="s">
        <v>117</v>
      </c>
      <c r="D544" s="65" t="s">
        <v>117</v>
      </c>
      <c r="E544" s="18" t="s">
        <v>101</v>
      </c>
      <c r="F544" s="18" t="s">
        <v>110</v>
      </c>
      <c r="G544" s="18" t="s">
        <v>41</v>
      </c>
      <c r="H544" s="38"/>
      <c r="I544" s="38"/>
      <c r="J544" s="38"/>
      <c r="K544" s="18" t="s">
        <v>1519</v>
      </c>
      <c r="L544" s="66" t="s">
        <v>1520</v>
      </c>
      <c r="M544" s="18" t="s">
        <v>1521</v>
      </c>
      <c r="N544" s="60">
        <v>22.081029000000001</v>
      </c>
      <c r="O544" s="60">
        <v>91.868442000000002</v>
      </c>
      <c r="P544" s="62">
        <v>1000</v>
      </c>
      <c r="Q544" s="62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38"/>
    </row>
    <row r="545" spans="1:36" x14ac:dyDescent="0.3">
      <c r="A545" s="77">
        <v>539</v>
      </c>
      <c r="B545" s="79" t="s">
        <v>2439</v>
      </c>
      <c r="C545" s="79" t="s">
        <v>117</v>
      </c>
      <c r="D545" s="65" t="s">
        <v>117</v>
      </c>
      <c r="E545" s="18" t="s">
        <v>101</v>
      </c>
      <c r="F545" s="18" t="s">
        <v>110</v>
      </c>
      <c r="G545" s="18" t="s">
        <v>41</v>
      </c>
      <c r="H545" s="38"/>
      <c r="I545" s="38"/>
      <c r="J545" s="38"/>
      <c r="K545" s="18" t="s">
        <v>1522</v>
      </c>
      <c r="L545" s="18" t="s">
        <v>1523</v>
      </c>
      <c r="M545" s="18" t="s">
        <v>1524</v>
      </c>
      <c r="N545" s="60">
        <v>22.076677</v>
      </c>
      <c r="O545" s="60">
        <v>91.868583999999998</v>
      </c>
      <c r="P545" s="62">
        <v>1800</v>
      </c>
      <c r="Q545" s="62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38"/>
    </row>
    <row r="546" spans="1:36" x14ac:dyDescent="0.3">
      <c r="A546" s="77">
        <v>540</v>
      </c>
      <c r="B546" s="79" t="s">
        <v>2439</v>
      </c>
      <c r="C546" s="79" t="s">
        <v>117</v>
      </c>
      <c r="D546" s="65" t="s">
        <v>117</v>
      </c>
      <c r="E546" s="18" t="s">
        <v>101</v>
      </c>
      <c r="F546" s="18" t="s">
        <v>110</v>
      </c>
      <c r="G546" s="18" t="s">
        <v>41</v>
      </c>
      <c r="H546" s="38"/>
      <c r="I546" s="38"/>
      <c r="J546" s="38"/>
      <c r="K546" s="18" t="s">
        <v>55</v>
      </c>
      <c r="L546" s="18" t="s">
        <v>1258</v>
      </c>
      <c r="M546" s="18" t="s">
        <v>1525</v>
      </c>
      <c r="N546" s="60">
        <v>22.082177999999999</v>
      </c>
      <c r="O546" s="60">
        <v>91.873410000000007</v>
      </c>
      <c r="P546" s="62">
        <v>2200</v>
      </c>
      <c r="Q546" s="62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38"/>
    </row>
    <row r="547" spans="1:36" x14ac:dyDescent="0.3">
      <c r="A547" s="77">
        <v>541</v>
      </c>
      <c r="B547" s="79" t="s">
        <v>2439</v>
      </c>
      <c r="C547" s="79" t="s">
        <v>117</v>
      </c>
      <c r="D547" s="65" t="s">
        <v>117</v>
      </c>
      <c r="E547" s="18" t="s">
        <v>101</v>
      </c>
      <c r="F547" s="18" t="s">
        <v>110</v>
      </c>
      <c r="G547" s="18" t="s">
        <v>41</v>
      </c>
      <c r="H547" s="38"/>
      <c r="I547" s="38"/>
      <c r="J547" s="38"/>
      <c r="K547" s="18" t="s">
        <v>1526</v>
      </c>
      <c r="L547" s="18" t="s">
        <v>1527</v>
      </c>
      <c r="M547" s="18" t="s">
        <v>1528</v>
      </c>
      <c r="N547" s="60">
        <v>22.084282999999999</v>
      </c>
      <c r="O547" s="60">
        <v>91.871082000000001</v>
      </c>
      <c r="P547" s="62">
        <v>700</v>
      </c>
      <c r="Q547" s="62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38"/>
    </row>
    <row r="548" spans="1:36" x14ac:dyDescent="0.3">
      <c r="A548" s="77">
        <v>542</v>
      </c>
      <c r="B548" s="79" t="s">
        <v>2439</v>
      </c>
      <c r="C548" s="79" t="s">
        <v>117</v>
      </c>
      <c r="D548" s="65" t="s">
        <v>117</v>
      </c>
      <c r="E548" s="18" t="s">
        <v>101</v>
      </c>
      <c r="F548" s="18" t="s">
        <v>110</v>
      </c>
      <c r="G548" s="18" t="s">
        <v>41</v>
      </c>
      <c r="H548" s="38"/>
      <c r="I548" s="38"/>
      <c r="J548" s="38"/>
      <c r="K548" s="18" t="s">
        <v>1529</v>
      </c>
      <c r="L548" s="18" t="s">
        <v>1530</v>
      </c>
      <c r="M548" s="18" t="s">
        <v>1531</v>
      </c>
      <c r="N548" s="60">
        <v>22.090091000000001</v>
      </c>
      <c r="O548" s="60">
        <v>91.870056000000005</v>
      </c>
      <c r="P548" s="62">
        <v>1000</v>
      </c>
      <c r="Q548" s="62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38"/>
    </row>
    <row r="549" spans="1:36" x14ac:dyDescent="0.3">
      <c r="A549" s="77">
        <v>543</v>
      </c>
      <c r="B549" s="79" t="s">
        <v>2439</v>
      </c>
      <c r="C549" s="79" t="s">
        <v>117</v>
      </c>
      <c r="D549" s="65" t="s">
        <v>117</v>
      </c>
      <c r="E549" s="18" t="s">
        <v>101</v>
      </c>
      <c r="F549" s="18" t="s">
        <v>110</v>
      </c>
      <c r="G549" s="18" t="s">
        <v>41</v>
      </c>
      <c r="H549" s="38"/>
      <c r="I549" s="38"/>
      <c r="J549" s="38"/>
      <c r="K549" s="18" t="s">
        <v>1532</v>
      </c>
      <c r="L549" s="18" t="s">
        <v>1533</v>
      </c>
      <c r="M549" s="18" t="s">
        <v>1534</v>
      </c>
      <c r="N549" s="60">
        <v>22.083660999999999</v>
      </c>
      <c r="O549" s="60">
        <v>91.866426000000004</v>
      </c>
      <c r="P549" s="62">
        <v>800</v>
      </c>
      <c r="Q549" s="62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38"/>
    </row>
    <row r="550" spans="1:36" x14ac:dyDescent="0.3">
      <c r="A550" s="77">
        <v>544</v>
      </c>
      <c r="B550" s="79" t="s">
        <v>2439</v>
      </c>
      <c r="C550" s="79" t="s">
        <v>117</v>
      </c>
      <c r="D550" s="65" t="s">
        <v>117</v>
      </c>
      <c r="E550" s="18" t="s">
        <v>101</v>
      </c>
      <c r="F550" s="18" t="s">
        <v>110</v>
      </c>
      <c r="G550" s="18" t="s">
        <v>41</v>
      </c>
      <c r="H550" s="38"/>
      <c r="I550" s="38"/>
      <c r="J550" s="38"/>
      <c r="K550" s="18" t="s">
        <v>1535</v>
      </c>
      <c r="L550" s="18" t="s">
        <v>1536</v>
      </c>
      <c r="M550" s="18" t="s">
        <v>1537</v>
      </c>
      <c r="N550" s="60">
        <v>22.086238000000002</v>
      </c>
      <c r="O550" s="60">
        <v>91.868092000000004</v>
      </c>
      <c r="P550" s="62">
        <v>800</v>
      </c>
      <c r="Q550" s="62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38"/>
    </row>
    <row r="551" spans="1:36" x14ac:dyDescent="0.3">
      <c r="A551" s="77">
        <v>545</v>
      </c>
      <c r="B551" s="79" t="s">
        <v>2439</v>
      </c>
      <c r="C551" s="79" t="s">
        <v>117</v>
      </c>
      <c r="D551" s="65" t="s">
        <v>117</v>
      </c>
      <c r="E551" s="18" t="s">
        <v>101</v>
      </c>
      <c r="F551" s="18" t="s">
        <v>110</v>
      </c>
      <c r="G551" s="18" t="s">
        <v>42</v>
      </c>
      <c r="H551" s="38"/>
      <c r="I551" s="38"/>
      <c r="J551" s="38"/>
      <c r="K551" s="18" t="s">
        <v>1538</v>
      </c>
      <c r="L551" s="18" t="s">
        <v>1539</v>
      </c>
      <c r="M551" s="18" t="s">
        <v>1540</v>
      </c>
      <c r="N551" s="60">
        <v>22.101012000000001</v>
      </c>
      <c r="O551" s="60">
        <v>91.867226000000002</v>
      </c>
      <c r="P551" s="62">
        <v>700</v>
      </c>
      <c r="Q551" s="62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38"/>
    </row>
    <row r="552" spans="1:36" x14ac:dyDescent="0.3">
      <c r="A552" s="77">
        <v>546</v>
      </c>
      <c r="B552" s="79" t="s">
        <v>2439</v>
      </c>
      <c r="C552" s="79" t="s">
        <v>117</v>
      </c>
      <c r="D552" s="65" t="s">
        <v>117</v>
      </c>
      <c r="E552" s="18" t="s">
        <v>101</v>
      </c>
      <c r="F552" s="18" t="s">
        <v>110</v>
      </c>
      <c r="G552" s="18" t="s">
        <v>42</v>
      </c>
      <c r="H552" s="38"/>
      <c r="I552" s="38"/>
      <c r="J552" s="38"/>
      <c r="K552" s="18" t="s">
        <v>1541</v>
      </c>
      <c r="L552" s="18" t="s">
        <v>1542</v>
      </c>
      <c r="M552" s="18" t="s">
        <v>1543</v>
      </c>
      <c r="N552" s="60">
        <v>22.101517999999999</v>
      </c>
      <c r="O552" s="60">
        <v>91.869798000000003</v>
      </c>
      <c r="P552" s="62">
        <v>800</v>
      </c>
      <c r="Q552" s="62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38"/>
    </row>
    <row r="553" spans="1:36" x14ac:dyDescent="0.3">
      <c r="A553" s="77">
        <v>547</v>
      </c>
      <c r="B553" s="79" t="s">
        <v>2439</v>
      </c>
      <c r="C553" s="79" t="s">
        <v>117</v>
      </c>
      <c r="D553" s="65" t="s">
        <v>117</v>
      </c>
      <c r="E553" s="18" t="s">
        <v>101</v>
      </c>
      <c r="F553" s="18" t="s">
        <v>110</v>
      </c>
      <c r="G553" s="18" t="s">
        <v>42</v>
      </c>
      <c r="H553" s="38"/>
      <c r="I553" s="38"/>
      <c r="J553" s="38"/>
      <c r="K553" s="18" t="s">
        <v>1544</v>
      </c>
      <c r="L553" s="18" t="s">
        <v>1545</v>
      </c>
      <c r="M553" s="18" t="s">
        <v>1546</v>
      </c>
      <c r="N553" s="60">
        <v>22.101158999999999</v>
      </c>
      <c r="O553" s="60">
        <v>91.872541999999996</v>
      </c>
      <c r="P553" s="62">
        <v>1000</v>
      </c>
      <c r="Q553" s="62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38"/>
    </row>
    <row r="554" spans="1:36" x14ac:dyDescent="0.3">
      <c r="A554" s="77">
        <v>548</v>
      </c>
      <c r="B554" s="79" t="s">
        <v>2439</v>
      </c>
      <c r="C554" s="79" t="s">
        <v>117</v>
      </c>
      <c r="D554" s="65" t="s">
        <v>117</v>
      </c>
      <c r="E554" s="18" t="s">
        <v>101</v>
      </c>
      <c r="F554" s="18" t="s">
        <v>110</v>
      </c>
      <c r="G554" s="18" t="s">
        <v>42</v>
      </c>
      <c r="H554" s="38"/>
      <c r="I554" s="38"/>
      <c r="J554" s="38"/>
      <c r="K554" s="18" t="s">
        <v>1547</v>
      </c>
      <c r="L554" s="18" t="s">
        <v>1548</v>
      </c>
      <c r="M554" s="18" t="s">
        <v>1549</v>
      </c>
      <c r="N554" s="60">
        <v>22.098037000000001</v>
      </c>
      <c r="O554" s="60">
        <v>91.869868999999994</v>
      </c>
      <c r="P554" s="62">
        <v>2000</v>
      </c>
      <c r="Q554" s="62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38"/>
    </row>
    <row r="555" spans="1:36" x14ac:dyDescent="0.3">
      <c r="A555" s="77">
        <v>549</v>
      </c>
      <c r="B555" s="79" t="s">
        <v>2439</v>
      </c>
      <c r="C555" s="79" t="s">
        <v>117</v>
      </c>
      <c r="D555" s="65" t="s">
        <v>117</v>
      </c>
      <c r="E555" s="18" t="s">
        <v>101</v>
      </c>
      <c r="F555" s="18" t="s">
        <v>110</v>
      </c>
      <c r="G555" s="18" t="s">
        <v>42</v>
      </c>
      <c r="H555" s="38"/>
      <c r="I555" s="38"/>
      <c r="J555" s="38"/>
      <c r="K555" s="18" t="s">
        <v>1550</v>
      </c>
      <c r="L555" s="18" t="s">
        <v>1551</v>
      </c>
      <c r="M555" s="18" t="s">
        <v>1552</v>
      </c>
      <c r="N555" s="60">
        <v>22.097449000000001</v>
      </c>
      <c r="O555" s="60">
        <v>91.866878</v>
      </c>
      <c r="P555" s="62">
        <v>500</v>
      </c>
      <c r="Q555" s="62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38"/>
    </row>
    <row r="556" spans="1:36" x14ac:dyDescent="0.3">
      <c r="A556" s="77">
        <v>550</v>
      </c>
      <c r="B556" s="79" t="s">
        <v>2439</v>
      </c>
      <c r="C556" s="79" t="s">
        <v>117</v>
      </c>
      <c r="D556" s="65" t="s">
        <v>117</v>
      </c>
      <c r="E556" s="18" t="s">
        <v>101</v>
      </c>
      <c r="F556" s="18" t="s">
        <v>110</v>
      </c>
      <c r="G556" s="18" t="s">
        <v>42</v>
      </c>
      <c r="H556" s="38"/>
      <c r="I556" s="38"/>
      <c r="J556" s="38"/>
      <c r="K556" s="18" t="s">
        <v>57</v>
      </c>
      <c r="L556" s="18" t="s">
        <v>78</v>
      </c>
      <c r="M556" s="18" t="s">
        <v>1553</v>
      </c>
      <c r="N556" s="60">
        <v>22.098846999999999</v>
      </c>
      <c r="O556" s="60">
        <v>91.865271000000007</v>
      </c>
      <c r="P556" s="62">
        <v>700</v>
      </c>
      <c r="Q556" s="62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38"/>
    </row>
    <row r="557" spans="1:36" x14ac:dyDescent="0.3">
      <c r="A557" s="77">
        <v>551</v>
      </c>
      <c r="B557" s="79" t="s">
        <v>2439</v>
      </c>
      <c r="C557" s="79" t="s">
        <v>117</v>
      </c>
      <c r="D557" s="65" t="s">
        <v>117</v>
      </c>
      <c r="E557" s="18" t="s">
        <v>101</v>
      </c>
      <c r="F557" s="18" t="s">
        <v>110</v>
      </c>
      <c r="G557" s="18" t="s">
        <v>42</v>
      </c>
      <c r="H557" s="38"/>
      <c r="I557" s="38"/>
      <c r="J557" s="38"/>
      <c r="K557" s="18" t="s">
        <v>1554</v>
      </c>
      <c r="L557" s="18" t="s">
        <v>1555</v>
      </c>
      <c r="M557" s="18" t="s">
        <v>1556</v>
      </c>
      <c r="N557" s="60">
        <v>22.093294</v>
      </c>
      <c r="O557" s="60">
        <v>91.869513999999995</v>
      </c>
      <c r="P557" s="62">
        <v>1300</v>
      </c>
      <c r="Q557" s="62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38"/>
    </row>
    <row r="558" spans="1:36" x14ac:dyDescent="0.3">
      <c r="A558" s="77">
        <v>552</v>
      </c>
      <c r="B558" s="79" t="s">
        <v>2439</v>
      </c>
      <c r="C558" s="79" t="s">
        <v>117</v>
      </c>
      <c r="D558" s="65" t="s">
        <v>117</v>
      </c>
      <c r="E558" s="18" t="s">
        <v>101</v>
      </c>
      <c r="F558" s="18" t="s">
        <v>110</v>
      </c>
      <c r="G558" s="18" t="s">
        <v>42</v>
      </c>
      <c r="H558" s="38"/>
      <c r="I558" s="38"/>
      <c r="J558" s="38"/>
      <c r="K558" s="18" t="s">
        <v>1557</v>
      </c>
      <c r="L558" s="18" t="s">
        <v>1558</v>
      </c>
      <c r="M558" s="18" t="s">
        <v>1559</v>
      </c>
      <c r="N558" s="60">
        <v>22.095800000000001</v>
      </c>
      <c r="O558" s="60">
        <v>91.869757000000007</v>
      </c>
      <c r="P558" s="62">
        <v>1100</v>
      </c>
      <c r="Q558" s="62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38"/>
    </row>
    <row r="559" spans="1:36" x14ac:dyDescent="0.3">
      <c r="A559" s="77">
        <v>553</v>
      </c>
      <c r="B559" s="79" t="s">
        <v>2439</v>
      </c>
      <c r="C559" s="79" t="s">
        <v>117</v>
      </c>
      <c r="D559" s="65" t="s">
        <v>117</v>
      </c>
      <c r="E559" s="18" t="s">
        <v>101</v>
      </c>
      <c r="F559" s="18" t="s">
        <v>110</v>
      </c>
      <c r="G559" s="18" t="s">
        <v>42</v>
      </c>
      <c r="H559" s="38"/>
      <c r="I559" s="38"/>
      <c r="J559" s="38"/>
      <c r="K559" s="18" t="s">
        <v>1343</v>
      </c>
      <c r="L559" s="18" t="s">
        <v>1344</v>
      </c>
      <c r="M559" s="18" t="s">
        <v>1560</v>
      </c>
      <c r="N559" s="60">
        <v>22.094799999999999</v>
      </c>
      <c r="O559" s="60">
        <v>91.863209999999995</v>
      </c>
      <c r="P559" s="62">
        <v>300</v>
      </c>
      <c r="Q559" s="62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38"/>
    </row>
    <row r="560" spans="1:36" x14ac:dyDescent="0.3">
      <c r="A560" s="77">
        <v>554</v>
      </c>
      <c r="B560" s="79" t="s">
        <v>2439</v>
      </c>
      <c r="C560" s="79" t="s">
        <v>117</v>
      </c>
      <c r="D560" s="65" t="s">
        <v>117</v>
      </c>
      <c r="E560" s="18" t="s">
        <v>101</v>
      </c>
      <c r="F560" s="18" t="s">
        <v>110</v>
      </c>
      <c r="G560" s="18" t="s">
        <v>43</v>
      </c>
      <c r="H560" s="38"/>
      <c r="I560" s="38"/>
      <c r="J560" s="38"/>
      <c r="K560" s="18" t="s">
        <v>1561</v>
      </c>
      <c r="L560" s="18" t="s">
        <v>1562</v>
      </c>
      <c r="M560" s="18" t="s">
        <v>1563</v>
      </c>
      <c r="N560" s="60">
        <v>22.115576999999998</v>
      </c>
      <c r="O560" s="60">
        <v>91.866264999999999</v>
      </c>
      <c r="P560" s="62">
        <v>2800</v>
      </c>
      <c r="Q560" s="62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38"/>
    </row>
    <row r="561" spans="1:36" x14ac:dyDescent="0.3">
      <c r="A561" s="77">
        <v>555</v>
      </c>
      <c r="B561" s="79" t="s">
        <v>2439</v>
      </c>
      <c r="C561" s="79" t="s">
        <v>117</v>
      </c>
      <c r="D561" s="65" t="s">
        <v>117</v>
      </c>
      <c r="E561" s="18" t="s">
        <v>101</v>
      </c>
      <c r="F561" s="18" t="s">
        <v>110</v>
      </c>
      <c r="G561" s="18" t="s">
        <v>44</v>
      </c>
      <c r="H561" s="38"/>
      <c r="I561" s="38"/>
      <c r="J561" s="38"/>
      <c r="K561" s="18" t="s">
        <v>241</v>
      </c>
      <c r="L561" s="18" t="s">
        <v>242</v>
      </c>
      <c r="M561" s="18" t="s">
        <v>1564</v>
      </c>
      <c r="N561" s="60">
        <v>22.085843000000001</v>
      </c>
      <c r="O561" s="60">
        <v>91.880041000000006</v>
      </c>
      <c r="P561" s="62">
        <v>1200</v>
      </c>
      <c r="Q561" s="62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38"/>
    </row>
    <row r="562" spans="1:36" x14ac:dyDescent="0.3">
      <c r="A562" s="77">
        <v>556</v>
      </c>
      <c r="B562" s="79" t="s">
        <v>2439</v>
      </c>
      <c r="C562" s="79" t="s">
        <v>117</v>
      </c>
      <c r="D562" s="65" t="s">
        <v>117</v>
      </c>
      <c r="E562" s="18" t="s">
        <v>101</v>
      </c>
      <c r="F562" s="18" t="s">
        <v>110</v>
      </c>
      <c r="G562" s="18" t="s">
        <v>44</v>
      </c>
      <c r="H562" s="38"/>
      <c r="I562" s="38"/>
      <c r="J562" s="38"/>
      <c r="K562" s="18" t="s">
        <v>57</v>
      </c>
      <c r="L562" s="18" t="s">
        <v>78</v>
      </c>
      <c r="M562" s="18" t="s">
        <v>1565</v>
      </c>
      <c r="N562" s="60">
        <v>22.093481000000001</v>
      </c>
      <c r="O562" s="60">
        <v>91.878119999999996</v>
      </c>
      <c r="P562" s="62">
        <v>240</v>
      </c>
      <c r="Q562" s="62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38"/>
    </row>
    <row r="563" spans="1:36" x14ac:dyDescent="0.3">
      <c r="A563" s="77">
        <v>557</v>
      </c>
      <c r="B563" s="79" t="s">
        <v>2439</v>
      </c>
      <c r="C563" s="79" t="s">
        <v>117</v>
      </c>
      <c r="D563" s="65" t="s">
        <v>117</v>
      </c>
      <c r="E563" s="18" t="s">
        <v>101</v>
      </c>
      <c r="F563" s="18" t="s">
        <v>110</v>
      </c>
      <c r="G563" s="18" t="s">
        <v>44</v>
      </c>
      <c r="H563" s="38"/>
      <c r="I563" s="38"/>
      <c r="J563" s="38"/>
      <c r="K563" s="18" t="s">
        <v>904</v>
      </c>
      <c r="L563" s="18" t="s">
        <v>905</v>
      </c>
      <c r="M563" s="18" t="s">
        <v>1566</v>
      </c>
      <c r="N563" s="60">
        <v>22.091222999999999</v>
      </c>
      <c r="O563" s="60">
        <v>91.888649000000001</v>
      </c>
      <c r="P563" s="62">
        <v>2500</v>
      </c>
      <c r="Q563" s="62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38"/>
    </row>
    <row r="564" spans="1:36" x14ac:dyDescent="0.3">
      <c r="A564" s="77">
        <v>558</v>
      </c>
      <c r="B564" s="79" t="s">
        <v>2439</v>
      </c>
      <c r="C564" s="79" t="s">
        <v>117</v>
      </c>
      <c r="D564" s="65" t="s">
        <v>117</v>
      </c>
      <c r="E564" s="18" t="s">
        <v>101</v>
      </c>
      <c r="F564" s="18" t="s">
        <v>110</v>
      </c>
      <c r="G564" s="18" t="s">
        <v>44</v>
      </c>
      <c r="H564" s="38"/>
      <c r="I564" s="38"/>
      <c r="J564" s="38"/>
      <c r="K564" s="18" t="s">
        <v>1567</v>
      </c>
      <c r="L564" s="18" t="s">
        <v>1568</v>
      </c>
      <c r="M564" s="18" t="s">
        <v>1569</v>
      </c>
      <c r="N564" s="60">
        <v>22.094017000000001</v>
      </c>
      <c r="O564" s="60">
        <v>91.894811000000004</v>
      </c>
      <c r="P564" s="62">
        <v>2500</v>
      </c>
      <c r="Q564" s="62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38"/>
    </row>
    <row r="565" spans="1:36" x14ac:dyDescent="0.3">
      <c r="A565" s="77">
        <v>559</v>
      </c>
      <c r="B565" s="79" t="s">
        <v>2439</v>
      </c>
      <c r="C565" s="79" t="s">
        <v>117</v>
      </c>
      <c r="D565" s="65" t="s">
        <v>117</v>
      </c>
      <c r="E565" s="18" t="s">
        <v>101</v>
      </c>
      <c r="F565" s="18" t="s">
        <v>110</v>
      </c>
      <c r="G565" s="18" t="s">
        <v>44</v>
      </c>
      <c r="H565" s="38"/>
      <c r="I565" s="38"/>
      <c r="J565" s="38"/>
      <c r="K565" s="18" t="s">
        <v>1570</v>
      </c>
      <c r="L565" s="18" t="s">
        <v>1571</v>
      </c>
      <c r="M565" s="18" t="s">
        <v>1572</v>
      </c>
      <c r="N565" s="60">
        <v>22.096430000000002</v>
      </c>
      <c r="O565" s="60">
        <v>91.886047000000005</v>
      </c>
      <c r="P565" s="62">
        <v>350</v>
      </c>
      <c r="Q565" s="62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38"/>
    </row>
    <row r="566" spans="1:36" x14ac:dyDescent="0.3">
      <c r="A566" s="77">
        <v>560</v>
      </c>
      <c r="B566" s="79" t="s">
        <v>2439</v>
      </c>
      <c r="C566" s="79" t="s">
        <v>117</v>
      </c>
      <c r="D566" s="65" t="s">
        <v>117</v>
      </c>
      <c r="E566" s="18" t="s">
        <v>101</v>
      </c>
      <c r="F566" s="18" t="s">
        <v>110</v>
      </c>
      <c r="G566" s="18" t="s">
        <v>45</v>
      </c>
      <c r="H566" s="38"/>
      <c r="I566" s="38"/>
      <c r="J566" s="38"/>
      <c r="K566" s="18" t="s">
        <v>1573</v>
      </c>
      <c r="L566" s="18" t="s">
        <v>1574</v>
      </c>
      <c r="M566" s="18" t="s">
        <v>1575</v>
      </c>
      <c r="N566" s="60">
        <v>22.104088999999998</v>
      </c>
      <c r="O566" s="60">
        <v>91.899405999999999</v>
      </c>
      <c r="P566" s="62">
        <v>1800</v>
      </c>
      <c r="Q566" s="62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38"/>
    </row>
    <row r="567" spans="1:36" x14ac:dyDescent="0.3">
      <c r="A567" s="77">
        <v>561</v>
      </c>
      <c r="B567" s="79" t="s">
        <v>2439</v>
      </c>
      <c r="C567" s="79" t="s">
        <v>117</v>
      </c>
      <c r="D567" s="65" t="s">
        <v>117</v>
      </c>
      <c r="E567" s="18" t="s">
        <v>101</v>
      </c>
      <c r="F567" s="18" t="s">
        <v>110</v>
      </c>
      <c r="G567" s="18" t="s">
        <v>45</v>
      </c>
      <c r="H567" s="38"/>
      <c r="I567" s="38"/>
      <c r="J567" s="38"/>
      <c r="K567" s="18" t="s">
        <v>1576</v>
      </c>
      <c r="L567" s="18" t="s">
        <v>1577</v>
      </c>
      <c r="M567" s="18" t="s">
        <v>1578</v>
      </c>
      <c r="N567" s="60">
        <v>22.10275</v>
      </c>
      <c r="O567" s="60">
        <v>91.892467999999994</v>
      </c>
      <c r="P567" s="62">
        <v>1500</v>
      </c>
      <c r="Q567" s="62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38"/>
    </row>
    <row r="568" spans="1:36" x14ac:dyDescent="0.3">
      <c r="A568" s="77">
        <v>562</v>
      </c>
      <c r="B568" s="79" t="s">
        <v>2439</v>
      </c>
      <c r="C568" s="79" t="s">
        <v>117</v>
      </c>
      <c r="D568" s="65" t="s">
        <v>117</v>
      </c>
      <c r="E568" s="18" t="s">
        <v>101</v>
      </c>
      <c r="F568" s="18" t="s">
        <v>110</v>
      </c>
      <c r="G568" s="18" t="s">
        <v>45</v>
      </c>
      <c r="H568" s="38"/>
      <c r="I568" s="38"/>
      <c r="J568" s="38"/>
      <c r="K568" s="18" t="s">
        <v>1529</v>
      </c>
      <c r="L568" s="18" t="s">
        <v>1530</v>
      </c>
      <c r="M568" s="18" t="s">
        <v>1579</v>
      </c>
      <c r="N568" s="60">
        <v>22.098464</v>
      </c>
      <c r="O568" s="60">
        <v>91.892193000000006</v>
      </c>
      <c r="P568" s="62">
        <v>1800</v>
      </c>
      <c r="Q568" s="62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38"/>
    </row>
    <row r="569" spans="1:36" x14ac:dyDescent="0.3">
      <c r="A569" s="77">
        <v>563</v>
      </c>
      <c r="B569" s="79" t="s">
        <v>2439</v>
      </c>
      <c r="C569" s="79" t="s">
        <v>117</v>
      </c>
      <c r="D569" s="65" t="s">
        <v>117</v>
      </c>
      <c r="E569" s="18" t="s">
        <v>101</v>
      </c>
      <c r="F569" s="18" t="s">
        <v>110</v>
      </c>
      <c r="G569" s="18" t="s">
        <v>46</v>
      </c>
      <c r="H569" s="38"/>
      <c r="I569" s="38"/>
      <c r="J569" s="38"/>
      <c r="K569" s="18" t="s">
        <v>196</v>
      </c>
      <c r="L569" s="18" t="s">
        <v>197</v>
      </c>
      <c r="M569" s="18" t="s">
        <v>1580</v>
      </c>
      <c r="N569" s="60">
        <v>22.102969999999999</v>
      </c>
      <c r="O569" s="60">
        <v>91.882936999999998</v>
      </c>
      <c r="P569" s="62">
        <v>2000</v>
      </c>
      <c r="Q569" s="62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38"/>
    </row>
    <row r="570" spans="1:36" x14ac:dyDescent="0.3">
      <c r="A570" s="77">
        <v>564</v>
      </c>
      <c r="B570" s="79" t="s">
        <v>2439</v>
      </c>
      <c r="C570" s="79" t="s">
        <v>117</v>
      </c>
      <c r="D570" s="65" t="s">
        <v>117</v>
      </c>
      <c r="E570" s="18" t="s">
        <v>101</v>
      </c>
      <c r="F570" s="18" t="s">
        <v>110</v>
      </c>
      <c r="G570" s="18" t="s">
        <v>46</v>
      </c>
      <c r="H570" s="38"/>
      <c r="I570" s="38"/>
      <c r="J570" s="38"/>
      <c r="K570" s="18" t="s">
        <v>1581</v>
      </c>
      <c r="L570" s="18" t="s">
        <v>1582</v>
      </c>
      <c r="M570" s="18" t="s">
        <v>1583</v>
      </c>
      <c r="N570" s="60">
        <v>22.100363000000002</v>
      </c>
      <c r="O570" s="60">
        <v>91.884084999999999</v>
      </c>
      <c r="P570" s="62">
        <v>400</v>
      </c>
      <c r="Q570" s="62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38"/>
    </row>
    <row r="571" spans="1:36" x14ac:dyDescent="0.3">
      <c r="A571" s="77">
        <v>565</v>
      </c>
      <c r="B571" s="79" t="s">
        <v>2439</v>
      </c>
      <c r="C571" s="79" t="s">
        <v>117</v>
      </c>
      <c r="D571" s="65" t="s">
        <v>117</v>
      </c>
      <c r="E571" s="18" t="s">
        <v>101</v>
      </c>
      <c r="F571" s="18" t="s">
        <v>110</v>
      </c>
      <c r="G571" s="18" t="s">
        <v>46</v>
      </c>
      <c r="H571" s="38"/>
      <c r="I571" s="38"/>
      <c r="J571" s="38"/>
      <c r="K571" s="18" t="s">
        <v>1584</v>
      </c>
      <c r="L571" s="67" t="s">
        <v>1585</v>
      </c>
      <c r="M571" s="18" t="s">
        <v>1586</v>
      </c>
      <c r="N571" s="60">
        <v>22.100916999999999</v>
      </c>
      <c r="O571" s="60">
        <v>91.880950999999996</v>
      </c>
      <c r="P571" s="62">
        <v>300</v>
      </c>
      <c r="Q571" s="62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38"/>
    </row>
    <row r="572" spans="1:36" x14ac:dyDescent="0.3">
      <c r="A572" s="77">
        <v>566</v>
      </c>
      <c r="B572" s="79" t="s">
        <v>2439</v>
      </c>
      <c r="C572" s="79" t="s">
        <v>117</v>
      </c>
      <c r="D572" s="65" t="s">
        <v>117</v>
      </c>
      <c r="E572" s="18" t="s">
        <v>101</v>
      </c>
      <c r="F572" s="18" t="s">
        <v>110</v>
      </c>
      <c r="G572" s="18" t="s">
        <v>46</v>
      </c>
      <c r="H572" s="38"/>
      <c r="I572" s="38"/>
      <c r="J572" s="38"/>
      <c r="K572" s="18" t="s">
        <v>1587</v>
      </c>
      <c r="L572" s="18" t="s">
        <v>1588</v>
      </c>
      <c r="M572" s="18" t="s">
        <v>1589</v>
      </c>
      <c r="N572" s="60">
        <v>22.096864</v>
      </c>
      <c r="O572" s="60">
        <v>91.881465000000006</v>
      </c>
      <c r="P572" s="62">
        <v>2000</v>
      </c>
      <c r="Q572" s="62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38"/>
    </row>
    <row r="573" spans="1:36" x14ac:dyDescent="0.3">
      <c r="A573" s="77">
        <v>567</v>
      </c>
      <c r="B573" s="79" t="s">
        <v>2439</v>
      </c>
      <c r="C573" s="79" t="s">
        <v>117</v>
      </c>
      <c r="D573" s="65" t="s">
        <v>117</v>
      </c>
      <c r="E573" s="18" t="s">
        <v>101</v>
      </c>
      <c r="F573" s="18" t="s">
        <v>110</v>
      </c>
      <c r="G573" s="18" t="s">
        <v>46</v>
      </c>
      <c r="H573" s="38"/>
      <c r="I573" s="38"/>
      <c r="J573" s="38"/>
      <c r="K573" s="18" t="s">
        <v>1590</v>
      </c>
      <c r="L573" s="18" t="s">
        <v>1591</v>
      </c>
      <c r="M573" s="18" t="s">
        <v>1592</v>
      </c>
      <c r="N573" s="60">
        <v>22.106618000000001</v>
      </c>
      <c r="O573" s="60">
        <v>91.880636999999993</v>
      </c>
      <c r="P573" s="62">
        <v>400</v>
      </c>
      <c r="Q573" s="62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38"/>
    </row>
    <row r="574" spans="1:36" x14ac:dyDescent="0.3">
      <c r="A574" s="77">
        <v>568</v>
      </c>
      <c r="B574" s="79" t="s">
        <v>2439</v>
      </c>
      <c r="C574" s="79" t="s">
        <v>117</v>
      </c>
      <c r="D574" s="65" t="s">
        <v>117</v>
      </c>
      <c r="E574" s="18" t="s">
        <v>101</v>
      </c>
      <c r="F574" s="18" t="s">
        <v>110</v>
      </c>
      <c r="G574" s="18" t="s">
        <v>46</v>
      </c>
      <c r="H574" s="38"/>
      <c r="I574" s="38"/>
      <c r="J574" s="38"/>
      <c r="K574" s="18" t="s">
        <v>1593</v>
      </c>
      <c r="L574" s="18" t="s">
        <v>1594</v>
      </c>
      <c r="M574" s="18" t="s">
        <v>1595</v>
      </c>
      <c r="N574" s="60">
        <v>22.109296000000001</v>
      </c>
      <c r="O574" s="60">
        <v>91.881884999999997</v>
      </c>
      <c r="P574" s="62">
        <v>300</v>
      </c>
      <c r="Q574" s="62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38"/>
    </row>
    <row r="575" spans="1:36" x14ac:dyDescent="0.3">
      <c r="A575" s="77">
        <v>569</v>
      </c>
      <c r="B575" s="79" t="s">
        <v>2439</v>
      </c>
      <c r="C575" s="79" t="s">
        <v>117</v>
      </c>
      <c r="D575" s="65" t="s">
        <v>117</v>
      </c>
      <c r="E575" s="18" t="s">
        <v>101</v>
      </c>
      <c r="F575" s="18" t="s">
        <v>110</v>
      </c>
      <c r="G575" s="18" t="s">
        <v>46</v>
      </c>
      <c r="H575" s="38"/>
      <c r="I575" s="38"/>
      <c r="J575" s="38"/>
      <c r="K575" s="67" t="s">
        <v>615</v>
      </c>
      <c r="L575" s="18" t="s">
        <v>1596</v>
      </c>
      <c r="M575" s="18" t="s">
        <v>1597</v>
      </c>
      <c r="N575" s="60">
        <v>22.107717000000001</v>
      </c>
      <c r="O575" s="60">
        <v>91.877168999999995</v>
      </c>
      <c r="P575" s="62">
        <v>375</v>
      </c>
      <c r="Q575" s="62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38"/>
    </row>
    <row r="576" spans="1:36" x14ac:dyDescent="0.3">
      <c r="A576" s="77">
        <v>570</v>
      </c>
      <c r="B576" s="79" t="s">
        <v>2439</v>
      </c>
      <c r="C576" s="79" t="s">
        <v>117</v>
      </c>
      <c r="D576" s="65" t="s">
        <v>117</v>
      </c>
      <c r="E576" s="18" t="s">
        <v>101</v>
      </c>
      <c r="F576" s="18" t="s">
        <v>110</v>
      </c>
      <c r="G576" s="18" t="s">
        <v>46</v>
      </c>
      <c r="H576" s="38"/>
      <c r="I576" s="38"/>
      <c r="J576" s="38"/>
      <c r="K576" s="18" t="s">
        <v>1598</v>
      </c>
      <c r="L576" s="18" t="s">
        <v>1599</v>
      </c>
      <c r="M576" s="18" t="s">
        <v>1600</v>
      </c>
      <c r="N576" s="60">
        <v>22.105339000000001</v>
      </c>
      <c r="O576" s="60">
        <v>91.877127000000002</v>
      </c>
      <c r="P576" s="62">
        <v>400</v>
      </c>
      <c r="Q576" s="62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38"/>
    </row>
    <row r="577" spans="1:36" x14ac:dyDescent="0.3">
      <c r="A577" s="77">
        <v>571</v>
      </c>
      <c r="B577" s="79" t="s">
        <v>2439</v>
      </c>
      <c r="C577" s="79" t="s">
        <v>117</v>
      </c>
      <c r="D577" s="65" t="s">
        <v>117</v>
      </c>
      <c r="E577" s="18" t="s">
        <v>101</v>
      </c>
      <c r="F577" s="18" t="s">
        <v>110</v>
      </c>
      <c r="G577" s="18" t="s">
        <v>46</v>
      </c>
      <c r="H577" s="38"/>
      <c r="I577" s="38"/>
      <c r="J577" s="38"/>
      <c r="K577" s="18" t="s">
        <v>1601</v>
      </c>
      <c r="L577" s="18" t="s">
        <v>1602</v>
      </c>
      <c r="M577" s="18" t="s">
        <v>1603</v>
      </c>
      <c r="N577" s="60">
        <v>22.107026999999999</v>
      </c>
      <c r="O577" s="60">
        <v>91.882521999999994</v>
      </c>
      <c r="P577" s="62">
        <v>600</v>
      </c>
      <c r="Q577" s="62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38"/>
    </row>
    <row r="578" spans="1:36" x14ac:dyDescent="0.3">
      <c r="A578" s="77">
        <v>572</v>
      </c>
      <c r="B578" s="79" t="s">
        <v>2439</v>
      </c>
      <c r="C578" s="79" t="s">
        <v>117</v>
      </c>
      <c r="D578" s="65" t="s">
        <v>117</v>
      </c>
      <c r="E578" s="18" t="s">
        <v>101</v>
      </c>
      <c r="F578" s="18" t="s">
        <v>110</v>
      </c>
      <c r="G578" s="18" t="s">
        <v>47</v>
      </c>
      <c r="H578" s="38"/>
      <c r="I578" s="38"/>
      <c r="J578" s="38"/>
      <c r="K578" s="18" t="s">
        <v>1604</v>
      </c>
      <c r="L578" s="18" t="s">
        <v>1605</v>
      </c>
      <c r="M578" s="18" t="s">
        <v>1606</v>
      </c>
      <c r="N578" s="60">
        <v>22.124445000000001</v>
      </c>
      <c r="O578" s="60">
        <v>91.868623999999997</v>
      </c>
      <c r="P578" s="62">
        <v>1500</v>
      </c>
      <c r="Q578" s="62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38"/>
    </row>
    <row r="579" spans="1:36" x14ac:dyDescent="0.3">
      <c r="A579" s="77">
        <v>573</v>
      </c>
      <c r="B579" s="79" t="s">
        <v>2439</v>
      </c>
      <c r="C579" s="79" t="s">
        <v>117</v>
      </c>
      <c r="D579" s="65" t="s">
        <v>117</v>
      </c>
      <c r="E579" s="18" t="s">
        <v>101</v>
      </c>
      <c r="F579" s="18" t="s">
        <v>110</v>
      </c>
      <c r="G579" s="18" t="s">
        <v>47</v>
      </c>
      <c r="H579" s="38"/>
      <c r="I579" s="38"/>
      <c r="J579" s="38"/>
      <c r="K579" s="67" t="s">
        <v>70</v>
      </c>
      <c r="L579" s="18" t="s">
        <v>162</v>
      </c>
      <c r="M579" s="18" t="s">
        <v>1607</v>
      </c>
      <c r="N579" s="60">
        <v>22.126397999999998</v>
      </c>
      <c r="O579" s="60">
        <v>91.861191000000005</v>
      </c>
      <c r="P579" s="62">
        <v>4000</v>
      </c>
      <c r="Q579" s="62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38"/>
    </row>
    <row r="580" spans="1:36" x14ac:dyDescent="0.3">
      <c r="A580" s="77">
        <v>574</v>
      </c>
      <c r="B580" s="79" t="s">
        <v>2439</v>
      </c>
      <c r="C580" s="79" t="s">
        <v>117</v>
      </c>
      <c r="D580" s="65" t="s">
        <v>117</v>
      </c>
      <c r="E580" s="18" t="s">
        <v>101</v>
      </c>
      <c r="F580" s="18" t="s">
        <v>110</v>
      </c>
      <c r="G580" s="18" t="s">
        <v>47</v>
      </c>
      <c r="H580" s="38"/>
      <c r="I580" s="38"/>
      <c r="J580" s="38"/>
      <c r="K580" s="18" t="s">
        <v>60</v>
      </c>
      <c r="L580" s="18" t="s">
        <v>399</v>
      </c>
      <c r="M580" s="18" t="s">
        <v>1608</v>
      </c>
      <c r="N580" s="60">
        <v>22.119415</v>
      </c>
      <c r="O580" s="60">
        <v>91.865656000000001</v>
      </c>
      <c r="P580" s="62">
        <v>2000</v>
      </c>
      <c r="Q580" s="62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38"/>
    </row>
    <row r="581" spans="1:36" x14ac:dyDescent="0.3">
      <c r="A581" s="77">
        <v>575</v>
      </c>
      <c r="B581" s="79" t="s">
        <v>2439</v>
      </c>
      <c r="C581" s="79" t="s">
        <v>117</v>
      </c>
      <c r="D581" s="65" t="s">
        <v>117</v>
      </c>
      <c r="E581" s="18" t="s">
        <v>101</v>
      </c>
      <c r="F581" s="18" t="s">
        <v>110</v>
      </c>
      <c r="G581" s="18" t="s">
        <v>47</v>
      </c>
      <c r="H581" s="38"/>
      <c r="I581" s="38"/>
      <c r="J581" s="38"/>
      <c r="K581" s="18" t="s">
        <v>1609</v>
      </c>
      <c r="L581" s="18" t="s">
        <v>1610</v>
      </c>
      <c r="M581" s="18" t="s">
        <v>1611</v>
      </c>
      <c r="N581" s="60">
        <v>22.120730999999999</v>
      </c>
      <c r="O581" s="60">
        <v>91.867975999999999</v>
      </c>
      <c r="P581" s="62">
        <v>2000</v>
      </c>
      <c r="Q581" s="62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</row>
    <row r="582" spans="1:36" x14ac:dyDescent="0.3">
      <c r="A582" s="77">
        <v>576</v>
      </c>
      <c r="B582" s="79" t="s">
        <v>2439</v>
      </c>
      <c r="C582" s="79" t="s">
        <v>117</v>
      </c>
      <c r="D582" s="65" t="s">
        <v>117</v>
      </c>
      <c r="E582" s="18" t="s">
        <v>101</v>
      </c>
      <c r="F582" s="18" t="s">
        <v>110</v>
      </c>
      <c r="G582" s="18" t="s">
        <v>48</v>
      </c>
      <c r="H582" s="38"/>
      <c r="I582" s="38"/>
      <c r="J582" s="38"/>
      <c r="K582" s="18" t="s">
        <v>1612</v>
      </c>
      <c r="L582" s="18" t="s">
        <v>1613</v>
      </c>
      <c r="M582" s="18" t="s">
        <v>1614</v>
      </c>
      <c r="N582" s="60">
        <v>22.111930000000001</v>
      </c>
      <c r="O582" s="60">
        <v>91.869647999999998</v>
      </c>
      <c r="P582" s="62">
        <v>600</v>
      </c>
      <c r="Q582" s="62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38"/>
    </row>
    <row r="583" spans="1:36" x14ac:dyDescent="0.3">
      <c r="A583" s="77">
        <v>577</v>
      </c>
      <c r="B583" s="79" t="s">
        <v>2439</v>
      </c>
      <c r="C583" s="79" t="s">
        <v>117</v>
      </c>
      <c r="D583" s="65" t="s">
        <v>117</v>
      </c>
      <c r="E583" s="18" t="s">
        <v>101</v>
      </c>
      <c r="F583" s="18" t="s">
        <v>110</v>
      </c>
      <c r="G583" s="18" t="s">
        <v>48</v>
      </c>
      <c r="H583" s="38"/>
      <c r="I583" s="38"/>
      <c r="J583" s="38"/>
      <c r="K583" s="18" t="s">
        <v>1615</v>
      </c>
      <c r="L583" s="18" t="s">
        <v>1616</v>
      </c>
      <c r="M583" s="18" t="s">
        <v>1617</v>
      </c>
      <c r="N583" s="60">
        <v>22.111304000000001</v>
      </c>
      <c r="O583" s="60">
        <v>91.879583999999994</v>
      </c>
      <c r="P583" s="62">
        <v>600</v>
      </c>
      <c r="Q583" s="62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38"/>
    </row>
    <row r="584" spans="1:36" x14ac:dyDescent="0.3">
      <c r="A584" s="77">
        <v>578</v>
      </c>
      <c r="B584" s="79" t="s">
        <v>2439</v>
      </c>
      <c r="C584" s="79" t="s">
        <v>117</v>
      </c>
      <c r="D584" s="65" t="s">
        <v>117</v>
      </c>
      <c r="E584" s="18" t="s">
        <v>101</v>
      </c>
      <c r="F584" s="18" t="s">
        <v>110</v>
      </c>
      <c r="G584" s="18" t="s">
        <v>48</v>
      </c>
      <c r="H584" s="38"/>
      <c r="I584" s="38"/>
      <c r="J584" s="38"/>
      <c r="K584" s="18" t="s">
        <v>1618</v>
      </c>
      <c r="L584" s="18" t="s">
        <v>1619</v>
      </c>
      <c r="M584" s="18" t="s">
        <v>1620</v>
      </c>
      <c r="N584" s="60">
        <v>22.114768000000002</v>
      </c>
      <c r="O584" s="60">
        <v>91.881962000000001</v>
      </c>
      <c r="P584" s="62">
        <v>150</v>
      </c>
      <c r="Q584" s="62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38"/>
    </row>
    <row r="585" spans="1:36" x14ac:dyDescent="0.3">
      <c r="A585" s="77">
        <v>579</v>
      </c>
      <c r="B585" s="79" t="s">
        <v>2439</v>
      </c>
      <c r="C585" s="79" t="s">
        <v>117</v>
      </c>
      <c r="D585" s="65" t="s">
        <v>117</v>
      </c>
      <c r="E585" s="18" t="s">
        <v>101</v>
      </c>
      <c r="F585" s="18" t="s">
        <v>110</v>
      </c>
      <c r="G585" s="18" t="s">
        <v>48</v>
      </c>
      <c r="H585" s="38"/>
      <c r="I585" s="38"/>
      <c r="J585" s="38"/>
      <c r="K585" s="18" t="s">
        <v>1621</v>
      </c>
      <c r="L585" s="18" t="s">
        <v>1622</v>
      </c>
      <c r="M585" s="18" t="s">
        <v>1623</v>
      </c>
      <c r="N585" s="60">
        <v>22.116</v>
      </c>
      <c r="O585" s="60">
        <v>91.884048000000007</v>
      </c>
      <c r="P585" s="62">
        <v>300</v>
      </c>
      <c r="Q585" s="62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38"/>
    </row>
    <row r="586" spans="1:36" x14ac:dyDescent="0.3">
      <c r="A586" s="77">
        <v>580</v>
      </c>
      <c r="B586" s="79" t="s">
        <v>2439</v>
      </c>
      <c r="C586" s="79" t="s">
        <v>117</v>
      </c>
      <c r="D586" s="65" t="s">
        <v>117</v>
      </c>
      <c r="E586" s="18" t="s">
        <v>101</v>
      </c>
      <c r="F586" s="18" t="s">
        <v>110</v>
      </c>
      <c r="G586" s="18" t="s">
        <v>48</v>
      </c>
      <c r="H586" s="38"/>
      <c r="I586" s="38"/>
      <c r="J586" s="38"/>
      <c r="K586" s="18" t="s">
        <v>196</v>
      </c>
      <c r="L586" s="18" t="s">
        <v>197</v>
      </c>
      <c r="M586" s="18" t="s">
        <v>1624</v>
      </c>
      <c r="N586" s="60">
        <v>22.115134000000001</v>
      </c>
      <c r="O586" s="60">
        <v>91.879170999999999</v>
      </c>
      <c r="P586" s="62">
        <v>800</v>
      </c>
      <c r="Q586" s="62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38"/>
    </row>
    <row r="587" spans="1:36" x14ac:dyDescent="0.3">
      <c r="A587" s="77">
        <v>581</v>
      </c>
      <c r="B587" s="79" t="s">
        <v>2439</v>
      </c>
      <c r="C587" s="79" t="s">
        <v>117</v>
      </c>
      <c r="D587" s="65" t="s">
        <v>117</v>
      </c>
      <c r="E587" s="18" t="s">
        <v>101</v>
      </c>
      <c r="F587" s="18" t="s">
        <v>110</v>
      </c>
      <c r="G587" s="18" t="s">
        <v>48</v>
      </c>
      <c r="H587" s="38"/>
      <c r="I587" s="38"/>
      <c r="J587" s="38"/>
      <c r="K587" s="18" t="s">
        <v>1625</v>
      </c>
      <c r="L587" s="18" t="s">
        <v>1626</v>
      </c>
      <c r="M587" s="18" t="s">
        <v>1627</v>
      </c>
      <c r="N587" s="60">
        <v>22.116689000000001</v>
      </c>
      <c r="O587" s="60">
        <v>91.873794000000004</v>
      </c>
      <c r="P587" s="62">
        <v>700</v>
      </c>
      <c r="Q587" s="62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38"/>
    </row>
    <row r="588" spans="1:36" x14ac:dyDescent="0.3">
      <c r="A588" s="77">
        <v>582</v>
      </c>
      <c r="B588" s="79" t="s">
        <v>2439</v>
      </c>
      <c r="C588" s="79" t="s">
        <v>117</v>
      </c>
      <c r="D588" s="65" t="s">
        <v>117</v>
      </c>
      <c r="E588" s="18" t="s">
        <v>101</v>
      </c>
      <c r="F588" s="18" t="s">
        <v>110</v>
      </c>
      <c r="G588" s="18" t="s">
        <v>48</v>
      </c>
      <c r="H588" s="38"/>
      <c r="I588" s="38"/>
      <c r="J588" s="38"/>
      <c r="K588" s="18" t="s">
        <v>1628</v>
      </c>
      <c r="L588" s="18" t="s">
        <v>1629</v>
      </c>
      <c r="M588" s="18" t="s">
        <v>1630</v>
      </c>
      <c r="N588" s="60">
        <v>22.118068000000001</v>
      </c>
      <c r="O588" s="60">
        <v>91.881236000000001</v>
      </c>
      <c r="P588" s="62">
        <v>1500</v>
      </c>
      <c r="Q588" s="62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38"/>
    </row>
    <row r="589" spans="1:36" x14ac:dyDescent="0.3">
      <c r="A589" s="77">
        <v>583</v>
      </c>
      <c r="B589" s="79" t="s">
        <v>2439</v>
      </c>
      <c r="C589" s="79" t="s">
        <v>117</v>
      </c>
      <c r="D589" s="65" t="s">
        <v>117</v>
      </c>
      <c r="E589" s="18" t="s">
        <v>101</v>
      </c>
      <c r="F589" s="18" t="s">
        <v>110</v>
      </c>
      <c r="G589" s="18" t="s">
        <v>48</v>
      </c>
      <c r="H589" s="38"/>
      <c r="I589" s="38"/>
      <c r="J589" s="38"/>
      <c r="K589" s="18" t="s">
        <v>1631</v>
      </c>
      <c r="L589" s="18" t="s">
        <v>1632</v>
      </c>
      <c r="M589" s="18" t="s">
        <v>1633</v>
      </c>
      <c r="N589" s="60">
        <v>22.121427000000001</v>
      </c>
      <c r="O589" s="60">
        <v>91.869923</v>
      </c>
      <c r="P589" s="62">
        <v>300</v>
      </c>
      <c r="Q589" s="62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38"/>
    </row>
    <row r="590" spans="1:36" x14ac:dyDescent="0.3">
      <c r="A590" s="77">
        <v>584</v>
      </c>
      <c r="B590" s="79" t="s">
        <v>2439</v>
      </c>
      <c r="C590" s="79" t="s">
        <v>117</v>
      </c>
      <c r="D590" s="65" t="s">
        <v>117</v>
      </c>
      <c r="E590" s="18" t="s">
        <v>101</v>
      </c>
      <c r="F590" s="18" t="s">
        <v>110</v>
      </c>
      <c r="G590" s="18" t="s">
        <v>48</v>
      </c>
      <c r="H590" s="38"/>
      <c r="I590" s="38"/>
      <c r="J590" s="38"/>
      <c r="K590" s="18" t="s">
        <v>1604</v>
      </c>
      <c r="L590" s="18" t="s">
        <v>1605</v>
      </c>
      <c r="M590" s="18" t="s">
        <v>1634</v>
      </c>
      <c r="N590" s="60">
        <v>22.122921000000002</v>
      </c>
      <c r="O590" s="60">
        <v>91.872078999999999</v>
      </c>
      <c r="P590" s="62">
        <v>1500</v>
      </c>
      <c r="Q590" s="62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38"/>
    </row>
    <row r="591" spans="1:36" x14ac:dyDescent="0.3">
      <c r="A591" s="77">
        <v>585</v>
      </c>
      <c r="B591" s="79" t="s">
        <v>2439</v>
      </c>
      <c r="C591" s="79" t="s">
        <v>117</v>
      </c>
      <c r="D591" s="65" t="s">
        <v>117</v>
      </c>
      <c r="E591" s="18" t="s">
        <v>101</v>
      </c>
      <c r="F591" s="18" t="s">
        <v>110</v>
      </c>
      <c r="G591" s="18" t="s">
        <v>48</v>
      </c>
      <c r="H591" s="38"/>
      <c r="I591" s="38"/>
      <c r="J591" s="38"/>
      <c r="K591" s="18" t="s">
        <v>1635</v>
      </c>
      <c r="L591" s="18" t="s">
        <v>1636</v>
      </c>
      <c r="M591" s="18" t="s">
        <v>1637</v>
      </c>
      <c r="N591" s="60">
        <v>22.119363</v>
      </c>
      <c r="O591" s="60">
        <v>91.872649999999993</v>
      </c>
      <c r="P591" s="62">
        <v>150</v>
      </c>
      <c r="Q591" s="62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38"/>
    </row>
    <row r="592" spans="1:36" x14ac:dyDescent="0.3">
      <c r="A592" s="77">
        <v>586</v>
      </c>
      <c r="B592" s="79" t="s">
        <v>2439</v>
      </c>
      <c r="C592" s="79" t="s">
        <v>117</v>
      </c>
      <c r="D592" s="65" t="s">
        <v>117</v>
      </c>
      <c r="E592" s="18" t="s">
        <v>101</v>
      </c>
      <c r="F592" s="18" t="s">
        <v>110</v>
      </c>
      <c r="G592" s="18" t="s">
        <v>48</v>
      </c>
      <c r="H592" s="38"/>
      <c r="I592" s="38"/>
      <c r="J592" s="38"/>
      <c r="K592" s="67" t="s">
        <v>522</v>
      </c>
      <c r="L592" s="67" t="s">
        <v>523</v>
      </c>
      <c r="M592" s="18" t="s">
        <v>1638</v>
      </c>
      <c r="N592" s="60">
        <v>22.119187</v>
      </c>
      <c r="O592" s="60">
        <v>91.875890999999996</v>
      </c>
      <c r="P592" s="62">
        <v>300</v>
      </c>
      <c r="Q592" s="62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38"/>
    </row>
    <row r="593" spans="1:36" x14ac:dyDescent="0.3">
      <c r="A593" s="77">
        <v>587</v>
      </c>
      <c r="B593" s="79" t="s">
        <v>2439</v>
      </c>
      <c r="C593" s="79" t="s">
        <v>117</v>
      </c>
      <c r="D593" s="65" t="s">
        <v>117</v>
      </c>
      <c r="E593" s="18" t="s">
        <v>101</v>
      </c>
      <c r="F593" s="18" t="s">
        <v>110</v>
      </c>
      <c r="G593" s="18" t="s">
        <v>49</v>
      </c>
      <c r="H593" s="38"/>
      <c r="I593" s="38"/>
      <c r="J593" s="38"/>
      <c r="K593" s="18" t="s">
        <v>1609</v>
      </c>
      <c r="L593" s="18" t="s">
        <v>1610</v>
      </c>
      <c r="M593" s="18" t="s">
        <v>1639</v>
      </c>
      <c r="N593" s="60">
        <v>22.114041</v>
      </c>
      <c r="O593" s="60">
        <v>91.900525000000002</v>
      </c>
      <c r="P593" s="62">
        <v>3000</v>
      </c>
      <c r="Q593" s="62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38"/>
    </row>
    <row r="594" spans="1:36" x14ac:dyDescent="0.3">
      <c r="A594" s="77">
        <v>588</v>
      </c>
      <c r="B594" s="79" t="s">
        <v>2439</v>
      </c>
      <c r="C594" s="79" t="s">
        <v>117</v>
      </c>
      <c r="D594" s="65" t="s">
        <v>117</v>
      </c>
      <c r="E594" s="18" t="s">
        <v>101</v>
      </c>
      <c r="F594" s="18" t="s">
        <v>110</v>
      </c>
      <c r="G594" s="18" t="s">
        <v>49</v>
      </c>
      <c r="H594" s="38"/>
      <c r="I594" s="38"/>
      <c r="J594" s="38"/>
      <c r="K594" s="18" t="s">
        <v>1640</v>
      </c>
      <c r="L594" s="18" t="s">
        <v>1641</v>
      </c>
      <c r="M594" s="18" t="s">
        <v>1642</v>
      </c>
      <c r="N594" s="60">
        <v>22.117526999999999</v>
      </c>
      <c r="O594" s="60">
        <v>91.897532999999996</v>
      </c>
      <c r="P594" s="62">
        <v>1800</v>
      </c>
      <c r="Q594" s="62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38"/>
    </row>
    <row r="595" spans="1:36" x14ac:dyDescent="0.3">
      <c r="A595" s="77">
        <v>589</v>
      </c>
      <c r="B595" s="79" t="s">
        <v>2439</v>
      </c>
      <c r="C595" s="79" t="s">
        <v>117</v>
      </c>
      <c r="D595" s="65" t="s">
        <v>117</v>
      </c>
      <c r="E595" s="18" t="s">
        <v>101</v>
      </c>
      <c r="F595" s="18" t="s">
        <v>110</v>
      </c>
      <c r="G595" s="18" t="s">
        <v>49</v>
      </c>
      <c r="H595" s="38"/>
      <c r="I595" s="38"/>
      <c r="J595" s="38"/>
      <c r="K595" s="18" t="s">
        <v>1643</v>
      </c>
      <c r="L595" s="18" t="s">
        <v>1644</v>
      </c>
      <c r="M595" s="18" t="s">
        <v>1645</v>
      </c>
      <c r="N595" s="60">
        <v>22.119433999999998</v>
      </c>
      <c r="O595" s="60">
        <v>91.891707999999994</v>
      </c>
      <c r="P595" s="62">
        <v>1800</v>
      </c>
      <c r="Q595" s="62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38"/>
    </row>
    <row r="596" spans="1:36" x14ac:dyDescent="0.3">
      <c r="A596" s="77">
        <v>590</v>
      </c>
      <c r="B596" s="79" t="s">
        <v>2439</v>
      </c>
      <c r="C596" s="79" t="s">
        <v>117</v>
      </c>
      <c r="D596" s="65" t="s">
        <v>117</v>
      </c>
      <c r="E596" s="18" t="s">
        <v>101</v>
      </c>
      <c r="F596" s="18" t="s">
        <v>110</v>
      </c>
      <c r="G596" s="18" t="s">
        <v>49</v>
      </c>
      <c r="H596" s="38"/>
      <c r="I596" s="38"/>
      <c r="J596" s="38"/>
      <c r="K596" s="18" t="s">
        <v>1646</v>
      </c>
      <c r="L596" s="18" t="s">
        <v>1647</v>
      </c>
      <c r="M596" s="67" t="s">
        <v>1648</v>
      </c>
      <c r="N596" s="60">
        <v>22.116323000000001</v>
      </c>
      <c r="O596" s="60">
        <v>91.893823999999995</v>
      </c>
      <c r="P596" s="62">
        <v>1200</v>
      </c>
      <c r="Q596" s="62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38"/>
    </row>
    <row r="597" spans="1:36" x14ac:dyDescent="0.3">
      <c r="A597" s="77">
        <v>591</v>
      </c>
      <c r="B597" s="79" t="s">
        <v>2439</v>
      </c>
      <c r="C597" s="79" t="s">
        <v>117</v>
      </c>
      <c r="D597" s="65" t="s">
        <v>117</v>
      </c>
      <c r="E597" s="18" t="s">
        <v>101</v>
      </c>
      <c r="F597" s="63" t="s">
        <v>111</v>
      </c>
      <c r="G597" s="18" t="s">
        <v>41</v>
      </c>
      <c r="H597" s="38"/>
      <c r="I597" s="38"/>
      <c r="J597" s="38"/>
      <c r="K597" s="18" t="s">
        <v>1649</v>
      </c>
      <c r="L597" s="18" t="s">
        <v>1650</v>
      </c>
      <c r="M597" s="18" t="s">
        <v>1651</v>
      </c>
      <c r="N597" s="60">
        <v>21.900552999999999</v>
      </c>
      <c r="O597" s="60">
        <v>91.957904999999997</v>
      </c>
      <c r="P597" s="62">
        <v>5000</v>
      </c>
      <c r="Q597" s="62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38"/>
    </row>
    <row r="598" spans="1:36" x14ac:dyDescent="0.3">
      <c r="A598" s="77">
        <v>592</v>
      </c>
      <c r="B598" s="79" t="s">
        <v>2439</v>
      </c>
      <c r="C598" s="79" t="s">
        <v>117</v>
      </c>
      <c r="D598" s="65" t="s">
        <v>117</v>
      </c>
      <c r="E598" s="18" t="s">
        <v>101</v>
      </c>
      <c r="F598" s="63" t="s">
        <v>111</v>
      </c>
      <c r="G598" s="18" t="s">
        <v>41</v>
      </c>
      <c r="H598" s="38"/>
      <c r="I598" s="38"/>
      <c r="J598" s="38"/>
      <c r="K598" s="18" t="s">
        <v>60</v>
      </c>
      <c r="L598" s="18" t="s">
        <v>61</v>
      </c>
      <c r="M598" s="18" t="s">
        <v>1652</v>
      </c>
      <c r="N598" s="60">
        <v>21.905745</v>
      </c>
      <c r="O598" s="60">
        <v>91.960817000000006</v>
      </c>
      <c r="P598" s="62">
        <v>1000</v>
      </c>
      <c r="Q598" s="62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38"/>
    </row>
    <row r="599" spans="1:36" x14ac:dyDescent="0.3">
      <c r="A599" s="77">
        <v>593</v>
      </c>
      <c r="B599" s="79" t="s">
        <v>2439</v>
      </c>
      <c r="C599" s="79" t="s">
        <v>117</v>
      </c>
      <c r="D599" s="65" t="s">
        <v>117</v>
      </c>
      <c r="E599" s="18" t="s">
        <v>101</v>
      </c>
      <c r="F599" s="63" t="s">
        <v>111</v>
      </c>
      <c r="G599" s="18" t="s">
        <v>41</v>
      </c>
      <c r="H599" s="38"/>
      <c r="I599" s="38"/>
      <c r="J599" s="38"/>
      <c r="K599" s="18" t="s">
        <v>1653</v>
      </c>
      <c r="L599" s="18" t="s">
        <v>1654</v>
      </c>
      <c r="M599" s="18" t="s">
        <v>1655</v>
      </c>
      <c r="N599" s="60">
        <v>21.904657</v>
      </c>
      <c r="O599" s="60">
        <v>91.952569999999994</v>
      </c>
      <c r="P599" s="62">
        <v>3000</v>
      </c>
      <c r="Q599" s="62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38"/>
    </row>
    <row r="600" spans="1:36" x14ac:dyDescent="0.3">
      <c r="A600" s="77">
        <v>594</v>
      </c>
      <c r="B600" s="79" t="s">
        <v>2439</v>
      </c>
      <c r="C600" s="79" t="s">
        <v>117</v>
      </c>
      <c r="D600" s="65" t="s">
        <v>117</v>
      </c>
      <c r="E600" s="18" t="s">
        <v>101</v>
      </c>
      <c r="F600" s="63" t="s">
        <v>111</v>
      </c>
      <c r="G600" s="18" t="s">
        <v>41</v>
      </c>
      <c r="H600" s="38"/>
      <c r="I600" s="38"/>
      <c r="J600" s="38"/>
      <c r="K600" s="18" t="s">
        <v>1656</v>
      </c>
      <c r="L600" s="18" t="s">
        <v>1657</v>
      </c>
      <c r="M600" s="18" t="s">
        <v>1658</v>
      </c>
      <c r="N600" s="60">
        <v>21.906047000000001</v>
      </c>
      <c r="O600" s="60">
        <v>91.956023000000002</v>
      </c>
      <c r="P600" s="62">
        <v>1000</v>
      </c>
      <c r="Q600" s="62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38"/>
    </row>
    <row r="601" spans="1:36" x14ac:dyDescent="0.3">
      <c r="A601" s="77">
        <v>595</v>
      </c>
      <c r="B601" s="79" t="s">
        <v>2439</v>
      </c>
      <c r="C601" s="79" t="s">
        <v>117</v>
      </c>
      <c r="D601" s="65" t="s">
        <v>117</v>
      </c>
      <c r="E601" s="18" t="s">
        <v>101</v>
      </c>
      <c r="F601" s="63" t="s">
        <v>111</v>
      </c>
      <c r="G601" s="18" t="s">
        <v>41</v>
      </c>
      <c r="H601" s="38"/>
      <c r="I601" s="38"/>
      <c r="J601" s="38"/>
      <c r="K601" s="18" t="s">
        <v>1659</v>
      </c>
      <c r="L601" s="18" t="s">
        <v>1660</v>
      </c>
      <c r="M601" s="18" t="s">
        <v>1661</v>
      </c>
      <c r="N601" s="60">
        <v>21.907761000000001</v>
      </c>
      <c r="O601" s="60">
        <v>91.958843999999999</v>
      </c>
      <c r="P601" s="62">
        <v>2000</v>
      </c>
      <c r="Q601" s="62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38"/>
    </row>
    <row r="602" spans="1:36" x14ac:dyDescent="0.3">
      <c r="A602" s="77">
        <v>596</v>
      </c>
      <c r="B602" s="79" t="s">
        <v>2439</v>
      </c>
      <c r="C602" s="79" t="s">
        <v>117</v>
      </c>
      <c r="D602" s="65" t="s">
        <v>117</v>
      </c>
      <c r="E602" s="18" t="s">
        <v>101</v>
      </c>
      <c r="F602" s="63" t="s">
        <v>111</v>
      </c>
      <c r="G602" s="18" t="s">
        <v>41</v>
      </c>
      <c r="H602" s="38"/>
      <c r="I602" s="38"/>
      <c r="J602" s="38"/>
      <c r="K602" s="18" t="s">
        <v>1662</v>
      </c>
      <c r="L602" s="18" t="s">
        <v>1663</v>
      </c>
      <c r="M602" s="18" t="s">
        <v>1664</v>
      </c>
      <c r="N602" s="60">
        <v>21.910164000000002</v>
      </c>
      <c r="O602" s="60">
        <v>91.957150999999996</v>
      </c>
      <c r="P602" s="62">
        <v>2000</v>
      </c>
      <c r="Q602" s="62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38"/>
    </row>
    <row r="603" spans="1:36" x14ac:dyDescent="0.3">
      <c r="A603" s="77">
        <v>597</v>
      </c>
      <c r="B603" s="79" t="s">
        <v>2439</v>
      </c>
      <c r="C603" s="79" t="s">
        <v>117</v>
      </c>
      <c r="D603" s="65" t="s">
        <v>117</v>
      </c>
      <c r="E603" s="18" t="s">
        <v>101</v>
      </c>
      <c r="F603" s="63" t="s">
        <v>111</v>
      </c>
      <c r="G603" s="18" t="s">
        <v>41</v>
      </c>
      <c r="H603" s="38"/>
      <c r="I603" s="38"/>
      <c r="J603" s="38"/>
      <c r="K603" s="18" t="s">
        <v>423</v>
      </c>
      <c r="L603" s="18" t="s">
        <v>424</v>
      </c>
      <c r="M603" s="18" t="s">
        <v>1665</v>
      </c>
      <c r="N603" s="60">
        <v>21.915524000000001</v>
      </c>
      <c r="O603" s="60">
        <v>91.955772999999994</v>
      </c>
      <c r="P603" s="62">
        <v>1500</v>
      </c>
      <c r="Q603" s="62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38"/>
    </row>
    <row r="604" spans="1:36" x14ac:dyDescent="0.3">
      <c r="A604" s="77">
        <v>598</v>
      </c>
      <c r="B604" s="79" t="s">
        <v>2439</v>
      </c>
      <c r="C604" s="79" t="s">
        <v>117</v>
      </c>
      <c r="D604" s="65" t="s">
        <v>117</v>
      </c>
      <c r="E604" s="18" t="s">
        <v>101</v>
      </c>
      <c r="F604" s="63" t="s">
        <v>111</v>
      </c>
      <c r="G604" s="18" t="s">
        <v>41</v>
      </c>
      <c r="H604" s="38"/>
      <c r="I604" s="38"/>
      <c r="J604" s="38"/>
      <c r="K604" s="18" t="s">
        <v>1666</v>
      </c>
      <c r="L604" s="18" t="s">
        <v>1667</v>
      </c>
      <c r="M604" s="18" t="s">
        <v>1668</v>
      </c>
      <c r="N604" s="60">
        <v>21.918396999999999</v>
      </c>
      <c r="O604" s="60">
        <v>91.956931999999995</v>
      </c>
      <c r="P604" s="62">
        <v>1500</v>
      </c>
      <c r="Q604" s="62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38"/>
    </row>
    <row r="605" spans="1:36" x14ac:dyDescent="0.3">
      <c r="A605" s="77">
        <v>599</v>
      </c>
      <c r="B605" s="79" t="s">
        <v>2439</v>
      </c>
      <c r="C605" s="79" t="s">
        <v>117</v>
      </c>
      <c r="D605" s="65" t="s">
        <v>117</v>
      </c>
      <c r="E605" s="18" t="s">
        <v>101</v>
      </c>
      <c r="F605" s="63" t="s">
        <v>111</v>
      </c>
      <c r="G605" s="18" t="s">
        <v>42</v>
      </c>
      <c r="H605" s="38"/>
      <c r="I605" s="38"/>
      <c r="J605" s="38"/>
      <c r="K605" s="18" t="s">
        <v>86</v>
      </c>
      <c r="L605" s="18" t="s">
        <v>87</v>
      </c>
      <c r="M605" s="18" t="s">
        <v>1669</v>
      </c>
      <c r="N605" s="60">
        <v>21.913865999999999</v>
      </c>
      <c r="O605" s="60">
        <v>91.943185999999997</v>
      </c>
      <c r="P605" s="62">
        <v>4000</v>
      </c>
      <c r="Q605" s="62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38"/>
    </row>
    <row r="606" spans="1:36" x14ac:dyDescent="0.3">
      <c r="A606" s="77">
        <v>600</v>
      </c>
      <c r="B606" s="79" t="s">
        <v>2439</v>
      </c>
      <c r="C606" s="79" t="s">
        <v>117</v>
      </c>
      <c r="D606" s="65" t="s">
        <v>117</v>
      </c>
      <c r="E606" s="18" t="s">
        <v>101</v>
      </c>
      <c r="F606" s="63" t="s">
        <v>111</v>
      </c>
      <c r="G606" s="18" t="s">
        <v>42</v>
      </c>
      <c r="H606" s="38"/>
      <c r="I606" s="38"/>
      <c r="J606" s="38"/>
      <c r="K606" s="63" t="s">
        <v>211</v>
      </c>
      <c r="L606" s="18" t="s">
        <v>212</v>
      </c>
      <c r="M606" s="18" t="s">
        <v>1670</v>
      </c>
      <c r="N606" s="60">
        <v>21.908404999999998</v>
      </c>
      <c r="O606" s="60">
        <v>91.938986</v>
      </c>
      <c r="P606" s="62">
        <v>2000</v>
      </c>
      <c r="Q606" s="62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38"/>
    </row>
    <row r="607" spans="1:36" x14ac:dyDescent="0.3">
      <c r="A607" s="77">
        <v>601</v>
      </c>
      <c r="B607" s="79" t="s">
        <v>2439</v>
      </c>
      <c r="C607" s="79" t="s">
        <v>117</v>
      </c>
      <c r="D607" s="65" t="s">
        <v>117</v>
      </c>
      <c r="E607" s="18" t="s">
        <v>101</v>
      </c>
      <c r="F607" s="63" t="s">
        <v>111</v>
      </c>
      <c r="G607" s="18" t="s">
        <v>42</v>
      </c>
      <c r="H607" s="38"/>
      <c r="I607" s="38"/>
      <c r="J607" s="38"/>
      <c r="K607" s="63" t="s">
        <v>66</v>
      </c>
      <c r="L607" s="18" t="s">
        <v>67</v>
      </c>
      <c r="M607" s="18" t="s">
        <v>1671</v>
      </c>
      <c r="N607" s="60">
        <v>21.907218</v>
      </c>
      <c r="O607" s="60">
        <v>91.942631000000006</v>
      </c>
      <c r="P607" s="62">
        <v>3000</v>
      </c>
      <c r="Q607" s="62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38"/>
    </row>
    <row r="608" spans="1:36" x14ac:dyDescent="0.3">
      <c r="A608" s="77">
        <v>602</v>
      </c>
      <c r="B608" s="79" t="s">
        <v>2439</v>
      </c>
      <c r="C608" s="79" t="s">
        <v>117</v>
      </c>
      <c r="D608" s="65" t="s">
        <v>117</v>
      </c>
      <c r="E608" s="18" t="s">
        <v>101</v>
      </c>
      <c r="F608" s="63" t="s">
        <v>111</v>
      </c>
      <c r="G608" s="18" t="s">
        <v>42</v>
      </c>
      <c r="H608" s="38"/>
      <c r="I608" s="38"/>
      <c r="J608" s="38"/>
      <c r="K608" s="18" t="s">
        <v>1672</v>
      </c>
      <c r="L608" s="18" t="s">
        <v>1673</v>
      </c>
      <c r="M608" s="18" t="s">
        <v>1674</v>
      </c>
      <c r="N608" s="60">
        <v>21.906573999999999</v>
      </c>
      <c r="O608" s="60">
        <v>91.938402999999994</v>
      </c>
      <c r="P608" s="62">
        <v>1000</v>
      </c>
      <c r="Q608" s="62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38"/>
    </row>
    <row r="609" spans="1:36" x14ac:dyDescent="0.3">
      <c r="A609" s="77">
        <v>603</v>
      </c>
      <c r="B609" s="79" t="s">
        <v>2439</v>
      </c>
      <c r="C609" s="79" t="s">
        <v>117</v>
      </c>
      <c r="D609" s="65" t="s">
        <v>117</v>
      </c>
      <c r="E609" s="18" t="s">
        <v>101</v>
      </c>
      <c r="F609" s="63" t="s">
        <v>111</v>
      </c>
      <c r="G609" s="18" t="s">
        <v>42</v>
      </c>
      <c r="H609" s="38"/>
      <c r="I609" s="38"/>
      <c r="J609" s="38"/>
      <c r="K609" s="18" t="s">
        <v>1675</v>
      </c>
      <c r="L609" s="18" t="s">
        <v>1676</v>
      </c>
      <c r="M609" s="18" t="s">
        <v>1677</v>
      </c>
      <c r="N609" s="60">
        <v>21.902115999999999</v>
      </c>
      <c r="O609" s="60">
        <v>91.950320000000005</v>
      </c>
      <c r="P609" s="62">
        <v>1000</v>
      </c>
      <c r="Q609" s="62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38"/>
    </row>
    <row r="610" spans="1:36" x14ac:dyDescent="0.3">
      <c r="A610" s="77">
        <v>604</v>
      </c>
      <c r="B610" s="79" t="s">
        <v>2439</v>
      </c>
      <c r="C610" s="79" t="s">
        <v>117</v>
      </c>
      <c r="D610" s="65" t="s">
        <v>117</v>
      </c>
      <c r="E610" s="18" t="s">
        <v>101</v>
      </c>
      <c r="F610" s="63" t="s">
        <v>111</v>
      </c>
      <c r="G610" s="18" t="s">
        <v>42</v>
      </c>
      <c r="H610" s="38"/>
      <c r="I610" s="38"/>
      <c r="J610" s="38"/>
      <c r="K610" s="18" t="s">
        <v>1678</v>
      </c>
      <c r="L610" s="18" t="s">
        <v>1679</v>
      </c>
      <c r="M610" s="18" t="s">
        <v>1680</v>
      </c>
      <c r="N610" s="60">
        <v>21.895347999999998</v>
      </c>
      <c r="O610" s="60">
        <v>91.943917999999996</v>
      </c>
      <c r="P610" s="62">
        <v>2000</v>
      </c>
      <c r="Q610" s="62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38"/>
    </row>
    <row r="611" spans="1:36" x14ac:dyDescent="0.3">
      <c r="A611" s="77">
        <v>605</v>
      </c>
      <c r="B611" s="79" t="s">
        <v>2439</v>
      </c>
      <c r="C611" s="79" t="s">
        <v>117</v>
      </c>
      <c r="D611" s="65" t="s">
        <v>117</v>
      </c>
      <c r="E611" s="18" t="s">
        <v>101</v>
      </c>
      <c r="F611" s="63" t="s">
        <v>111</v>
      </c>
      <c r="G611" s="18" t="s">
        <v>42</v>
      </c>
      <c r="H611" s="38"/>
      <c r="I611" s="38"/>
      <c r="J611" s="38"/>
      <c r="K611" s="18" t="s">
        <v>1681</v>
      </c>
      <c r="L611" s="18" t="s">
        <v>1682</v>
      </c>
      <c r="M611" s="18" t="s">
        <v>1683</v>
      </c>
      <c r="N611" s="60">
        <v>21.905407</v>
      </c>
      <c r="O611" s="60">
        <v>91.944689999999994</v>
      </c>
      <c r="P611" s="62">
        <v>2000</v>
      </c>
      <c r="Q611" s="62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38"/>
    </row>
    <row r="612" spans="1:36" x14ac:dyDescent="0.3">
      <c r="A612" s="77">
        <v>606</v>
      </c>
      <c r="B612" s="79" t="s">
        <v>2439</v>
      </c>
      <c r="C612" s="79" t="s">
        <v>117</v>
      </c>
      <c r="D612" s="65" t="s">
        <v>117</v>
      </c>
      <c r="E612" s="18" t="s">
        <v>101</v>
      </c>
      <c r="F612" s="63" t="s">
        <v>111</v>
      </c>
      <c r="G612" s="18" t="s">
        <v>43</v>
      </c>
      <c r="H612" s="38"/>
      <c r="I612" s="38"/>
      <c r="J612" s="38"/>
      <c r="K612" s="18" t="s">
        <v>1684</v>
      </c>
      <c r="L612" s="18" t="s">
        <v>1685</v>
      </c>
      <c r="M612" s="18" t="s">
        <v>1686</v>
      </c>
      <c r="N612" s="60">
        <v>21.892140000000001</v>
      </c>
      <c r="O612" s="60">
        <v>91.965146000000004</v>
      </c>
      <c r="P612" s="62">
        <v>500</v>
      </c>
      <c r="Q612" s="62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38"/>
    </row>
    <row r="613" spans="1:36" x14ac:dyDescent="0.3">
      <c r="A613" s="77">
        <v>607</v>
      </c>
      <c r="B613" s="79" t="s">
        <v>2439</v>
      </c>
      <c r="C613" s="79" t="s">
        <v>117</v>
      </c>
      <c r="D613" s="65" t="s">
        <v>117</v>
      </c>
      <c r="E613" s="18" t="s">
        <v>101</v>
      </c>
      <c r="F613" s="63" t="s">
        <v>111</v>
      </c>
      <c r="G613" s="18" t="s">
        <v>43</v>
      </c>
      <c r="H613" s="38"/>
      <c r="I613" s="38"/>
      <c r="J613" s="38"/>
      <c r="K613" s="18" t="s">
        <v>1687</v>
      </c>
      <c r="L613" s="18" t="s">
        <v>1688</v>
      </c>
      <c r="M613" s="18" t="s">
        <v>1689</v>
      </c>
      <c r="N613" s="60">
        <v>21.889832999999999</v>
      </c>
      <c r="O613" s="60">
        <v>91.963893999999996</v>
      </c>
      <c r="P613" s="62">
        <v>1200</v>
      </c>
      <c r="Q613" s="62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38"/>
    </row>
    <row r="614" spans="1:36" x14ac:dyDescent="0.3">
      <c r="A614" s="77">
        <v>608</v>
      </c>
      <c r="B614" s="79" t="s">
        <v>2439</v>
      </c>
      <c r="C614" s="79" t="s">
        <v>117</v>
      </c>
      <c r="D614" s="65" t="s">
        <v>117</v>
      </c>
      <c r="E614" s="18" t="s">
        <v>101</v>
      </c>
      <c r="F614" s="63" t="s">
        <v>111</v>
      </c>
      <c r="G614" s="18" t="s">
        <v>43</v>
      </c>
      <c r="H614" s="38"/>
      <c r="I614" s="38"/>
      <c r="J614" s="38"/>
      <c r="K614" s="18" t="s">
        <v>1690</v>
      </c>
      <c r="L614" s="18" t="s">
        <v>1691</v>
      </c>
      <c r="M614" s="18" t="s">
        <v>1692</v>
      </c>
      <c r="N614" s="60">
        <v>21.885776</v>
      </c>
      <c r="O614" s="60">
        <v>91.966963000000007</v>
      </c>
      <c r="P614" s="62">
        <v>450</v>
      </c>
      <c r="Q614" s="62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38"/>
    </row>
    <row r="615" spans="1:36" x14ac:dyDescent="0.3">
      <c r="A615" s="77">
        <v>609</v>
      </c>
      <c r="B615" s="79" t="s">
        <v>2439</v>
      </c>
      <c r="C615" s="79" t="s">
        <v>117</v>
      </c>
      <c r="D615" s="65" t="s">
        <v>117</v>
      </c>
      <c r="E615" s="18" t="s">
        <v>101</v>
      </c>
      <c r="F615" s="63" t="s">
        <v>111</v>
      </c>
      <c r="G615" s="18" t="s">
        <v>43</v>
      </c>
      <c r="H615" s="38"/>
      <c r="I615" s="38"/>
      <c r="J615" s="38"/>
      <c r="K615" s="18" t="s">
        <v>1693</v>
      </c>
      <c r="L615" s="18" t="s">
        <v>1694</v>
      </c>
      <c r="M615" s="18" t="s">
        <v>1695</v>
      </c>
      <c r="N615" s="60">
        <v>21.884931999999999</v>
      </c>
      <c r="O615" s="60">
        <v>91.960662999999997</v>
      </c>
      <c r="P615" s="62">
        <v>500</v>
      </c>
      <c r="Q615" s="62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38"/>
    </row>
    <row r="616" spans="1:36" x14ac:dyDescent="0.3">
      <c r="A616" s="77">
        <v>610</v>
      </c>
      <c r="B616" s="79" t="s">
        <v>2439</v>
      </c>
      <c r="C616" s="79" t="s">
        <v>117</v>
      </c>
      <c r="D616" s="65" t="s">
        <v>117</v>
      </c>
      <c r="E616" s="18" t="s">
        <v>101</v>
      </c>
      <c r="F616" s="63" t="s">
        <v>111</v>
      </c>
      <c r="G616" s="18" t="s">
        <v>43</v>
      </c>
      <c r="H616" s="38"/>
      <c r="I616" s="38"/>
      <c r="J616" s="38"/>
      <c r="K616" s="18" t="s">
        <v>208</v>
      </c>
      <c r="L616" s="18" t="s">
        <v>209</v>
      </c>
      <c r="M616" s="18" t="s">
        <v>1696</v>
      </c>
      <c r="N616" s="60">
        <v>21.893304000000001</v>
      </c>
      <c r="O616" s="60">
        <v>91.959382000000005</v>
      </c>
      <c r="P616" s="62">
        <v>300</v>
      </c>
      <c r="Q616" s="62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38"/>
    </row>
    <row r="617" spans="1:36" x14ac:dyDescent="0.3">
      <c r="A617" s="77">
        <v>611</v>
      </c>
      <c r="B617" s="79" t="s">
        <v>2439</v>
      </c>
      <c r="C617" s="79" t="s">
        <v>117</v>
      </c>
      <c r="D617" s="65" t="s">
        <v>117</v>
      </c>
      <c r="E617" s="18" t="s">
        <v>101</v>
      </c>
      <c r="F617" s="63" t="s">
        <v>111</v>
      </c>
      <c r="G617" s="18" t="s">
        <v>43</v>
      </c>
      <c r="H617" s="38"/>
      <c r="I617" s="38"/>
      <c r="J617" s="38"/>
      <c r="K617" s="18" t="s">
        <v>1697</v>
      </c>
      <c r="L617" s="18" t="s">
        <v>1698</v>
      </c>
      <c r="M617" s="18" t="s">
        <v>1699</v>
      </c>
      <c r="N617" s="60">
        <v>21.887022999999999</v>
      </c>
      <c r="O617" s="60">
        <v>91.952309999999997</v>
      </c>
      <c r="P617" s="62">
        <v>1600</v>
      </c>
      <c r="Q617" s="62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38"/>
    </row>
    <row r="618" spans="1:36" x14ac:dyDescent="0.3">
      <c r="A618" s="77">
        <v>612</v>
      </c>
      <c r="B618" s="79" t="s">
        <v>2439</v>
      </c>
      <c r="C618" s="79" t="s">
        <v>117</v>
      </c>
      <c r="D618" s="65" t="s">
        <v>117</v>
      </c>
      <c r="E618" s="18" t="s">
        <v>101</v>
      </c>
      <c r="F618" s="63" t="s">
        <v>111</v>
      </c>
      <c r="G618" s="18" t="s">
        <v>43</v>
      </c>
      <c r="H618" s="38"/>
      <c r="I618" s="38"/>
      <c r="J618" s="38"/>
      <c r="K618" s="18" t="s">
        <v>1700</v>
      </c>
      <c r="L618" s="18" t="s">
        <v>1701</v>
      </c>
      <c r="M618" s="18" t="s">
        <v>1702</v>
      </c>
      <c r="N618" s="60">
        <v>21.898201</v>
      </c>
      <c r="O618" s="60">
        <v>91.951380999999998</v>
      </c>
      <c r="P618" s="62">
        <v>700</v>
      </c>
      <c r="Q618" s="62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38"/>
    </row>
    <row r="619" spans="1:36" x14ac:dyDescent="0.3">
      <c r="A619" s="77">
        <v>613</v>
      </c>
      <c r="B619" s="79" t="s">
        <v>2439</v>
      </c>
      <c r="C619" s="79" t="s">
        <v>117</v>
      </c>
      <c r="D619" s="65" t="s">
        <v>117</v>
      </c>
      <c r="E619" s="18" t="s">
        <v>101</v>
      </c>
      <c r="F619" s="63" t="s">
        <v>111</v>
      </c>
      <c r="G619" s="18" t="s">
        <v>44</v>
      </c>
      <c r="H619" s="38"/>
      <c r="I619" s="38"/>
      <c r="J619" s="38"/>
      <c r="K619" s="18" t="s">
        <v>1703</v>
      </c>
      <c r="L619" s="18" t="s">
        <v>1704</v>
      </c>
      <c r="M619" s="18" t="s">
        <v>1705</v>
      </c>
      <c r="N619" s="60">
        <v>21.905719999999999</v>
      </c>
      <c r="O619" s="60">
        <v>91.978288000000006</v>
      </c>
      <c r="P619" s="62">
        <v>900</v>
      </c>
      <c r="Q619" s="62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38"/>
    </row>
    <row r="620" spans="1:36" x14ac:dyDescent="0.3">
      <c r="A620" s="77">
        <v>614</v>
      </c>
      <c r="B620" s="79" t="s">
        <v>2439</v>
      </c>
      <c r="C620" s="79" t="s">
        <v>117</v>
      </c>
      <c r="D620" s="65" t="s">
        <v>117</v>
      </c>
      <c r="E620" s="18" t="s">
        <v>101</v>
      </c>
      <c r="F620" s="63" t="s">
        <v>111</v>
      </c>
      <c r="G620" s="18" t="s">
        <v>44</v>
      </c>
      <c r="H620" s="38"/>
      <c r="I620" s="38"/>
      <c r="J620" s="38"/>
      <c r="K620" s="18" t="s">
        <v>734</v>
      </c>
      <c r="L620" s="18" t="s">
        <v>735</v>
      </c>
      <c r="M620" s="18" t="s">
        <v>1706</v>
      </c>
      <c r="N620" s="60">
        <v>21.906379000000001</v>
      </c>
      <c r="O620" s="60">
        <v>91.970590999999999</v>
      </c>
      <c r="P620" s="62">
        <v>6000</v>
      </c>
      <c r="Q620" s="62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38"/>
    </row>
    <row r="621" spans="1:36" x14ac:dyDescent="0.3">
      <c r="A621" s="77">
        <v>615</v>
      </c>
      <c r="B621" s="79" t="s">
        <v>2439</v>
      </c>
      <c r="C621" s="79" t="s">
        <v>117</v>
      </c>
      <c r="D621" s="65" t="s">
        <v>117</v>
      </c>
      <c r="E621" s="18" t="s">
        <v>101</v>
      </c>
      <c r="F621" s="63" t="s">
        <v>111</v>
      </c>
      <c r="G621" s="18" t="s">
        <v>44</v>
      </c>
      <c r="H621" s="38"/>
      <c r="I621" s="38"/>
      <c r="J621" s="38"/>
      <c r="K621" s="67" t="s">
        <v>56</v>
      </c>
      <c r="L621" s="67" t="s">
        <v>79</v>
      </c>
      <c r="M621" s="18" t="s">
        <v>1707</v>
      </c>
      <c r="N621" s="60">
        <v>21.889326000000001</v>
      </c>
      <c r="O621" s="60">
        <v>91.966436999999999</v>
      </c>
      <c r="P621" s="62">
        <v>1200</v>
      </c>
      <c r="Q621" s="62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38"/>
    </row>
    <row r="622" spans="1:36" x14ac:dyDescent="0.3">
      <c r="A622" s="77">
        <v>616</v>
      </c>
      <c r="B622" s="79" t="s">
        <v>2439</v>
      </c>
      <c r="C622" s="79" t="s">
        <v>117</v>
      </c>
      <c r="D622" s="65" t="s">
        <v>117</v>
      </c>
      <c r="E622" s="18" t="s">
        <v>101</v>
      </c>
      <c r="F622" s="63" t="s">
        <v>111</v>
      </c>
      <c r="G622" s="18" t="s">
        <v>44</v>
      </c>
      <c r="H622" s="38"/>
      <c r="I622" s="38"/>
      <c r="J622" s="38"/>
      <c r="K622" s="18" t="s">
        <v>60</v>
      </c>
      <c r="L622" s="18" t="s">
        <v>399</v>
      </c>
      <c r="M622" s="18" t="s">
        <v>1708</v>
      </c>
      <c r="N622" s="60">
        <v>21.896688999999999</v>
      </c>
      <c r="O622" s="60">
        <v>91.969250000000002</v>
      </c>
      <c r="P622" s="62">
        <v>600</v>
      </c>
      <c r="Q622" s="62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38"/>
    </row>
    <row r="623" spans="1:36" x14ac:dyDescent="0.3">
      <c r="A623" s="77">
        <v>617</v>
      </c>
      <c r="B623" s="79" t="s">
        <v>2439</v>
      </c>
      <c r="C623" s="79" t="s">
        <v>117</v>
      </c>
      <c r="D623" s="65" t="s">
        <v>117</v>
      </c>
      <c r="E623" s="18" t="s">
        <v>101</v>
      </c>
      <c r="F623" s="63" t="s">
        <v>111</v>
      </c>
      <c r="G623" s="18" t="s">
        <v>45</v>
      </c>
      <c r="H623" s="38"/>
      <c r="I623" s="38"/>
      <c r="J623" s="38"/>
      <c r="K623" s="18" t="s">
        <v>1709</v>
      </c>
      <c r="L623" s="18" t="s">
        <v>1710</v>
      </c>
      <c r="M623" s="18" t="s">
        <v>1711</v>
      </c>
      <c r="N623" s="60">
        <v>21.912903</v>
      </c>
      <c r="O623" s="60">
        <v>91.980560999999994</v>
      </c>
      <c r="P623" s="62">
        <v>10700</v>
      </c>
      <c r="Q623" s="62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38"/>
    </row>
    <row r="624" spans="1:36" x14ac:dyDescent="0.3">
      <c r="A624" s="77">
        <v>618</v>
      </c>
      <c r="B624" s="79" t="s">
        <v>2439</v>
      </c>
      <c r="C624" s="79" t="s">
        <v>117</v>
      </c>
      <c r="D624" s="65" t="s">
        <v>117</v>
      </c>
      <c r="E624" s="18" t="s">
        <v>101</v>
      </c>
      <c r="F624" s="63" t="s">
        <v>111</v>
      </c>
      <c r="G624" s="18" t="s">
        <v>46</v>
      </c>
      <c r="H624" s="38"/>
      <c r="I624" s="38"/>
      <c r="J624" s="38"/>
      <c r="K624" s="18" t="s">
        <v>1712</v>
      </c>
      <c r="L624" s="18" t="s">
        <v>1713</v>
      </c>
      <c r="M624" s="18" t="s">
        <v>1714</v>
      </c>
      <c r="N624" s="60">
        <v>21.910843</v>
      </c>
      <c r="O624" s="60">
        <v>91.968406000000002</v>
      </c>
      <c r="P624" s="62">
        <v>3500</v>
      </c>
      <c r="Q624" s="62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38"/>
    </row>
    <row r="625" spans="1:36" x14ac:dyDescent="0.3">
      <c r="A625" s="77">
        <v>619</v>
      </c>
      <c r="B625" s="79" t="s">
        <v>2439</v>
      </c>
      <c r="C625" s="79" t="s">
        <v>117</v>
      </c>
      <c r="D625" s="65" t="s">
        <v>117</v>
      </c>
      <c r="E625" s="18" t="s">
        <v>101</v>
      </c>
      <c r="F625" s="63" t="s">
        <v>111</v>
      </c>
      <c r="G625" s="18" t="s">
        <v>46</v>
      </c>
      <c r="H625" s="38"/>
      <c r="I625" s="38"/>
      <c r="J625" s="38"/>
      <c r="K625" s="18" t="s">
        <v>1299</v>
      </c>
      <c r="L625" s="18" t="s">
        <v>1300</v>
      </c>
      <c r="M625" s="18" t="s">
        <v>1715</v>
      </c>
      <c r="N625" s="60">
        <v>21.909573999999999</v>
      </c>
      <c r="O625" s="60">
        <v>91.963759999999994</v>
      </c>
      <c r="P625" s="62">
        <v>900</v>
      </c>
      <c r="Q625" s="62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38"/>
    </row>
    <row r="626" spans="1:36" x14ac:dyDescent="0.3">
      <c r="A626" s="77">
        <v>620</v>
      </c>
      <c r="B626" s="79" t="s">
        <v>2439</v>
      </c>
      <c r="C626" s="79" t="s">
        <v>117</v>
      </c>
      <c r="D626" s="65" t="s">
        <v>117</v>
      </c>
      <c r="E626" s="18" t="s">
        <v>101</v>
      </c>
      <c r="F626" s="63" t="s">
        <v>111</v>
      </c>
      <c r="G626" s="18" t="s">
        <v>46</v>
      </c>
      <c r="H626" s="38"/>
      <c r="I626" s="38"/>
      <c r="J626" s="38"/>
      <c r="K626" s="18" t="s">
        <v>60</v>
      </c>
      <c r="L626" s="18" t="s">
        <v>399</v>
      </c>
      <c r="M626" s="18" t="s">
        <v>1716</v>
      </c>
      <c r="N626" s="60">
        <v>21.910063000000001</v>
      </c>
      <c r="O626" s="60">
        <v>91.966914000000003</v>
      </c>
      <c r="P626" s="62">
        <v>300</v>
      </c>
      <c r="Q626" s="62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38"/>
    </row>
    <row r="627" spans="1:36" x14ac:dyDescent="0.3">
      <c r="A627" s="77">
        <v>621</v>
      </c>
      <c r="B627" s="79" t="s">
        <v>2439</v>
      </c>
      <c r="C627" s="79" t="s">
        <v>117</v>
      </c>
      <c r="D627" s="65" t="s">
        <v>117</v>
      </c>
      <c r="E627" s="18" t="s">
        <v>101</v>
      </c>
      <c r="F627" s="63" t="s">
        <v>111</v>
      </c>
      <c r="G627" s="18" t="s">
        <v>46</v>
      </c>
      <c r="H627" s="38"/>
      <c r="I627" s="38"/>
      <c r="J627" s="38"/>
      <c r="K627" s="67" t="s">
        <v>706</v>
      </c>
      <c r="L627" s="18" t="s">
        <v>707</v>
      </c>
      <c r="M627" s="18" t="s">
        <v>1717</v>
      </c>
      <c r="N627" s="60">
        <v>21.918517999999999</v>
      </c>
      <c r="O627" s="60">
        <v>91.962868</v>
      </c>
      <c r="P627" s="62">
        <v>1200</v>
      </c>
      <c r="Q627" s="62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38"/>
    </row>
    <row r="628" spans="1:36" x14ac:dyDescent="0.3">
      <c r="A628" s="77">
        <v>622</v>
      </c>
      <c r="B628" s="79" t="s">
        <v>2439</v>
      </c>
      <c r="C628" s="79" t="s">
        <v>117</v>
      </c>
      <c r="D628" s="65" t="s">
        <v>117</v>
      </c>
      <c r="E628" s="18" t="s">
        <v>101</v>
      </c>
      <c r="F628" s="63" t="s">
        <v>111</v>
      </c>
      <c r="G628" s="18" t="s">
        <v>46</v>
      </c>
      <c r="H628" s="38"/>
      <c r="I628" s="38"/>
      <c r="J628" s="38"/>
      <c r="K628" s="18" t="s">
        <v>1718</v>
      </c>
      <c r="L628" s="18" t="s">
        <v>1719</v>
      </c>
      <c r="M628" s="18" t="s">
        <v>1720</v>
      </c>
      <c r="N628" s="60">
        <v>21.908844999999999</v>
      </c>
      <c r="O628" s="60">
        <v>91.969532000000001</v>
      </c>
      <c r="P628" s="62">
        <v>600</v>
      </c>
      <c r="Q628" s="62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38"/>
    </row>
    <row r="629" spans="1:36" x14ac:dyDescent="0.3">
      <c r="A629" s="77">
        <v>623</v>
      </c>
      <c r="B629" s="79" t="s">
        <v>2439</v>
      </c>
      <c r="C629" s="79" t="s">
        <v>117</v>
      </c>
      <c r="D629" s="65" t="s">
        <v>117</v>
      </c>
      <c r="E629" s="18" t="s">
        <v>101</v>
      </c>
      <c r="F629" s="63" t="s">
        <v>111</v>
      </c>
      <c r="G629" s="18" t="s">
        <v>47</v>
      </c>
      <c r="H629" s="38"/>
      <c r="I629" s="38"/>
      <c r="J629" s="38"/>
      <c r="K629" s="66" t="s">
        <v>1721</v>
      </c>
      <c r="L629" s="66" t="s">
        <v>1722</v>
      </c>
      <c r="M629" s="18" t="s">
        <v>1723</v>
      </c>
      <c r="N629" s="60">
        <v>21.919830999999999</v>
      </c>
      <c r="O629" s="60">
        <v>91.973276999999996</v>
      </c>
      <c r="P629" s="62">
        <v>5000</v>
      </c>
      <c r="Q629" s="62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38"/>
    </row>
    <row r="630" spans="1:36" x14ac:dyDescent="0.3">
      <c r="A630" s="77">
        <v>624</v>
      </c>
      <c r="B630" s="79" t="s">
        <v>2439</v>
      </c>
      <c r="C630" s="79" t="s">
        <v>117</v>
      </c>
      <c r="D630" s="65" t="s">
        <v>117</v>
      </c>
      <c r="E630" s="18" t="s">
        <v>101</v>
      </c>
      <c r="F630" s="63" t="s">
        <v>111</v>
      </c>
      <c r="G630" s="18" t="s">
        <v>47</v>
      </c>
      <c r="H630" s="38"/>
      <c r="I630" s="38"/>
      <c r="J630" s="38"/>
      <c r="K630" s="18" t="s">
        <v>1724</v>
      </c>
      <c r="L630" s="18" t="s">
        <v>1725</v>
      </c>
      <c r="M630" s="18" t="s">
        <v>1726</v>
      </c>
      <c r="N630" s="60">
        <v>21.928007999999998</v>
      </c>
      <c r="O630" s="60">
        <v>91.968153000000001</v>
      </c>
      <c r="P630" s="62">
        <v>3000</v>
      </c>
      <c r="Q630" s="62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38"/>
    </row>
    <row r="631" spans="1:36" x14ac:dyDescent="0.3">
      <c r="A631" s="77">
        <v>625</v>
      </c>
      <c r="B631" s="79" t="s">
        <v>2439</v>
      </c>
      <c r="C631" s="79" t="s">
        <v>117</v>
      </c>
      <c r="D631" s="65" t="s">
        <v>117</v>
      </c>
      <c r="E631" s="18" t="s">
        <v>101</v>
      </c>
      <c r="F631" s="63" t="s">
        <v>111</v>
      </c>
      <c r="G631" s="18" t="s">
        <v>47</v>
      </c>
      <c r="H631" s="38"/>
      <c r="I631" s="38"/>
      <c r="J631" s="38"/>
      <c r="K631" s="18" t="s">
        <v>92</v>
      </c>
      <c r="L631" s="18" t="s">
        <v>93</v>
      </c>
      <c r="M631" s="18" t="s">
        <v>1727</v>
      </c>
      <c r="N631" s="60">
        <v>21.921509</v>
      </c>
      <c r="O631" s="60">
        <v>91.962908999999996</v>
      </c>
      <c r="P631" s="62">
        <v>4000</v>
      </c>
      <c r="Q631" s="62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38"/>
    </row>
    <row r="632" spans="1:36" x14ac:dyDescent="0.3">
      <c r="A632" s="77">
        <v>626</v>
      </c>
      <c r="B632" s="79" t="s">
        <v>2439</v>
      </c>
      <c r="C632" s="79" t="s">
        <v>117</v>
      </c>
      <c r="D632" s="65" t="s">
        <v>117</v>
      </c>
      <c r="E632" s="18" t="s">
        <v>101</v>
      </c>
      <c r="F632" s="63" t="s">
        <v>111</v>
      </c>
      <c r="G632" s="18" t="s">
        <v>47</v>
      </c>
      <c r="H632" s="38"/>
      <c r="I632" s="38"/>
      <c r="J632" s="38"/>
      <c r="K632" s="18" t="s">
        <v>1728</v>
      </c>
      <c r="L632" s="18" t="s">
        <v>1729</v>
      </c>
      <c r="M632" s="18" t="s">
        <v>1730</v>
      </c>
      <c r="N632" s="60">
        <v>21.925463000000001</v>
      </c>
      <c r="O632" s="60">
        <v>91.973280000000003</v>
      </c>
      <c r="P632" s="62">
        <v>2000</v>
      </c>
      <c r="Q632" s="62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38"/>
    </row>
    <row r="633" spans="1:36" x14ac:dyDescent="0.3">
      <c r="A633" s="77">
        <v>627</v>
      </c>
      <c r="B633" s="79" t="s">
        <v>2439</v>
      </c>
      <c r="C633" s="79" t="s">
        <v>117</v>
      </c>
      <c r="D633" s="65" t="s">
        <v>117</v>
      </c>
      <c r="E633" s="18" t="s">
        <v>101</v>
      </c>
      <c r="F633" s="63" t="s">
        <v>111</v>
      </c>
      <c r="G633" s="18" t="s">
        <v>48</v>
      </c>
      <c r="H633" s="38"/>
      <c r="I633" s="38"/>
      <c r="J633" s="38"/>
      <c r="K633" s="18" t="s">
        <v>1731</v>
      </c>
      <c r="L633" s="18" t="s">
        <v>1732</v>
      </c>
      <c r="M633" s="18" t="s">
        <v>1733</v>
      </c>
      <c r="N633" s="60">
        <v>21.931304999999998</v>
      </c>
      <c r="O633" s="60">
        <v>91.964453000000006</v>
      </c>
      <c r="P633" s="62">
        <v>7500</v>
      </c>
      <c r="Q633" s="62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38"/>
    </row>
    <row r="634" spans="1:36" x14ac:dyDescent="0.3">
      <c r="A634" s="77">
        <v>628</v>
      </c>
      <c r="B634" s="79" t="s">
        <v>2439</v>
      </c>
      <c r="C634" s="79" t="s">
        <v>117</v>
      </c>
      <c r="D634" s="65" t="s">
        <v>117</v>
      </c>
      <c r="E634" s="18" t="s">
        <v>101</v>
      </c>
      <c r="F634" s="63" t="s">
        <v>111</v>
      </c>
      <c r="G634" s="18" t="s">
        <v>48</v>
      </c>
      <c r="H634" s="38"/>
      <c r="I634" s="38"/>
      <c r="J634" s="38"/>
      <c r="K634" s="18" t="s">
        <v>118</v>
      </c>
      <c r="L634" s="18" t="s">
        <v>119</v>
      </c>
      <c r="M634" s="18" t="s">
        <v>1734</v>
      </c>
      <c r="N634" s="60">
        <v>21.935203999999999</v>
      </c>
      <c r="O634" s="60">
        <v>91.963678999999999</v>
      </c>
      <c r="P634" s="62">
        <v>1200</v>
      </c>
      <c r="Q634" s="62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38"/>
    </row>
    <row r="635" spans="1:36" x14ac:dyDescent="0.3">
      <c r="A635" s="77">
        <v>629</v>
      </c>
      <c r="B635" s="79" t="s">
        <v>2439</v>
      </c>
      <c r="C635" s="79" t="s">
        <v>117</v>
      </c>
      <c r="D635" s="65" t="s">
        <v>117</v>
      </c>
      <c r="E635" s="18" t="s">
        <v>101</v>
      </c>
      <c r="F635" s="63" t="s">
        <v>111</v>
      </c>
      <c r="G635" s="18" t="s">
        <v>48</v>
      </c>
      <c r="H635" s="38"/>
      <c r="I635" s="38"/>
      <c r="J635" s="38"/>
      <c r="K635" s="18" t="s">
        <v>1735</v>
      </c>
      <c r="L635" s="18" t="s">
        <v>1736</v>
      </c>
      <c r="M635" s="18" t="s">
        <v>1737</v>
      </c>
      <c r="N635" s="60">
        <v>21.939028</v>
      </c>
      <c r="O635" s="60">
        <v>91.970319000000003</v>
      </c>
      <c r="P635" s="62">
        <v>700</v>
      </c>
      <c r="Q635" s="62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38"/>
    </row>
    <row r="636" spans="1:36" x14ac:dyDescent="0.3">
      <c r="A636" s="77">
        <v>630</v>
      </c>
      <c r="B636" s="79" t="s">
        <v>2439</v>
      </c>
      <c r="C636" s="79" t="s">
        <v>117</v>
      </c>
      <c r="D636" s="65" t="s">
        <v>117</v>
      </c>
      <c r="E636" s="18" t="s">
        <v>101</v>
      </c>
      <c r="F636" s="63" t="s">
        <v>111</v>
      </c>
      <c r="G636" s="18" t="s">
        <v>48</v>
      </c>
      <c r="H636" s="38"/>
      <c r="I636" s="38"/>
      <c r="J636" s="38"/>
      <c r="K636" s="18" t="s">
        <v>472</v>
      </c>
      <c r="L636" s="18" t="s">
        <v>473</v>
      </c>
      <c r="M636" s="18" t="s">
        <v>1738</v>
      </c>
      <c r="N636" s="60">
        <v>21.935334999999998</v>
      </c>
      <c r="O636" s="60">
        <v>91.976093000000006</v>
      </c>
      <c r="P636" s="62">
        <v>1500</v>
      </c>
      <c r="Q636" s="62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38"/>
    </row>
    <row r="637" spans="1:36" x14ac:dyDescent="0.3">
      <c r="A637" s="77">
        <v>631</v>
      </c>
      <c r="B637" s="79" t="s">
        <v>2439</v>
      </c>
      <c r="C637" s="79" t="s">
        <v>117</v>
      </c>
      <c r="D637" s="65" t="s">
        <v>117</v>
      </c>
      <c r="E637" s="18" t="s">
        <v>101</v>
      </c>
      <c r="F637" s="63" t="s">
        <v>111</v>
      </c>
      <c r="G637" s="18" t="s">
        <v>48</v>
      </c>
      <c r="H637" s="38"/>
      <c r="I637" s="38"/>
      <c r="J637" s="38"/>
      <c r="K637" s="18" t="s">
        <v>64</v>
      </c>
      <c r="L637" s="18" t="s">
        <v>65</v>
      </c>
      <c r="M637" s="18" t="s">
        <v>1739</v>
      </c>
      <c r="N637" s="60">
        <v>21.940452000000001</v>
      </c>
      <c r="O637" s="60">
        <v>91.976438000000002</v>
      </c>
      <c r="P637" s="62">
        <v>300</v>
      </c>
      <c r="Q637" s="62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38"/>
    </row>
    <row r="638" spans="1:36" x14ac:dyDescent="0.3">
      <c r="A638" s="77">
        <v>632</v>
      </c>
      <c r="B638" s="79" t="s">
        <v>2439</v>
      </c>
      <c r="C638" s="79" t="s">
        <v>117</v>
      </c>
      <c r="D638" s="65" t="s">
        <v>117</v>
      </c>
      <c r="E638" s="18" t="s">
        <v>101</v>
      </c>
      <c r="F638" s="63" t="s">
        <v>111</v>
      </c>
      <c r="G638" s="18" t="s">
        <v>49</v>
      </c>
      <c r="H638" s="38"/>
      <c r="I638" s="38"/>
      <c r="J638" s="38"/>
      <c r="K638" s="18" t="s">
        <v>1740</v>
      </c>
      <c r="L638" s="18" t="s">
        <v>1741</v>
      </c>
      <c r="M638" s="18" t="s">
        <v>1742</v>
      </c>
      <c r="N638" s="60">
        <v>21.924751000000001</v>
      </c>
      <c r="O638" s="60">
        <v>91.956457999999998</v>
      </c>
      <c r="P638" s="62">
        <v>4500</v>
      </c>
      <c r="Q638" s="62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38"/>
    </row>
    <row r="639" spans="1:36" x14ac:dyDescent="0.3">
      <c r="A639" s="77">
        <v>633</v>
      </c>
      <c r="B639" s="79" t="s">
        <v>2439</v>
      </c>
      <c r="C639" s="79" t="s">
        <v>117</v>
      </c>
      <c r="D639" s="65" t="s">
        <v>117</v>
      </c>
      <c r="E639" s="18" t="s">
        <v>101</v>
      </c>
      <c r="F639" s="18" t="s">
        <v>112</v>
      </c>
      <c r="G639" s="18" t="s">
        <v>41</v>
      </c>
      <c r="H639" s="38"/>
      <c r="I639" s="38"/>
      <c r="J639" s="38"/>
      <c r="K639" s="18" t="s">
        <v>410</v>
      </c>
      <c r="L639" s="18" t="s">
        <v>411</v>
      </c>
      <c r="M639" s="18" t="s">
        <v>1743</v>
      </c>
      <c r="N639" s="60">
        <v>22.153860999999999</v>
      </c>
      <c r="O639" s="60">
        <v>91.906987999999998</v>
      </c>
      <c r="P639" s="62">
        <v>1000</v>
      </c>
      <c r="Q639" s="62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38"/>
    </row>
    <row r="640" spans="1:36" x14ac:dyDescent="0.3">
      <c r="A640" s="77">
        <v>634</v>
      </c>
      <c r="B640" s="79" t="s">
        <v>2439</v>
      </c>
      <c r="C640" s="79" t="s">
        <v>117</v>
      </c>
      <c r="D640" s="65" t="s">
        <v>117</v>
      </c>
      <c r="E640" s="18" t="s">
        <v>101</v>
      </c>
      <c r="F640" s="18" t="s">
        <v>112</v>
      </c>
      <c r="G640" s="18" t="s">
        <v>41</v>
      </c>
      <c r="H640" s="38"/>
      <c r="I640" s="38"/>
      <c r="J640" s="38"/>
      <c r="K640" s="18" t="s">
        <v>66</v>
      </c>
      <c r="L640" s="18" t="s">
        <v>158</v>
      </c>
      <c r="M640" s="18" t="s">
        <v>1744</v>
      </c>
      <c r="N640" s="60">
        <v>22.152307</v>
      </c>
      <c r="O640" s="60">
        <v>91.900182000000001</v>
      </c>
      <c r="P640" s="62">
        <v>1000</v>
      </c>
      <c r="Q640" s="62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38"/>
    </row>
    <row r="641" spans="1:36" x14ac:dyDescent="0.3">
      <c r="A641" s="77">
        <v>635</v>
      </c>
      <c r="B641" s="79" t="s">
        <v>2439</v>
      </c>
      <c r="C641" s="79" t="s">
        <v>117</v>
      </c>
      <c r="D641" s="65" t="s">
        <v>117</v>
      </c>
      <c r="E641" s="18" t="s">
        <v>101</v>
      </c>
      <c r="F641" s="18" t="s">
        <v>112</v>
      </c>
      <c r="G641" s="18" t="s">
        <v>41</v>
      </c>
      <c r="H641" s="38"/>
      <c r="I641" s="38"/>
      <c r="J641" s="38"/>
      <c r="K641" s="18" t="s">
        <v>1745</v>
      </c>
      <c r="L641" s="18" t="s">
        <v>1746</v>
      </c>
      <c r="M641" s="18" t="s">
        <v>1747</v>
      </c>
      <c r="N641" s="60">
        <v>22.149234</v>
      </c>
      <c r="O641" s="60">
        <v>91.888150999999993</v>
      </c>
      <c r="P641" s="62">
        <v>0</v>
      </c>
      <c r="Q641" s="62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38"/>
    </row>
    <row r="642" spans="1:36" x14ac:dyDescent="0.3">
      <c r="A642" s="77">
        <v>636</v>
      </c>
      <c r="B642" s="79" t="s">
        <v>2439</v>
      </c>
      <c r="C642" s="79" t="s">
        <v>117</v>
      </c>
      <c r="D642" s="65" t="s">
        <v>117</v>
      </c>
      <c r="E642" s="18" t="s">
        <v>101</v>
      </c>
      <c r="F642" s="18" t="s">
        <v>112</v>
      </c>
      <c r="G642" s="18" t="s">
        <v>41</v>
      </c>
      <c r="H642" s="38"/>
      <c r="I642" s="38"/>
      <c r="J642" s="38"/>
      <c r="K642" s="18" t="s">
        <v>97</v>
      </c>
      <c r="L642" s="66" t="s">
        <v>98</v>
      </c>
      <c r="M642" s="18" t="s">
        <v>1748</v>
      </c>
      <c r="N642" s="60">
        <v>22.151941999999998</v>
      </c>
      <c r="O642" s="60">
        <v>91.894789000000003</v>
      </c>
      <c r="P642" s="62">
        <v>2000</v>
      </c>
      <c r="Q642" s="62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38"/>
    </row>
    <row r="643" spans="1:36" x14ac:dyDescent="0.3">
      <c r="A643" s="77">
        <v>637</v>
      </c>
      <c r="B643" s="79" t="s">
        <v>2439</v>
      </c>
      <c r="C643" s="79" t="s">
        <v>117</v>
      </c>
      <c r="D643" s="65" t="s">
        <v>117</v>
      </c>
      <c r="E643" s="18" t="s">
        <v>101</v>
      </c>
      <c r="F643" s="18" t="s">
        <v>112</v>
      </c>
      <c r="G643" s="18" t="s">
        <v>42</v>
      </c>
      <c r="H643" s="38"/>
      <c r="I643" s="38"/>
      <c r="J643" s="38"/>
      <c r="K643" s="18" t="s">
        <v>51</v>
      </c>
      <c r="L643" s="66" t="s">
        <v>77</v>
      </c>
      <c r="M643" s="18" t="s">
        <v>1749</v>
      </c>
      <c r="N643" s="60">
        <v>22.146127</v>
      </c>
      <c r="O643" s="60">
        <v>91.898544000000001</v>
      </c>
      <c r="P643" s="62">
        <v>400</v>
      </c>
      <c r="Q643" s="62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38"/>
    </row>
    <row r="644" spans="1:36" x14ac:dyDescent="0.3">
      <c r="A644" s="77">
        <v>638</v>
      </c>
      <c r="B644" s="79" t="s">
        <v>2439</v>
      </c>
      <c r="C644" s="79" t="s">
        <v>117</v>
      </c>
      <c r="D644" s="65" t="s">
        <v>117</v>
      </c>
      <c r="E644" s="18" t="s">
        <v>101</v>
      </c>
      <c r="F644" s="18" t="s">
        <v>112</v>
      </c>
      <c r="G644" s="18" t="s">
        <v>42</v>
      </c>
      <c r="H644" s="38"/>
      <c r="I644" s="38"/>
      <c r="J644" s="38"/>
      <c r="K644" s="18" t="s">
        <v>734</v>
      </c>
      <c r="L644" s="66" t="s">
        <v>735</v>
      </c>
      <c r="M644" s="18" t="s">
        <v>1750</v>
      </c>
      <c r="N644" s="60">
        <v>22.144396</v>
      </c>
      <c r="O644" s="60">
        <v>91.897625000000005</v>
      </c>
      <c r="P644" s="62">
        <v>1000</v>
      </c>
      <c r="Q644" s="62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38"/>
    </row>
    <row r="645" spans="1:36" x14ac:dyDescent="0.3">
      <c r="A645" s="77">
        <v>639</v>
      </c>
      <c r="B645" s="79" t="s">
        <v>2439</v>
      </c>
      <c r="C645" s="79" t="s">
        <v>117</v>
      </c>
      <c r="D645" s="65" t="s">
        <v>117</v>
      </c>
      <c r="E645" s="18" t="s">
        <v>101</v>
      </c>
      <c r="F645" s="18" t="s">
        <v>112</v>
      </c>
      <c r="G645" s="18" t="s">
        <v>42</v>
      </c>
      <c r="H645" s="38"/>
      <c r="I645" s="38"/>
      <c r="J645" s="38"/>
      <c r="K645" s="18" t="s">
        <v>88</v>
      </c>
      <c r="L645" s="66" t="s">
        <v>1394</v>
      </c>
      <c r="M645" s="18" t="s">
        <v>1751</v>
      </c>
      <c r="N645" s="60">
        <v>22.149322999999999</v>
      </c>
      <c r="O645" s="60">
        <v>91.898176000000007</v>
      </c>
      <c r="P645" s="62">
        <v>600</v>
      </c>
      <c r="Q645" s="62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38"/>
    </row>
    <row r="646" spans="1:36" x14ac:dyDescent="0.3">
      <c r="A646" s="77">
        <v>640</v>
      </c>
      <c r="B646" s="79" t="s">
        <v>2439</v>
      </c>
      <c r="C646" s="79" t="s">
        <v>117</v>
      </c>
      <c r="D646" s="65" t="s">
        <v>117</v>
      </c>
      <c r="E646" s="18" t="s">
        <v>101</v>
      </c>
      <c r="F646" s="18" t="s">
        <v>112</v>
      </c>
      <c r="G646" s="18" t="s">
        <v>42</v>
      </c>
      <c r="H646" s="38"/>
      <c r="I646" s="38"/>
      <c r="J646" s="38"/>
      <c r="K646" s="18" t="s">
        <v>410</v>
      </c>
      <c r="L646" s="18" t="s">
        <v>411</v>
      </c>
      <c r="M646" s="18" t="s">
        <v>1752</v>
      </c>
      <c r="N646" s="60">
        <v>22.147081</v>
      </c>
      <c r="O646" s="60">
        <v>91.899355</v>
      </c>
      <c r="P646" s="62">
        <v>300</v>
      </c>
      <c r="Q646" s="62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38"/>
    </row>
    <row r="647" spans="1:36" x14ac:dyDescent="0.3">
      <c r="A647" s="77">
        <v>641</v>
      </c>
      <c r="B647" s="79" t="s">
        <v>2439</v>
      </c>
      <c r="C647" s="79" t="s">
        <v>117</v>
      </c>
      <c r="D647" s="65" t="s">
        <v>117</v>
      </c>
      <c r="E647" s="18" t="s">
        <v>101</v>
      </c>
      <c r="F647" s="18" t="s">
        <v>112</v>
      </c>
      <c r="G647" s="18" t="s">
        <v>42</v>
      </c>
      <c r="H647" s="38"/>
      <c r="I647" s="38"/>
      <c r="J647" s="38"/>
      <c r="K647" s="18" t="s">
        <v>86</v>
      </c>
      <c r="L647" s="66" t="s">
        <v>160</v>
      </c>
      <c r="M647" s="18" t="s">
        <v>1753</v>
      </c>
      <c r="N647" s="60">
        <v>22.148181999999998</v>
      </c>
      <c r="O647" s="60">
        <v>91.895534999999995</v>
      </c>
      <c r="P647" s="62">
        <v>1200</v>
      </c>
      <c r="Q647" s="62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38"/>
    </row>
    <row r="648" spans="1:36" x14ac:dyDescent="0.3">
      <c r="A648" s="77">
        <v>642</v>
      </c>
      <c r="B648" s="79" t="s">
        <v>2439</v>
      </c>
      <c r="C648" s="79" t="s">
        <v>117</v>
      </c>
      <c r="D648" s="65" t="s">
        <v>117</v>
      </c>
      <c r="E648" s="18" t="s">
        <v>101</v>
      </c>
      <c r="F648" s="18" t="s">
        <v>112</v>
      </c>
      <c r="G648" s="18" t="s">
        <v>42</v>
      </c>
      <c r="H648" s="38"/>
      <c r="I648" s="38"/>
      <c r="J648" s="38"/>
      <c r="K648" s="18" t="s">
        <v>1754</v>
      </c>
      <c r="L648" s="18" t="s">
        <v>1755</v>
      </c>
      <c r="M648" s="18" t="s">
        <v>1756</v>
      </c>
      <c r="N648" s="60">
        <v>22.144307000000001</v>
      </c>
      <c r="O648" s="60">
        <v>91.890493000000006</v>
      </c>
      <c r="P648" s="62">
        <v>0</v>
      </c>
      <c r="Q648" s="62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38"/>
    </row>
    <row r="649" spans="1:36" x14ac:dyDescent="0.3">
      <c r="A649" s="77">
        <v>643</v>
      </c>
      <c r="B649" s="79" t="s">
        <v>2439</v>
      </c>
      <c r="C649" s="79" t="s">
        <v>117</v>
      </c>
      <c r="D649" s="65" t="s">
        <v>117</v>
      </c>
      <c r="E649" s="18" t="s">
        <v>101</v>
      </c>
      <c r="F649" s="18" t="s">
        <v>112</v>
      </c>
      <c r="G649" s="18" t="s">
        <v>43</v>
      </c>
      <c r="H649" s="38"/>
      <c r="I649" s="38"/>
      <c r="J649" s="38"/>
      <c r="K649" s="18" t="s">
        <v>1757</v>
      </c>
      <c r="L649" s="18" t="s">
        <v>1758</v>
      </c>
      <c r="M649" s="18" t="s">
        <v>1759</v>
      </c>
      <c r="N649" s="60">
        <v>22.150200000000002</v>
      </c>
      <c r="O649" s="60">
        <v>91.907073999999994</v>
      </c>
      <c r="P649" s="62">
        <v>4000</v>
      </c>
      <c r="Q649" s="62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38"/>
    </row>
    <row r="650" spans="1:36" x14ac:dyDescent="0.3">
      <c r="A650" s="77">
        <v>644</v>
      </c>
      <c r="B650" s="79" t="s">
        <v>2439</v>
      </c>
      <c r="C650" s="79" t="s">
        <v>117</v>
      </c>
      <c r="D650" s="65" t="s">
        <v>117</v>
      </c>
      <c r="E650" s="18" t="s">
        <v>101</v>
      </c>
      <c r="F650" s="18" t="s">
        <v>112</v>
      </c>
      <c r="G650" s="18" t="s">
        <v>43</v>
      </c>
      <c r="H650" s="38"/>
      <c r="I650" s="38"/>
      <c r="J650" s="38"/>
      <c r="K650" s="18" t="s">
        <v>1760</v>
      </c>
      <c r="L650" s="18" t="s">
        <v>1761</v>
      </c>
      <c r="M650" s="18" t="s">
        <v>1762</v>
      </c>
      <c r="N650" s="60">
        <v>22.144447</v>
      </c>
      <c r="O650" s="60">
        <v>91.908690000000007</v>
      </c>
      <c r="P650" s="62">
        <v>2000</v>
      </c>
      <c r="Q650" s="62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38"/>
    </row>
    <row r="651" spans="1:36" x14ac:dyDescent="0.3">
      <c r="A651" s="77">
        <v>645</v>
      </c>
      <c r="B651" s="79" t="s">
        <v>2439</v>
      </c>
      <c r="C651" s="79" t="s">
        <v>117</v>
      </c>
      <c r="D651" s="65" t="s">
        <v>117</v>
      </c>
      <c r="E651" s="18" t="s">
        <v>101</v>
      </c>
      <c r="F651" s="18" t="s">
        <v>112</v>
      </c>
      <c r="G651" s="18" t="s">
        <v>44</v>
      </c>
      <c r="H651" s="38"/>
      <c r="I651" s="38"/>
      <c r="J651" s="38"/>
      <c r="K651" s="67" t="s">
        <v>439</v>
      </c>
      <c r="L651" s="67" t="s">
        <v>545</v>
      </c>
      <c r="M651" s="18" t="s">
        <v>1763</v>
      </c>
      <c r="N651" s="60">
        <v>22.15522</v>
      </c>
      <c r="O651" s="60">
        <v>91.914518999999999</v>
      </c>
      <c r="P651" s="62">
        <v>2500</v>
      </c>
      <c r="Q651" s="62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38"/>
    </row>
    <row r="652" spans="1:36" x14ac:dyDescent="0.3">
      <c r="A652" s="77">
        <v>646</v>
      </c>
      <c r="B652" s="79" t="s">
        <v>2439</v>
      </c>
      <c r="C652" s="79" t="s">
        <v>117</v>
      </c>
      <c r="D652" s="65" t="s">
        <v>117</v>
      </c>
      <c r="E652" s="18" t="s">
        <v>101</v>
      </c>
      <c r="F652" s="18" t="s">
        <v>112</v>
      </c>
      <c r="G652" s="18" t="s">
        <v>44</v>
      </c>
      <c r="H652" s="38"/>
      <c r="I652" s="38"/>
      <c r="J652" s="38"/>
      <c r="K652" s="18" t="s">
        <v>1764</v>
      </c>
      <c r="L652" s="18" t="s">
        <v>1765</v>
      </c>
      <c r="M652" s="18" t="s">
        <v>1766</v>
      </c>
      <c r="N652" s="60">
        <v>22.152255</v>
      </c>
      <c r="O652" s="60">
        <v>91.914375000000007</v>
      </c>
      <c r="P652" s="62">
        <v>1500</v>
      </c>
      <c r="Q652" s="62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38"/>
    </row>
    <row r="653" spans="1:36" x14ac:dyDescent="0.3">
      <c r="A653" s="77">
        <v>647</v>
      </c>
      <c r="B653" s="79" t="s">
        <v>2439</v>
      </c>
      <c r="C653" s="79" t="s">
        <v>117</v>
      </c>
      <c r="D653" s="65" t="s">
        <v>117</v>
      </c>
      <c r="E653" s="18" t="s">
        <v>101</v>
      </c>
      <c r="F653" s="18" t="s">
        <v>112</v>
      </c>
      <c r="G653" s="18" t="s">
        <v>44</v>
      </c>
      <c r="H653" s="38"/>
      <c r="I653" s="38"/>
      <c r="J653" s="38"/>
      <c r="K653" s="18" t="s">
        <v>1767</v>
      </c>
      <c r="L653" s="18" t="s">
        <v>1768</v>
      </c>
      <c r="M653" s="18" t="s">
        <v>1769</v>
      </c>
      <c r="N653" s="60">
        <v>22.150058000000001</v>
      </c>
      <c r="O653" s="60">
        <v>91.914276999999998</v>
      </c>
      <c r="P653" s="62">
        <v>1000</v>
      </c>
      <c r="Q653" s="62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38"/>
    </row>
    <row r="654" spans="1:36" x14ac:dyDescent="0.3">
      <c r="A654" s="77">
        <v>648</v>
      </c>
      <c r="B654" s="79" t="s">
        <v>2439</v>
      </c>
      <c r="C654" s="79" t="s">
        <v>117</v>
      </c>
      <c r="D654" s="65" t="s">
        <v>117</v>
      </c>
      <c r="E654" s="18" t="s">
        <v>101</v>
      </c>
      <c r="F654" s="18" t="s">
        <v>112</v>
      </c>
      <c r="G654" s="18" t="s">
        <v>44</v>
      </c>
      <c r="H654" s="38"/>
      <c r="I654" s="38"/>
      <c r="J654" s="38"/>
      <c r="K654" s="18" t="s">
        <v>1770</v>
      </c>
      <c r="L654" s="18" t="s">
        <v>1771</v>
      </c>
      <c r="M654" s="18" t="s">
        <v>1772</v>
      </c>
      <c r="N654" s="60">
        <v>22.147919999999999</v>
      </c>
      <c r="O654" s="60">
        <v>91.915192000000005</v>
      </c>
      <c r="P654" s="62">
        <v>500</v>
      </c>
      <c r="Q654" s="62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38"/>
    </row>
    <row r="655" spans="1:36" x14ac:dyDescent="0.3">
      <c r="A655" s="77">
        <v>649</v>
      </c>
      <c r="B655" s="79" t="s">
        <v>2439</v>
      </c>
      <c r="C655" s="79" t="s">
        <v>117</v>
      </c>
      <c r="D655" s="65" t="s">
        <v>117</v>
      </c>
      <c r="E655" s="18" t="s">
        <v>101</v>
      </c>
      <c r="F655" s="18" t="s">
        <v>112</v>
      </c>
      <c r="G655" s="18" t="s">
        <v>44</v>
      </c>
      <c r="H655" s="38"/>
      <c r="I655" s="38"/>
      <c r="J655" s="38"/>
      <c r="K655" s="18" t="s">
        <v>1773</v>
      </c>
      <c r="L655" s="18" t="s">
        <v>1774</v>
      </c>
      <c r="M655" s="18" t="s">
        <v>1775</v>
      </c>
      <c r="N655" s="60">
        <v>22.146657999999999</v>
      </c>
      <c r="O655" s="60">
        <v>91.912634999999995</v>
      </c>
      <c r="P655" s="62">
        <v>600</v>
      </c>
      <c r="Q655" s="62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38"/>
    </row>
    <row r="656" spans="1:36" x14ac:dyDescent="0.3">
      <c r="A656" s="77">
        <v>650</v>
      </c>
      <c r="B656" s="79" t="s">
        <v>2439</v>
      </c>
      <c r="C656" s="79" t="s">
        <v>117</v>
      </c>
      <c r="D656" s="65" t="s">
        <v>117</v>
      </c>
      <c r="E656" s="18" t="s">
        <v>101</v>
      </c>
      <c r="F656" s="18" t="s">
        <v>112</v>
      </c>
      <c r="G656" s="18" t="s">
        <v>44</v>
      </c>
      <c r="H656" s="38"/>
      <c r="I656" s="38"/>
      <c r="J656" s="38"/>
      <c r="K656" s="18" t="s">
        <v>1618</v>
      </c>
      <c r="L656" s="18" t="s">
        <v>1619</v>
      </c>
      <c r="M656" s="18" t="s">
        <v>1776</v>
      </c>
      <c r="N656" s="60">
        <v>22.145814000000001</v>
      </c>
      <c r="O656" s="60">
        <v>91.915306999999999</v>
      </c>
      <c r="P656" s="62">
        <v>400</v>
      </c>
      <c r="Q656" s="62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38"/>
    </row>
    <row r="657" spans="1:36" x14ac:dyDescent="0.3">
      <c r="A657" s="77">
        <v>651</v>
      </c>
      <c r="B657" s="79" t="s">
        <v>2439</v>
      </c>
      <c r="C657" s="79" t="s">
        <v>117</v>
      </c>
      <c r="D657" s="65" t="s">
        <v>117</v>
      </c>
      <c r="E657" s="18" t="s">
        <v>101</v>
      </c>
      <c r="F657" s="18" t="s">
        <v>112</v>
      </c>
      <c r="G657" s="18" t="s">
        <v>44</v>
      </c>
      <c r="H657" s="38"/>
      <c r="I657" s="38"/>
      <c r="J657" s="38"/>
      <c r="K657" s="18" t="s">
        <v>1777</v>
      </c>
      <c r="L657" s="18" t="s">
        <v>1778</v>
      </c>
      <c r="M657" s="18" t="s">
        <v>1779</v>
      </c>
      <c r="N657" s="60">
        <v>22.144030999999998</v>
      </c>
      <c r="O657" s="60">
        <v>91.920090000000002</v>
      </c>
      <c r="P657" s="62">
        <v>1000</v>
      </c>
      <c r="Q657" s="62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38"/>
    </row>
    <row r="658" spans="1:36" x14ac:dyDescent="0.3">
      <c r="A658" s="77">
        <v>652</v>
      </c>
      <c r="B658" s="79" t="s">
        <v>2439</v>
      </c>
      <c r="C658" s="79" t="s">
        <v>117</v>
      </c>
      <c r="D658" s="65" t="s">
        <v>117</v>
      </c>
      <c r="E658" s="18" t="s">
        <v>101</v>
      </c>
      <c r="F658" s="18" t="s">
        <v>112</v>
      </c>
      <c r="G658" s="18" t="s">
        <v>44</v>
      </c>
      <c r="H658" s="38"/>
      <c r="I658" s="38"/>
      <c r="J658" s="38"/>
      <c r="K658" s="18" t="s">
        <v>1780</v>
      </c>
      <c r="L658" s="18" t="s">
        <v>1781</v>
      </c>
      <c r="M658" s="18" t="s">
        <v>1782</v>
      </c>
      <c r="N658" s="60">
        <v>22.150903</v>
      </c>
      <c r="O658" s="60">
        <v>91.91713</v>
      </c>
      <c r="P658" s="62">
        <v>1500</v>
      </c>
      <c r="Q658" s="62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38"/>
    </row>
    <row r="659" spans="1:36" x14ac:dyDescent="0.3">
      <c r="A659" s="77">
        <v>653</v>
      </c>
      <c r="B659" s="79" t="s">
        <v>2439</v>
      </c>
      <c r="C659" s="79" t="s">
        <v>117</v>
      </c>
      <c r="D659" s="65" t="s">
        <v>117</v>
      </c>
      <c r="E659" s="18" t="s">
        <v>101</v>
      </c>
      <c r="F659" s="18" t="s">
        <v>112</v>
      </c>
      <c r="G659" s="18" t="s">
        <v>44</v>
      </c>
      <c r="H659" s="38"/>
      <c r="I659" s="38"/>
      <c r="J659" s="38"/>
      <c r="K659" s="18" t="s">
        <v>1783</v>
      </c>
      <c r="L659" s="18" t="s">
        <v>1784</v>
      </c>
      <c r="M659" s="18" t="s">
        <v>1785</v>
      </c>
      <c r="N659" s="60">
        <v>22.151578000000001</v>
      </c>
      <c r="O659" s="60">
        <v>91.921505999999994</v>
      </c>
      <c r="P659" s="62">
        <v>3000</v>
      </c>
      <c r="Q659" s="62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38"/>
    </row>
    <row r="660" spans="1:36" x14ac:dyDescent="0.3">
      <c r="A660" s="77">
        <v>654</v>
      </c>
      <c r="B660" s="79" t="s">
        <v>2439</v>
      </c>
      <c r="C660" s="79" t="s">
        <v>117</v>
      </c>
      <c r="D660" s="65" t="s">
        <v>117</v>
      </c>
      <c r="E660" s="18" t="s">
        <v>101</v>
      </c>
      <c r="F660" s="18" t="s">
        <v>112</v>
      </c>
      <c r="G660" s="18" t="s">
        <v>44</v>
      </c>
      <c r="H660" s="38"/>
      <c r="I660" s="38"/>
      <c r="J660" s="38"/>
      <c r="K660" s="18" t="s">
        <v>94</v>
      </c>
      <c r="L660" s="18" t="s">
        <v>95</v>
      </c>
      <c r="M660" s="18" t="s">
        <v>1786</v>
      </c>
      <c r="N660" s="60">
        <v>22.144670000000001</v>
      </c>
      <c r="O660" s="60">
        <v>91.919737999999995</v>
      </c>
      <c r="P660" s="62">
        <v>10</v>
      </c>
      <c r="Q660" s="62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38"/>
    </row>
    <row r="661" spans="1:36" x14ac:dyDescent="0.3">
      <c r="A661" s="77">
        <v>655</v>
      </c>
      <c r="B661" s="79" t="s">
        <v>2439</v>
      </c>
      <c r="C661" s="79" t="s">
        <v>117</v>
      </c>
      <c r="D661" s="65" t="s">
        <v>117</v>
      </c>
      <c r="E661" s="18" t="s">
        <v>101</v>
      </c>
      <c r="F661" s="18" t="s">
        <v>112</v>
      </c>
      <c r="G661" s="18" t="s">
        <v>44</v>
      </c>
      <c r="H661" s="38"/>
      <c r="I661" s="38"/>
      <c r="J661" s="38"/>
      <c r="K661" s="18" t="s">
        <v>94</v>
      </c>
      <c r="L661" s="18" t="s">
        <v>95</v>
      </c>
      <c r="M661" s="18" t="s">
        <v>1787</v>
      </c>
      <c r="N661" s="60">
        <v>22.144477999999999</v>
      </c>
      <c r="O661" s="60">
        <v>91.915446000000003</v>
      </c>
      <c r="P661" s="62">
        <v>10</v>
      </c>
      <c r="Q661" s="62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38"/>
    </row>
    <row r="662" spans="1:36" x14ac:dyDescent="0.3">
      <c r="A662" s="77">
        <v>656</v>
      </c>
      <c r="B662" s="79" t="s">
        <v>2439</v>
      </c>
      <c r="C662" s="79" t="s">
        <v>117</v>
      </c>
      <c r="D662" s="65" t="s">
        <v>117</v>
      </c>
      <c r="E662" s="18" t="s">
        <v>101</v>
      </c>
      <c r="F662" s="18" t="s">
        <v>112</v>
      </c>
      <c r="G662" s="18" t="s">
        <v>45</v>
      </c>
      <c r="H662" s="38"/>
      <c r="I662" s="38"/>
      <c r="J662" s="38"/>
      <c r="K662" s="18" t="s">
        <v>1788</v>
      </c>
      <c r="L662" s="18" t="s">
        <v>1789</v>
      </c>
      <c r="M662" s="18" t="s">
        <v>1790</v>
      </c>
      <c r="N662" s="60">
        <v>22.159566999999999</v>
      </c>
      <c r="O662" s="60">
        <v>91.914394000000001</v>
      </c>
      <c r="P662" s="62">
        <v>4500</v>
      </c>
      <c r="Q662" s="62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38"/>
    </row>
    <row r="663" spans="1:36" x14ac:dyDescent="0.3">
      <c r="A663" s="77">
        <v>657</v>
      </c>
      <c r="B663" s="79" t="s">
        <v>2439</v>
      </c>
      <c r="C663" s="79" t="s">
        <v>117</v>
      </c>
      <c r="D663" s="65" t="s">
        <v>117</v>
      </c>
      <c r="E663" s="18" t="s">
        <v>101</v>
      </c>
      <c r="F663" s="18" t="s">
        <v>112</v>
      </c>
      <c r="G663" s="18" t="s">
        <v>45</v>
      </c>
      <c r="H663" s="38"/>
      <c r="I663" s="38"/>
      <c r="J663" s="38"/>
      <c r="K663" s="18" t="s">
        <v>1791</v>
      </c>
      <c r="L663" s="18" t="s">
        <v>1792</v>
      </c>
      <c r="M663" s="18" t="s">
        <v>1793</v>
      </c>
      <c r="N663" s="60">
        <v>22.161991</v>
      </c>
      <c r="O663" s="60">
        <v>91.916933</v>
      </c>
      <c r="P663" s="62">
        <v>2500</v>
      </c>
      <c r="Q663" s="62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38"/>
    </row>
    <row r="664" spans="1:36" x14ac:dyDescent="0.3">
      <c r="A664" s="77">
        <v>658</v>
      </c>
      <c r="B664" s="79" t="s">
        <v>2439</v>
      </c>
      <c r="C664" s="79" t="s">
        <v>117</v>
      </c>
      <c r="D664" s="65" t="s">
        <v>117</v>
      </c>
      <c r="E664" s="18" t="s">
        <v>101</v>
      </c>
      <c r="F664" s="18" t="s">
        <v>112</v>
      </c>
      <c r="G664" s="18" t="s">
        <v>46</v>
      </c>
      <c r="H664" s="38"/>
      <c r="I664" s="38"/>
      <c r="J664" s="38"/>
      <c r="K664" s="18" t="s">
        <v>1794</v>
      </c>
      <c r="L664" s="18" t="s">
        <v>1795</v>
      </c>
      <c r="M664" s="18" t="s">
        <v>1796</v>
      </c>
      <c r="N664" s="60">
        <v>22.169626999999998</v>
      </c>
      <c r="O664" s="60">
        <v>91.919568999999996</v>
      </c>
      <c r="P664" s="62">
        <v>2700</v>
      </c>
      <c r="Q664" s="62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</row>
    <row r="665" spans="1:36" x14ac:dyDescent="0.3">
      <c r="A665" s="77">
        <v>659</v>
      </c>
      <c r="B665" s="79" t="s">
        <v>2439</v>
      </c>
      <c r="C665" s="79" t="s">
        <v>117</v>
      </c>
      <c r="D665" s="65" t="s">
        <v>117</v>
      </c>
      <c r="E665" s="18" t="s">
        <v>101</v>
      </c>
      <c r="F665" s="18" t="s">
        <v>112</v>
      </c>
      <c r="G665" s="18" t="s">
        <v>46</v>
      </c>
      <c r="H665" s="38"/>
      <c r="I665" s="38"/>
      <c r="J665" s="38"/>
      <c r="K665" s="67" t="s">
        <v>205</v>
      </c>
      <c r="L665" s="18" t="s">
        <v>206</v>
      </c>
      <c r="M665" s="18" t="s">
        <v>1797</v>
      </c>
      <c r="N665" s="60">
        <v>22.163716000000001</v>
      </c>
      <c r="O665" s="60">
        <v>91.932794000000001</v>
      </c>
      <c r="P665" s="62">
        <v>1200</v>
      </c>
      <c r="Q665" s="62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38"/>
    </row>
    <row r="666" spans="1:36" x14ac:dyDescent="0.3">
      <c r="A666" s="77">
        <v>660</v>
      </c>
      <c r="B666" s="79" t="s">
        <v>2439</v>
      </c>
      <c r="C666" s="79" t="s">
        <v>117</v>
      </c>
      <c r="D666" s="65" t="s">
        <v>117</v>
      </c>
      <c r="E666" s="18" t="s">
        <v>101</v>
      </c>
      <c r="F666" s="18" t="s">
        <v>112</v>
      </c>
      <c r="G666" s="18" t="s">
        <v>46</v>
      </c>
      <c r="H666" s="38"/>
      <c r="I666" s="38"/>
      <c r="J666" s="38"/>
      <c r="K666" s="18" t="s">
        <v>1798</v>
      </c>
      <c r="L666" s="18" t="s">
        <v>1799</v>
      </c>
      <c r="M666" s="18" t="s">
        <v>1800</v>
      </c>
      <c r="N666" s="60">
        <v>22.159364</v>
      </c>
      <c r="O666" s="60">
        <v>91.934289000000007</v>
      </c>
      <c r="P666" s="62">
        <v>750</v>
      </c>
      <c r="Q666" s="62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38"/>
    </row>
    <row r="667" spans="1:36" x14ac:dyDescent="0.3">
      <c r="A667" s="77">
        <v>661</v>
      </c>
      <c r="B667" s="79" t="s">
        <v>2439</v>
      </c>
      <c r="C667" s="79" t="s">
        <v>117</v>
      </c>
      <c r="D667" s="65" t="s">
        <v>117</v>
      </c>
      <c r="E667" s="18" t="s">
        <v>101</v>
      </c>
      <c r="F667" s="18" t="s">
        <v>112</v>
      </c>
      <c r="G667" s="18" t="s">
        <v>46</v>
      </c>
      <c r="H667" s="38"/>
      <c r="I667" s="38"/>
      <c r="J667" s="38"/>
      <c r="K667" s="18" t="s">
        <v>57</v>
      </c>
      <c r="L667" s="18" t="s">
        <v>78</v>
      </c>
      <c r="M667" s="18" t="s">
        <v>1801</v>
      </c>
      <c r="N667" s="60">
        <v>22.156911000000001</v>
      </c>
      <c r="O667" s="60">
        <v>91.930970000000002</v>
      </c>
      <c r="P667" s="62">
        <v>4000</v>
      </c>
      <c r="Q667" s="62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38"/>
    </row>
    <row r="668" spans="1:36" x14ac:dyDescent="0.3">
      <c r="A668" s="77">
        <v>662</v>
      </c>
      <c r="B668" s="79" t="s">
        <v>2439</v>
      </c>
      <c r="C668" s="79" t="s">
        <v>117</v>
      </c>
      <c r="D668" s="65" t="s">
        <v>117</v>
      </c>
      <c r="E668" s="18" t="s">
        <v>101</v>
      </c>
      <c r="F668" s="18" t="s">
        <v>112</v>
      </c>
      <c r="G668" s="18" t="s">
        <v>46</v>
      </c>
      <c r="H668" s="38"/>
      <c r="I668" s="38"/>
      <c r="J668" s="38"/>
      <c r="K668" s="18" t="s">
        <v>1802</v>
      </c>
      <c r="L668" s="18" t="s">
        <v>1803</v>
      </c>
      <c r="M668" s="18" t="s">
        <v>1804</v>
      </c>
      <c r="N668" s="60">
        <v>22.159566999999999</v>
      </c>
      <c r="O668" s="60">
        <v>91.925065000000004</v>
      </c>
      <c r="P668" s="62">
        <v>4200</v>
      </c>
      <c r="Q668" s="62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38"/>
    </row>
    <row r="669" spans="1:36" x14ac:dyDescent="0.3">
      <c r="A669" s="77">
        <v>663</v>
      </c>
      <c r="B669" s="79" t="s">
        <v>2439</v>
      </c>
      <c r="C669" s="79" t="s">
        <v>117</v>
      </c>
      <c r="D669" s="65" t="s">
        <v>117</v>
      </c>
      <c r="E669" s="18" t="s">
        <v>101</v>
      </c>
      <c r="F669" s="18" t="s">
        <v>112</v>
      </c>
      <c r="G669" s="18" t="s">
        <v>46</v>
      </c>
      <c r="H669" s="38"/>
      <c r="I669" s="38"/>
      <c r="J669" s="38"/>
      <c r="K669" s="18" t="s">
        <v>1805</v>
      </c>
      <c r="L669" s="18" t="s">
        <v>1806</v>
      </c>
      <c r="M669" s="18" t="s">
        <v>1807</v>
      </c>
      <c r="N669" s="60">
        <v>22.16159</v>
      </c>
      <c r="O669" s="60">
        <v>91.928349999999995</v>
      </c>
      <c r="P669" s="62">
        <v>900</v>
      </c>
      <c r="Q669" s="62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38"/>
    </row>
    <row r="670" spans="1:36" x14ac:dyDescent="0.3">
      <c r="A670" s="77">
        <v>664</v>
      </c>
      <c r="B670" s="79" t="s">
        <v>2439</v>
      </c>
      <c r="C670" s="79" t="s">
        <v>117</v>
      </c>
      <c r="D670" s="65" t="s">
        <v>117</v>
      </c>
      <c r="E670" s="18" t="s">
        <v>101</v>
      </c>
      <c r="F670" s="18" t="s">
        <v>112</v>
      </c>
      <c r="G670" s="18" t="s">
        <v>46</v>
      </c>
      <c r="H670" s="38"/>
      <c r="I670" s="38"/>
      <c r="J670" s="38"/>
      <c r="K670" s="18" t="s">
        <v>1618</v>
      </c>
      <c r="L670" s="18" t="s">
        <v>1619</v>
      </c>
      <c r="M670" s="18" t="s">
        <v>1808</v>
      </c>
      <c r="N670" s="60">
        <v>22.158235999999999</v>
      </c>
      <c r="O670" s="60">
        <v>91.926918000000001</v>
      </c>
      <c r="P670" s="62">
        <v>300</v>
      </c>
      <c r="Q670" s="62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38"/>
    </row>
    <row r="671" spans="1:36" x14ac:dyDescent="0.3">
      <c r="A671" s="77">
        <v>665</v>
      </c>
      <c r="B671" s="79" t="s">
        <v>2439</v>
      </c>
      <c r="C671" s="79" t="s">
        <v>117</v>
      </c>
      <c r="D671" s="65" t="s">
        <v>117</v>
      </c>
      <c r="E671" s="18" t="s">
        <v>101</v>
      </c>
      <c r="F671" s="18" t="s">
        <v>112</v>
      </c>
      <c r="G671" s="18" t="s">
        <v>47</v>
      </c>
      <c r="H671" s="38"/>
      <c r="I671" s="38"/>
      <c r="J671" s="38"/>
      <c r="K671" s="18" t="s">
        <v>1809</v>
      </c>
      <c r="L671" s="18" t="s">
        <v>1810</v>
      </c>
      <c r="M671" s="18" t="s">
        <v>1811</v>
      </c>
      <c r="N671" s="60">
        <v>22.159607000000001</v>
      </c>
      <c r="O671" s="60">
        <v>91.946922000000001</v>
      </c>
      <c r="P671" s="62">
        <v>1500</v>
      </c>
      <c r="Q671" s="62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38"/>
    </row>
    <row r="672" spans="1:36" x14ac:dyDescent="0.3">
      <c r="A672" s="77">
        <v>666</v>
      </c>
      <c r="B672" s="79" t="s">
        <v>2439</v>
      </c>
      <c r="C672" s="79" t="s">
        <v>117</v>
      </c>
      <c r="D672" s="65" t="s">
        <v>117</v>
      </c>
      <c r="E672" s="18" t="s">
        <v>101</v>
      </c>
      <c r="F672" s="18" t="s">
        <v>112</v>
      </c>
      <c r="G672" s="18" t="s">
        <v>47</v>
      </c>
      <c r="H672" s="38"/>
      <c r="I672" s="38"/>
      <c r="J672" s="38"/>
      <c r="K672" s="18" t="s">
        <v>76</v>
      </c>
      <c r="L672" s="18" t="s">
        <v>1278</v>
      </c>
      <c r="M672" s="18" t="s">
        <v>1812</v>
      </c>
      <c r="N672" s="60">
        <v>22.157533999999998</v>
      </c>
      <c r="O672" s="60">
        <v>91.946633000000006</v>
      </c>
      <c r="P672" s="62">
        <v>450</v>
      </c>
      <c r="Q672" s="62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38"/>
    </row>
    <row r="673" spans="1:36" x14ac:dyDescent="0.3">
      <c r="A673" s="77">
        <v>667</v>
      </c>
      <c r="B673" s="79" t="s">
        <v>2439</v>
      </c>
      <c r="C673" s="79" t="s">
        <v>117</v>
      </c>
      <c r="D673" s="65" t="s">
        <v>117</v>
      </c>
      <c r="E673" s="18" t="s">
        <v>101</v>
      </c>
      <c r="F673" s="18" t="s">
        <v>112</v>
      </c>
      <c r="G673" s="18" t="s">
        <v>47</v>
      </c>
      <c r="H673" s="38"/>
      <c r="I673" s="38"/>
      <c r="J673" s="38"/>
      <c r="K673" s="18" t="s">
        <v>1813</v>
      </c>
      <c r="L673" s="18" t="s">
        <v>1814</v>
      </c>
      <c r="M673" s="18" t="s">
        <v>1815</v>
      </c>
      <c r="N673" s="60">
        <v>22.151802</v>
      </c>
      <c r="O673" s="60">
        <v>91.945842999999996</v>
      </c>
      <c r="P673" s="62">
        <v>500</v>
      </c>
      <c r="Q673" s="62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38"/>
    </row>
    <row r="674" spans="1:36" x14ac:dyDescent="0.3">
      <c r="A674" s="77">
        <v>668</v>
      </c>
      <c r="B674" s="79" t="s">
        <v>2439</v>
      </c>
      <c r="C674" s="79" t="s">
        <v>117</v>
      </c>
      <c r="D674" s="65" t="s">
        <v>117</v>
      </c>
      <c r="E674" s="18" t="s">
        <v>101</v>
      </c>
      <c r="F674" s="18" t="s">
        <v>112</v>
      </c>
      <c r="G674" s="18" t="s">
        <v>47</v>
      </c>
      <c r="H674" s="38"/>
      <c r="I674" s="38"/>
      <c r="J674" s="38"/>
      <c r="K674" s="18" t="s">
        <v>1816</v>
      </c>
      <c r="L674" s="18" t="s">
        <v>1817</v>
      </c>
      <c r="M674" s="18" t="s">
        <v>1818</v>
      </c>
      <c r="N674" s="60">
        <v>22.158906000000002</v>
      </c>
      <c r="O674" s="60">
        <v>91.942817000000005</v>
      </c>
      <c r="P674" s="62">
        <v>600</v>
      </c>
      <c r="Q674" s="62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38"/>
    </row>
    <row r="675" spans="1:36" x14ac:dyDescent="0.3">
      <c r="A675" s="77">
        <v>669</v>
      </c>
      <c r="B675" s="79" t="s">
        <v>2439</v>
      </c>
      <c r="C675" s="79" t="s">
        <v>117</v>
      </c>
      <c r="D675" s="65" t="s">
        <v>117</v>
      </c>
      <c r="E675" s="18" t="s">
        <v>101</v>
      </c>
      <c r="F675" s="18" t="s">
        <v>112</v>
      </c>
      <c r="G675" s="18" t="s">
        <v>47</v>
      </c>
      <c r="H675" s="38"/>
      <c r="I675" s="38"/>
      <c r="J675" s="38"/>
      <c r="K675" s="18" t="s">
        <v>1819</v>
      </c>
      <c r="L675" s="18" t="s">
        <v>1820</v>
      </c>
      <c r="M675" s="18" t="s">
        <v>1821</v>
      </c>
      <c r="N675" s="60">
        <v>22.153479999999998</v>
      </c>
      <c r="O675" s="60">
        <v>91.942034000000007</v>
      </c>
      <c r="P675" s="62">
        <v>750</v>
      </c>
      <c r="Q675" s="62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</row>
    <row r="676" spans="1:36" x14ac:dyDescent="0.3">
      <c r="A676" s="77">
        <v>670</v>
      </c>
      <c r="B676" s="79" t="s">
        <v>2439</v>
      </c>
      <c r="C676" s="79" t="s">
        <v>117</v>
      </c>
      <c r="D676" s="65" t="s">
        <v>117</v>
      </c>
      <c r="E676" s="18" t="s">
        <v>101</v>
      </c>
      <c r="F676" s="18" t="s">
        <v>112</v>
      </c>
      <c r="G676" s="18" t="s">
        <v>47</v>
      </c>
      <c r="H676" s="38"/>
      <c r="I676" s="38"/>
      <c r="J676" s="38"/>
      <c r="K676" s="18" t="s">
        <v>1822</v>
      </c>
      <c r="L676" s="18" t="s">
        <v>1823</v>
      </c>
      <c r="M676" s="18" t="s">
        <v>1824</v>
      </c>
      <c r="N676" s="60">
        <v>22.149317</v>
      </c>
      <c r="O676" s="60">
        <v>91.940815000000001</v>
      </c>
      <c r="P676" s="62">
        <v>500</v>
      </c>
      <c r="Q676" s="62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</row>
    <row r="677" spans="1:36" x14ac:dyDescent="0.3">
      <c r="A677" s="77">
        <v>671</v>
      </c>
      <c r="B677" s="79" t="s">
        <v>2439</v>
      </c>
      <c r="C677" s="79" t="s">
        <v>117</v>
      </c>
      <c r="D677" s="65" t="s">
        <v>117</v>
      </c>
      <c r="E677" s="18" t="s">
        <v>101</v>
      </c>
      <c r="F677" s="18" t="s">
        <v>112</v>
      </c>
      <c r="G677" s="18" t="s">
        <v>47</v>
      </c>
      <c r="H677" s="38"/>
      <c r="I677" s="38"/>
      <c r="J677" s="38"/>
      <c r="K677" s="18" t="s">
        <v>1825</v>
      </c>
      <c r="L677" s="18" t="s">
        <v>1826</v>
      </c>
      <c r="M677" s="18" t="s">
        <v>1827</v>
      </c>
      <c r="N677" s="60">
        <v>22.151685000000001</v>
      </c>
      <c r="O677" s="60">
        <v>91.950023000000002</v>
      </c>
      <c r="P677" s="62">
        <v>300</v>
      </c>
      <c r="Q677" s="62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</row>
    <row r="678" spans="1:36" x14ac:dyDescent="0.3">
      <c r="A678" s="77">
        <v>672</v>
      </c>
      <c r="B678" s="79" t="s">
        <v>2439</v>
      </c>
      <c r="C678" s="79" t="s">
        <v>117</v>
      </c>
      <c r="D678" s="65" t="s">
        <v>117</v>
      </c>
      <c r="E678" s="18" t="s">
        <v>101</v>
      </c>
      <c r="F678" s="18" t="s">
        <v>112</v>
      </c>
      <c r="G678" s="18" t="s">
        <v>47</v>
      </c>
      <c r="H678" s="38"/>
      <c r="I678" s="38"/>
      <c r="J678" s="38"/>
      <c r="K678" s="18" t="s">
        <v>1828</v>
      </c>
      <c r="L678" s="18" t="s">
        <v>1829</v>
      </c>
      <c r="M678" s="18" t="s">
        <v>1830</v>
      </c>
      <c r="N678" s="60">
        <v>22.138801000000001</v>
      </c>
      <c r="O678" s="60">
        <v>91.945002000000002</v>
      </c>
      <c r="P678" s="62">
        <v>900</v>
      </c>
      <c r="Q678" s="62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</row>
    <row r="679" spans="1:36" x14ac:dyDescent="0.3">
      <c r="A679" s="77">
        <v>673</v>
      </c>
      <c r="B679" s="79" t="s">
        <v>2439</v>
      </c>
      <c r="C679" s="79" t="s">
        <v>117</v>
      </c>
      <c r="D679" s="65" t="s">
        <v>117</v>
      </c>
      <c r="E679" s="18" t="s">
        <v>101</v>
      </c>
      <c r="F679" s="18" t="s">
        <v>112</v>
      </c>
      <c r="G679" s="18" t="s">
        <v>47</v>
      </c>
      <c r="H679" s="38"/>
      <c r="I679" s="38"/>
      <c r="J679" s="38"/>
      <c r="K679" s="18" t="s">
        <v>94</v>
      </c>
      <c r="L679" s="18" t="s">
        <v>95</v>
      </c>
      <c r="M679" s="18" t="s">
        <v>1831</v>
      </c>
      <c r="N679" s="60">
        <v>22.14583</v>
      </c>
      <c r="O679" s="60">
        <v>91.950074000000001</v>
      </c>
      <c r="P679" s="62">
        <v>0</v>
      </c>
      <c r="Q679" s="62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</row>
    <row r="680" spans="1:36" x14ac:dyDescent="0.3">
      <c r="A680" s="77">
        <v>674</v>
      </c>
      <c r="B680" s="79" t="s">
        <v>2439</v>
      </c>
      <c r="C680" s="79" t="s">
        <v>117</v>
      </c>
      <c r="D680" s="65" t="s">
        <v>117</v>
      </c>
      <c r="E680" s="18" t="s">
        <v>101</v>
      </c>
      <c r="F680" s="18" t="s">
        <v>112</v>
      </c>
      <c r="G680" s="18" t="s">
        <v>48</v>
      </c>
      <c r="H680" s="38"/>
      <c r="I680" s="38"/>
      <c r="J680" s="38"/>
      <c r="K680" s="18" t="s">
        <v>1832</v>
      </c>
      <c r="L680" s="67" t="s">
        <v>1833</v>
      </c>
      <c r="M680" s="18" t="s">
        <v>1834</v>
      </c>
      <c r="N680" s="60">
        <v>22.162116999999999</v>
      </c>
      <c r="O680" s="60">
        <v>91.942391000000001</v>
      </c>
      <c r="P680" s="62">
        <v>1000</v>
      </c>
      <c r="Q680" s="62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38"/>
    </row>
    <row r="681" spans="1:36" x14ac:dyDescent="0.3">
      <c r="A681" s="77">
        <v>675</v>
      </c>
      <c r="B681" s="79" t="s">
        <v>2439</v>
      </c>
      <c r="C681" s="79" t="s">
        <v>117</v>
      </c>
      <c r="D681" s="65" t="s">
        <v>117</v>
      </c>
      <c r="E681" s="18" t="s">
        <v>101</v>
      </c>
      <c r="F681" s="18" t="s">
        <v>112</v>
      </c>
      <c r="G681" s="18" t="s">
        <v>48</v>
      </c>
      <c r="H681" s="38"/>
      <c r="I681" s="38"/>
      <c r="J681" s="38"/>
      <c r="K681" s="18" t="s">
        <v>1048</v>
      </c>
      <c r="L681" s="18" t="s">
        <v>1049</v>
      </c>
      <c r="M681" s="18" t="s">
        <v>1835</v>
      </c>
      <c r="N681" s="60">
        <v>22.162129</v>
      </c>
      <c r="O681" s="60">
        <v>91.938788000000002</v>
      </c>
      <c r="P681" s="62">
        <v>2000</v>
      </c>
      <c r="Q681" s="62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38"/>
    </row>
    <row r="682" spans="1:36" x14ac:dyDescent="0.3">
      <c r="A682" s="77">
        <v>676</v>
      </c>
      <c r="B682" s="79" t="s">
        <v>2439</v>
      </c>
      <c r="C682" s="79" t="s">
        <v>117</v>
      </c>
      <c r="D682" s="65" t="s">
        <v>117</v>
      </c>
      <c r="E682" s="18" t="s">
        <v>101</v>
      </c>
      <c r="F682" s="18" t="s">
        <v>112</v>
      </c>
      <c r="G682" s="18" t="s">
        <v>48</v>
      </c>
      <c r="H682" s="38"/>
      <c r="I682" s="38"/>
      <c r="J682" s="38"/>
      <c r="K682" s="18" t="s">
        <v>196</v>
      </c>
      <c r="L682" s="18" t="s">
        <v>197</v>
      </c>
      <c r="M682" s="18" t="s">
        <v>1836</v>
      </c>
      <c r="N682" s="60">
        <v>22.159381</v>
      </c>
      <c r="O682" s="60">
        <v>91.939019999999999</v>
      </c>
      <c r="P682" s="62">
        <v>2000</v>
      </c>
      <c r="Q682" s="62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38"/>
    </row>
    <row r="683" spans="1:36" x14ac:dyDescent="0.3">
      <c r="A683" s="77">
        <v>677</v>
      </c>
      <c r="B683" s="79" t="s">
        <v>2439</v>
      </c>
      <c r="C683" s="79" t="s">
        <v>117</v>
      </c>
      <c r="D683" s="65" t="s">
        <v>117</v>
      </c>
      <c r="E683" s="18" t="s">
        <v>101</v>
      </c>
      <c r="F683" s="18" t="s">
        <v>112</v>
      </c>
      <c r="G683" s="18" t="s">
        <v>48</v>
      </c>
      <c r="H683" s="38"/>
      <c r="I683" s="38"/>
      <c r="J683" s="38"/>
      <c r="K683" s="18" t="s">
        <v>734</v>
      </c>
      <c r="L683" s="18" t="s">
        <v>735</v>
      </c>
      <c r="M683" s="18" t="s">
        <v>1837</v>
      </c>
      <c r="N683" s="60">
        <v>22.154146999999998</v>
      </c>
      <c r="O683" s="60">
        <v>91.93526</v>
      </c>
      <c r="P683" s="62">
        <v>1000</v>
      </c>
      <c r="Q683" s="62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38"/>
    </row>
    <row r="684" spans="1:36" x14ac:dyDescent="0.3">
      <c r="A684" s="77">
        <v>678</v>
      </c>
      <c r="B684" s="79" t="s">
        <v>2439</v>
      </c>
      <c r="C684" s="79" t="s">
        <v>117</v>
      </c>
      <c r="D684" s="65" t="s">
        <v>117</v>
      </c>
      <c r="E684" s="18" t="s">
        <v>101</v>
      </c>
      <c r="F684" s="18" t="s">
        <v>112</v>
      </c>
      <c r="G684" s="18" t="s">
        <v>49</v>
      </c>
      <c r="H684" s="38"/>
      <c r="I684" s="38"/>
      <c r="J684" s="38"/>
      <c r="K684" s="18" t="s">
        <v>1838</v>
      </c>
      <c r="L684" s="63" t="s">
        <v>1839</v>
      </c>
      <c r="M684" s="18" t="s">
        <v>1840</v>
      </c>
      <c r="N684" s="60">
        <v>22.168033999999999</v>
      </c>
      <c r="O684" s="60">
        <v>91.938968000000003</v>
      </c>
      <c r="P684" s="62">
        <v>500</v>
      </c>
      <c r="Q684" s="62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38"/>
    </row>
    <row r="685" spans="1:36" x14ac:dyDescent="0.3">
      <c r="A685" s="77">
        <v>679</v>
      </c>
      <c r="B685" s="79" t="s">
        <v>2439</v>
      </c>
      <c r="C685" s="79" t="s">
        <v>117</v>
      </c>
      <c r="D685" s="65" t="s">
        <v>117</v>
      </c>
      <c r="E685" s="18" t="s">
        <v>101</v>
      </c>
      <c r="F685" s="18" t="s">
        <v>112</v>
      </c>
      <c r="G685" s="18" t="s">
        <v>49</v>
      </c>
      <c r="H685" s="38"/>
      <c r="I685" s="38"/>
      <c r="J685" s="38"/>
      <c r="K685" s="18" t="s">
        <v>1841</v>
      </c>
      <c r="L685" s="18" t="s">
        <v>1842</v>
      </c>
      <c r="M685" s="18" t="s">
        <v>1843</v>
      </c>
      <c r="N685" s="60">
        <v>22.17426</v>
      </c>
      <c r="O685" s="60">
        <v>91.938959999999994</v>
      </c>
      <c r="P685" s="62">
        <v>0</v>
      </c>
      <c r="Q685" s="62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38"/>
    </row>
    <row r="686" spans="1:36" x14ac:dyDescent="0.3">
      <c r="A686" s="77">
        <v>680</v>
      </c>
      <c r="B686" s="79" t="s">
        <v>2439</v>
      </c>
      <c r="C686" s="79" t="s">
        <v>117</v>
      </c>
      <c r="D686" s="65" t="s">
        <v>117</v>
      </c>
      <c r="E686" s="18" t="s">
        <v>101</v>
      </c>
      <c r="F686" s="18" t="s">
        <v>113</v>
      </c>
      <c r="G686" s="18" t="s">
        <v>41</v>
      </c>
      <c r="H686" s="38"/>
      <c r="I686" s="38"/>
      <c r="J686" s="38"/>
      <c r="K686" s="67" t="s">
        <v>1844</v>
      </c>
      <c r="L686" s="67" t="s">
        <v>1845</v>
      </c>
      <c r="M686" s="67" t="s">
        <v>1846</v>
      </c>
      <c r="N686" s="60">
        <v>22.016486</v>
      </c>
      <c r="O686" s="60">
        <v>91.905873999999997</v>
      </c>
      <c r="P686" s="62">
        <v>150</v>
      </c>
      <c r="Q686" s="62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38"/>
    </row>
    <row r="687" spans="1:36" x14ac:dyDescent="0.3">
      <c r="A687" s="77">
        <v>681</v>
      </c>
      <c r="B687" s="79" t="s">
        <v>2439</v>
      </c>
      <c r="C687" s="79" t="s">
        <v>117</v>
      </c>
      <c r="D687" s="65" t="s">
        <v>117</v>
      </c>
      <c r="E687" s="18" t="s">
        <v>101</v>
      </c>
      <c r="F687" s="18" t="s">
        <v>113</v>
      </c>
      <c r="G687" s="18" t="s">
        <v>41</v>
      </c>
      <c r="H687" s="38"/>
      <c r="I687" s="38"/>
      <c r="J687" s="38"/>
      <c r="K687" s="67" t="s">
        <v>1847</v>
      </c>
      <c r="L687" s="67" t="s">
        <v>1848</v>
      </c>
      <c r="M687" s="67" t="s">
        <v>1849</v>
      </c>
      <c r="N687" s="60">
        <v>22.018125000000001</v>
      </c>
      <c r="O687" s="60">
        <v>91.904859000000002</v>
      </c>
      <c r="P687" s="62">
        <v>300</v>
      </c>
      <c r="Q687" s="62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38"/>
    </row>
    <row r="688" spans="1:36" x14ac:dyDescent="0.3">
      <c r="A688" s="77">
        <v>682</v>
      </c>
      <c r="B688" s="79" t="s">
        <v>2439</v>
      </c>
      <c r="C688" s="79" t="s">
        <v>117</v>
      </c>
      <c r="D688" s="65" t="s">
        <v>117</v>
      </c>
      <c r="E688" s="18" t="s">
        <v>101</v>
      </c>
      <c r="F688" s="18" t="s">
        <v>113</v>
      </c>
      <c r="G688" s="18" t="s">
        <v>41</v>
      </c>
      <c r="H688" s="38"/>
      <c r="I688" s="38"/>
      <c r="J688" s="38"/>
      <c r="K688" s="67" t="s">
        <v>1200</v>
      </c>
      <c r="L688" s="67" t="s">
        <v>1201</v>
      </c>
      <c r="M688" s="67" t="s">
        <v>1850</v>
      </c>
      <c r="N688" s="60">
        <v>22.017049</v>
      </c>
      <c r="O688" s="60">
        <v>91.902438000000004</v>
      </c>
      <c r="P688" s="62">
        <v>300</v>
      </c>
      <c r="Q688" s="62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38"/>
    </row>
    <row r="689" spans="1:36" x14ac:dyDescent="0.3">
      <c r="A689" s="77">
        <v>683</v>
      </c>
      <c r="B689" s="79" t="s">
        <v>2439</v>
      </c>
      <c r="C689" s="79" t="s">
        <v>117</v>
      </c>
      <c r="D689" s="65" t="s">
        <v>117</v>
      </c>
      <c r="E689" s="18" t="s">
        <v>101</v>
      </c>
      <c r="F689" s="18" t="s">
        <v>113</v>
      </c>
      <c r="G689" s="18" t="s">
        <v>41</v>
      </c>
      <c r="H689" s="38"/>
      <c r="I689" s="38"/>
      <c r="J689" s="38"/>
      <c r="K689" s="18" t="s">
        <v>97</v>
      </c>
      <c r="L689" s="66" t="s">
        <v>98</v>
      </c>
      <c r="M689" s="67" t="s">
        <v>1851</v>
      </c>
      <c r="N689" s="60">
        <v>22.019814</v>
      </c>
      <c r="O689" s="60">
        <v>91.889694000000006</v>
      </c>
      <c r="P689" s="62">
        <v>250</v>
      </c>
      <c r="Q689" s="62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38"/>
    </row>
    <row r="690" spans="1:36" x14ac:dyDescent="0.3">
      <c r="A690" s="77">
        <v>684</v>
      </c>
      <c r="B690" s="79" t="s">
        <v>2439</v>
      </c>
      <c r="C690" s="79" t="s">
        <v>117</v>
      </c>
      <c r="D690" s="65" t="s">
        <v>117</v>
      </c>
      <c r="E690" s="18" t="s">
        <v>101</v>
      </c>
      <c r="F690" s="18" t="s">
        <v>113</v>
      </c>
      <c r="G690" s="18" t="s">
        <v>41</v>
      </c>
      <c r="H690" s="38"/>
      <c r="I690" s="38"/>
      <c r="J690" s="38"/>
      <c r="K690" s="67" t="s">
        <v>66</v>
      </c>
      <c r="L690" s="67" t="s">
        <v>158</v>
      </c>
      <c r="M690" s="67" t="s">
        <v>1852</v>
      </c>
      <c r="N690" s="60">
        <v>22.021784</v>
      </c>
      <c r="O690" s="60">
        <v>91.901004</v>
      </c>
      <c r="P690" s="62">
        <v>1000</v>
      </c>
      <c r="Q690" s="62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38"/>
    </row>
    <row r="691" spans="1:36" x14ac:dyDescent="0.3">
      <c r="A691" s="77">
        <v>685</v>
      </c>
      <c r="B691" s="79" t="s">
        <v>2439</v>
      </c>
      <c r="C691" s="79" t="s">
        <v>117</v>
      </c>
      <c r="D691" s="65" t="s">
        <v>117</v>
      </c>
      <c r="E691" s="18" t="s">
        <v>101</v>
      </c>
      <c r="F691" s="18" t="s">
        <v>113</v>
      </c>
      <c r="G691" s="18" t="s">
        <v>41</v>
      </c>
      <c r="H691" s="38"/>
      <c r="I691" s="38"/>
      <c r="J691" s="38"/>
      <c r="K691" s="67" t="s">
        <v>1853</v>
      </c>
      <c r="L691" s="67" t="s">
        <v>1854</v>
      </c>
      <c r="M691" s="67" t="s">
        <v>1855</v>
      </c>
      <c r="N691" s="60">
        <v>22.028428000000002</v>
      </c>
      <c r="O691" s="60">
        <v>91.901853000000003</v>
      </c>
      <c r="P691" s="62">
        <v>700</v>
      </c>
      <c r="Q691" s="62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38"/>
    </row>
    <row r="692" spans="1:36" x14ac:dyDescent="0.3">
      <c r="A692" s="77">
        <v>686</v>
      </c>
      <c r="B692" s="79" t="s">
        <v>2439</v>
      </c>
      <c r="C692" s="79" t="s">
        <v>117</v>
      </c>
      <c r="D692" s="65" t="s">
        <v>117</v>
      </c>
      <c r="E692" s="18" t="s">
        <v>101</v>
      </c>
      <c r="F692" s="18" t="s">
        <v>113</v>
      </c>
      <c r="G692" s="18" t="s">
        <v>41</v>
      </c>
      <c r="H692" s="38"/>
      <c r="I692" s="38"/>
      <c r="J692" s="38"/>
      <c r="K692" s="67" t="s">
        <v>1856</v>
      </c>
      <c r="L692" s="67" t="s">
        <v>1857</v>
      </c>
      <c r="M692" s="67" t="s">
        <v>1858</v>
      </c>
      <c r="N692" s="60">
        <v>22.025562999999998</v>
      </c>
      <c r="O692" s="60">
        <v>91.898673000000002</v>
      </c>
      <c r="P692" s="62">
        <v>700</v>
      </c>
      <c r="Q692" s="62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38"/>
    </row>
    <row r="693" spans="1:36" x14ac:dyDescent="0.3">
      <c r="A693" s="77">
        <v>687</v>
      </c>
      <c r="B693" s="79" t="s">
        <v>2439</v>
      </c>
      <c r="C693" s="79" t="s">
        <v>117</v>
      </c>
      <c r="D693" s="65" t="s">
        <v>117</v>
      </c>
      <c r="E693" s="18" t="s">
        <v>101</v>
      </c>
      <c r="F693" s="18" t="s">
        <v>113</v>
      </c>
      <c r="G693" s="18" t="s">
        <v>41</v>
      </c>
      <c r="H693" s="38"/>
      <c r="I693" s="38"/>
      <c r="J693" s="38"/>
      <c r="K693" s="67" t="s">
        <v>1859</v>
      </c>
      <c r="L693" s="67" t="s">
        <v>1860</v>
      </c>
      <c r="M693" s="67" t="s">
        <v>1861</v>
      </c>
      <c r="N693" s="60">
        <v>22.030007999999999</v>
      </c>
      <c r="O693" s="60">
        <v>91.899064999999993</v>
      </c>
      <c r="P693" s="62">
        <v>1500</v>
      </c>
      <c r="Q693" s="62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38"/>
    </row>
    <row r="694" spans="1:36" x14ac:dyDescent="0.3">
      <c r="A694" s="77">
        <v>688</v>
      </c>
      <c r="B694" s="79" t="s">
        <v>2439</v>
      </c>
      <c r="C694" s="79" t="s">
        <v>117</v>
      </c>
      <c r="D694" s="65" t="s">
        <v>117</v>
      </c>
      <c r="E694" s="18" t="s">
        <v>101</v>
      </c>
      <c r="F694" s="18" t="s">
        <v>113</v>
      </c>
      <c r="G694" s="18" t="s">
        <v>41</v>
      </c>
      <c r="H694" s="38"/>
      <c r="I694" s="38"/>
      <c r="J694" s="38"/>
      <c r="K694" s="67" t="s">
        <v>1862</v>
      </c>
      <c r="L694" s="67" t="s">
        <v>1863</v>
      </c>
      <c r="M694" s="67" t="s">
        <v>1864</v>
      </c>
      <c r="N694" s="60">
        <v>22.029627000000001</v>
      </c>
      <c r="O694" s="60">
        <v>91.886686999999995</v>
      </c>
      <c r="P694" s="62">
        <v>200</v>
      </c>
      <c r="Q694" s="62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38"/>
    </row>
    <row r="695" spans="1:36" x14ac:dyDescent="0.3">
      <c r="A695" s="77">
        <v>689</v>
      </c>
      <c r="B695" s="79" t="s">
        <v>2439</v>
      </c>
      <c r="C695" s="79" t="s">
        <v>117</v>
      </c>
      <c r="D695" s="65" t="s">
        <v>117</v>
      </c>
      <c r="E695" s="18" t="s">
        <v>101</v>
      </c>
      <c r="F695" s="18" t="s">
        <v>113</v>
      </c>
      <c r="G695" s="18" t="s">
        <v>42</v>
      </c>
      <c r="H695" s="38"/>
      <c r="I695" s="38"/>
      <c r="J695" s="38"/>
      <c r="K695" s="67" t="s">
        <v>1263</v>
      </c>
      <c r="L695" s="67" t="s">
        <v>1264</v>
      </c>
      <c r="M695" s="67" t="s">
        <v>1865</v>
      </c>
      <c r="N695" s="60">
        <v>22.014567</v>
      </c>
      <c r="O695" s="60">
        <v>91.904370999999998</v>
      </c>
      <c r="P695" s="62">
        <v>500</v>
      </c>
      <c r="Q695" s="62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38"/>
    </row>
    <row r="696" spans="1:36" x14ac:dyDescent="0.3">
      <c r="A696" s="77">
        <v>690</v>
      </c>
      <c r="B696" s="79" t="s">
        <v>2439</v>
      </c>
      <c r="C696" s="79" t="s">
        <v>117</v>
      </c>
      <c r="D696" s="65" t="s">
        <v>117</v>
      </c>
      <c r="E696" s="18" t="s">
        <v>101</v>
      </c>
      <c r="F696" s="18" t="s">
        <v>113</v>
      </c>
      <c r="G696" s="18" t="s">
        <v>42</v>
      </c>
      <c r="H696" s="38"/>
      <c r="I696" s="38"/>
      <c r="J696" s="38"/>
      <c r="K696" s="67" t="s">
        <v>1024</v>
      </c>
      <c r="L696" s="67" t="s">
        <v>1025</v>
      </c>
      <c r="M696" s="67" t="s">
        <v>1866</v>
      </c>
      <c r="N696" s="60">
        <v>22.016067</v>
      </c>
      <c r="O696" s="60">
        <v>91.902893000000006</v>
      </c>
      <c r="P696" s="62">
        <v>400</v>
      </c>
      <c r="Q696" s="62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38"/>
    </row>
    <row r="697" spans="1:36" x14ac:dyDescent="0.3">
      <c r="A697" s="77">
        <v>691</v>
      </c>
      <c r="B697" s="79" t="s">
        <v>2439</v>
      </c>
      <c r="C697" s="79" t="s">
        <v>117</v>
      </c>
      <c r="D697" s="65" t="s">
        <v>117</v>
      </c>
      <c r="E697" s="18" t="s">
        <v>101</v>
      </c>
      <c r="F697" s="18" t="s">
        <v>113</v>
      </c>
      <c r="G697" s="18" t="s">
        <v>42</v>
      </c>
      <c r="H697" s="38"/>
      <c r="I697" s="38"/>
      <c r="J697" s="38"/>
      <c r="K697" s="67" t="s">
        <v>1867</v>
      </c>
      <c r="L697" s="67" t="s">
        <v>1868</v>
      </c>
      <c r="M697" s="67" t="s">
        <v>1869</v>
      </c>
      <c r="N697" s="60">
        <v>22.016224999999999</v>
      </c>
      <c r="O697" s="60">
        <v>91.904667000000003</v>
      </c>
      <c r="P697" s="62">
        <v>400</v>
      </c>
      <c r="Q697" s="62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38"/>
    </row>
    <row r="698" spans="1:36" x14ac:dyDescent="0.3">
      <c r="A698" s="77">
        <v>692</v>
      </c>
      <c r="B698" s="79" t="s">
        <v>2439</v>
      </c>
      <c r="C698" s="79" t="s">
        <v>117</v>
      </c>
      <c r="D698" s="65" t="s">
        <v>117</v>
      </c>
      <c r="E698" s="18" t="s">
        <v>101</v>
      </c>
      <c r="F698" s="18" t="s">
        <v>113</v>
      </c>
      <c r="G698" s="18" t="s">
        <v>42</v>
      </c>
      <c r="H698" s="38"/>
      <c r="I698" s="38"/>
      <c r="J698" s="38"/>
      <c r="K698" s="67" t="s">
        <v>92</v>
      </c>
      <c r="L698" s="67" t="s">
        <v>764</v>
      </c>
      <c r="M698" s="67" t="s">
        <v>1870</v>
      </c>
      <c r="N698" s="60">
        <v>22.015439000000001</v>
      </c>
      <c r="O698" s="60">
        <v>91.900625000000005</v>
      </c>
      <c r="P698" s="62">
        <v>900</v>
      </c>
      <c r="Q698" s="62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38"/>
    </row>
    <row r="699" spans="1:36" x14ac:dyDescent="0.3">
      <c r="A699" s="77">
        <v>693</v>
      </c>
      <c r="B699" s="79" t="s">
        <v>2439</v>
      </c>
      <c r="C699" s="79" t="s">
        <v>117</v>
      </c>
      <c r="D699" s="65" t="s">
        <v>117</v>
      </c>
      <c r="E699" s="18" t="s">
        <v>101</v>
      </c>
      <c r="F699" s="18" t="s">
        <v>113</v>
      </c>
      <c r="G699" s="18" t="s">
        <v>42</v>
      </c>
      <c r="H699" s="38"/>
      <c r="I699" s="38"/>
      <c r="J699" s="38"/>
      <c r="K699" s="67" t="s">
        <v>1871</v>
      </c>
      <c r="L699" s="67" t="s">
        <v>1872</v>
      </c>
      <c r="M699" s="67" t="s">
        <v>1873</v>
      </c>
      <c r="N699" s="60">
        <v>22.011531000000002</v>
      </c>
      <c r="O699" s="60">
        <v>91.900030999999998</v>
      </c>
      <c r="P699" s="62">
        <v>300</v>
      </c>
      <c r="Q699" s="62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38"/>
    </row>
    <row r="700" spans="1:36" x14ac:dyDescent="0.3">
      <c r="A700" s="77">
        <v>694</v>
      </c>
      <c r="B700" s="79" t="s">
        <v>2439</v>
      </c>
      <c r="C700" s="79" t="s">
        <v>117</v>
      </c>
      <c r="D700" s="65" t="s">
        <v>117</v>
      </c>
      <c r="E700" s="18" t="s">
        <v>101</v>
      </c>
      <c r="F700" s="18" t="s">
        <v>113</v>
      </c>
      <c r="G700" s="18" t="s">
        <v>42</v>
      </c>
      <c r="H700" s="38"/>
      <c r="I700" s="38"/>
      <c r="J700" s="38"/>
      <c r="K700" s="67" t="s">
        <v>1874</v>
      </c>
      <c r="L700" s="67" t="s">
        <v>1875</v>
      </c>
      <c r="M700" s="67" t="s">
        <v>1876</v>
      </c>
      <c r="N700" s="60">
        <v>22.012784</v>
      </c>
      <c r="O700" s="60">
        <v>91.894880000000001</v>
      </c>
      <c r="P700" s="62">
        <v>600</v>
      </c>
      <c r="Q700" s="62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38"/>
    </row>
    <row r="701" spans="1:36" x14ac:dyDescent="0.3">
      <c r="A701" s="77">
        <v>695</v>
      </c>
      <c r="B701" s="79" t="s">
        <v>2439</v>
      </c>
      <c r="C701" s="79" t="s">
        <v>117</v>
      </c>
      <c r="D701" s="65" t="s">
        <v>117</v>
      </c>
      <c r="E701" s="18" t="s">
        <v>101</v>
      </c>
      <c r="F701" s="18" t="s">
        <v>113</v>
      </c>
      <c r="G701" s="18" t="s">
        <v>42</v>
      </c>
      <c r="H701" s="38"/>
      <c r="I701" s="38"/>
      <c r="J701" s="38"/>
      <c r="K701" s="67" t="s">
        <v>1877</v>
      </c>
      <c r="L701" s="67" t="s">
        <v>1878</v>
      </c>
      <c r="M701" s="67" t="s">
        <v>1879</v>
      </c>
      <c r="N701" s="60">
        <v>22.008393000000002</v>
      </c>
      <c r="O701" s="60">
        <v>91.890758000000005</v>
      </c>
      <c r="P701" s="62">
        <v>700</v>
      </c>
      <c r="Q701" s="62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38"/>
    </row>
    <row r="702" spans="1:36" x14ac:dyDescent="0.3">
      <c r="A702" s="77">
        <v>696</v>
      </c>
      <c r="B702" s="79" t="s">
        <v>2439</v>
      </c>
      <c r="C702" s="79" t="s">
        <v>117</v>
      </c>
      <c r="D702" s="65" t="s">
        <v>117</v>
      </c>
      <c r="E702" s="18" t="s">
        <v>101</v>
      </c>
      <c r="F702" s="18" t="s">
        <v>113</v>
      </c>
      <c r="G702" s="18" t="s">
        <v>42</v>
      </c>
      <c r="H702" s="38"/>
      <c r="I702" s="38"/>
      <c r="J702" s="38"/>
      <c r="K702" s="67" t="s">
        <v>1880</v>
      </c>
      <c r="L702" s="67" t="s">
        <v>1881</v>
      </c>
      <c r="M702" s="67" t="s">
        <v>1882</v>
      </c>
      <c r="N702" s="60">
        <v>22.008517999999999</v>
      </c>
      <c r="O702" s="60">
        <v>91.902364000000006</v>
      </c>
      <c r="P702" s="62">
        <v>500</v>
      </c>
      <c r="Q702" s="62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38"/>
    </row>
    <row r="703" spans="1:36" x14ac:dyDescent="0.3">
      <c r="A703" s="77">
        <v>697</v>
      </c>
      <c r="B703" s="79" t="s">
        <v>2439</v>
      </c>
      <c r="C703" s="79" t="s">
        <v>117</v>
      </c>
      <c r="D703" s="65" t="s">
        <v>117</v>
      </c>
      <c r="E703" s="18" t="s">
        <v>101</v>
      </c>
      <c r="F703" s="18" t="s">
        <v>113</v>
      </c>
      <c r="G703" s="18" t="s">
        <v>42</v>
      </c>
      <c r="H703" s="38"/>
      <c r="I703" s="38"/>
      <c r="J703" s="38"/>
      <c r="K703" s="67" t="s">
        <v>1067</v>
      </c>
      <c r="L703" s="66" t="s">
        <v>1068</v>
      </c>
      <c r="M703" s="67" t="s">
        <v>1883</v>
      </c>
      <c r="N703" s="60">
        <v>22.006988</v>
      </c>
      <c r="O703" s="60">
        <v>91.903086999999999</v>
      </c>
      <c r="P703" s="62">
        <v>200</v>
      </c>
      <c r="Q703" s="62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38"/>
    </row>
    <row r="704" spans="1:36" x14ac:dyDescent="0.3">
      <c r="A704" s="77">
        <v>698</v>
      </c>
      <c r="B704" s="79" t="s">
        <v>2439</v>
      </c>
      <c r="C704" s="79" t="s">
        <v>117</v>
      </c>
      <c r="D704" s="65" t="s">
        <v>117</v>
      </c>
      <c r="E704" s="18" t="s">
        <v>101</v>
      </c>
      <c r="F704" s="18" t="s">
        <v>113</v>
      </c>
      <c r="G704" s="18" t="s">
        <v>42</v>
      </c>
      <c r="H704" s="38"/>
      <c r="I704" s="38"/>
      <c r="J704" s="38"/>
      <c r="K704" s="67" t="s">
        <v>1884</v>
      </c>
      <c r="L704" s="67" t="s">
        <v>1885</v>
      </c>
      <c r="M704" s="67" t="s">
        <v>1886</v>
      </c>
      <c r="N704" s="60">
        <v>22.009709000000001</v>
      </c>
      <c r="O704" s="60">
        <v>91.896107999999998</v>
      </c>
      <c r="P704" s="62">
        <v>400</v>
      </c>
      <c r="Q704" s="62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38"/>
    </row>
    <row r="705" spans="1:36" x14ac:dyDescent="0.3">
      <c r="A705" s="77">
        <v>699</v>
      </c>
      <c r="B705" s="79" t="s">
        <v>2439</v>
      </c>
      <c r="C705" s="79" t="s">
        <v>117</v>
      </c>
      <c r="D705" s="65" t="s">
        <v>117</v>
      </c>
      <c r="E705" s="18" t="s">
        <v>101</v>
      </c>
      <c r="F705" s="18" t="s">
        <v>113</v>
      </c>
      <c r="G705" s="18" t="s">
        <v>42</v>
      </c>
      <c r="H705" s="38"/>
      <c r="I705" s="38"/>
      <c r="J705" s="38"/>
      <c r="K705" s="67" t="s">
        <v>1887</v>
      </c>
      <c r="L705" s="67" t="s">
        <v>1888</v>
      </c>
      <c r="M705" s="67" t="s">
        <v>1889</v>
      </c>
      <c r="N705" s="60">
        <v>22.009585000000001</v>
      </c>
      <c r="O705" s="60">
        <v>91.897131999999999</v>
      </c>
      <c r="P705" s="62">
        <v>600</v>
      </c>
      <c r="Q705" s="62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38"/>
    </row>
    <row r="706" spans="1:36" x14ac:dyDescent="0.3">
      <c r="A706" s="77">
        <v>700</v>
      </c>
      <c r="B706" s="79" t="s">
        <v>2439</v>
      </c>
      <c r="C706" s="79" t="s">
        <v>117</v>
      </c>
      <c r="D706" s="65" t="s">
        <v>117</v>
      </c>
      <c r="E706" s="18" t="s">
        <v>101</v>
      </c>
      <c r="F706" s="18" t="s">
        <v>113</v>
      </c>
      <c r="G706" s="18" t="s">
        <v>42</v>
      </c>
      <c r="H706" s="38"/>
      <c r="I706" s="38"/>
      <c r="J706" s="38"/>
      <c r="K706" s="67" t="s">
        <v>1890</v>
      </c>
      <c r="L706" s="67" t="s">
        <v>1891</v>
      </c>
      <c r="M706" s="67" t="s">
        <v>1892</v>
      </c>
      <c r="N706" s="60">
        <v>22.007384999999999</v>
      </c>
      <c r="O706" s="60">
        <v>91.899275000000003</v>
      </c>
      <c r="P706" s="62">
        <v>400</v>
      </c>
      <c r="Q706" s="62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38"/>
    </row>
    <row r="707" spans="1:36" x14ac:dyDescent="0.3">
      <c r="A707" s="77">
        <v>701</v>
      </c>
      <c r="B707" s="79" t="s">
        <v>2439</v>
      </c>
      <c r="C707" s="79" t="s">
        <v>117</v>
      </c>
      <c r="D707" s="65" t="s">
        <v>117</v>
      </c>
      <c r="E707" s="18" t="s">
        <v>101</v>
      </c>
      <c r="F707" s="18" t="s">
        <v>113</v>
      </c>
      <c r="G707" s="18" t="s">
        <v>42</v>
      </c>
      <c r="H707" s="38"/>
      <c r="I707" s="38"/>
      <c r="J707" s="38"/>
      <c r="K707" s="67" t="s">
        <v>1893</v>
      </c>
      <c r="L707" s="67" t="s">
        <v>1894</v>
      </c>
      <c r="M707" s="67" t="s">
        <v>1895</v>
      </c>
      <c r="N707" s="60">
        <v>22.006405999999998</v>
      </c>
      <c r="O707" s="60">
        <v>91.898709999999994</v>
      </c>
      <c r="P707" s="62">
        <v>300</v>
      </c>
      <c r="Q707" s="62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38"/>
    </row>
    <row r="708" spans="1:36" x14ac:dyDescent="0.3">
      <c r="A708" s="77">
        <v>702</v>
      </c>
      <c r="B708" s="79" t="s">
        <v>2439</v>
      </c>
      <c r="C708" s="79" t="s">
        <v>117</v>
      </c>
      <c r="D708" s="65" t="s">
        <v>117</v>
      </c>
      <c r="E708" s="18" t="s">
        <v>101</v>
      </c>
      <c r="F708" s="18" t="s">
        <v>113</v>
      </c>
      <c r="G708" s="18" t="s">
        <v>43</v>
      </c>
      <c r="H708" s="38"/>
      <c r="I708" s="38"/>
      <c r="J708" s="38"/>
      <c r="K708" s="67" t="s">
        <v>1896</v>
      </c>
      <c r="L708" s="67" t="s">
        <v>1897</v>
      </c>
      <c r="M708" s="67" t="s">
        <v>1898</v>
      </c>
      <c r="N708" s="60">
        <v>22.014551000000001</v>
      </c>
      <c r="O708" s="60">
        <v>91.907741000000001</v>
      </c>
      <c r="P708" s="62">
        <v>600</v>
      </c>
      <c r="Q708" s="62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38"/>
    </row>
    <row r="709" spans="1:36" x14ac:dyDescent="0.3">
      <c r="A709" s="77">
        <v>703</v>
      </c>
      <c r="B709" s="79" t="s">
        <v>2439</v>
      </c>
      <c r="C709" s="79" t="s">
        <v>117</v>
      </c>
      <c r="D709" s="65" t="s">
        <v>117</v>
      </c>
      <c r="E709" s="18" t="s">
        <v>101</v>
      </c>
      <c r="F709" s="18" t="s">
        <v>113</v>
      </c>
      <c r="G709" s="18" t="s">
        <v>43</v>
      </c>
      <c r="H709" s="38"/>
      <c r="I709" s="38"/>
      <c r="J709" s="38"/>
      <c r="K709" s="67" t="s">
        <v>1899</v>
      </c>
      <c r="L709" s="67" t="s">
        <v>1900</v>
      </c>
      <c r="M709" s="67" t="s">
        <v>1901</v>
      </c>
      <c r="N709" s="60">
        <v>22.022127999999999</v>
      </c>
      <c r="O709" s="60">
        <v>91.907051999999993</v>
      </c>
      <c r="P709" s="62">
        <v>800</v>
      </c>
      <c r="Q709" s="62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38"/>
    </row>
    <row r="710" spans="1:36" x14ac:dyDescent="0.3">
      <c r="A710" s="77">
        <v>704</v>
      </c>
      <c r="B710" s="79" t="s">
        <v>2439</v>
      </c>
      <c r="C710" s="79" t="s">
        <v>117</v>
      </c>
      <c r="D710" s="65" t="s">
        <v>117</v>
      </c>
      <c r="E710" s="18" t="s">
        <v>101</v>
      </c>
      <c r="F710" s="18" t="s">
        <v>113</v>
      </c>
      <c r="G710" s="18" t="s">
        <v>43</v>
      </c>
      <c r="H710" s="38"/>
      <c r="I710" s="38"/>
      <c r="J710" s="38"/>
      <c r="K710" s="66" t="s">
        <v>1902</v>
      </c>
      <c r="L710" s="67" t="s">
        <v>1903</v>
      </c>
      <c r="M710" s="67" t="s">
        <v>1904</v>
      </c>
      <c r="N710" s="60">
        <v>22.027989000000002</v>
      </c>
      <c r="O710" s="60">
        <v>91.907227000000006</v>
      </c>
      <c r="P710" s="62">
        <v>600</v>
      </c>
      <c r="Q710" s="62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38"/>
    </row>
    <row r="711" spans="1:36" x14ac:dyDescent="0.3">
      <c r="A711" s="77">
        <v>705</v>
      </c>
      <c r="B711" s="79" t="s">
        <v>2439</v>
      </c>
      <c r="C711" s="79" t="s">
        <v>117</v>
      </c>
      <c r="D711" s="65" t="s">
        <v>117</v>
      </c>
      <c r="E711" s="18" t="s">
        <v>101</v>
      </c>
      <c r="F711" s="18" t="s">
        <v>113</v>
      </c>
      <c r="G711" s="18" t="s">
        <v>43</v>
      </c>
      <c r="H711" s="38"/>
      <c r="I711" s="38"/>
      <c r="J711" s="38"/>
      <c r="K711" s="66" t="s">
        <v>1905</v>
      </c>
      <c r="L711" s="67" t="s">
        <v>1906</v>
      </c>
      <c r="M711" s="67" t="s">
        <v>1907</v>
      </c>
      <c r="N711" s="60">
        <v>22.031904000000001</v>
      </c>
      <c r="O711" s="60">
        <v>91.906565000000001</v>
      </c>
      <c r="P711" s="62">
        <v>400</v>
      </c>
      <c r="Q711" s="62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38"/>
    </row>
    <row r="712" spans="1:36" x14ac:dyDescent="0.3">
      <c r="A712" s="77">
        <v>706</v>
      </c>
      <c r="B712" s="79" t="s">
        <v>2439</v>
      </c>
      <c r="C712" s="79" t="s">
        <v>117</v>
      </c>
      <c r="D712" s="65" t="s">
        <v>117</v>
      </c>
      <c r="E712" s="18" t="s">
        <v>101</v>
      </c>
      <c r="F712" s="18" t="s">
        <v>113</v>
      </c>
      <c r="G712" s="18" t="s">
        <v>43</v>
      </c>
      <c r="H712" s="38"/>
      <c r="I712" s="38"/>
      <c r="J712" s="38"/>
      <c r="K712" s="67" t="s">
        <v>1908</v>
      </c>
      <c r="L712" s="67" t="s">
        <v>1909</v>
      </c>
      <c r="M712" s="67" t="s">
        <v>1910</v>
      </c>
      <c r="N712" s="60">
        <v>22.017598</v>
      </c>
      <c r="O712" s="60">
        <v>91.911545000000004</v>
      </c>
      <c r="P712" s="62">
        <v>500</v>
      </c>
      <c r="Q712" s="62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38"/>
    </row>
    <row r="713" spans="1:36" x14ac:dyDescent="0.3">
      <c r="A713" s="77">
        <v>707</v>
      </c>
      <c r="B713" s="79" t="s">
        <v>2439</v>
      </c>
      <c r="C713" s="79" t="s">
        <v>117</v>
      </c>
      <c r="D713" s="65" t="s">
        <v>117</v>
      </c>
      <c r="E713" s="18" t="s">
        <v>101</v>
      </c>
      <c r="F713" s="18" t="s">
        <v>113</v>
      </c>
      <c r="G713" s="18" t="s">
        <v>43</v>
      </c>
      <c r="H713" s="38"/>
      <c r="I713" s="38"/>
      <c r="J713" s="38"/>
      <c r="K713" s="67" t="s">
        <v>85</v>
      </c>
      <c r="L713" s="67" t="s">
        <v>1911</v>
      </c>
      <c r="M713" s="67" t="s">
        <v>1912</v>
      </c>
      <c r="N713" s="60">
        <v>22.024509999999999</v>
      </c>
      <c r="O713" s="60">
        <v>91.914815000000004</v>
      </c>
      <c r="P713" s="62">
        <v>600</v>
      </c>
      <c r="Q713" s="62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38"/>
    </row>
    <row r="714" spans="1:36" x14ac:dyDescent="0.3">
      <c r="A714" s="77">
        <v>708</v>
      </c>
      <c r="B714" s="79" t="s">
        <v>2439</v>
      </c>
      <c r="C714" s="79" t="s">
        <v>117</v>
      </c>
      <c r="D714" s="65" t="s">
        <v>117</v>
      </c>
      <c r="E714" s="18" t="s">
        <v>101</v>
      </c>
      <c r="F714" s="18" t="s">
        <v>113</v>
      </c>
      <c r="G714" s="18" t="s">
        <v>44</v>
      </c>
      <c r="H714" s="38"/>
      <c r="I714" s="38"/>
      <c r="J714" s="38"/>
      <c r="K714" s="67" t="s">
        <v>1913</v>
      </c>
      <c r="L714" s="67" t="s">
        <v>1914</v>
      </c>
      <c r="M714" s="67" t="s">
        <v>1915</v>
      </c>
      <c r="N714" s="60">
        <v>21.993081</v>
      </c>
      <c r="O714" s="60">
        <v>91.939414999999997</v>
      </c>
      <c r="P714" s="62">
        <v>5000</v>
      </c>
      <c r="Q714" s="62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38"/>
    </row>
    <row r="715" spans="1:36" x14ac:dyDescent="0.3">
      <c r="A715" s="77">
        <v>709</v>
      </c>
      <c r="B715" s="79" t="s">
        <v>2439</v>
      </c>
      <c r="C715" s="79" t="s">
        <v>117</v>
      </c>
      <c r="D715" s="65" t="s">
        <v>117</v>
      </c>
      <c r="E715" s="18" t="s">
        <v>101</v>
      </c>
      <c r="F715" s="18" t="s">
        <v>113</v>
      </c>
      <c r="G715" s="18" t="s">
        <v>44</v>
      </c>
      <c r="H715" s="38"/>
      <c r="I715" s="38"/>
      <c r="J715" s="38"/>
      <c r="K715" s="67" t="s">
        <v>1916</v>
      </c>
      <c r="L715" s="67" t="s">
        <v>1917</v>
      </c>
      <c r="M715" s="67" t="s">
        <v>1918</v>
      </c>
      <c r="N715" s="60">
        <v>21.987863000000001</v>
      </c>
      <c r="O715" s="60">
        <v>91.927583999999996</v>
      </c>
      <c r="P715" s="62">
        <v>7500</v>
      </c>
      <c r="Q715" s="62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38"/>
    </row>
    <row r="716" spans="1:36" x14ac:dyDescent="0.3">
      <c r="A716" s="77">
        <v>710</v>
      </c>
      <c r="B716" s="79" t="s">
        <v>2439</v>
      </c>
      <c r="C716" s="79" t="s">
        <v>117</v>
      </c>
      <c r="D716" s="65" t="s">
        <v>117</v>
      </c>
      <c r="E716" s="18" t="s">
        <v>101</v>
      </c>
      <c r="F716" s="18" t="s">
        <v>113</v>
      </c>
      <c r="G716" s="18" t="s">
        <v>45</v>
      </c>
      <c r="H716" s="38"/>
      <c r="I716" s="38"/>
      <c r="J716" s="38"/>
      <c r="K716" s="18" t="s">
        <v>333</v>
      </c>
      <c r="L716" s="18" t="s">
        <v>334</v>
      </c>
      <c r="M716" s="67" t="s">
        <v>1919</v>
      </c>
      <c r="N716" s="60">
        <v>21.999227999999999</v>
      </c>
      <c r="O716" s="60">
        <v>91.930837999999994</v>
      </c>
      <c r="P716" s="62">
        <v>800</v>
      </c>
      <c r="Q716" s="62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38"/>
    </row>
    <row r="717" spans="1:36" x14ac:dyDescent="0.3">
      <c r="A717" s="77">
        <v>711</v>
      </c>
      <c r="B717" s="79" t="s">
        <v>2439</v>
      </c>
      <c r="C717" s="79" t="s">
        <v>117</v>
      </c>
      <c r="D717" s="65" t="s">
        <v>117</v>
      </c>
      <c r="E717" s="18" t="s">
        <v>101</v>
      </c>
      <c r="F717" s="18" t="s">
        <v>113</v>
      </c>
      <c r="G717" s="18" t="s">
        <v>45</v>
      </c>
      <c r="H717" s="38"/>
      <c r="I717" s="38"/>
      <c r="J717" s="38"/>
      <c r="K717" s="67" t="s">
        <v>1920</v>
      </c>
      <c r="L717" s="67" t="s">
        <v>1921</v>
      </c>
      <c r="M717" s="67" t="s">
        <v>1922</v>
      </c>
      <c r="N717" s="60">
        <v>21.995177999999999</v>
      </c>
      <c r="O717" s="60">
        <v>91.932919999999996</v>
      </c>
      <c r="P717" s="62">
        <v>400</v>
      </c>
      <c r="Q717" s="62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38"/>
    </row>
    <row r="718" spans="1:36" x14ac:dyDescent="0.3">
      <c r="A718" s="77">
        <v>712</v>
      </c>
      <c r="B718" s="79" t="s">
        <v>2439</v>
      </c>
      <c r="C718" s="79" t="s">
        <v>117</v>
      </c>
      <c r="D718" s="65" t="s">
        <v>117</v>
      </c>
      <c r="E718" s="18" t="s">
        <v>101</v>
      </c>
      <c r="F718" s="18" t="s">
        <v>113</v>
      </c>
      <c r="G718" s="18" t="s">
        <v>45</v>
      </c>
      <c r="H718" s="38"/>
      <c r="I718" s="38"/>
      <c r="J718" s="38"/>
      <c r="K718" s="67" t="s">
        <v>1923</v>
      </c>
      <c r="L718" s="67" t="s">
        <v>1924</v>
      </c>
      <c r="M718" s="67" t="s">
        <v>1925</v>
      </c>
      <c r="N718" s="60">
        <v>21.996521000000001</v>
      </c>
      <c r="O718" s="60">
        <v>91.925869000000006</v>
      </c>
      <c r="P718" s="62">
        <v>1200</v>
      </c>
      <c r="Q718" s="62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38"/>
    </row>
    <row r="719" spans="1:36" x14ac:dyDescent="0.3">
      <c r="A719" s="77">
        <v>713</v>
      </c>
      <c r="B719" s="79" t="s">
        <v>2439</v>
      </c>
      <c r="C719" s="79" t="s">
        <v>117</v>
      </c>
      <c r="D719" s="65" t="s">
        <v>117</v>
      </c>
      <c r="E719" s="18" t="s">
        <v>101</v>
      </c>
      <c r="F719" s="18" t="s">
        <v>113</v>
      </c>
      <c r="G719" s="18" t="s">
        <v>45</v>
      </c>
      <c r="H719" s="38"/>
      <c r="I719" s="38"/>
      <c r="J719" s="38"/>
      <c r="K719" s="67" t="s">
        <v>1926</v>
      </c>
      <c r="L719" s="67" t="s">
        <v>1927</v>
      </c>
      <c r="M719" s="67" t="s">
        <v>1928</v>
      </c>
      <c r="N719" s="60">
        <v>21.996566000000001</v>
      </c>
      <c r="O719" s="60">
        <v>91.921655999999999</v>
      </c>
      <c r="P719" s="62">
        <v>1500</v>
      </c>
      <c r="Q719" s="62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38"/>
    </row>
    <row r="720" spans="1:36" x14ac:dyDescent="0.3">
      <c r="A720" s="77">
        <v>714</v>
      </c>
      <c r="B720" s="79" t="s">
        <v>2439</v>
      </c>
      <c r="C720" s="79" t="s">
        <v>117</v>
      </c>
      <c r="D720" s="65" t="s">
        <v>117</v>
      </c>
      <c r="E720" s="18" t="s">
        <v>101</v>
      </c>
      <c r="F720" s="18" t="s">
        <v>113</v>
      </c>
      <c r="G720" s="18" t="s">
        <v>45</v>
      </c>
      <c r="H720" s="38"/>
      <c r="I720" s="38"/>
      <c r="J720" s="38"/>
      <c r="K720" s="67" t="s">
        <v>1929</v>
      </c>
      <c r="L720" s="67" t="s">
        <v>1930</v>
      </c>
      <c r="M720" s="67" t="s">
        <v>1931</v>
      </c>
      <c r="N720" s="60">
        <v>21.987280999999999</v>
      </c>
      <c r="O720" s="60">
        <v>91.915409999999994</v>
      </c>
      <c r="P720" s="62">
        <v>500</v>
      </c>
      <c r="Q720" s="62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38"/>
    </row>
    <row r="721" spans="1:36" x14ac:dyDescent="0.3">
      <c r="A721" s="77">
        <v>715</v>
      </c>
      <c r="B721" s="79" t="s">
        <v>2439</v>
      </c>
      <c r="C721" s="79" t="s">
        <v>117</v>
      </c>
      <c r="D721" s="65" t="s">
        <v>117</v>
      </c>
      <c r="E721" s="18" t="s">
        <v>101</v>
      </c>
      <c r="F721" s="18" t="s">
        <v>113</v>
      </c>
      <c r="G721" s="18" t="s">
        <v>45</v>
      </c>
      <c r="H721" s="38"/>
      <c r="I721" s="38"/>
      <c r="J721" s="38"/>
      <c r="K721" s="67" t="s">
        <v>56</v>
      </c>
      <c r="L721" s="67" t="s">
        <v>79</v>
      </c>
      <c r="M721" s="67" t="s">
        <v>1932</v>
      </c>
      <c r="N721" s="60">
        <v>21.992984</v>
      </c>
      <c r="O721" s="60">
        <v>91.916308999999998</v>
      </c>
      <c r="P721" s="62">
        <v>450</v>
      </c>
      <c r="Q721" s="62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38"/>
    </row>
    <row r="722" spans="1:36" x14ac:dyDescent="0.3">
      <c r="A722" s="77">
        <v>716</v>
      </c>
      <c r="B722" s="79" t="s">
        <v>2439</v>
      </c>
      <c r="C722" s="79" t="s">
        <v>117</v>
      </c>
      <c r="D722" s="65" t="s">
        <v>117</v>
      </c>
      <c r="E722" s="18" t="s">
        <v>101</v>
      </c>
      <c r="F722" s="18" t="s">
        <v>113</v>
      </c>
      <c r="G722" s="18" t="s">
        <v>45</v>
      </c>
      <c r="H722" s="38"/>
      <c r="I722" s="38"/>
      <c r="J722" s="38"/>
      <c r="K722" s="67" t="s">
        <v>1933</v>
      </c>
      <c r="L722" s="67" t="s">
        <v>1934</v>
      </c>
      <c r="M722" s="67" t="s">
        <v>1935</v>
      </c>
      <c r="N722" s="60">
        <v>21.993583999999998</v>
      </c>
      <c r="O722" s="60">
        <v>91.922224</v>
      </c>
      <c r="P722" s="62">
        <v>1500</v>
      </c>
      <c r="Q722" s="62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38"/>
    </row>
    <row r="723" spans="1:36" x14ac:dyDescent="0.3">
      <c r="A723" s="77">
        <v>717</v>
      </c>
      <c r="B723" s="79" t="s">
        <v>2439</v>
      </c>
      <c r="C723" s="79" t="s">
        <v>117</v>
      </c>
      <c r="D723" s="65" t="s">
        <v>117</v>
      </c>
      <c r="E723" s="18" t="s">
        <v>101</v>
      </c>
      <c r="F723" s="18" t="s">
        <v>113</v>
      </c>
      <c r="G723" s="18" t="s">
        <v>46</v>
      </c>
      <c r="H723" s="38"/>
      <c r="I723" s="38"/>
      <c r="J723" s="38"/>
      <c r="K723" s="67" t="s">
        <v>1936</v>
      </c>
      <c r="L723" s="67" t="s">
        <v>1937</v>
      </c>
      <c r="M723" s="67" t="s">
        <v>1938</v>
      </c>
      <c r="N723" s="60">
        <v>22.006996999999998</v>
      </c>
      <c r="O723" s="60">
        <v>91.918918000000005</v>
      </c>
      <c r="P723" s="62">
        <v>4000</v>
      </c>
      <c r="Q723" s="62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38"/>
    </row>
    <row r="724" spans="1:36" x14ac:dyDescent="0.3">
      <c r="A724" s="77">
        <v>718</v>
      </c>
      <c r="B724" s="79" t="s">
        <v>2439</v>
      </c>
      <c r="C724" s="79" t="s">
        <v>117</v>
      </c>
      <c r="D724" s="65" t="s">
        <v>117</v>
      </c>
      <c r="E724" s="18" t="s">
        <v>101</v>
      </c>
      <c r="F724" s="18" t="s">
        <v>113</v>
      </c>
      <c r="G724" s="18" t="s">
        <v>46</v>
      </c>
      <c r="H724" s="38"/>
      <c r="I724" s="38"/>
      <c r="J724" s="38"/>
      <c r="K724" s="66" t="s">
        <v>1939</v>
      </c>
      <c r="L724" s="66" t="s">
        <v>1940</v>
      </c>
      <c r="M724" s="67" t="s">
        <v>1941</v>
      </c>
      <c r="N724" s="60">
        <v>21.999514999999999</v>
      </c>
      <c r="O724" s="60">
        <v>91.922139000000001</v>
      </c>
      <c r="P724" s="62">
        <v>500</v>
      </c>
      <c r="Q724" s="62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38"/>
    </row>
    <row r="725" spans="1:36" x14ac:dyDescent="0.3">
      <c r="A725" s="77">
        <v>719</v>
      </c>
      <c r="B725" s="79" t="s">
        <v>2439</v>
      </c>
      <c r="C725" s="79" t="s">
        <v>117</v>
      </c>
      <c r="D725" s="65" t="s">
        <v>117</v>
      </c>
      <c r="E725" s="18" t="s">
        <v>101</v>
      </c>
      <c r="F725" s="18" t="s">
        <v>113</v>
      </c>
      <c r="G725" s="18" t="s">
        <v>46</v>
      </c>
      <c r="H725" s="38"/>
      <c r="I725" s="38"/>
      <c r="J725" s="38"/>
      <c r="K725" s="18" t="s">
        <v>50</v>
      </c>
      <c r="L725" s="18" t="s">
        <v>926</v>
      </c>
      <c r="M725" s="67" t="s">
        <v>1942</v>
      </c>
      <c r="N725" s="60">
        <v>22.012316999999999</v>
      </c>
      <c r="O725" s="60">
        <v>91.912546000000006</v>
      </c>
      <c r="P725" s="62">
        <v>1000</v>
      </c>
      <c r="Q725" s="62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38"/>
    </row>
    <row r="726" spans="1:36" x14ac:dyDescent="0.3">
      <c r="A726" s="77">
        <v>720</v>
      </c>
      <c r="B726" s="79" t="s">
        <v>2439</v>
      </c>
      <c r="C726" s="79" t="s">
        <v>117</v>
      </c>
      <c r="D726" s="65" t="s">
        <v>117</v>
      </c>
      <c r="E726" s="18" t="s">
        <v>101</v>
      </c>
      <c r="F726" s="18" t="s">
        <v>113</v>
      </c>
      <c r="G726" s="18" t="s">
        <v>46</v>
      </c>
      <c r="H726" s="38"/>
      <c r="I726" s="38"/>
      <c r="J726" s="38"/>
      <c r="K726" s="67" t="s">
        <v>56</v>
      </c>
      <c r="L726" s="67" t="s">
        <v>79</v>
      </c>
      <c r="M726" s="67" t="s">
        <v>1943</v>
      </c>
      <c r="N726" s="60">
        <v>22.004531</v>
      </c>
      <c r="O726" s="60">
        <v>91.904071000000002</v>
      </c>
      <c r="P726" s="62">
        <v>2000</v>
      </c>
      <c r="Q726" s="62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38"/>
    </row>
    <row r="727" spans="1:36" x14ac:dyDescent="0.3">
      <c r="A727" s="77">
        <v>721</v>
      </c>
      <c r="B727" s="79" t="s">
        <v>2439</v>
      </c>
      <c r="C727" s="79" t="s">
        <v>117</v>
      </c>
      <c r="D727" s="65" t="s">
        <v>117</v>
      </c>
      <c r="E727" s="18" t="s">
        <v>101</v>
      </c>
      <c r="F727" s="18" t="s">
        <v>113</v>
      </c>
      <c r="G727" s="18" t="s">
        <v>46</v>
      </c>
      <c r="H727" s="38"/>
      <c r="I727" s="38"/>
      <c r="J727" s="38"/>
      <c r="K727" s="67" t="s">
        <v>1944</v>
      </c>
      <c r="L727" s="67" t="s">
        <v>1945</v>
      </c>
      <c r="M727" s="67" t="s">
        <v>1946</v>
      </c>
      <c r="N727" s="60">
        <v>21.998850999999998</v>
      </c>
      <c r="O727" s="60">
        <v>91.909248000000005</v>
      </c>
      <c r="P727" s="62">
        <v>200</v>
      </c>
      <c r="Q727" s="62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38"/>
    </row>
    <row r="728" spans="1:36" x14ac:dyDescent="0.3">
      <c r="A728" s="77">
        <v>722</v>
      </c>
      <c r="B728" s="79" t="s">
        <v>2439</v>
      </c>
      <c r="C728" s="79" t="s">
        <v>117</v>
      </c>
      <c r="D728" s="65" t="s">
        <v>117</v>
      </c>
      <c r="E728" s="18" t="s">
        <v>101</v>
      </c>
      <c r="F728" s="18" t="s">
        <v>113</v>
      </c>
      <c r="G728" s="18" t="s">
        <v>47</v>
      </c>
      <c r="H728" s="38"/>
      <c r="I728" s="38"/>
      <c r="J728" s="38"/>
      <c r="K728" s="67" t="s">
        <v>1947</v>
      </c>
      <c r="L728" s="67" t="s">
        <v>1948</v>
      </c>
      <c r="M728" s="67" t="s">
        <v>1949</v>
      </c>
      <c r="N728" s="60">
        <v>22.022386999999998</v>
      </c>
      <c r="O728" s="60">
        <v>91.923179000000005</v>
      </c>
      <c r="P728" s="62">
        <v>4500</v>
      </c>
      <c r="Q728" s="62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38"/>
    </row>
    <row r="729" spans="1:36" x14ac:dyDescent="0.3">
      <c r="A729" s="77">
        <v>723</v>
      </c>
      <c r="B729" s="79" t="s">
        <v>2439</v>
      </c>
      <c r="C729" s="79" t="s">
        <v>117</v>
      </c>
      <c r="D729" s="65" t="s">
        <v>117</v>
      </c>
      <c r="E729" s="18" t="s">
        <v>101</v>
      </c>
      <c r="F729" s="18" t="s">
        <v>113</v>
      </c>
      <c r="G729" s="18" t="s">
        <v>47</v>
      </c>
      <c r="H729" s="38"/>
      <c r="I729" s="38"/>
      <c r="J729" s="38"/>
      <c r="K729" s="67" t="s">
        <v>1950</v>
      </c>
      <c r="L729" s="67" t="s">
        <v>1951</v>
      </c>
      <c r="M729" s="67" t="s">
        <v>1952</v>
      </c>
      <c r="N729" s="60">
        <v>22.013739000000001</v>
      </c>
      <c r="O729" s="60">
        <v>91.920362999999995</v>
      </c>
      <c r="P729" s="62">
        <v>4000</v>
      </c>
      <c r="Q729" s="62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38"/>
    </row>
    <row r="730" spans="1:36" x14ac:dyDescent="0.3">
      <c r="A730" s="77">
        <v>724</v>
      </c>
      <c r="B730" s="79" t="s">
        <v>2439</v>
      </c>
      <c r="C730" s="79" t="s">
        <v>117</v>
      </c>
      <c r="D730" s="65" t="s">
        <v>117</v>
      </c>
      <c r="E730" s="18" t="s">
        <v>101</v>
      </c>
      <c r="F730" s="18" t="s">
        <v>113</v>
      </c>
      <c r="G730" s="18" t="s">
        <v>47</v>
      </c>
      <c r="H730" s="38"/>
      <c r="I730" s="38"/>
      <c r="J730" s="38"/>
      <c r="K730" s="67" t="s">
        <v>882</v>
      </c>
      <c r="L730" s="67" t="s">
        <v>883</v>
      </c>
      <c r="M730" s="67" t="s">
        <v>1953</v>
      </c>
      <c r="N730" s="60">
        <v>22.010380000000001</v>
      </c>
      <c r="O730" s="60">
        <v>91.919703999999996</v>
      </c>
      <c r="P730" s="62">
        <v>1100</v>
      </c>
      <c r="Q730" s="62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</row>
    <row r="731" spans="1:36" x14ac:dyDescent="0.3">
      <c r="A731" s="77">
        <v>725</v>
      </c>
      <c r="B731" s="79" t="s">
        <v>2439</v>
      </c>
      <c r="C731" s="79" t="s">
        <v>117</v>
      </c>
      <c r="D731" s="65" t="s">
        <v>117</v>
      </c>
      <c r="E731" s="18" t="s">
        <v>101</v>
      </c>
      <c r="F731" s="18" t="s">
        <v>113</v>
      </c>
      <c r="G731" s="18" t="s">
        <v>48</v>
      </c>
      <c r="H731" s="38"/>
      <c r="I731" s="38"/>
      <c r="J731" s="38"/>
      <c r="K731" s="67" t="s">
        <v>1954</v>
      </c>
      <c r="L731" s="67" t="s">
        <v>1955</v>
      </c>
      <c r="M731" s="67" t="s">
        <v>1956</v>
      </c>
      <c r="N731" s="60">
        <v>22.025867000000002</v>
      </c>
      <c r="O731" s="60">
        <v>91.934262000000004</v>
      </c>
      <c r="P731" s="62">
        <v>2000</v>
      </c>
      <c r="Q731" s="62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</row>
    <row r="732" spans="1:36" x14ac:dyDescent="0.3">
      <c r="A732" s="77">
        <v>726</v>
      </c>
      <c r="B732" s="79" t="s">
        <v>2439</v>
      </c>
      <c r="C732" s="79" t="s">
        <v>117</v>
      </c>
      <c r="D732" s="65" t="s">
        <v>117</v>
      </c>
      <c r="E732" s="18" t="s">
        <v>101</v>
      </c>
      <c r="F732" s="18" t="s">
        <v>113</v>
      </c>
      <c r="G732" s="18" t="s">
        <v>48</v>
      </c>
      <c r="H732" s="38"/>
      <c r="I732" s="38"/>
      <c r="J732" s="38"/>
      <c r="K732" s="67" t="s">
        <v>1957</v>
      </c>
      <c r="L732" s="67" t="s">
        <v>1958</v>
      </c>
      <c r="M732" s="67" t="s">
        <v>1959</v>
      </c>
      <c r="N732" s="60">
        <v>22.022876</v>
      </c>
      <c r="O732" s="60">
        <v>91.936239999999998</v>
      </c>
      <c r="P732" s="62">
        <v>1500</v>
      </c>
      <c r="Q732" s="62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</row>
    <row r="733" spans="1:36" x14ac:dyDescent="0.3">
      <c r="A733" s="77">
        <v>727</v>
      </c>
      <c r="B733" s="79" t="s">
        <v>2439</v>
      </c>
      <c r="C733" s="79" t="s">
        <v>117</v>
      </c>
      <c r="D733" s="65" t="s">
        <v>117</v>
      </c>
      <c r="E733" s="18" t="s">
        <v>101</v>
      </c>
      <c r="F733" s="18" t="s">
        <v>113</v>
      </c>
      <c r="G733" s="18" t="s">
        <v>48</v>
      </c>
      <c r="H733" s="38"/>
      <c r="I733" s="38"/>
      <c r="J733" s="38"/>
      <c r="K733" s="67" t="s">
        <v>1960</v>
      </c>
      <c r="L733" s="67" t="s">
        <v>1961</v>
      </c>
      <c r="M733" s="67" t="s">
        <v>1962</v>
      </c>
      <c r="N733" s="60">
        <v>22.021718</v>
      </c>
      <c r="O733" s="60">
        <v>91.931083000000001</v>
      </c>
      <c r="P733" s="62">
        <v>2000</v>
      </c>
      <c r="Q733" s="62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</row>
    <row r="734" spans="1:36" x14ac:dyDescent="0.3">
      <c r="A734" s="77">
        <v>728</v>
      </c>
      <c r="B734" s="79" t="s">
        <v>2439</v>
      </c>
      <c r="C734" s="79" t="s">
        <v>117</v>
      </c>
      <c r="D734" s="65" t="s">
        <v>117</v>
      </c>
      <c r="E734" s="18" t="s">
        <v>101</v>
      </c>
      <c r="F734" s="18" t="s">
        <v>113</v>
      </c>
      <c r="G734" s="18" t="s">
        <v>48</v>
      </c>
      <c r="H734" s="38"/>
      <c r="I734" s="38"/>
      <c r="J734" s="38"/>
      <c r="K734" s="67" t="s">
        <v>1963</v>
      </c>
      <c r="L734" s="67" t="s">
        <v>1964</v>
      </c>
      <c r="M734" s="67" t="s">
        <v>1965</v>
      </c>
      <c r="N734" s="60">
        <v>22.022155999999999</v>
      </c>
      <c r="O734" s="60">
        <v>91.928903000000005</v>
      </c>
      <c r="P734" s="62">
        <v>2000</v>
      </c>
      <c r="Q734" s="62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</row>
    <row r="735" spans="1:36" x14ac:dyDescent="0.3">
      <c r="A735" s="77">
        <v>729</v>
      </c>
      <c r="B735" s="79" t="s">
        <v>2439</v>
      </c>
      <c r="C735" s="79" t="s">
        <v>117</v>
      </c>
      <c r="D735" s="65" t="s">
        <v>117</v>
      </c>
      <c r="E735" s="18" t="s">
        <v>101</v>
      </c>
      <c r="F735" s="18" t="s">
        <v>113</v>
      </c>
      <c r="G735" s="18" t="s">
        <v>48</v>
      </c>
      <c r="H735" s="38"/>
      <c r="I735" s="38"/>
      <c r="J735" s="38"/>
      <c r="K735" s="67" t="s">
        <v>1966</v>
      </c>
      <c r="L735" s="67" t="s">
        <v>1967</v>
      </c>
      <c r="M735" s="67" t="s">
        <v>1968</v>
      </c>
      <c r="N735" s="60">
        <v>22.021418000000001</v>
      </c>
      <c r="O735" s="60">
        <v>91.926411999999999</v>
      </c>
      <c r="P735" s="62">
        <v>1500</v>
      </c>
      <c r="Q735" s="62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38"/>
    </row>
    <row r="736" spans="1:36" x14ac:dyDescent="0.3">
      <c r="A736" s="77">
        <v>730</v>
      </c>
      <c r="B736" s="79" t="s">
        <v>2439</v>
      </c>
      <c r="C736" s="79" t="s">
        <v>117</v>
      </c>
      <c r="D736" s="65" t="s">
        <v>117</v>
      </c>
      <c r="E736" s="18" t="s">
        <v>101</v>
      </c>
      <c r="F736" s="18" t="s">
        <v>113</v>
      </c>
      <c r="G736" s="18" t="s">
        <v>48</v>
      </c>
      <c r="H736" s="38"/>
      <c r="I736" s="38"/>
      <c r="J736" s="38"/>
      <c r="K736" s="66" t="s">
        <v>1969</v>
      </c>
      <c r="L736" s="67" t="s">
        <v>1970</v>
      </c>
      <c r="M736" s="67" t="s">
        <v>1971</v>
      </c>
      <c r="N736" s="60">
        <v>22.024198999999999</v>
      </c>
      <c r="O736" s="60">
        <v>91.927661999999998</v>
      </c>
      <c r="P736" s="62">
        <v>1500</v>
      </c>
      <c r="Q736" s="62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38"/>
    </row>
    <row r="737" spans="1:36" x14ac:dyDescent="0.3">
      <c r="A737" s="77">
        <v>731</v>
      </c>
      <c r="B737" s="79" t="s">
        <v>2439</v>
      </c>
      <c r="C737" s="79" t="s">
        <v>117</v>
      </c>
      <c r="D737" s="65" t="s">
        <v>117</v>
      </c>
      <c r="E737" s="18" t="s">
        <v>101</v>
      </c>
      <c r="F737" s="18" t="s">
        <v>113</v>
      </c>
      <c r="G737" s="18" t="s">
        <v>48</v>
      </c>
      <c r="H737" s="38"/>
      <c r="I737" s="38"/>
      <c r="J737" s="38"/>
      <c r="K737" s="67" t="s">
        <v>1972</v>
      </c>
      <c r="L737" s="67" t="s">
        <v>1973</v>
      </c>
      <c r="M737" s="67" t="s">
        <v>1974</v>
      </c>
      <c r="N737" s="60">
        <v>22.020747</v>
      </c>
      <c r="O737" s="60">
        <v>91.939080000000004</v>
      </c>
      <c r="P737" s="62">
        <v>500</v>
      </c>
      <c r="Q737" s="62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38"/>
    </row>
    <row r="738" spans="1:36" x14ac:dyDescent="0.3">
      <c r="A738" s="77">
        <v>732</v>
      </c>
      <c r="B738" s="79" t="s">
        <v>2439</v>
      </c>
      <c r="C738" s="79" t="s">
        <v>117</v>
      </c>
      <c r="D738" s="65" t="s">
        <v>117</v>
      </c>
      <c r="E738" s="18" t="s">
        <v>101</v>
      </c>
      <c r="F738" s="18" t="s">
        <v>113</v>
      </c>
      <c r="G738" s="18" t="s">
        <v>49</v>
      </c>
      <c r="H738" s="38"/>
      <c r="I738" s="38"/>
      <c r="J738" s="38"/>
      <c r="K738" s="67" t="s">
        <v>1263</v>
      </c>
      <c r="L738" s="67" t="s">
        <v>1264</v>
      </c>
      <c r="M738" s="67" t="s">
        <v>1975</v>
      </c>
      <c r="N738" s="60">
        <v>22.020275000000002</v>
      </c>
      <c r="O738" s="60">
        <v>91.961868999999993</v>
      </c>
      <c r="P738" s="62">
        <v>300</v>
      </c>
      <c r="Q738" s="62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38"/>
    </row>
    <row r="739" spans="1:36" x14ac:dyDescent="0.3">
      <c r="A739" s="77">
        <v>733</v>
      </c>
      <c r="B739" s="79" t="s">
        <v>2439</v>
      </c>
      <c r="C739" s="79" t="s">
        <v>117</v>
      </c>
      <c r="D739" s="65" t="s">
        <v>117</v>
      </c>
      <c r="E739" s="18" t="s">
        <v>101</v>
      </c>
      <c r="F739" s="18" t="s">
        <v>113</v>
      </c>
      <c r="G739" s="18" t="s">
        <v>49</v>
      </c>
      <c r="H739" s="38"/>
      <c r="I739" s="38"/>
      <c r="J739" s="38"/>
      <c r="K739" s="67" t="s">
        <v>1976</v>
      </c>
      <c r="L739" s="67" t="s">
        <v>1977</v>
      </c>
      <c r="M739" s="67" t="s">
        <v>1978</v>
      </c>
      <c r="N739" s="60">
        <v>22.025217000000001</v>
      </c>
      <c r="O739" s="60">
        <v>91.945464000000001</v>
      </c>
      <c r="P739" s="62">
        <v>300</v>
      </c>
      <c r="Q739" s="62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38"/>
    </row>
    <row r="740" spans="1:36" x14ac:dyDescent="0.3">
      <c r="A740" s="77">
        <v>734</v>
      </c>
      <c r="B740" s="79" t="s">
        <v>2439</v>
      </c>
      <c r="C740" s="79" t="s">
        <v>117</v>
      </c>
      <c r="D740" s="65" t="s">
        <v>117</v>
      </c>
      <c r="E740" s="18" t="s">
        <v>101</v>
      </c>
      <c r="F740" s="18" t="s">
        <v>113</v>
      </c>
      <c r="G740" s="18" t="s">
        <v>49</v>
      </c>
      <c r="H740" s="38"/>
      <c r="I740" s="38"/>
      <c r="J740" s="38"/>
      <c r="K740" s="67" t="s">
        <v>51</v>
      </c>
      <c r="L740" s="67" t="s">
        <v>77</v>
      </c>
      <c r="M740" s="67" t="s">
        <v>1979</v>
      </c>
      <c r="N740" s="60">
        <v>22.025732999999999</v>
      </c>
      <c r="O740" s="60">
        <v>91.946861999999996</v>
      </c>
      <c r="P740" s="62">
        <v>500</v>
      </c>
      <c r="Q740" s="62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38"/>
    </row>
    <row r="741" spans="1:36" x14ac:dyDescent="0.3">
      <c r="A741" s="77">
        <v>735</v>
      </c>
      <c r="B741" s="79" t="s">
        <v>2439</v>
      </c>
      <c r="C741" s="79" t="s">
        <v>117</v>
      </c>
      <c r="D741" s="65" t="s">
        <v>117</v>
      </c>
      <c r="E741" s="18" t="s">
        <v>101</v>
      </c>
      <c r="F741" s="18" t="s">
        <v>113</v>
      </c>
      <c r="G741" s="18" t="s">
        <v>49</v>
      </c>
      <c r="H741" s="38"/>
      <c r="I741" s="38"/>
      <c r="J741" s="38"/>
      <c r="K741" s="67" t="s">
        <v>1980</v>
      </c>
      <c r="L741" s="67" t="s">
        <v>1981</v>
      </c>
      <c r="M741" s="67" t="s">
        <v>1982</v>
      </c>
      <c r="N741" s="60">
        <v>22.024844000000002</v>
      </c>
      <c r="O741" s="60">
        <v>91.950704000000002</v>
      </c>
      <c r="P741" s="62">
        <v>200</v>
      </c>
      <c r="Q741" s="62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38"/>
    </row>
    <row r="742" spans="1:36" x14ac:dyDescent="0.3">
      <c r="A742" s="77">
        <v>736</v>
      </c>
      <c r="B742" s="79" t="s">
        <v>2439</v>
      </c>
      <c r="C742" s="79" t="s">
        <v>117</v>
      </c>
      <c r="D742" s="65" t="s">
        <v>117</v>
      </c>
      <c r="E742" s="18" t="s">
        <v>101</v>
      </c>
      <c r="F742" s="18" t="s">
        <v>113</v>
      </c>
      <c r="G742" s="18" t="s">
        <v>49</v>
      </c>
      <c r="H742" s="38"/>
      <c r="I742" s="38"/>
      <c r="J742" s="38"/>
      <c r="K742" s="67" t="s">
        <v>1972</v>
      </c>
      <c r="L742" s="67" t="s">
        <v>1973</v>
      </c>
      <c r="M742" s="67" t="s">
        <v>1983</v>
      </c>
      <c r="N742" s="60">
        <v>22.026793999999999</v>
      </c>
      <c r="O742" s="60">
        <v>91.949697999999998</v>
      </c>
      <c r="P742" s="62">
        <v>200</v>
      </c>
      <c r="Q742" s="62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38"/>
    </row>
    <row r="743" spans="1:36" x14ac:dyDescent="0.3">
      <c r="A743" s="77">
        <v>737</v>
      </c>
      <c r="B743" s="79" t="s">
        <v>2439</v>
      </c>
      <c r="C743" s="79" t="s">
        <v>117</v>
      </c>
      <c r="D743" s="65" t="s">
        <v>117</v>
      </c>
      <c r="E743" s="18" t="s">
        <v>101</v>
      </c>
      <c r="F743" s="18" t="s">
        <v>113</v>
      </c>
      <c r="G743" s="18" t="s">
        <v>49</v>
      </c>
      <c r="H743" s="38"/>
      <c r="I743" s="38"/>
      <c r="J743" s="38"/>
      <c r="K743" s="67" t="s">
        <v>1984</v>
      </c>
      <c r="L743" s="67" t="s">
        <v>1985</v>
      </c>
      <c r="M743" s="67" t="s">
        <v>1986</v>
      </c>
      <c r="N743" s="60">
        <v>22.025044999999999</v>
      </c>
      <c r="O743" s="60">
        <v>91.953243999999998</v>
      </c>
      <c r="P743" s="62">
        <v>1200</v>
      </c>
      <c r="Q743" s="62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38"/>
    </row>
    <row r="744" spans="1:36" x14ac:dyDescent="0.3">
      <c r="A744" s="77">
        <v>738</v>
      </c>
      <c r="B744" s="79" t="s">
        <v>2439</v>
      </c>
      <c r="C744" s="79" t="s">
        <v>117</v>
      </c>
      <c r="D744" s="65" t="s">
        <v>117</v>
      </c>
      <c r="E744" s="18" t="s">
        <v>101</v>
      </c>
      <c r="F744" s="18" t="s">
        <v>113</v>
      </c>
      <c r="G744" s="18" t="s">
        <v>49</v>
      </c>
      <c r="H744" s="38"/>
      <c r="I744" s="38"/>
      <c r="J744" s="38"/>
      <c r="K744" s="67" t="s">
        <v>1987</v>
      </c>
      <c r="L744" s="67" t="s">
        <v>1988</v>
      </c>
      <c r="M744" s="67" t="s">
        <v>1989</v>
      </c>
      <c r="N744" s="60">
        <v>22.021961000000001</v>
      </c>
      <c r="O744" s="60">
        <v>91.949160000000006</v>
      </c>
      <c r="P744" s="62">
        <v>150</v>
      </c>
      <c r="Q744" s="62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38"/>
    </row>
    <row r="745" spans="1:36" x14ac:dyDescent="0.3">
      <c r="A745" s="77">
        <v>739</v>
      </c>
      <c r="B745" s="79" t="s">
        <v>2439</v>
      </c>
      <c r="C745" s="79" t="s">
        <v>117</v>
      </c>
      <c r="D745" s="65" t="s">
        <v>117</v>
      </c>
      <c r="E745" s="18" t="s">
        <v>101</v>
      </c>
      <c r="F745" s="18" t="s">
        <v>113</v>
      </c>
      <c r="G745" s="18" t="s">
        <v>49</v>
      </c>
      <c r="H745" s="38"/>
      <c r="I745" s="38"/>
      <c r="J745" s="38"/>
      <c r="K745" s="67" t="s">
        <v>1990</v>
      </c>
      <c r="L745" s="67" t="s">
        <v>1991</v>
      </c>
      <c r="M745" s="67" t="s">
        <v>1992</v>
      </c>
      <c r="N745" s="60">
        <v>22.032031</v>
      </c>
      <c r="O745" s="60">
        <v>91.950107000000003</v>
      </c>
      <c r="P745" s="62">
        <v>1500</v>
      </c>
      <c r="Q745" s="62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38"/>
    </row>
    <row r="746" spans="1:36" x14ac:dyDescent="0.3">
      <c r="A746" s="77">
        <v>740</v>
      </c>
      <c r="B746" s="79" t="s">
        <v>2439</v>
      </c>
      <c r="C746" s="79" t="s">
        <v>117</v>
      </c>
      <c r="D746" s="65" t="s">
        <v>117</v>
      </c>
      <c r="E746" s="18" t="s">
        <v>101</v>
      </c>
      <c r="F746" s="18" t="s">
        <v>113</v>
      </c>
      <c r="G746" s="18" t="s">
        <v>49</v>
      </c>
      <c r="H746" s="38"/>
      <c r="I746" s="38"/>
      <c r="J746" s="38"/>
      <c r="K746" s="67" t="s">
        <v>1993</v>
      </c>
      <c r="L746" s="67" t="s">
        <v>1994</v>
      </c>
      <c r="M746" s="67" t="s">
        <v>1995</v>
      </c>
      <c r="N746" s="60">
        <v>22.031988999999999</v>
      </c>
      <c r="O746" s="60">
        <v>91.955926000000005</v>
      </c>
      <c r="P746" s="62">
        <v>100</v>
      </c>
      <c r="Q746" s="62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38"/>
    </row>
    <row r="747" spans="1:36" x14ac:dyDescent="0.3">
      <c r="A747" s="77">
        <v>741</v>
      </c>
      <c r="B747" s="79" t="s">
        <v>2439</v>
      </c>
      <c r="C747" s="79" t="s">
        <v>117</v>
      </c>
      <c r="D747" s="65" t="s">
        <v>117</v>
      </c>
      <c r="E747" s="18" t="s">
        <v>101</v>
      </c>
      <c r="F747" s="18" t="s">
        <v>113</v>
      </c>
      <c r="G747" s="18" t="s">
        <v>49</v>
      </c>
      <c r="H747" s="38"/>
      <c r="I747" s="38"/>
      <c r="J747" s="38"/>
      <c r="K747" s="67" t="s">
        <v>372</v>
      </c>
      <c r="L747" s="67" t="s">
        <v>1996</v>
      </c>
      <c r="M747" s="67" t="s">
        <v>1997</v>
      </c>
      <c r="N747" s="60">
        <v>22.015768999999999</v>
      </c>
      <c r="O747" s="60">
        <v>91.960659000000007</v>
      </c>
      <c r="P747" s="62">
        <v>100</v>
      </c>
      <c r="Q747" s="62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</row>
    <row r="748" spans="1:36" x14ac:dyDescent="0.3">
      <c r="A748" s="77">
        <v>742</v>
      </c>
      <c r="B748" s="79" t="s">
        <v>2439</v>
      </c>
      <c r="C748" s="79" t="s">
        <v>117</v>
      </c>
      <c r="D748" s="65" t="s">
        <v>117</v>
      </c>
      <c r="E748" s="18" t="s">
        <v>101</v>
      </c>
      <c r="F748" s="18" t="s">
        <v>113</v>
      </c>
      <c r="G748" s="18" t="s">
        <v>49</v>
      </c>
      <c r="H748" s="38"/>
      <c r="I748" s="38"/>
      <c r="J748" s="38"/>
      <c r="K748" s="18" t="s">
        <v>58</v>
      </c>
      <c r="L748" s="67" t="s">
        <v>364</v>
      </c>
      <c r="M748" s="67" t="s">
        <v>1998</v>
      </c>
      <c r="N748" s="60">
        <v>22.020965</v>
      </c>
      <c r="O748" s="60">
        <v>91.947034000000002</v>
      </c>
      <c r="P748" s="62">
        <v>500</v>
      </c>
      <c r="Q748" s="62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38"/>
    </row>
    <row r="749" spans="1:36" x14ac:dyDescent="0.3">
      <c r="A749" s="77">
        <v>743</v>
      </c>
      <c r="B749" s="79" t="s">
        <v>2439</v>
      </c>
      <c r="C749" s="79" t="s">
        <v>117</v>
      </c>
      <c r="D749" s="65" t="s">
        <v>117</v>
      </c>
      <c r="E749" s="18" t="s">
        <v>101</v>
      </c>
      <c r="F749" s="18" t="s">
        <v>113</v>
      </c>
      <c r="G749" s="18" t="s">
        <v>49</v>
      </c>
      <c r="H749" s="38"/>
      <c r="I749" s="38"/>
      <c r="J749" s="38"/>
      <c r="K749" s="67" t="s">
        <v>70</v>
      </c>
      <c r="L749" s="67" t="s">
        <v>162</v>
      </c>
      <c r="M749" s="67" t="s">
        <v>1999</v>
      </c>
      <c r="N749" s="60">
        <v>22.019960000000001</v>
      </c>
      <c r="O749" s="60">
        <v>91.944990000000004</v>
      </c>
      <c r="P749" s="62">
        <v>200</v>
      </c>
      <c r="Q749" s="62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38"/>
    </row>
    <row r="750" spans="1:36" x14ac:dyDescent="0.3">
      <c r="A750" s="77">
        <v>744</v>
      </c>
      <c r="B750" s="79" t="s">
        <v>2439</v>
      </c>
      <c r="C750" s="79" t="s">
        <v>117</v>
      </c>
      <c r="D750" s="65" t="s">
        <v>117</v>
      </c>
      <c r="E750" s="18" t="s">
        <v>101</v>
      </c>
      <c r="F750" s="18" t="s">
        <v>113</v>
      </c>
      <c r="G750" s="18" t="s">
        <v>49</v>
      </c>
      <c r="H750" s="38"/>
      <c r="I750" s="38"/>
      <c r="J750" s="38"/>
      <c r="K750" s="67" t="s">
        <v>2000</v>
      </c>
      <c r="L750" s="67" t="s">
        <v>2001</v>
      </c>
      <c r="M750" s="67" t="s">
        <v>2002</v>
      </c>
      <c r="N750" s="60">
        <v>22.019314000000001</v>
      </c>
      <c r="O750" s="60">
        <v>91.943102999999994</v>
      </c>
      <c r="P750" s="62">
        <v>200</v>
      </c>
      <c r="Q750" s="62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38"/>
    </row>
    <row r="751" spans="1:36" x14ac:dyDescent="0.3">
      <c r="A751" s="77">
        <v>745</v>
      </c>
      <c r="B751" s="79" t="s">
        <v>2439</v>
      </c>
      <c r="C751" s="79" t="s">
        <v>117</v>
      </c>
      <c r="D751" s="65" t="s">
        <v>117</v>
      </c>
      <c r="E751" s="18" t="s">
        <v>101</v>
      </c>
      <c r="F751" s="18" t="s">
        <v>113</v>
      </c>
      <c r="G751" s="18" t="s">
        <v>49</v>
      </c>
      <c r="H751" s="38"/>
      <c r="I751" s="38"/>
      <c r="J751" s="38"/>
      <c r="K751" s="67" t="s">
        <v>2003</v>
      </c>
      <c r="L751" s="67" t="s">
        <v>2004</v>
      </c>
      <c r="M751" s="67" t="s">
        <v>2005</v>
      </c>
      <c r="N751" s="60">
        <v>22.020685</v>
      </c>
      <c r="O751" s="60">
        <v>91.942909</v>
      </c>
      <c r="P751" s="62">
        <v>150</v>
      </c>
      <c r="Q751" s="62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</row>
    <row r="752" spans="1:36" x14ac:dyDescent="0.3">
      <c r="A752" s="77">
        <v>746</v>
      </c>
      <c r="B752" s="79" t="s">
        <v>2439</v>
      </c>
      <c r="C752" s="79" t="s">
        <v>117</v>
      </c>
      <c r="D752" s="65" t="s">
        <v>117</v>
      </c>
      <c r="E752" s="18" t="s">
        <v>101</v>
      </c>
      <c r="F752" s="18" t="s">
        <v>113</v>
      </c>
      <c r="G752" s="18" t="s">
        <v>49</v>
      </c>
      <c r="H752" s="38"/>
      <c r="I752" s="38"/>
      <c r="J752" s="38"/>
      <c r="K752" s="67" t="s">
        <v>2006</v>
      </c>
      <c r="L752" s="67" t="s">
        <v>2007</v>
      </c>
      <c r="M752" s="67" t="s">
        <v>2008</v>
      </c>
      <c r="N752" s="60">
        <v>22.022886</v>
      </c>
      <c r="O752" s="60">
        <v>91.946479999999994</v>
      </c>
      <c r="P752" s="62">
        <v>100</v>
      </c>
      <c r="Q752" s="62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38"/>
    </row>
    <row r="753" spans="1:36" x14ac:dyDescent="0.3">
      <c r="A753" s="77">
        <v>747</v>
      </c>
      <c r="B753" s="79" t="s">
        <v>2439</v>
      </c>
      <c r="C753" s="79" t="s">
        <v>117</v>
      </c>
      <c r="D753" s="65" t="s">
        <v>117</v>
      </c>
      <c r="E753" s="18" t="s">
        <v>101</v>
      </c>
      <c r="F753" s="18" t="s">
        <v>114</v>
      </c>
      <c r="G753" s="18" t="s">
        <v>41</v>
      </c>
      <c r="H753" s="38"/>
      <c r="I753" s="38"/>
      <c r="J753" s="38"/>
      <c r="K753" s="18" t="s">
        <v>2009</v>
      </c>
      <c r="L753" s="66" t="s">
        <v>2010</v>
      </c>
      <c r="M753" s="18" t="s">
        <v>2011</v>
      </c>
      <c r="N753" s="60">
        <v>22.142063</v>
      </c>
      <c r="O753" s="60">
        <v>91.910336999999998</v>
      </c>
      <c r="P753" s="62">
        <v>360</v>
      </c>
      <c r="Q753" s="62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38"/>
    </row>
    <row r="754" spans="1:36" x14ac:dyDescent="0.3">
      <c r="A754" s="77">
        <v>748</v>
      </c>
      <c r="B754" s="79" t="s">
        <v>2439</v>
      </c>
      <c r="C754" s="79" t="s">
        <v>117</v>
      </c>
      <c r="D754" s="65" t="s">
        <v>117</v>
      </c>
      <c r="E754" s="18" t="s">
        <v>101</v>
      </c>
      <c r="F754" s="18" t="s">
        <v>114</v>
      </c>
      <c r="G754" s="18" t="s">
        <v>41</v>
      </c>
      <c r="H754" s="38"/>
      <c r="I754" s="38"/>
      <c r="J754" s="38"/>
      <c r="K754" s="18" t="s">
        <v>2012</v>
      </c>
      <c r="L754" s="18" t="s">
        <v>2013</v>
      </c>
      <c r="M754" s="18" t="s">
        <v>2014</v>
      </c>
      <c r="N754" s="60">
        <v>22.140302999999999</v>
      </c>
      <c r="O754" s="60">
        <v>91.908441999999994</v>
      </c>
      <c r="P754" s="62">
        <v>360</v>
      </c>
      <c r="Q754" s="62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38"/>
    </row>
    <row r="755" spans="1:36" x14ac:dyDescent="0.3">
      <c r="A755" s="77">
        <v>749</v>
      </c>
      <c r="B755" s="79" t="s">
        <v>2439</v>
      </c>
      <c r="C755" s="79" t="s">
        <v>117</v>
      </c>
      <c r="D755" s="65" t="s">
        <v>117</v>
      </c>
      <c r="E755" s="18" t="s">
        <v>101</v>
      </c>
      <c r="F755" s="18" t="s">
        <v>114</v>
      </c>
      <c r="G755" s="18" t="s">
        <v>41</v>
      </c>
      <c r="H755" s="38"/>
      <c r="I755" s="38"/>
      <c r="J755" s="38"/>
      <c r="K755" s="18" t="s">
        <v>2015</v>
      </c>
      <c r="L755" s="18" t="s">
        <v>2016</v>
      </c>
      <c r="M755" s="18" t="s">
        <v>2017</v>
      </c>
      <c r="N755" s="60">
        <v>22.138953000000001</v>
      </c>
      <c r="O755" s="60">
        <v>91.911602000000002</v>
      </c>
      <c r="P755" s="62">
        <v>600</v>
      </c>
      <c r="Q755" s="62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</row>
    <row r="756" spans="1:36" x14ac:dyDescent="0.3">
      <c r="A756" s="77">
        <v>750</v>
      </c>
      <c r="B756" s="79" t="s">
        <v>2439</v>
      </c>
      <c r="C756" s="79" t="s">
        <v>117</v>
      </c>
      <c r="D756" s="65" t="s">
        <v>117</v>
      </c>
      <c r="E756" s="18" t="s">
        <v>101</v>
      </c>
      <c r="F756" s="18" t="s">
        <v>114</v>
      </c>
      <c r="G756" s="18" t="s">
        <v>41</v>
      </c>
      <c r="H756" s="38"/>
      <c r="I756" s="38"/>
      <c r="J756" s="38"/>
      <c r="K756" s="18" t="s">
        <v>2018</v>
      </c>
      <c r="L756" s="18" t="s">
        <v>2019</v>
      </c>
      <c r="M756" s="18" t="s">
        <v>2020</v>
      </c>
      <c r="N756" s="60">
        <v>22.140542</v>
      </c>
      <c r="O756" s="60">
        <v>91.915554999999998</v>
      </c>
      <c r="P756" s="62">
        <v>500</v>
      </c>
      <c r="Q756" s="62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</row>
    <row r="757" spans="1:36" x14ac:dyDescent="0.3">
      <c r="A757" s="77">
        <v>751</v>
      </c>
      <c r="B757" s="79" t="s">
        <v>2439</v>
      </c>
      <c r="C757" s="79" t="s">
        <v>117</v>
      </c>
      <c r="D757" s="65" t="s">
        <v>117</v>
      </c>
      <c r="E757" s="18" t="s">
        <v>101</v>
      </c>
      <c r="F757" s="18" t="s">
        <v>114</v>
      </c>
      <c r="G757" s="18" t="s">
        <v>41</v>
      </c>
      <c r="H757" s="38"/>
      <c r="I757" s="38"/>
      <c r="J757" s="38"/>
      <c r="K757" s="18" t="s">
        <v>57</v>
      </c>
      <c r="L757" s="18" t="s">
        <v>78</v>
      </c>
      <c r="M757" s="18" t="s">
        <v>2021</v>
      </c>
      <c r="N757" s="60">
        <v>22.138456000000001</v>
      </c>
      <c r="O757" s="60">
        <v>91.919510000000002</v>
      </c>
      <c r="P757" s="62">
        <v>700</v>
      </c>
      <c r="Q757" s="62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38"/>
    </row>
    <row r="758" spans="1:36" x14ac:dyDescent="0.3">
      <c r="A758" s="77">
        <v>752</v>
      </c>
      <c r="B758" s="79" t="s">
        <v>2439</v>
      </c>
      <c r="C758" s="79" t="s">
        <v>117</v>
      </c>
      <c r="D758" s="65" t="s">
        <v>117</v>
      </c>
      <c r="E758" s="18" t="s">
        <v>101</v>
      </c>
      <c r="F758" s="18" t="s">
        <v>114</v>
      </c>
      <c r="G758" s="18" t="s">
        <v>41</v>
      </c>
      <c r="H758" s="38"/>
      <c r="I758" s="38"/>
      <c r="J758" s="38"/>
      <c r="K758" s="18" t="s">
        <v>2022</v>
      </c>
      <c r="L758" s="18" t="s">
        <v>2023</v>
      </c>
      <c r="M758" s="18" t="s">
        <v>2024</v>
      </c>
      <c r="N758" s="60">
        <v>22.134736</v>
      </c>
      <c r="O758" s="60">
        <v>91.918662999999995</v>
      </c>
      <c r="P758" s="62">
        <v>800</v>
      </c>
      <c r="Q758" s="62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</row>
    <row r="759" spans="1:36" x14ac:dyDescent="0.3">
      <c r="A759" s="77">
        <v>753</v>
      </c>
      <c r="B759" s="79" t="s">
        <v>2439</v>
      </c>
      <c r="C759" s="79" t="s">
        <v>117</v>
      </c>
      <c r="D759" s="65" t="s">
        <v>117</v>
      </c>
      <c r="E759" s="18" t="s">
        <v>101</v>
      </c>
      <c r="F759" s="18" t="s">
        <v>114</v>
      </c>
      <c r="G759" s="18" t="s">
        <v>41</v>
      </c>
      <c r="H759" s="38"/>
      <c r="I759" s="38"/>
      <c r="J759" s="38"/>
      <c r="K759" s="18" t="s">
        <v>2025</v>
      </c>
      <c r="L759" s="18" t="s">
        <v>2026</v>
      </c>
      <c r="M759" s="18" t="s">
        <v>2027</v>
      </c>
      <c r="N759" s="60">
        <v>22.136253</v>
      </c>
      <c r="O759" s="60">
        <v>91.913034999999994</v>
      </c>
      <c r="P759" s="62">
        <v>1200</v>
      </c>
      <c r="Q759" s="62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</row>
    <row r="760" spans="1:36" x14ac:dyDescent="0.3">
      <c r="A760" s="77">
        <v>754</v>
      </c>
      <c r="B760" s="79" t="s">
        <v>2439</v>
      </c>
      <c r="C760" s="79" t="s">
        <v>117</v>
      </c>
      <c r="D760" s="65" t="s">
        <v>117</v>
      </c>
      <c r="E760" s="18" t="s">
        <v>101</v>
      </c>
      <c r="F760" s="18" t="s">
        <v>114</v>
      </c>
      <c r="G760" s="18" t="s">
        <v>41</v>
      </c>
      <c r="H760" s="38"/>
      <c r="I760" s="38"/>
      <c r="J760" s="38"/>
      <c r="K760" s="18" t="s">
        <v>2028</v>
      </c>
      <c r="L760" s="18" t="s">
        <v>2029</v>
      </c>
      <c r="M760" s="18" t="s">
        <v>2030</v>
      </c>
      <c r="N760" s="60">
        <v>22.134433000000001</v>
      </c>
      <c r="O760" s="60">
        <v>91.913488999999998</v>
      </c>
      <c r="P760" s="62">
        <v>1000</v>
      </c>
      <c r="Q760" s="62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</row>
    <row r="761" spans="1:36" x14ac:dyDescent="0.3">
      <c r="A761" s="77">
        <v>755</v>
      </c>
      <c r="B761" s="79" t="s">
        <v>2439</v>
      </c>
      <c r="C761" s="79" t="s">
        <v>117</v>
      </c>
      <c r="D761" s="65" t="s">
        <v>117</v>
      </c>
      <c r="E761" s="18" t="s">
        <v>101</v>
      </c>
      <c r="F761" s="18" t="s">
        <v>114</v>
      </c>
      <c r="G761" s="18" t="s">
        <v>42</v>
      </c>
      <c r="H761" s="38"/>
      <c r="I761" s="38"/>
      <c r="J761" s="38"/>
      <c r="K761" s="18" t="s">
        <v>2031</v>
      </c>
      <c r="L761" s="18" t="s">
        <v>2032</v>
      </c>
      <c r="M761" s="18" t="s">
        <v>2033</v>
      </c>
      <c r="N761" s="60">
        <v>22.140848999999999</v>
      </c>
      <c r="O761" s="60">
        <v>91.902096999999998</v>
      </c>
      <c r="P761" s="62">
        <v>800</v>
      </c>
      <c r="Q761" s="62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</row>
    <row r="762" spans="1:36" x14ac:dyDescent="0.3">
      <c r="A762" s="77">
        <v>756</v>
      </c>
      <c r="B762" s="79" t="s">
        <v>2439</v>
      </c>
      <c r="C762" s="79" t="s">
        <v>117</v>
      </c>
      <c r="D762" s="65" t="s">
        <v>117</v>
      </c>
      <c r="E762" s="18" t="s">
        <v>101</v>
      </c>
      <c r="F762" s="18" t="s">
        <v>114</v>
      </c>
      <c r="G762" s="18" t="s">
        <v>42</v>
      </c>
      <c r="H762" s="38"/>
      <c r="I762" s="38"/>
      <c r="J762" s="38"/>
      <c r="K762" s="18" t="s">
        <v>2034</v>
      </c>
      <c r="L762" s="18" t="s">
        <v>2035</v>
      </c>
      <c r="M762" s="18" t="s">
        <v>2036</v>
      </c>
      <c r="N762" s="60">
        <v>22.137786999999999</v>
      </c>
      <c r="O762" s="60">
        <v>91.903165000000001</v>
      </c>
      <c r="P762" s="62">
        <v>1000</v>
      </c>
      <c r="Q762" s="62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</row>
    <row r="763" spans="1:36" x14ac:dyDescent="0.3">
      <c r="A763" s="77">
        <v>757</v>
      </c>
      <c r="B763" s="79" t="s">
        <v>2439</v>
      </c>
      <c r="C763" s="79" t="s">
        <v>117</v>
      </c>
      <c r="D763" s="65" t="s">
        <v>117</v>
      </c>
      <c r="E763" s="18" t="s">
        <v>101</v>
      </c>
      <c r="F763" s="18" t="s">
        <v>114</v>
      </c>
      <c r="G763" s="18" t="s">
        <v>42</v>
      </c>
      <c r="H763" s="38"/>
      <c r="I763" s="38"/>
      <c r="J763" s="38"/>
      <c r="K763" s="67" t="s">
        <v>205</v>
      </c>
      <c r="L763" s="18" t="s">
        <v>206</v>
      </c>
      <c r="M763" s="18" t="s">
        <v>2037</v>
      </c>
      <c r="N763" s="60">
        <v>22.134912</v>
      </c>
      <c r="O763" s="60">
        <v>91.905833999999999</v>
      </c>
      <c r="P763" s="62">
        <v>250</v>
      </c>
      <c r="Q763" s="62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</row>
    <row r="764" spans="1:36" x14ac:dyDescent="0.3">
      <c r="A764" s="77">
        <v>758</v>
      </c>
      <c r="B764" s="79" t="s">
        <v>2439</v>
      </c>
      <c r="C764" s="79" t="s">
        <v>117</v>
      </c>
      <c r="D764" s="65" t="s">
        <v>117</v>
      </c>
      <c r="E764" s="18" t="s">
        <v>101</v>
      </c>
      <c r="F764" s="18" t="s">
        <v>114</v>
      </c>
      <c r="G764" s="18" t="s">
        <v>42</v>
      </c>
      <c r="H764" s="38"/>
      <c r="I764" s="38"/>
      <c r="J764" s="38"/>
      <c r="K764" s="18" t="s">
        <v>2038</v>
      </c>
      <c r="L764" s="18" t="s">
        <v>2039</v>
      </c>
      <c r="M764" s="18" t="s">
        <v>2040</v>
      </c>
      <c r="N764" s="60">
        <v>22.127634</v>
      </c>
      <c r="O764" s="60">
        <v>91.915267999999998</v>
      </c>
      <c r="P764" s="62">
        <v>200</v>
      </c>
      <c r="Q764" s="62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</row>
    <row r="765" spans="1:36" x14ac:dyDescent="0.3">
      <c r="A765" s="77">
        <v>759</v>
      </c>
      <c r="B765" s="79" t="s">
        <v>2439</v>
      </c>
      <c r="C765" s="79" t="s">
        <v>117</v>
      </c>
      <c r="D765" s="65" t="s">
        <v>117</v>
      </c>
      <c r="E765" s="18" t="s">
        <v>101</v>
      </c>
      <c r="F765" s="18" t="s">
        <v>114</v>
      </c>
      <c r="G765" s="18" t="s">
        <v>42</v>
      </c>
      <c r="H765" s="38"/>
      <c r="I765" s="38"/>
      <c r="J765" s="38"/>
      <c r="K765" s="18" t="s">
        <v>76</v>
      </c>
      <c r="L765" s="18" t="s">
        <v>1278</v>
      </c>
      <c r="M765" s="18" t="s">
        <v>2041</v>
      </c>
      <c r="N765" s="60">
        <v>22.130071999999998</v>
      </c>
      <c r="O765" s="60">
        <v>91.915696999999994</v>
      </c>
      <c r="P765" s="62">
        <v>600</v>
      </c>
      <c r="Q765" s="62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</row>
    <row r="766" spans="1:36" x14ac:dyDescent="0.3">
      <c r="A766" s="77">
        <v>760</v>
      </c>
      <c r="B766" s="79" t="s">
        <v>2439</v>
      </c>
      <c r="C766" s="79" t="s">
        <v>117</v>
      </c>
      <c r="D766" s="65" t="s">
        <v>117</v>
      </c>
      <c r="E766" s="18" t="s">
        <v>101</v>
      </c>
      <c r="F766" s="18" t="s">
        <v>114</v>
      </c>
      <c r="G766" s="18" t="s">
        <v>42</v>
      </c>
      <c r="H766" s="38"/>
      <c r="I766" s="38"/>
      <c r="J766" s="38"/>
      <c r="K766" s="18" t="s">
        <v>2042</v>
      </c>
      <c r="L766" s="18" t="s">
        <v>2043</v>
      </c>
      <c r="M766" s="18" t="s">
        <v>2044</v>
      </c>
      <c r="N766" s="60">
        <v>22.128761999999998</v>
      </c>
      <c r="O766" s="60">
        <v>91.917195000000007</v>
      </c>
      <c r="P766" s="62">
        <v>350</v>
      </c>
      <c r="Q766" s="62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</row>
    <row r="767" spans="1:36" x14ac:dyDescent="0.3">
      <c r="A767" s="77">
        <v>761</v>
      </c>
      <c r="B767" s="79" t="s">
        <v>2439</v>
      </c>
      <c r="C767" s="79" t="s">
        <v>117</v>
      </c>
      <c r="D767" s="65" t="s">
        <v>117</v>
      </c>
      <c r="E767" s="18" t="s">
        <v>101</v>
      </c>
      <c r="F767" s="18" t="s">
        <v>114</v>
      </c>
      <c r="G767" s="18" t="s">
        <v>42</v>
      </c>
      <c r="H767" s="38"/>
      <c r="I767" s="38"/>
      <c r="J767" s="38"/>
      <c r="K767" s="18" t="s">
        <v>97</v>
      </c>
      <c r="L767" s="18" t="s">
        <v>979</v>
      </c>
      <c r="M767" s="18" t="s">
        <v>2045</v>
      </c>
      <c r="N767" s="60">
        <v>22.129345000000001</v>
      </c>
      <c r="O767" s="60">
        <v>91.918774999999997</v>
      </c>
      <c r="P767" s="62">
        <v>250</v>
      </c>
      <c r="Q767" s="62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</row>
    <row r="768" spans="1:36" x14ac:dyDescent="0.3">
      <c r="A768" s="77">
        <v>762</v>
      </c>
      <c r="B768" s="79" t="s">
        <v>2439</v>
      </c>
      <c r="C768" s="79" t="s">
        <v>117</v>
      </c>
      <c r="D768" s="65" t="s">
        <v>117</v>
      </c>
      <c r="E768" s="18" t="s">
        <v>101</v>
      </c>
      <c r="F768" s="18" t="s">
        <v>114</v>
      </c>
      <c r="G768" s="18" t="s">
        <v>42</v>
      </c>
      <c r="H768" s="38"/>
      <c r="I768" s="38"/>
      <c r="J768" s="38"/>
      <c r="K768" s="18" t="s">
        <v>2046</v>
      </c>
      <c r="L768" s="18" t="s">
        <v>2047</v>
      </c>
      <c r="M768" s="18" t="s">
        <v>2048</v>
      </c>
      <c r="N768" s="60">
        <v>22.131540000000001</v>
      </c>
      <c r="O768" s="60">
        <v>91.918325999999993</v>
      </c>
      <c r="P768" s="62">
        <v>200</v>
      </c>
      <c r="Q768" s="62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</row>
    <row r="769" spans="1:36" x14ac:dyDescent="0.3">
      <c r="A769" s="77">
        <v>763</v>
      </c>
      <c r="B769" s="79" t="s">
        <v>2439</v>
      </c>
      <c r="C769" s="79" t="s">
        <v>117</v>
      </c>
      <c r="D769" s="65" t="s">
        <v>117</v>
      </c>
      <c r="E769" s="18" t="s">
        <v>101</v>
      </c>
      <c r="F769" s="18" t="s">
        <v>114</v>
      </c>
      <c r="G769" s="18" t="s">
        <v>42</v>
      </c>
      <c r="H769" s="38"/>
      <c r="I769" s="38"/>
      <c r="J769" s="38"/>
      <c r="K769" s="18" t="s">
        <v>2049</v>
      </c>
      <c r="L769" s="18" t="s">
        <v>2050</v>
      </c>
      <c r="M769" s="18" t="s">
        <v>2051</v>
      </c>
      <c r="N769" s="60">
        <v>22.13165</v>
      </c>
      <c r="O769" s="60">
        <v>91.910814999999999</v>
      </c>
      <c r="P769" s="62">
        <v>350</v>
      </c>
      <c r="Q769" s="62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</row>
    <row r="770" spans="1:36" x14ac:dyDescent="0.3">
      <c r="A770" s="77">
        <v>764</v>
      </c>
      <c r="B770" s="79" t="s">
        <v>2439</v>
      </c>
      <c r="C770" s="79" t="s">
        <v>117</v>
      </c>
      <c r="D770" s="65" t="s">
        <v>117</v>
      </c>
      <c r="E770" s="18" t="s">
        <v>101</v>
      </c>
      <c r="F770" s="18" t="s">
        <v>114</v>
      </c>
      <c r="G770" s="18" t="s">
        <v>42</v>
      </c>
      <c r="H770" s="38"/>
      <c r="I770" s="38"/>
      <c r="J770" s="38"/>
      <c r="K770" s="18" t="s">
        <v>51</v>
      </c>
      <c r="L770" s="18" t="s">
        <v>77</v>
      </c>
      <c r="M770" s="18" t="s">
        <v>2052</v>
      </c>
      <c r="N770" s="60">
        <v>22.131737000000001</v>
      </c>
      <c r="O770" s="60">
        <v>91.912452999999999</v>
      </c>
      <c r="P770" s="62">
        <v>300</v>
      </c>
      <c r="Q770" s="62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38"/>
    </row>
    <row r="771" spans="1:36" x14ac:dyDescent="0.3">
      <c r="A771" s="77">
        <v>765</v>
      </c>
      <c r="B771" s="79" t="s">
        <v>2439</v>
      </c>
      <c r="C771" s="79" t="s">
        <v>117</v>
      </c>
      <c r="D771" s="65" t="s">
        <v>117</v>
      </c>
      <c r="E771" s="18" t="s">
        <v>101</v>
      </c>
      <c r="F771" s="18" t="s">
        <v>114</v>
      </c>
      <c r="G771" s="18" t="s">
        <v>42</v>
      </c>
      <c r="H771" s="38"/>
      <c r="I771" s="38"/>
      <c r="J771" s="38"/>
      <c r="K771" s="18" t="s">
        <v>2053</v>
      </c>
      <c r="L771" s="18" t="s">
        <v>2054</v>
      </c>
      <c r="M771" s="18" t="s">
        <v>2055</v>
      </c>
      <c r="N771" s="60">
        <v>22.132535000000001</v>
      </c>
      <c r="O771" s="60">
        <v>91.912762999999998</v>
      </c>
      <c r="P771" s="62">
        <v>800</v>
      </c>
      <c r="Q771" s="62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38"/>
    </row>
    <row r="772" spans="1:36" x14ac:dyDescent="0.3">
      <c r="A772" s="77">
        <v>766</v>
      </c>
      <c r="B772" s="79" t="s">
        <v>2439</v>
      </c>
      <c r="C772" s="79" t="s">
        <v>117</v>
      </c>
      <c r="D772" s="65" t="s">
        <v>117</v>
      </c>
      <c r="E772" s="18" t="s">
        <v>101</v>
      </c>
      <c r="F772" s="18" t="s">
        <v>114</v>
      </c>
      <c r="G772" s="18" t="s">
        <v>43</v>
      </c>
      <c r="H772" s="38"/>
      <c r="I772" s="38"/>
      <c r="J772" s="38"/>
      <c r="K772" s="18" t="s">
        <v>2056</v>
      </c>
      <c r="L772" s="18" t="s">
        <v>2057</v>
      </c>
      <c r="M772" s="18" t="s">
        <v>2058</v>
      </c>
      <c r="N772" s="60">
        <v>22.122744000000001</v>
      </c>
      <c r="O772" s="60">
        <v>91.908597999999998</v>
      </c>
      <c r="P772" s="62">
        <v>50</v>
      </c>
      <c r="Q772" s="62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</row>
    <row r="773" spans="1:36" x14ac:dyDescent="0.3">
      <c r="A773" s="77">
        <v>767</v>
      </c>
      <c r="B773" s="79" t="s">
        <v>2439</v>
      </c>
      <c r="C773" s="79" t="s">
        <v>117</v>
      </c>
      <c r="D773" s="65" t="s">
        <v>117</v>
      </c>
      <c r="E773" s="18" t="s">
        <v>101</v>
      </c>
      <c r="F773" s="18" t="s">
        <v>114</v>
      </c>
      <c r="G773" s="18" t="s">
        <v>43</v>
      </c>
      <c r="H773" s="38"/>
      <c r="I773" s="38"/>
      <c r="J773" s="38"/>
      <c r="K773" s="18" t="s">
        <v>55</v>
      </c>
      <c r="L773" s="18" t="s">
        <v>1258</v>
      </c>
      <c r="M773" s="18" t="s">
        <v>2059</v>
      </c>
      <c r="N773" s="60">
        <v>22.117756</v>
      </c>
      <c r="O773" s="60">
        <v>91.901560000000003</v>
      </c>
      <c r="P773" s="62">
        <v>600</v>
      </c>
      <c r="Q773" s="62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</row>
    <row r="774" spans="1:36" x14ac:dyDescent="0.3">
      <c r="A774" s="77">
        <v>768</v>
      </c>
      <c r="B774" s="79" t="s">
        <v>2439</v>
      </c>
      <c r="C774" s="79" t="s">
        <v>117</v>
      </c>
      <c r="D774" s="65" t="s">
        <v>117</v>
      </c>
      <c r="E774" s="18" t="s">
        <v>101</v>
      </c>
      <c r="F774" s="18" t="s">
        <v>114</v>
      </c>
      <c r="G774" s="18" t="s">
        <v>43</v>
      </c>
      <c r="H774" s="38"/>
      <c r="I774" s="38"/>
      <c r="J774" s="38"/>
      <c r="K774" s="18" t="s">
        <v>2060</v>
      </c>
      <c r="L774" s="18" t="s">
        <v>2061</v>
      </c>
      <c r="M774" s="18" t="s">
        <v>2062</v>
      </c>
      <c r="N774" s="60">
        <v>22.117213</v>
      </c>
      <c r="O774" s="60">
        <v>91.902835999999994</v>
      </c>
      <c r="P774" s="62">
        <v>400</v>
      </c>
      <c r="Q774" s="62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38"/>
    </row>
    <row r="775" spans="1:36" x14ac:dyDescent="0.3">
      <c r="A775" s="77">
        <v>769</v>
      </c>
      <c r="B775" s="79" t="s">
        <v>2439</v>
      </c>
      <c r="C775" s="79" t="s">
        <v>117</v>
      </c>
      <c r="D775" s="65" t="s">
        <v>117</v>
      </c>
      <c r="E775" s="18" t="s">
        <v>101</v>
      </c>
      <c r="F775" s="18" t="s">
        <v>114</v>
      </c>
      <c r="G775" s="18" t="s">
        <v>43</v>
      </c>
      <c r="H775" s="38"/>
      <c r="I775" s="38"/>
      <c r="J775" s="38"/>
      <c r="K775" s="18" t="s">
        <v>2063</v>
      </c>
      <c r="L775" s="18" t="s">
        <v>2064</v>
      </c>
      <c r="M775" s="18" t="s">
        <v>2065</v>
      </c>
      <c r="N775" s="60">
        <v>22.115580000000001</v>
      </c>
      <c r="O775" s="60">
        <v>91.904734000000005</v>
      </c>
      <c r="P775" s="62">
        <v>800</v>
      </c>
      <c r="Q775" s="62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38"/>
    </row>
    <row r="776" spans="1:36" x14ac:dyDescent="0.3">
      <c r="A776" s="77">
        <v>770</v>
      </c>
      <c r="B776" s="79" t="s">
        <v>2439</v>
      </c>
      <c r="C776" s="79" t="s">
        <v>117</v>
      </c>
      <c r="D776" s="65" t="s">
        <v>117</v>
      </c>
      <c r="E776" s="18" t="s">
        <v>101</v>
      </c>
      <c r="F776" s="18" t="s">
        <v>114</v>
      </c>
      <c r="G776" s="18" t="s">
        <v>43</v>
      </c>
      <c r="H776" s="38"/>
      <c r="I776" s="38"/>
      <c r="J776" s="38"/>
      <c r="K776" s="18" t="s">
        <v>2066</v>
      </c>
      <c r="L776" s="18" t="s">
        <v>2067</v>
      </c>
      <c r="M776" s="18" t="s">
        <v>2068</v>
      </c>
      <c r="N776" s="60">
        <v>22.113382000000001</v>
      </c>
      <c r="O776" s="60">
        <v>91.909288000000004</v>
      </c>
      <c r="P776" s="62">
        <v>400</v>
      </c>
      <c r="Q776" s="62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38"/>
    </row>
    <row r="777" spans="1:36" x14ac:dyDescent="0.3">
      <c r="A777" s="77">
        <v>771</v>
      </c>
      <c r="B777" s="79" t="s">
        <v>2439</v>
      </c>
      <c r="C777" s="79" t="s">
        <v>117</v>
      </c>
      <c r="D777" s="65" t="s">
        <v>117</v>
      </c>
      <c r="E777" s="18" t="s">
        <v>101</v>
      </c>
      <c r="F777" s="18" t="s">
        <v>114</v>
      </c>
      <c r="G777" s="18" t="s">
        <v>43</v>
      </c>
      <c r="H777" s="38"/>
      <c r="I777" s="38"/>
      <c r="J777" s="38"/>
      <c r="K777" s="18" t="s">
        <v>2069</v>
      </c>
      <c r="L777" s="18" t="s">
        <v>2070</v>
      </c>
      <c r="M777" s="18" t="s">
        <v>2071</v>
      </c>
      <c r="N777" s="60">
        <v>22.110634000000001</v>
      </c>
      <c r="O777" s="60">
        <v>91.907848000000001</v>
      </c>
      <c r="P777" s="62">
        <v>300</v>
      </c>
      <c r="Q777" s="62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38"/>
    </row>
    <row r="778" spans="1:36" x14ac:dyDescent="0.3">
      <c r="A778" s="77">
        <v>772</v>
      </c>
      <c r="B778" s="79" t="s">
        <v>2439</v>
      </c>
      <c r="C778" s="79" t="s">
        <v>117</v>
      </c>
      <c r="D778" s="65" t="s">
        <v>117</v>
      </c>
      <c r="E778" s="18" t="s">
        <v>101</v>
      </c>
      <c r="F778" s="18" t="s">
        <v>114</v>
      </c>
      <c r="G778" s="18" t="s">
        <v>44</v>
      </c>
      <c r="H778" s="38"/>
      <c r="I778" s="38"/>
      <c r="J778" s="38"/>
      <c r="K778" s="18" t="s">
        <v>2072</v>
      </c>
      <c r="L778" s="18" t="s">
        <v>2073</v>
      </c>
      <c r="M778" s="18" t="s">
        <v>2074</v>
      </c>
      <c r="N778" s="60">
        <v>22.123417</v>
      </c>
      <c r="O778" s="60">
        <v>91.908771999999999</v>
      </c>
      <c r="P778" s="62">
        <v>250</v>
      </c>
      <c r="Q778" s="62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38"/>
    </row>
    <row r="779" spans="1:36" x14ac:dyDescent="0.3">
      <c r="A779" s="77">
        <v>773</v>
      </c>
      <c r="B779" s="79" t="s">
        <v>2439</v>
      </c>
      <c r="C779" s="79" t="s">
        <v>117</v>
      </c>
      <c r="D779" s="65" t="s">
        <v>117</v>
      </c>
      <c r="E779" s="18" t="s">
        <v>101</v>
      </c>
      <c r="F779" s="18" t="s">
        <v>114</v>
      </c>
      <c r="G779" s="18" t="s">
        <v>44</v>
      </c>
      <c r="H779" s="38"/>
      <c r="I779" s="38"/>
      <c r="J779" s="38"/>
      <c r="K779" s="18" t="s">
        <v>2075</v>
      </c>
      <c r="L779" s="18" t="s">
        <v>2076</v>
      </c>
      <c r="M779" s="18" t="s">
        <v>2077</v>
      </c>
      <c r="N779" s="60">
        <v>22.125228</v>
      </c>
      <c r="O779" s="60">
        <v>91.922623999999999</v>
      </c>
      <c r="P779" s="62">
        <v>150</v>
      </c>
      <c r="Q779" s="62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38"/>
    </row>
    <row r="780" spans="1:36" x14ac:dyDescent="0.3">
      <c r="A780" s="77">
        <v>774</v>
      </c>
      <c r="B780" s="79" t="s">
        <v>2439</v>
      </c>
      <c r="C780" s="79" t="s">
        <v>117</v>
      </c>
      <c r="D780" s="65" t="s">
        <v>117</v>
      </c>
      <c r="E780" s="18" t="s">
        <v>101</v>
      </c>
      <c r="F780" s="18" t="s">
        <v>114</v>
      </c>
      <c r="G780" s="18" t="s">
        <v>44</v>
      </c>
      <c r="H780" s="38"/>
      <c r="I780" s="38"/>
      <c r="J780" s="38"/>
      <c r="K780" s="18" t="s">
        <v>2078</v>
      </c>
      <c r="L780" s="18" t="s">
        <v>2079</v>
      </c>
      <c r="M780" s="18" t="s">
        <v>2080</v>
      </c>
      <c r="N780" s="60">
        <v>22.123930000000001</v>
      </c>
      <c r="O780" s="60">
        <v>91.919340000000005</v>
      </c>
      <c r="P780" s="62">
        <v>1300</v>
      </c>
      <c r="Q780" s="62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38"/>
    </row>
    <row r="781" spans="1:36" x14ac:dyDescent="0.3">
      <c r="A781" s="77">
        <v>775</v>
      </c>
      <c r="B781" s="79" t="s">
        <v>2439</v>
      </c>
      <c r="C781" s="79" t="s">
        <v>117</v>
      </c>
      <c r="D781" s="65" t="s">
        <v>117</v>
      </c>
      <c r="E781" s="18" t="s">
        <v>101</v>
      </c>
      <c r="F781" s="18" t="s">
        <v>114</v>
      </c>
      <c r="G781" s="18" t="s">
        <v>44</v>
      </c>
      <c r="H781" s="38"/>
      <c r="I781" s="38"/>
      <c r="J781" s="38"/>
      <c r="K781" s="18" t="s">
        <v>208</v>
      </c>
      <c r="L781" s="18" t="s">
        <v>209</v>
      </c>
      <c r="M781" s="18" t="s">
        <v>2081</v>
      </c>
      <c r="N781" s="60">
        <v>22.125613999999999</v>
      </c>
      <c r="O781" s="60">
        <v>91.918620000000004</v>
      </c>
      <c r="P781" s="62">
        <v>500</v>
      </c>
      <c r="Q781" s="62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38"/>
    </row>
    <row r="782" spans="1:36" x14ac:dyDescent="0.3">
      <c r="A782" s="77">
        <v>776</v>
      </c>
      <c r="B782" s="79" t="s">
        <v>2439</v>
      </c>
      <c r="C782" s="79" t="s">
        <v>117</v>
      </c>
      <c r="D782" s="65" t="s">
        <v>117</v>
      </c>
      <c r="E782" s="18" t="s">
        <v>101</v>
      </c>
      <c r="F782" s="18" t="s">
        <v>114</v>
      </c>
      <c r="G782" s="18" t="s">
        <v>44</v>
      </c>
      <c r="H782" s="38"/>
      <c r="I782" s="38"/>
      <c r="J782" s="38"/>
      <c r="K782" s="18" t="s">
        <v>2082</v>
      </c>
      <c r="L782" s="18" t="s">
        <v>2083</v>
      </c>
      <c r="M782" s="18" t="s">
        <v>2084</v>
      </c>
      <c r="N782" s="60">
        <v>22.127413000000001</v>
      </c>
      <c r="O782" s="60">
        <v>91.924347999999995</v>
      </c>
      <c r="P782" s="62">
        <v>1200</v>
      </c>
      <c r="Q782" s="62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38"/>
    </row>
    <row r="783" spans="1:36" x14ac:dyDescent="0.3">
      <c r="A783" s="77">
        <v>777</v>
      </c>
      <c r="B783" s="79" t="s">
        <v>2439</v>
      </c>
      <c r="C783" s="79" t="s">
        <v>117</v>
      </c>
      <c r="D783" s="65" t="s">
        <v>117</v>
      </c>
      <c r="E783" s="18" t="s">
        <v>101</v>
      </c>
      <c r="F783" s="18" t="s">
        <v>114</v>
      </c>
      <c r="G783" s="18" t="s">
        <v>44</v>
      </c>
      <c r="H783" s="38"/>
      <c r="I783" s="38"/>
      <c r="J783" s="38"/>
      <c r="K783" s="18" t="s">
        <v>2085</v>
      </c>
      <c r="L783" s="18" t="s">
        <v>2086</v>
      </c>
      <c r="M783" s="18" t="s">
        <v>2087</v>
      </c>
      <c r="N783" s="60">
        <v>22.128664000000001</v>
      </c>
      <c r="O783" s="60">
        <v>91.920897999999994</v>
      </c>
      <c r="P783" s="62">
        <v>800</v>
      </c>
      <c r="Q783" s="62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38"/>
    </row>
    <row r="784" spans="1:36" x14ac:dyDescent="0.3">
      <c r="A784" s="77">
        <v>778</v>
      </c>
      <c r="B784" s="79" t="s">
        <v>2439</v>
      </c>
      <c r="C784" s="79" t="s">
        <v>117</v>
      </c>
      <c r="D784" s="65" t="s">
        <v>117</v>
      </c>
      <c r="E784" s="18" t="s">
        <v>101</v>
      </c>
      <c r="F784" s="18" t="s">
        <v>114</v>
      </c>
      <c r="G784" s="18" t="s">
        <v>44</v>
      </c>
      <c r="H784" s="38"/>
      <c r="I784" s="38"/>
      <c r="J784" s="38"/>
      <c r="K784" s="18" t="s">
        <v>2088</v>
      </c>
      <c r="L784" s="18" t="s">
        <v>2089</v>
      </c>
      <c r="M784" s="18" t="s">
        <v>2090</v>
      </c>
      <c r="N784" s="60">
        <v>22.127811000000001</v>
      </c>
      <c r="O784" s="60">
        <v>91.918602000000007</v>
      </c>
      <c r="P784" s="62">
        <v>500</v>
      </c>
      <c r="Q784" s="62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38"/>
    </row>
    <row r="785" spans="1:36" x14ac:dyDescent="0.3">
      <c r="A785" s="77">
        <v>779</v>
      </c>
      <c r="B785" s="79" t="s">
        <v>2439</v>
      </c>
      <c r="C785" s="79" t="s">
        <v>117</v>
      </c>
      <c r="D785" s="65" t="s">
        <v>117</v>
      </c>
      <c r="E785" s="18" t="s">
        <v>101</v>
      </c>
      <c r="F785" s="18" t="s">
        <v>114</v>
      </c>
      <c r="G785" s="18" t="s">
        <v>44</v>
      </c>
      <c r="H785" s="38"/>
      <c r="I785" s="38"/>
      <c r="J785" s="38"/>
      <c r="K785" s="18" t="s">
        <v>2091</v>
      </c>
      <c r="L785" s="18" t="s">
        <v>2092</v>
      </c>
      <c r="M785" s="18" t="s">
        <v>2093</v>
      </c>
      <c r="N785" s="60">
        <v>22.126525000000001</v>
      </c>
      <c r="O785" s="60">
        <v>91.911467000000002</v>
      </c>
      <c r="P785" s="62">
        <v>500</v>
      </c>
      <c r="Q785" s="62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38"/>
    </row>
    <row r="786" spans="1:36" x14ac:dyDescent="0.3">
      <c r="A786" s="77">
        <v>780</v>
      </c>
      <c r="B786" s="79" t="s">
        <v>2439</v>
      </c>
      <c r="C786" s="79" t="s">
        <v>117</v>
      </c>
      <c r="D786" s="65" t="s">
        <v>117</v>
      </c>
      <c r="E786" s="18" t="s">
        <v>101</v>
      </c>
      <c r="F786" s="18" t="s">
        <v>114</v>
      </c>
      <c r="G786" s="18" t="s">
        <v>44</v>
      </c>
      <c r="H786" s="38"/>
      <c r="I786" s="38"/>
      <c r="J786" s="38"/>
      <c r="K786" s="18" t="s">
        <v>2094</v>
      </c>
      <c r="L786" s="18" t="s">
        <v>2095</v>
      </c>
      <c r="M786" s="18" t="s">
        <v>2096</v>
      </c>
      <c r="N786" s="60">
        <v>22.125309999999999</v>
      </c>
      <c r="O786" s="60">
        <v>91.915087</v>
      </c>
      <c r="P786" s="62">
        <v>1400</v>
      </c>
      <c r="Q786" s="62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38"/>
    </row>
    <row r="787" spans="1:36" x14ac:dyDescent="0.3">
      <c r="A787" s="77">
        <v>781</v>
      </c>
      <c r="B787" s="79" t="s">
        <v>2439</v>
      </c>
      <c r="C787" s="79" t="s">
        <v>117</v>
      </c>
      <c r="D787" s="65" t="s">
        <v>117</v>
      </c>
      <c r="E787" s="18" t="s">
        <v>101</v>
      </c>
      <c r="F787" s="18" t="s">
        <v>114</v>
      </c>
      <c r="G787" s="18" t="s">
        <v>44</v>
      </c>
      <c r="H787" s="38"/>
      <c r="I787" s="38"/>
      <c r="J787" s="38"/>
      <c r="K787" s="18" t="s">
        <v>71</v>
      </c>
      <c r="L787" s="18" t="s">
        <v>2097</v>
      </c>
      <c r="M787" s="18" t="s">
        <v>2098</v>
      </c>
      <c r="N787" s="60">
        <v>22.127210999999999</v>
      </c>
      <c r="O787" s="60">
        <v>91.917399000000003</v>
      </c>
      <c r="P787" s="62">
        <v>500</v>
      </c>
      <c r="Q787" s="62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38"/>
    </row>
    <row r="788" spans="1:36" x14ac:dyDescent="0.3">
      <c r="A788" s="77">
        <v>782</v>
      </c>
      <c r="B788" s="79" t="s">
        <v>2439</v>
      </c>
      <c r="C788" s="79" t="s">
        <v>117</v>
      </c>
      <c r="D788" s="65" t="s">
        <v>117</v>
      </c>
      <c r="E788" s="18" t="s">
        <v>101</v>
      </c>
      <c r="F788" s="18" t="s">
        <v>114</v>
      </c>
      <c r="G788" s="18" t="s">
        <v>45</v>
      </c>
      <c r="H788" s="38"/>
      <c r="I788" s="38"/>
      <c r="J788" s="38"/>
      <c r="K788" s="18" t="s">
        <v>91</v>
      </c>
      <c r="L788" s="18" t="s">
        <v>2099</v>
      </c>
      <c r="M788" s="18" t="s">
        <v>2100</v>
      </c>
      <c r="N788" s="60">
        <v>22.123570000000001</v>
      </c>
      <c r="O788" s="60">
        <v>91.921228999999997</v>
      </c>
      <c r="P788" s="62">
        <v>100</v>
      </c>
      <c r="Q788" s="62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</row>
    <row r="789" spans="1:36" x14ac:dyDescent="0.3">
      <c r="A789" s="77">
        <v>783</v>
      </c>
      <c r="B789" s="79" t="s">
        <v>2439</v>
      </c>
      <c r="C789" s="79" t="s">
        <v>117</v>
      </c>
      <c r="D789" s="65" t="s">
        <v>117</v>
      </c>
      <c r="E789" s="18" t="s">
        <v>101</v>
      </c>
      <c r="F789" s="18" t="s">
        <v>114</v>
      </c>
      <c r="G789" s="18" t="s">
        <v>45</v>
      </c>
      <c r="H789" s="38"/>
      <c r="I789" s="38"/>
      <c r="J789" s="38"/>
      <c r="K789" s="18" t="s">
        <v>2101</v>
      </c>
      <c r="L789" s="18" t="s">
        <v>2102</v>
      </c>
      <c r="M789" s="18" t="s">
        <v>2103</v>
      </c>
      <c r="N789" s="60">
        <v>22.121919999999999</v>
      </c>
      <c r="O789" s="60">
        <v>91.913290000000003</v>
      </c>
      <c r="P789" s="62">
        <v>150</v>
      </c>
      <c r="Q789" s="62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</row>
    <row r="790" spans="1:36" x14ac:dyDescent="0.3">
      <c r="A790" s="77">
        <v>784</v>
      </c>
      <c r="B790" s="79" t="s">
        <v>2439</v>
      </c>
      <c r="C790" s="79" t="s">
        <v>117</v>
      </c>
      <c r="D790" s="65" t="s">
        <v>117</v>
      </c>
      <c r="E790" s="18" t="s">
        <v>101</v>
      </c>
      <c r="F790" s="18" t="s">
        <v>114</v>
      </c>
      <c r="G790" s="18" t="s">
        <v>45</v>
      </c>
      <c r="H790" s="38"/>
      <c r="I790" s="38"/>
      <c r="J790" s="38"/>
      <c r="K790" s="18" t="s">
        <v>2104</v>
      </c>
      <c r="L790" s="18" t="s">
        <v>2105</v>
      </c>
      <c r="M790" s="18" t="s">
        <v>2106</v>
      </c>
      <c r="N790" s="60">
        <v>22.121247</v>
      </c>
      <c r="O790" s="60">
        <v>91.919672000000006</v>
      </c>
      <c r="P790" s="62">
        <v>300</v>
      </c>
      <c r="Q790" s="62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</row>
    <row r="791" spans="1:36" x14ac:dyDescent="0.3">
      <c r="A791" s="77">
        <v>785</v>
      </c>
      <c r="B791" s="79" t="s">
        <v>2439</v>
      </c>
      <c r="C791" s="79" t="s">
        <v>117</v>
      </c>
      <c r="D791" s="65" t="s">
        <v>117</v>
      </c>
      <c r="E791" s="18" t="s">
        <v>101</v>
      </c>
      <c r="F791" s="18" t="s">
        <v>114</v>
      </c>
      <c r="G791" s="18" t="s">
        <v>45</v>
      </c>
      <c r="H791" s="38"/>
      <c r="I791" s="38"/>
      <c r="J791" s="38"/>
      <c r="K791" s="18" t="s">
        <v>2107</v>
      </c>
      <c r="L791" s="18" t="s">
        <v>2108</v>
      </c>
      <c r="M791" s="18" t="s">
        <v>2109</v>
      </c>
      <c r="N791" s="60">
        <v>22.121247</v>
      </c>
      <c r="O791" s="60">
        <v>91.922674999999998</v>
      </c>
      <c r="P791" s="62">
        <v>120</v>
      </c>
      <c r="Q791" s="62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</row>
    <row r="792" spans="1:36" x14ac:dyDescent="0.3">
      <c r="A792" s="77">
        <v>786</v>
      </c>
      <c r="B792" s="79" t="s">
        <v>2439</v>
      </c>
      <c r="C792" s="79" t="s">
        <v>117</v>
      </c>
      <c r="D792" s="65" t="s">
        <v>117</v>
      </c>
      <c r="E792" s="18" t="s">
        <v>101</v>
      </c>
      <c r="F792" s="18" t="s">
        <v>114</v>
      </c>
      <c r="G792" s="18" t="s">
        <v>45</v>
      </c>
      <c r="H792" s="38"/>
      <c r="I792" s="38"/>
      <c r="J792" s="38"/>
      <c r="K792" s="18" t="s">
        <v>2110</v>
      </c>
      <c r="L792" s="18" t="s">
        <v>2111</v>
      </c>
      <c r="M792" s="18" t="s">
        <v>2112</v>
      </c>
      <c r="N792" s="60">
        <v>22.120336999999999</v>
      </c>
      <c r="O792" s="60">
        <v>91.919010999999998</v>
      </c>
      <c r="P792" s="62">
        <v>120</v>
      </c>
      <c r="Q792" s="62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</row>
    <row r="793" spans="1:36" x14ac:dyDescent="0.3">
      <c r="A793" s="77">
        <v>787</v>
      </c>
      <c r="B793" s="79" t="s">
        <v>2439</v>
      </c>
      <c r="C793" s="79" t="s">
        <v>117</v>
      </c>
      <c r="D793" s="65" t="s">
        <v>117</v>
      </c>
      <c r="E793" s="18" t="s">
        <v>101</v>
      </c>
      <c r="F793" s="18" t="s">
        <v>114</v>
      </c>
      <c r="G793" s="18" t="s">
        <v>45</v>
      </c>
      <c r="H793" s="38"/>
      <c r="I793" s="38"/>
      <c r="J793" s="38"/>
      <c r="K793" s="18" t="s">
        <v>1296</v>
      </c>
      <c r="L793" s="67" t="s">
        <v>1297</v>
      </c>
      <c r="M793" s="18" t="s">
        <v>2113</v>
      </c>
      <c r="N793" s="60">
        <v>22.119814000000002</v>
      </c>
      <c r="O793" s="60">
        <v>91.917844000000002</v>
      </c>
      <c r="P793" s="62">
        <v>400</v>
      </c>
      <c r="Q793" s="62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38"/>
    </row>
    <row r="794" spans="1:36" x14ac:dyDescent="0.3">
      <c r="A794" s="77">
        <v>788</v>
      </c>
      <c r="B794" s="79" t="s">
        <v>2439</v>
      </c>
      <c r="C794" s="79" t="s">
        <v>117</v>
      </c>
      <c r="D794" s="65" t="s">
        <v>117</v>
      </c>
      <c r="E794" s="18" t="s">
        <v>101</v>
      </c>
      <c r="F794" s="18" t="s">
        <v>114</v>
      </c>
      <c r="G794" s="18" t="s">
        <v>45</v>
      </c>
      <c r="H794" s="38"/>
      <c r="I794" s="38"/>
      <c r="J794" s="38"/>
      <c r="K794" s="18" t="s">
        <v>2114</v>
      </c>
      <c r="L794" s="18" t="s">
        <v>2115</v>
      </c>
      <c r="M794" s="18" t="s">
        <v>2116</v>
      </c>
      <c r="N794" s="60">
        <v>22.118531999999998</v>
      </c>
      <c r="O794" s="60">
        <v>91.917406</v>
      </c>
      <c r="P794" s="62">
        <v>300</v>
      </c>
      <c r="Q794" s="62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38"/>
    </row>
    <row r="795" spans="1:36" x14ac:dyDescent="0.3">
      <c r="A795" s="77">
        <v>789</v>
      </c>
      <c r="B795" s="79" t="s">
        <v>2439</v>
      </c>
      <c r="C795" s="79" t="s">
        <v>117</v>
      </c>
      <c r="D795" s="65" t="s">
        <v>117</v>
      </c>
      <c r="E795" s="18" t="s">
        <v>101</v>
      </c>
      <c r="F795" s="18" t="s">
        <v>114</v>
      </c>
      <c r="G795" s="18" t="s">
        <v>45</v>
      </c>
      <c r="H795" s="38"/>
      <c r="I795" s="38"/>
      <c r="J795" s="38"/>
      <c r="K795" s="18" t="s">
        <v>2117</v>
      </c>
      <c r="L795" s="18" t="s">
        <v>2118</v>
      </c>
      <c r="M795" s="18" t="s">
        <v>2119</v>
      </c>
      <c r="N795" s="60">
        <v>22.117383</v>
      </c>
      <c r="O795" s="60">
        <v>91.921634999999995</v>
      </c>
      <c r="P795" s="62">
        <v>300</v>
      </c>
      <c r="Q795" s="62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38"/>
    </row>
    <row r="796" spans="1:36" x14ac:dyDescent="0.3">
      <c r="A796" s="77">
        <v>790</v>
      </c>
      <c r="B796" s="79" t="s">
        <v>2439</v>
      </c>
      <c r="C796" s="79" t="s">
        <v>117</v>
      </c>
      <c r="D796" s="65" t="s">
        <v>117</v>
      </c>
      <c r="E796" s="18" t="s">
        <v>101</v>
      </c>
      <c r="F796" s="18" t="s">
        <v>114</v>
      </c>
      <c r="G796" s="18" t="s">
        <v>45</v>
      </c>
      <c r="H796" s="38"/>
      <c r="I796" s="38"/>
      <c r="J796" s="38"/>
      <c r="K796" s="18" t="s">
        <v>2120</v>
      </c>
      <c r="L796" s="18" t="s">
        <v>2121</v>
      </c>
      <c r="M796" s="18" t="s">
        <v>2122</v>
      </c>
      <c r="N796" s="60">
        <v>22.117954999999998</v>
      </c>
      <c r="O796" s="60">
        <v>91.918899999999994</v>
      </c>
      <c r="P796" s="62">
        <v>700</v>
      </c>
      <c r="Q796" s="62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38"/>
    </row>
    <row r="797" spans="1:36" x14ac:dyDescent="0.3">
      <c r="A797" s="77">
        <v>791</v>
      </c>
      <c r="B797" s="79" t="s">
        <v>2439</v>
      </c>
      <c r="C797" s="79" t="s">
        <v>117</v>
      </c>
      <c r="D797" s="65" t="s">
        <v>117</v>
      </c>
      <c r="E797" s="18" t="s">
        <v>101</v>
      </c>
      <c r="F797" s="18" t="s">
        <v>114</v>
      </c>
      <c r="G797" s="18" t="s">
        <v>45</v>
      </c>
      <c r="H797" s="38"/>
      <c r="I797" s="38"/>
      <c r="J797" s="38"/>
      <c r="K797" s="18" t="s">
        <v>429</v>
      </c>
      <c r="L797" s="66" t="s">
        <v>430</v>
      </c>
      <c r="M797" s="18" t="s">
        <v>2123</v>
      </c>
      <c r="N797" s="60">
        <v>22.118857999999999</v>
      </c>
      <c r="O797" s="60">
        <v>91.920130999999998</v>
      </c>
      <c r="P797" s="62">
        <v>250</v>
      </c>
      <c r="Q797" s="62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38"/>
    </row>
    <row r="798" spans="1:36" x14ac:dyDescent="0.3">
      <c r="A798" s="77">
        <v>792</v>
      </c>
      <c r="B798" s="79" t="s">
        <v>2439</v>
      </c>
      <c r="C798" s="79" t="s">
        <v>117</v>
      </c>
      <c r="D798" s="65" t="s">
        <v>117</v>
      </c>
      <c r="E798" s="18" t="s">
        <v>101</v>
      </c>
      <c r="F798" s="18" t="s">
        <v>114</v>
      </c>
      <c r="G798" s="18" t="s">
        <v>45</v>
      </c>
      <c r="H798" s="38"/>
      <c r="I798" s="38"/>
      <c r="J798" s="38"/>
      <c r="K798" s="18" t="s">
        <v>2124</v>
      </c>
      <c r="L798" s="18" t="s">
        <v>2125</v>
      </c>
      <c r="M798" s="18" t="s">
        <v>2126</v>
      </c>
      <c r="N798" s="60">
        <v>22.121426</v>
      </c>
      <c r="O798" s="60">
        <v>91.916567000000001</v>
      </c>
      <c r="P798" s="62">
        <v>450</v>
      </c>
      <c r="Q798" s="62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38"/>
    </row>
    <row r="799" spans="1:36" x14ac:dyDescent="0.3">
      <c r="A799" s="77">
        <v>793</v>
      </c>
      <c r="B799" s="79" t="s">
        <v>2439</v>
      </c>
      <c r="C799" s="79" t="s">
        <v>117</v>
      </c>
      <c r="D799" s="65" t="s">
        <v>117</v>
      </c>
      <c r="E799" s="18" t="s">
        <v>101</v>
      </c>
      <c r="F799" s="18" t="s">
        <v>114</v>
      </c>
      <c r="G799" s="18" t="s">
        <v>45</v>
      </c>
      <c r="H799" s="38"/>
      <c r="I799" s="38"/>
      <c r="J799" s="38"/>
      <c r="K799" s="18" t="s">
        <v>2078</v>
      </c>
      <c r="L799" s="18" t="s">
        <v>2079</v>
      </c>
      <c r="M799" s="18" t="s">
        <v>2127</v>
      </c>
      <c r="N799" s="60">
        <v>22.121884999999999</v>
      </c>
      <c r="O799" s="60">
        <v>91.918503999999999</v>
      </c>
      <c r="P799" s="62">
        <v>600</v>
      </c>
      <c r="Q799" s="62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38"/>
    </row>
    <row r="800" spans="1:36" x14ac:dyDescent="0.3">
      <c r="A800" s="77">
        <v>794</v>
      </c>
      <c r="B800" s="79" t="s">
        <v>2439</v>
      </c>
      <c r="C800" s="79" t="s">
        <v>117</v>
      </c>
      <c r="D800" s="65" t="s">
        <v>117</v>
      </c>
      <c r="E800" s="18" t="s">
        <v>101</v>
      </c>
      <c r="F800" s="18" t="s">
        <v>114</v>
      </c>
      <c r="G800" s="18" t="s">
        <v>45</v>
      </c>
      <c r="H800" s="38"/>
      <c r="I800" s="38"/>
      <c r="J800" s="38"/>
      <c r="K800" s="18" t="s">
        <v>2128</v>
      </c>
      <c r="L800" s="18" t="s">
        <v>2129</v>
      </c>
      <c r="M800" s="18" t="s">
        <v>2130</v>
      </c>
      <c r="N800" s="60">
        <v>22.118763999999999</v>
      </c>
      <c r="O800" s="60">
        <v>91.927684999999997</v>
      </c>
      <c r="P800" s="62">
        <v>1400</v>
      </c>
      <c r="Q800" s="62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38"/>
    </row>
    <row r="801" spans="1:36" x14ac:dyDescent="0.3">
      <c r="A801" s="77">
        <v>795</v>
      </c>
      <c r="B801" s="79" t="s">
        <v>2439</v>
      </c>
      <c r="C801" s="79" t="s">
        <v>117</v>
      </c>
      <c r="D801" s="65" t="s">
        <v>117</v>
      </c>
      <c r="E801" s="18" t="s">
        <v>101</v>
      </c>
      <c r="F801" s="18" t="s">
        <v>114</v>
      </c>
      <c r="G801" s="18" t="s">
        <v>46</v>
      </c>
      <c r="H801" s="38"/>
      <c r="I801" s="38"/>
      <c r="J801" s="38"/>
      <c r="K801" s="18" t="s">
        <v>2131</v>
      </c>
      <c r="L801" s="18" t="s">
        <v>2132</v>
      </c>
      <c r="M801" s="18" t="s">
        <v>2133</v>
      </c>
      <c r="N801" s="60">
        <v>22.113741999999998</v>
      </c>
      <c r="O801" s="60">
        <v>91.927721000000005</v>
      </c>
      <c r="P801" s="62">
        <v>600</v>
      </c>
      <c r="Q801" s="62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38"/>
    </row>
    <row r="802" spans="1:36" x14ac:dyDescent="0.3">
      <c r="A802" s="77">
        <v>796</v>
      </c>
      <c r="B802" s="79" t="s">
        <v>2439</v>
      </c>
      <c r="C802" s="79" t="s">
        <v>117</v>
      </c>
      <c r="D802" s="65" t="s">
        <v>117</v>
      </c>
      <c r="E802" s="18" t="s">
        <v>101</v>
      </c>
      <c r="F802" s="18" t="s">
        <v>114</v>
      </c>
      <c r="G802" s="18" t="s">
        <v>46</v>
      </c>
      <c r="H802" s="38"/>
      <c r="I802" s="38"/>
      <c r="J802" s="38"/>
      <c r="K802" s="18" t="s">
        <v>68</v>
      </c>
      <c r="L802" s="18" t="s">
        <v>72</v>
      </c>
      <c r="M802" s="18" t="s">
        <v>2134</v>
      </c>
      <c r="N802" s="60">
        <v>22.113420999999999</v>
      </c>
      <c r="O802" s="60">
        <v>91.920567000000005</v>
      </c>
      <c r="P802" s="62">
        <v>800</v>
      </c>
      <c r="Q802" s="62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38"/>
    </row>
    <row r="803" spans="1:36" x14ac:dyDescent="0.3">
      <c r="A803" s="77">
        <v>797</v>
      </c>
      <c r="B803" s="79" t="s">
        <v>2439</v>
      </c>
      <c r="C803" s="79" t="s">
        <v>117</v>
      </c>
      <c r="D803" s="65" t="s">
        <v>117</v>
      </c>
      <c r="E803" s="18" t="s">
        <v>101</v>
      </c>
      <c r="F803" s="18" t="s">
        <v>114</v>
      </c>
      <c r="G803" s="18" t="s">
        <v>46</v>
      </c>
      <c r="H803" s="38"/>
      <c r="I803" s="38"/>
      <c r="J803" s="38"/>
      <c r="K803" s="18" t="s">
        <v>2135</v>
      </c>
      <c r="L803" s="18" t="s">
        <v>2136</v>
      </c>
      <c r="M803" s="18" t="s">
        <v>2137</v>
      </c>
      <c r="N803" s="60">
        <v>22.110728999999999</v>
      </c>
      <c r="O803" s="60">
        <v>91.924306000000001</v>
      </c>
      <c r="P803" s="62">
        <v>2000</v>
      </c>
      <c r="Q803" s="62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38"/>
    </row>
    <row r="804" spans="1:36" x14ac:dyDescent="0.3">
      <c r="A804" s="77">
        <v>798</v>
      </c>
      <c r="B804" s="79" t="s">
        <v>2439</v>
      </c>
      <c r="C804" s="79" t="s">
        <v>117</v>
      </c>
      <c r="D804" s="65" t="s">
        <v>117</v>
      </c>
      <c r="E804" s="18" t="s">
        <v>101</v>
      </c>
      <c r="F804" s="18" t="s">
        <v>114</v>
      </c>
      <c r="G804" s="18" t="s">
        <v>46</v>
      </c>
      <c r="H804" s="38"/>
      <c r="I804" s="38"/>
      <c r="J804" s="38"/>
      <c r="K804" s="18" t="s">
        <v>2138</v>
      </c>
      <c r="L804" s="18" t="s">
        <v>2139</v>
      </c>
      <c r="M804" s="18" t="s">
        <v>2140</v>
      </c>
      <c r="N804" s="60">
        <v>22.108004999999999</v>
      </c>
      <c r="O804" s="60">
        <v>91.925678000000005</v>
      </c>
      <c r="P804" s="62">
        <v>3500</v>
      </c>
      <c r="Q804" s="62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38"/>
    </row>
    <row r="805" spans="1:36" x14ac:dyDescent="0.3">
      <c r="A805" s="77">
        <v>799</v>
      </c>
      <c r="B805" s="79" t="s">
        <v>2439</v>
      </c>
      <c r="C805" s="79" t="s">
        <v>117</v>
      </c>
      <c r="D805" s="65" t="s">
        <v>117</v>
      </c>
      <c r="E805" s="18" t="s">
        <v>101</v>
      </c>
      <c r="F805" s="18" t="s">
        <v>114</v>
      </c>
      <c r="G805" s="18" t="s">
        <v>46</v>
      </c>
      <c r="H805" s="38"/>
      <c r="I805" s="38"/>
      <c r="J805" s="38"/>
      <c r="K805" s="18" t="s">
        <v>2141</v>
      </c>
      <c r="L805" s="18" t="s">
        <v>2142</v>
      </c>
      <c r="M805" s="18" t="s">
        <v>2143</v>
      </c>
      <c r="N805" s="60">
        <v>22.108592000000002</v>
      </c>
      <c r="O805" s="60">
        <v>91.932288</v>
      </c>
      <c r="P805" s="62">
        <v>400</v>
      </c>
      <c r="Q805" s="62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38"/>
    </row>
    <row r="806" spans="1:36" x14ac:dyDescent="0.3">
      <c r="A806" s="77">
        <v>800</v>
      </c>
      <c r="B806" s="79" t="s">
        <v>2439</v>
      </c>
      <c r="C806" s="79" t="s">
        <v>117</v>
      </c>
      <c r="D806" s="65" t="s">
        <v>117</v>
      </c>
      <c r="E806" s="18" t="s">
        <v>101</v>
      </c>
      <c r="F806" s="18" t="s">
        <v>114</v>
      </c>
      <c r="G806" s="18" t="s">
        <v>46</v>
      </c>
      <c r="H806" s="38"/>
      <c r="I806" s="38"/>
      <c r="J806" s="38"/>
      <c r="K806" s="18" t="s">
        <v>2144</v>
      </c>
      <c r="L806" s="18" t="s">
        <v>2145</v>
      </c>
      <c r="M806" s="18" t="s">
        <v>2146</v>
      </c>
      <c r="N806" s="60">
        <v>22.109707</v>
      </c>
      <c r="O806" s="60">
        <v>91.922279000000003</v>
      </c>
      <c r="P806" s="62">
        <v>200</v>
      </c>
      <c r="Q806" s="62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38"/>
    </row>
    <row r="807" spans="1:36" x14ac:dyDescent="0.3">
      <c r="A807" s="77">
        <v>801</v>
      </c>
      <c r="B807" s="79" t="s">
        <v>2439</v>
      </c>
      <c r="C807" s="79" t="s">
        <v>117</v>
      </c>
      <c r="D807" s="65" t="s">
        <v>117</v>
      </c>
      <c r="E807" s="18" t="s">
        <v>101</v>
      </c>
      <c r="F807" s="18" t="s">
        <v>114</v>
      </c>
      <c r="G807" s="18" t="s">
        <v>46</v>
      </c>
      <c r="H807" s="38"/>
      <c r="I807" s="38"/>
      <c r="J807" s="38"/>
      <c r="K807" s="18" t="s">
        <v>2147</v>
      </c>
      <c r="L807" s="18" t="s">
        <v>2148</v>
      </c>
      <c r="M807" s="18" t="s">
        <v>2149</v>
      </c>
      <c r="N807" s="60">
        <v>22.10896</v>
      </c>
      <c r="O807" s="60">
        <v>91.935996000000003</v>
      </c>
      <c r="P807" s="62">
        <v>20</v>
      </c>
      <c r="Q807" s="62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38"/>
    </row>
    <row r="808" spans="1:36" x14ac:dyDescent="0.3">
      <c r="A808" s="77">
        <v>802</v>
      </c>
      <c r="B808" s="79" t="s">
        <v>2439</v>
      </c>
      <c r="C808" s="79" t="s">
        <v>117</v>
      </c>
      <c r="D808" s="65" t="s">
        <v>117</v>
      </c>
      <c r="E808" s="18" t="s">
        <v>101</v>
      </c>
      <c r="F808" s="18" t="s">
        <v>114</v>
      </c>
      <c r="G808" s="18" t="s">
        <v>47</v>
      </c>
      <c r="H808" s="38"/>
      <c r="I808" s="38"/>
      <c r="J808" s="38"/>
      <c r="K808" s="18" t="s">
        <v>462</v>
      </c>
      <c r="L808" s="18" t="s">
        <v>463</v>
      </c>
      <c r="M808" s="18" t="s">
        <v>2150</v>
      </c>
      <c r="N808" s="60">
        <v>22.105899999999998</v>
      </c>
      <c r="O808" s="60">
        <v>91.916770999999997</v>
      </c>
      <c r="P808" s="62">
        <v>300</v>
      </c>
      <c r="Q808" s="62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38"/>
    </row>
    <row r="809" spans="1:36" x14ac:dyDescent="0.3">
      <c r="A809" s="77">
        <v>803</v>
      </c>
      <c r="B809" s="79" t="s">
        <v>2439</v>
      </c>
      <c r="C809" s="79" t="s">
        <v>117</v>
      </c>
      <c r="D809" s="65" t="s">
        <v>117</v>
      </c>
      <c r="E809" s="18" t="s">
        <v>101</v>
      </c>
      <c r="F809" s="18" t="s">
        <v>114</v>
      </c>
      <c r="G809" s="18" t="s">
        <v>47</v>
      </c>
      <c r="H809" s="38"/>
      <c r="I809" s="38"/>
      <c r="J809" s="38"/>
      <c r="K809" s="18" t="s">
        <v>948</v>
      </c>
      <c r="L809" s="18" t="s">
        <v>949</v>
      </c>
      <c r="M809" s="18" t="s">
        <v>2151</v>
      </c>
      <c r="N809" s="60">
        <v>22.107422</v>
      </c>
      <c r="O809" s="60">
        <v>91.914987999999994</v>
      </c>
      <c r="P809" s="62">
        <v>500</v>
      </c>
      <c r="Q809" s="62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38"/>
    </row>
    <row r="810" spans="1:36" x14ac:dyDescent="0.3">
      <c r="A810" s="77">
        <v>804</v>
      </c>
      <c r="B810" s="79" t="s">
        <v>2439</v>
      </c>
      <c r="C810" s="79" t="s">
        <v>117</v>
      </c>
      <c r="D810" s="65" t="s">
        <v>117</v>
      </c>
      <c r="E810" s="18" t="s">
        <v>101</v>
      </c>
      <c r="F810" s="18" t="s">
        <v>114</v>
      </c>
      <c r="G810" s="18" t="s">
        <v>47</v>
      </c>
      <c r="H810" s="38"/>
      <c r="I810" s="38"/>
      <c r="J810" s="38"/>
      <c r="K810" s="18" t="s">
        <v>2152</v>
      </c>
      <c r="L810" s="18" t="s">
        <v>2153</v>
      </c>
      <c r="M810" s="18" t="s">
        <v>2154</v>
      </c>
      <c r="N810" s="60">
        <v>22.106943000000001</v>
      </c>
      <c r="O810" s="60">
        <v>91.913411999999994</v>
      </c>
      <c r="P810" s="62">
        <v>300</v>
      </c>
      <c r="Q810" s="62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38"/>
    </row>
    <row r="811" spans="1:36" x14ac:dyDescent="0.3">
      <c r="A811" s="77">
        <v>805</v>
      </c>
      <c r="B811" s="79" t="s">
        <v>2439</v>
      </c>
      <c r="C811" s="79" t="s">
        <v>117</v>
      </c>
      <c r="D811" s="65" t="s">
        <v>117</v>
      </c>
      <c r="E811" s="18" t="s">
        <v>101</v>
      </c>
      <c r="F811" s="18" t="s">
        <v>114</v>
      </c>
      <c r="G811" s="18" t="s">
        <v>47</v>
      </c>
      <c r="H811" s="38"/>
      <c r="I811" s="38"/>
      <c r="J811" s="38"/>
      <c r="K811" s="18" t="s">
        <v>55</v>
      </c>
      <c r="L811" s="18" t="s">
        <v>1258</v>
      </c>
      <c r="M811" s="18" t="s">
        <v>2155</v>
      </c>
      <c r="N811" s="60">
        <v>22.108674000000001</v>
      </c>
      <c r="O811" s="60">
        <v>91.909930000000003</v>
      </c>
      <c r="P811" s="62">
        <v>300</v>
      </c>
      <c r="Q811" s="62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38"/>
    </row>
    <row r="812" spans="1:36" x14ac:dyDescent="0.3">
      <c r="A812" s="77">
        <v>806</v>
      </c>
      <c r="B812" s="79" t="s">
        <v>2439</v>
      </c>
      <c r="C812" s="79" t="s">
        <v>117</v>
      </c>
      <c r="D812" s="65" t="s">
        <v>117</v>
      </c>
      <c r="E812" s="18" t="s">
        <v>101</v>
      </c>
      <c r="F812" s="18" t="s">
        <v>114</v>
      </c>
      <c r="G812" s="18" t="s">
        <v>47</v>
      </c>
      <c r="H812" s="38"/>
      <c r="I812" s="38"/>
      <c r="J812" s="38"/>
      <c r="K812" s="18" t="s">
        <v>241</v>
      </c>
      <c r="L812" s="18" t="s">
        <v>242</v>
      </c>
      <c r="M812" s="18" t="s">
        <v>2156</v>
      </c>
      <c r="N812" s="60">
        <v>22.103245999999999</v>
      </c>
      <c r="O812" s="60">
        <v>91.910259999999994</v>
      </c>
      <c r="P812" s="62">
        <v>500</v>
      </c>
      <c r="Q812" s="62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38"/>
    </row>
    <row r="813" spans="1:36" x14ac:dyDescent="0.3">
      <c r="A813" s="77">
        <v>807</v>
      </c>
      <c r="B813" s="79" t="s">
        <v>2439</v>
      </c>
      <c r="C813" s="79" t="s">
        <v>117</v>
      </c>
      <c r="D813" s="65" t="s">
        <v>117</v>
      </c>
      <c r="E813" s="18" t="s">
        <v>101</v>
      </c>
      <c r="F813" s="18" t="s">
        <v>114</v>
      </c>
      <c r="G813" s="18" t="s">
        <v>47</v>
      </c>
      <c r="H813" s="38"/>
      <c r="I813" s="38"/>
      <c r="J813" s="38"/>
      <c r="K813" s="18" t="s">
        <v>2157</v>
      </c>
      <c r="L813" s="18" t="s">
        <v>2158</v>
      </c>
      <c r="M813" s="18" t="s">
        <v>2159</v>
      </c>
      <c r="N813" s="60">
        <v>22.106065000000001</v>
      </c>
      <c r="O813" s="60">
        <v>91.911480999999995</v>
      </c>
      <c r="P813" s="62">
        <v>300</v>
      </c>
      <c r="Q813" s="62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38"/>
    </row>
    <row r="814" spans="1:36" x14ac:dyDescent="0.3">
      <c r="A814" s="77">
        <v>808</v>
      </c>
      <c r="B814" s="79" t="s">
        <v>2439</v>
      </c>
      <c r="C814" s="79" t="s">
        <v>117</v>
      </c>
      <c r="D814" s="65" t="s">
        <v>117</v>
      </c>
      <c r="E814" s="18" t="s">
        <v>101</v>
      </c>
      <c r="F814" s="18" t="s">
        <v>114</v>
      </c>
      <c r="G814" s="18" t="s">
        <v>47</v>
      </c>
      <c r="H814" s="38"/>
      <c r="I814" s="38"/>
      <c r="J814" s="38"/>
      <c r="K814" s="18" t="s">
        <v>2160</v>
      </c>
      <c r="L814" s="18" t="s">
        <v>2161</v>
      </c>
      <c r="M814" s="18" t="s">
        <v>2162</v>
      </c>
      <c r="N814" s="60">
        <v>22.105810999999999</v>
      </c>
      <c r="O814" s="60">
        <v>91.913353000000001</v>
      </c>
      <c r="P814" s="62">
        <v>350</v>
      </c>
      <c r="Q814" s="62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38"/>
    </row>
    <row r="815" spans="1:36" x14ac:dyDescent="0.3">
      <c r="A815" s="77">
        <v>809</v>
      </c>
      <c r="B815" s="79" t="s">
        <v>2439</v>
      </c>
      <c r="C815" s="79" t="s">
        <v>117</v>
      </c>
      <c r="D815" s="65" t="s">
        <v>117</v>
      </c>
      <c r="E815" s="18" t="s">
        <v>101</v>
      </c>
      <c r="F815" s="18" t="s">
        <v>114</v>
      </c>
      <c r="G815" s="18" t="s">
        <v>47</v>
      </c>
      <c r="H815" s="38"/>
      <c r="I815" s="38"/>
      <c r="J815" s="38"/>
      <c r="K815" s="18" t="s">
        <v>2163</v>
      </c>
      <c r="L815" s="18" t="s">
        <v>2164</v>
      </c>
      <c r="M815" s="18" t="s">
        <v>2165</v>
      </c>
      <c r="N815" s="60">
        <v>22.105253999999999</v>
      </c>
      <c r="O815" s="60">
        <v>91.915627000000001</v>
      </c>
      <c r="P815" s="62">
        <v>300</v>
      </c>
      <c r="Q815" s="62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38"/>
    </row>
    <row r="816" spans="1:36" x14ac:dyDescent="0.3">
      <c r="A816" s="77">
        <v>810</v>
      </c>
      <c r="B816" s="79" t="s">
        <v>2439</v>
      </c>
      <c r="C816" s="79" t="s">
        <v>117</v>
      </c>
      <c r="D816" s="65" t="s">
        <v>117</v>
      </c>
      <c r="E816" s="18" t="s">
        <v>101</v>
      </c>
      <c r="F816" s="18" t="s">
        <v>114</v>
      </c>
      <c r="G816" s="18" t="s">
        <v>47</v>
      </c>
      <c r="H816" s="38"/>
      <c r="I816" s="38"/>
      <c r="J816" s="38"/>
      <c r="K816" s="18" t="s">
        <v>2166</v>
      </c>
      <c r="L816" s="18" t="s">
        <v>2167</v>
      </c>
      <c r="M816" s="18" t="s">
        <v>2168</v>
      </c>
      <c r="N816" s="60">
        <v>22.103977</v>
      </c>
      <c r="O816" s="60">
        <v>91.912030000000001</v>
      </c>
      <c r="P816" s="62">
        <v>250</v>
      </c>
      <c r="Q816" s="62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38"/>
    </row>
    <row r="817" spans="1:36" x14ac:dyDescent="0.3">
      <c r="A817" s="77">
        <v>811</v>
      </c>
      <c r="B817" s="79" t="s">
        <v>2439</v>
      </c>
      <c r="C817" s="79" t="s">
        <v>117</v>
      </c>
      <c r="D817" s="65" t="s">
        <v>117</v>
      </c>
      <c r="E817" s="18" t="s">
        <v>101</v>
      </c>
      <c r="F817" s="18" t="s">
        <v>114</v>
      </c>
      <c r="G817" s="18" t="s">
        <v>47</v>
      </c>
      <c r="H817" s="38"/>
      <c r="I817" s="38"/>
      <c r="J817" s="38"/>
      <c r="K817" s="18" t="s">
        <v>2169</v>
      </c>
      <c r="L817" s="18" t="s">
        <v>2170</v>
      </c>
      <c r="M817" s="18" t="s">
        <v>2171</v>
      </c>
      <c r="N817" s="60">
        <v>22.102723999999998</v>
      </c>
      <c r="O817" s="60">
        <v>91.91386</v>
      </c>
      <c r="P817" s="62">
        <v>250</v>
      </c>
      <c r="Q817" s="62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38"/>
    </row>
    <row r="818" spans="1:36" x14ac:dyDescent="0.3">
      <c r="A818" s="77">
        <v>812</v>
      </c>
      <c r="B818" s="79" t="s">
        <v>2439</v>
      </c>
      <c r="C818" s="79" t="s">
        <v>117</v>
      </c>
      <c r="D818" s="65" t="s">
        <v>117</v>
      </c>
      <c r="E818" s="18" t="s">
        <v>101</v>
      </c>
      <c r="F818" s="18" t="s">
        <v>114</v>
      </c>
      <c r="G818" s="18" t="s">
        <v>47</v>
      </c>
      <c r="H818" s="38"/>
      <c r="I818" s="38"/>
      <c r="J818" s="38"/>
      <c r="K818" s="18" t="s">
        <v>2172</v>
      </c>
      <c r="L818" s="18" t="s">
        <v>2173</v>
      </c>
      <c r="M818" s="67" t="s">
        <v>2174</v>
      </c>
      <c r="N818" s="60">
        <v>22.104537000000001</v>
      </c>
      <c r="O818" s="60">
        <v>91.913443999999998</v>
      </c>
      <c r="P818" s="62">
        <v>400</v>
      </c>
      <c r="Q818" s="62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38"/>
    </row>
    <row r="819" spans="1:36" x14ac:dyDescent="0.3">
      <c r="A819" s="77">
        <v>813</v>
      </c>
      <c r="B819" s="79" t="s">
        <v>2439</v>
      </c>
      <c r="C819" s="79" t="s">
        <v>117</v>
      </c>
      <c r="D819" s="65" t="s">
        <v>117</v>
      </c>
      <c r="E819" s="18" t="s">
        <v>101</v>
      </c>
      <c r="F819" s="18" t="s">
        <v>114</v>
      </c>
      <c r="G819" s="18" t="s">
        <v>48</v>
      </c>
      <c r="H819" s="38"/>
      <c r="I819" s="38"/>
      <c r="J819" s="38"/>
      <c r="K819" s="18" t="s">
        <v>2175</v>
      </c>
      <c r="L819" s="18" t="s">
        <v>2176</v>
      </c>
      <c r="M819" s="18" t="s">
        <v>2177</v>
      </c>
      <c r="N819" s="60">
        <v>22.099422000000001</v>
      </c>
      <c r="O819" s="60">
        <v>91.925522999999998</v>
      </c>
      <c r="P819" s="62">
        <v>2500</v>
      </c>
      <c r="Q819" s="62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38"/>
    </row>
    <row r="820" spans="1:36" x14ac:dyDescent="0.3">
      <c r="A820" s="77">
        <v>814</v>
      </c>
      <c r="B820" s="79" t="s">
        <v>2439</v>
      </c>
      <c r="C820" s="79" t="s">
        <v>117</v>
      </c>
      <c r="D820" s="65" t="s">
        <v>117</v>
      </c>
      <c r="E820" s="18" t="s">
        <v>101</v>
      </c>
      <c r="F820" s="18" t="s">
        <v>114</v>
      </c>
      <c r="G820" s="18" t="s">
        <v>48</v>
      </c>
      <c r="H820" s="38"/>
      <c r="I820" s="38"/>
      <c r="J820" s="38"/>
      <c r="K820" s="18" t="s">
        <v>2178</v>
      </c>
      <c r="L820" s="18" t="s">
        <v>2179</v>
      </c>
      <c r="M820" s="18" t="s">
        <v>2180</v>
      </c>
      <c r="N820" s="60">
        <v>22.103809999999999</v>
      </c>
      <c r="O820" s="60">
        <v>91.925020000000004</v>
      </c>
      <c r="P820" s="62">
        <v>600</v>
      </c>
      <c r="Q820" s="62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38"/>
    </row>
    <row r="821" spans="1:36" x14ac:dyDescent="0.3">
      <c r="A821" s="77">
        <v>815</v>
      </c>
      <c r="B821" s="79" t="s">
        <v>2439</v>
      </c>
      <c r="C821" s="79" t="s">
        <v>117</v>
      </c>
      <c r="D821" s="65" t="s">
        <v>117</v>
      </c>
      <c r="E821" s="18" t="s">
        <v>101</v>
      </c>
      <c r="F821" s="18" t="s">
        <v>114</v>
      </c>
      <c r="G821" s="18" t="s">
        <v>48</v>
      </c>
      <c r="H821" s="38"/>
      <c r="I821" s="38"/>
      <c r="J821" s="38"/>
      <c r="K821" s="18" t="s">
        <v>51</v>
      </c>
      <c r="L821" s="18" t="s">
        <v>77</v>
      </c>
      <c r="M821" s="18" t="s">
        <v>2181</v>
      </c>
      <c r="N821" s="60">
        <v>22.104388</v>
      </c>
      <c r="O821" s="60">
        <v>91.920383000000001</v>
      </c>
      <c r="P821" s="62">
        <v>3000</v>
      </c>
      <c r="Q821" s="62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38"/>
    </row>
    <row r="822" spans="1:36" x14ac:dyDescent="0.3">
      <c r="A822" s="77">
        <v>816</v>
      </c>
      <c r="B822" s="79" t="s">
        <v>2439</v>
      </c>
      <c r="C822" s="79" t="s">
        <v>117</v>
      </c>
      <c r="D822" s="65" t="s">
        <v>117</v>
      </c>
      <c r="E822" s="18" t="s">
        <v>101</v>
      </c>
      <c r="F822" s="18" t="s">
        <v>114</v>
      </c>
      <c r="G822" s="18" t="s">
        <v>49</v>
      </c>
      <c r="H822" s="38"/>
      <c r="I822" s="38"/>
      <c r="J822" s="38"/>
      <c r="K822" s="18" t="s">
        <v>2182</v>
      </c>
      <c r="L822" s="18" t="s">
        <v>2183</v>
      </c>
      <c r="M822" s="18" t="s">
        <v>2184</v>
      </c>
      <c r="N822" s="60">
        <v>22.102903999999999</v>
      </c>
      <c r="O822" s="60">
        <v>91.930695999999998</v>
      </c>
      <c r="P822" s="62">
        <v>150</v>
      </c>
      <c r="Q822" s="62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38"/>
    </row>
    <row r="823" spans="1:36" x14ac:dyDescent="0.3">
      <c r="A823" s="77">
        <v>817</v>
      </c>
      <c r="B823" s="79" t="s">
        <v>2439</v>
      </c>
      <c r="C823" s="79" t="s">
        <v>117</v>
      </c>
      <c r="D823" s="65" t="s">
        <v>117</v>
      </c>
      <c r="E823" s="18" t="s">
        <v>101</v>
      </c>
      <c r="F823" s="18" t="s">
        <v>114</v>
      </c>
      <c r="G823" s="18" t="s">
        <v>49</v>
      </c>
      <c r="H823" s="38"/>
      <c r="I823" s="38"/>
      <c r="J823" s="38"/>
      <c r="K823" s="18" t="s">
        <v>57</v>
      </c>
      <c r="L823" s="18" t="s">
        <v>78</v>
      </c>
      <c r="M823" s="18" t="s">
        <v>2185</v>
      </c>
      <c r="N823" s="60">
        <v>22.102639</v>
      </c>
      <c r="O823" s="60">
        <v>91.934325999999999</v>
      </c>
      <c r="P823" s="62">
        <v>220</v>
      </c>
      <c r="Q823" s="62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38"/>
    </row>
    <row r="824" spans="1:36" x14ac:dyDescent="0.3">
      <c r="A824" s="77">
        <v>818</v>
      </c>
      <c r="B824" s="79" t="s">
        <v>2439</v>
      </c>
      <c r="C824" s="79" t="s">
        <v>117</v>
      </c>
      <c r="D824" s="65" t="s">
        <v>117</v>
      </c>
      <c r="E824" s="18" t="s">
        <v>101</v>
      </c>
      <c r="F824" s="18" t="s">
        <v>114</v>
      </c>
      <c r="G824" s="18" t="s">
        <v>49</v>
      </c>
      <c r="H824" s="38"/>
      <c r="I824" s="38"/>
      <c r="J824" s="38"/>
      <c r="K824" s="67" t="s">
        <v>62</v>
      </c>
      <c r="L824" s="18" t="s">
        <v>176</v>
      </c>
      <c r="M824" s="18" t="s">
        <v>2186</v>
      </c>
      <c r="N824" s="60">
        <v>22.099796999999999</v>
      </c>
      <c r="O824" s="60">
        <v>91.931137000000007</v>
      </c>
      <c r="P824" s="62">
        <v>375</v>
      </c>
      <c r="Q824" s="62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38"/>
    </row>
    <row r="825" spans="1:36" x14ac:dyDescent="0.3">
      <c r="A825" s="77">
        <v>819</v>
      </c>
      <c r="B825" s="79" t="s">
        <v>2439</v>
      </c>
      <c r="C825" s="79" t="s">
        <v>117</v>
      </c>
      <c r="D825" s="65" t="s">
        <v>117</v>
      </c>
      <c r="E825" s="18" t="s">
        <v>101</v>
      </c>
      <c r="F825" s="18" t="s">
        <v>114</v>
      </c>
      <c r="G825" s="18" t="s">
        <v>49</v>
      </c>
      <c r="H825" s="38"/>
      <c r="I825" s="38"/>
      <c r="J825" s="38"/>
      <c r="K825" s="18" t="s">
        <v>1628</v>
      </c>
      <c r="L825" s="18" t="s">
        <v>1629</v>
      </c>
      <c r="M825" s="18" t="s">
        <v>2187</v>
      </c>
      <c r="N825" s="60">
        <v>22.099246999999998</v>
      </c>
      <c r="O825" s="60">
        <v>91.928674999999998</v>
      </c>
      <c r="P825" s="62">
        <v>1500</v>
      </c>
      <c r="Q825" s="62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38"/>
    </row>
    <row r="826" spans="1:36" x14ac:dyDescent="0.3">
      <c r="A826" s="77">
        <v>820</v>
      </c>
      <c r="B826" s="79" t="s">
        <v>2439</v>
      </c>
      <c r="C826" s="79" t="s">
        <v>117</v>
      </c>
      <c r="D826" s="65" t="s">
        <v>117</v>
      </c>
      <c r="E826" s="18" t="s">
        <v>101</v>
      </c>
      <c r="F826" s="18" t="s">
        <v>114</v>
      </c>
      <c r="G826" s="18" t="s">
        <v>49</v>
      </c>
      <c r="H826" s="38"/>
      <c r="I826" s="38"/>
      <c r="J826" s="38"/>
      <c r="K826" s="18" t="s">
        <v>2188</v>
      </c>
      <c r="L826" s="18" t="s">
        <v>2189</v>
      </c>
      <c r="M826" s="18" t="s">
        <v>2190</v>
      </c>
      <c r="N826" s="60">
        <v>22.096122000000001</v>
      </c>
      <c r="O826" s="60">
        <v>91.934578000000002</v>
      </c>
      <c r="P826" s="62">
        <v>700</v>
      </c>
      <c r="Q826" s="62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38"/>
    </row>
    <row r="827" spans="1:36" x14ac:dyDescent="0.3">
      <c r="A827" s="77">
        <v>821</v>
      </c>
      <c r="B827" s="79" t="s">
        <v>2439</v>
      </c>
      <c r="C827" s="79" t="s">
        <v>117</v>
      </c>
      <c r="D827" s="65" t="s">
        <v>117</v>
      </c>
      <c r="E827" s="18" t="s">
        <v>101</v>
      </c>
      <c r="F827" s="18" t="s">
        <v>114</v>
      </c>
      <c r="G827" s="18" t="s">
        <v>49</v>
      </c>
      <c r="H827" s="38"/>
      <c r="I827" s="38"/>
      <c r="J827" s="38"/>
      <c r="K827" s="18" t="s">
        <v>2191</v>
      </c>
      <c r="L827" s="18" t="s">
        <v>2192</v>
      </c>
      <c r="M827" s="18" t="s">
        <v>2193</v>
      </c>
      <c r="N827" s="60">
        <v>22.09357</v>
      </c>
      <c r="O827" s="60">
        <v>91.932552999999999</v>
      </c>
      <c r="P827" s="62">
        <v>400</v>
      </c>
      <c r="Q827" s="62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38"/>
    </row>
    <row r="828" spans="1:36" x14ac:dyDescent="0.3">
      <c r="A828" s="77">
        <v>822</v>
      </c>
      <c r="B828" s="79" t="s">
        <v>2439</v>
      </c>
      <c r="C828" s="79" t="s">
        <v>117</v>
      </c>
      <c r="D828" s="65" t="s">
        <v>117</v>
      </c>
      <c r="E828" s="18" t="s">
        <v>101</v>
      </c>
      <c r="F828" s="18" t="s">
        <v>114</v>
      </c>
      <c r="G828" s="18" t="s">
        <v>49</v>
      </c>
      <c r="H828" s="38"/>
      <c r="I828" s="38"/>
      <c r="J828" s="38"/>
      <c r="K828" s="18" t="s">
        <v>2101</v>
      </c>
      <c r="L828" s="18" t="s">
        <v>2102</v>
      </c>
      <c r="M828" s="18" t="s">
        <v>2194</v>
      </c>
      <c r="N828" s="60">
        <v>22.097974000000001</v>
      </c>
      <c r="O828" s="60">
        <v>91.929167000000007</v>
      </c>
      <c r="P828" s="62">
        <v>220</v>
      </c>
      <c r="Q828" s="62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38"/>
    </row>
    <row r="829" spans="1:36" x14ac:dyDescent="0.3">
      <c r="A829" s="77">
        <v>823</v>
      </c>
      <c r="B829" s="79" t="s">
        <v>2439</v>
      </c>
      <c r="C829" s="79" t="s">
        <v>117</v>
      </c>
      <c r="D829" s="65" t="s">
        <v>117</v>
      </c>
      <c r="E829" s="18" t="s">
        <v>101</v>
      </c>
      <c r="F829" s="18" t="s">
        <v>114</v>
      </c>
      <c r="G829" s="18" t="s">
        <v>49</v>
      </c>
      <c r="H829" s="38"/>
      <c r="I829" s="38"/>
      <c r="J829" s="38"/>
      <c r="K829" s="18" t="s">
        <v>184</v>
      </c>
      <c r="L829" s="18" t="s">
        <v>185</v>
      </c>
      <c r="M829" s="18" t="s">
        <v>2195</v>
      </c>
      <c r="N829" s="60">
        <v>22.097757000000001</v>
      </c>
      <c r="O829" s="60">
        <v>91.926902999999996</v>
      </c>
      <c r="P829" s="62">
        <v>500</v>
      </c>
      <c r="Q829" s="62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38"/>
    </row>
    <row r="830" spans="1:36" x14ac:dyDescent="0.3">
      <c r="A830" s="77">
        <v>824</v>
      </c>
      <c r="B830" s="79" t="s">
        <v>2439</v>
      </c>
      <c r="C830" s="79" t="s">
        <v>117</v>
      </c>
      <c r="D830" s="65" t="s">
        <v>117</v>
      </c>
      <c r="E830" s="18" t="s">
        <v>101</v>
      </c>
      <c r="F830" s="18" t="s">
        <v>114</v>
      </c>
      <c r="G830" s="18" t="s">
        <v>49</v>
      </c>
      <c r="H830" s="38"/>
      <c r="I830" s="38"/>
      <c r="J830" s="38"/>
      <c r="K830" s="18" t="s">
        <v>76</v>
      </c>
      <c r="L830" s="18" t="s">
        <v>1278</v>
      </c>
      <c r="M830" s="18" t="s">
        <v>2196</v>
      </c>
      <c r="N830" s="60">
        <v>22.097404000000001</v>
      </c>
      <c r="O830" s="60">
        <v>91.925169999999994</v>
      </c>
      <c r="P830" s="62">
        <v>390</v>
      </c>
      <c r="Q830" s="62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</row>
    <row r="831" spans="1:36" x14ac:dyDescent="0.3">
      <c r="A831" s="77">
        <v>825</v>
      </c>
      <c r="B831" s="79" t="s">
        <v>2439</v>
      </c>
      <c r="C831" s="79" t="s">
        <v>117</v>
      </c>
      <c r="D831" s="65" t="s">
        <v>117</v>
      </c>
      <c r="E831" s="18" t="s">
        <v>101</v>
      </c>
      <c r="F831" s="18" t="s">
        <v>114</v>
      </c>
      <c r="G831" s="18" t="s">
        <v>49</v>
      </c>
      <c r="H831" s="38"/>
      <c r="I831" s="38"/>
      <c r="J831" s="38"/>
      <c r="K831" s="18" t="s">
        <v>208</v>
      </c>
      <c r="L831" s="18" t="s">
        <v>209</v>
      </c>
      <c r="M831" s="18" t="s">
        <v>2197</v>
      </c>
      <c r="N831" s="60">
        <v>22.096048</v>
      </c>
      <c r="O831" s="60">
        <v>91.923241000000004</v>
      </c>
      <c r="P831" s="62">
        <v>450</v>
      </c>
      <c r="Q831" s="62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38"/>
    </row>
    <row r="832" spans="1:36" x14ac:dyDescent="0.3">
      <c r="A832" s="77">
        <v>826</v>
      </c>
      <c r="B832" s="79" t="s">
        <v>2439</v>
      </c>
      <c r="C832" s="79" t="s">
        <v>117</v>
      </c>
      <c r="D832" s="65" t="s">
        <v>117</v>
      </c>
      <c r="E832" s="18" t="s">
        <v>101</v>
      </c>
      <c r="F832" s="18" t="s">
        <v>114</v>
      </c>
      <c r="G832" s="18" t="s">
        <v>49</v>
      </c>
      <c r="H832" s="38"/>
      <c r="I832" s="38"/>
      <c r="J832" s="38"/>
      <c r="K832" s="18" t="s">
        <v>375</v>
      </c>
      <c r="L832" s="18" t="s">
        <v>376</v>
      </c>
      <c r="M832" s="18" t="s">
        <v>2198</v>
      </c>
      <c r="N832" s="60">
        <v>22.094617</v>
      </c>
      <c r="O832" s="60">
        <v>91.920298000000003</v>
      </c>
      <c r="P832" s="62">
        <v>300</v>
      </c>
      <c r="Q832" s="62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38"/>
    </row>
    <row r="833" spans="1:36" x14ac:dyDescent="0.3">
      <c r="A833" s="77">
        <v>827</v>
      </c>
      <c r="B833" s="79" t="s">
        <v>2439</v>
      </c>
      <c r="C833" s="79" t="s">
        <v>117</v>
      </c>
      <c r="D833" s="65" t="s">
        <v>117</v>
      </c>
      <c r="E833" s="18" t="s">
        <v>101</v>
      </c>
      <c r="F833" s="18" t="s">
        <v>114</v>
      </c>
      <c r="G833" s="18" t="s">
        <v>49</v>
      </c>
      <c r="H833" s="38"/>
      <c r="I833" s="38"/>
      <c r="J833" s="38"/>
      <c r="K833" s="66" t="s">
        <v>755</v>
      </c>
      <c r="L833" s="18" t="s">
        <v>756</v>
      </c>
      <c r="M833" s="18" t="s">
        <v>2199</v>
      </c>
      <c r="N833" s="60">
        <v>22.095030000000001</v>
      </c>
      <c r="O833" s="60">
        <v>91.930454999999995</v>
      </c>
      <c r="P833" s="62">
        <v>1800</v>
      </c>
      <c r="Q833" s="62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38"/>
    </row>
    <row r="834" spans="1:36" x14ac:dyDescent="0.3">
      <c r="A834" s="77">
        <v>828</v>
      </c>
      <c r="B834" s="79" t="s">
        <v>2439</v>
      </c>
      <c r="C834" s="79" t="s">
        <v>117</v>
      </c>
      <c r="D834" s="65" t="s">
        <v>117</v>
      </c>
      <c r="E834" s="18" t="s">
        <v>101</v>
      </c>
      <c r="F834" s="18" t="s">
        <v>114</v>
      </c>
      <c r="G834" s="18" t="s">
        <v>49</v>
      </c>
      <c r="H834" s="38"/>
      <c r="I834" s="38"/>
      <c r="J834" s="38"/>
      <c r="K834" s="18" t="s">
        <v>1241</v>
      </c>
      <c r="L834" s="18" t="s">
        <v>1242</v>
      </c>
      <c r="M834" s="18" t="s">
        <v>2200</v>
      </c>
      <c r="N834" s="60">
        <v>22.094218999999999</v>
      </c>
      <c r="O834" s="60">
        <v>91.929557000000003</v>
      </c>
      <c r="P834" s="62">
        <v>450</v>
      </c>
      <c r="Q834" s="62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38"/>
    </row>
    <row r="835" spans="1:36" x14ac:dyDescent="0.3">
      <c r="A835" s="77">
        <v>829</v>
      </c>
      <c r="B835" s="79" t="s">
        <v>2439</v>
      </c>
      <c r="C835" s="79" t="s">
        <v>117</v>
      </c>
      <c r="D835" s="65" t="s">
        <v>117</v>
      </c>
      <c r="E835" s="18" t="s">
        <v>101</v>
      </c>
      <c r="F835" s="63" t="s">
        <v>115</v>
      </c>
      <c r="G835" s="18" t="s">
        <v>41</v>
      </c>
      <c r="H835" s="38"/>
      <c r="I835" s="38"/>
      <c r="J835" s="38"/>
      <c r="K835" s="18" t="s">
        <v>2201</v>
      </c>
      <c r="L835" s="18" t="s">
        <v>2202</v>
      </c>
      <c r="M835" s="18" t="s">
        <v>2203</v>
      </c>
      <c r="N835" s="60">
        <v>21.945201000000001</v>
      </c>
      <c r="O835" s="60">
        <v>91.945430000000002</v>
      </c>
      <c r="P835" s="62">
        <v>2100</v>
      </c>
      <c r="Q835" s="62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38"/>
    </row>
    <row r="836" spans="1:36" x14ac:dyDescent="0.3">
      <c r="A836" s="77">
        <v>830</v>
      </c>
      <c r="B836" s="79" t="s">
        <v>2439</v>
      </c>
      <c r="C836" s="79" t="s">
        <v>117</v>
      </c>
      <c r="D836" s="65" t="s">
        <v>117</v>
      </c>
      <c r="E836" s="18" t="s">
        <v>101</v>
      </c>
      <c r="F836" s="63" t="s">
        <v>115</v>
      </c>
      <c r="G836" s="18" t="s">
        <v>41</v>
      </c>
      <c r="H836" s="38"/>
      <c r="I836" s="38"/>
      <c r="J836" s="38"/>
      <c r="K836" s="67" t="s">
        <v>70</v>
      </c>
      <c r="L836" s="18" t="s">
        <v>162</v>
      </c>
      <c r="M836" s="18" t="s">
        <v>2204</v>
      </c>
      <c r="N836" s="60">
        <v>21.950053</v>
      </c>
      <c r="O836" s="60">
        <v>91.945375999999996</v>
      </c>
      <c r="P836" s="62">
        <v>1000</v>
      </c>
      <c r="Q836" s="62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38"/>
    </row>
    <row r="837" spans="1:36" x14ac:dyDescent="0.3">
      <c r="A837" s="77">
        <v>831</v>
      </c>
      <c r="B837" s="79" t="s">
        <v>2439</v>
      </c>
      <c r="C837" s="79" t="s">
        <v>117</v>
      </c>
      <c r="D837" s="65" t="s">
        <v>117</v>
      </c>
      <c r="E837" s="18" t="s">
        <v>101</v>
      </c>
      <c r="F837" s="63" t="s">
        <v>115</v>
      </c>
      <c r="G837" s="18" t="s">
        <v>41</v>
      </c>
      <c r="H837" s="38"/>
      <c r="I837" s="38"/>
      <c r="J837" s="38"/>
      <c r="K837" s="18" t="s">
        <v>2205</v>
      </c>
      <c r="L837" s="18" t="s">
        <v>2206</v>
      </c>
      <c r="M837" s="18" t="s">
        <v>2207</v>
      </c>
      <c r="N837" s="60">
        <v>21.944997000000001</v>
      </c>
      <c r="O837" s="60">
        <v>91.942554999999999</v>
      </c>
      <c r="P837" s="62">
        <v>2100</v>
      </c>
      <c r="Q837" s="62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38"/>
    </row>
    <row r="838" spans="1:36" x14ac:dyDescent="0.3">
      <c r="A838" s="77">
        <v>832</v>
      </c>
      <c r="B838" s="79" t="s">
        <v>2439</v>
      </c>
      <c r="C838" s="79" t="s">
        <v>117</v>
      </c>
      <c r="D838" s="65" t="s">
        <v>117</v>
      </c>
      <c r="E838" s="18" t="s">
        <v>101</v>
      </c>
      <c r="F838" s="63" t="s">
        <v>115</v>
      </c>
      <c r="G838" s="18" t="s">
        <v>42</v>
      </c>
      <c r="H838" s="38"/>
      <c r="I838" s="38"/>
      <c r="J838" s="38"/>
      <c r="K838" s="18" t="s">
        <v>2208</v>
      </c>
      <c r="L838" s="18" t="s">
        <v>2209</v>
      </c>
      <c r="M838" s="18" t="s">
        <v>2210</v>
      </c>
      <c r="N838" s="60">
        <v>21.948384999999998</v>
      </c>
      <c r="O838" s="60">
        <v>91.942617999999996</v>
      </c>
      <c r="P838" s="62">
        <v>700</v>
      </c>
      <c r="Q838" s="62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38"/>
    </row>
    <row r="839" spans="1:36" x14ac:dyDescent="0.3">
      <c r="A839" s="77">
        <v>833</v>
      </c>
      <c r="B839" s="79" t="s">
        <v>2439</v>
      </c>
      <c r="C839" s="79" t="s">
        <v>117</v>
      </c>
      <c r="D839" s="65" t="s">
        <v>117</v>
      </c>
      <c r="E839" s="18" t="s">
        <v>101</v>
      </c>
      <c r="F839" s="63" t="s">
        <v>115</v>
      </c>
      <c r="G839" s="18" t="s">
        <v>42</v>
      </c>
      <c r="H839" s="38"/>
      <c r="I839" s="38"/>
      <c r="J839" s="38"/>
      <c r="K839" s="67" t="s">
        <v>495</v>
      </c>
      <c r="L839" s="67" t="s">
        <v>496</v>
      </c>
      <c r="M839" s="18" t="s">
        <v>2211</v>
      </c>
      <c r="N839" s="60">
        <v>21.948602000000001</v>
      </c>
      <c r="O839" s="60">
        <v>91.939566999999997</v>
      </c>
      <c r="P839" s="62">
        <v>1300</v>
      </c>
      <c r="Q839" s="62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38"/>
    </row>
    <row r="840" spans="1:36" x14ac:dyDescent="0.3">
      <c r="A840" s="77">
        <v>834</v>
      </c>
      <c r="B840" s="79" t="s">
        <v>2439</v>
      </c>
      <c r="C840" s="79" t="s">
        <v>117</v>
      </c>
      <c r="D840" s="65" t="s">
        <v>117</v>
      </c>
      <c r="E840" s="18" t="s">
        <v>101</v>
      </c>
      <c r="F840" s="63" t="s">
        <v>115</v>
      </c>
      <c r="G840" s="18" t="s">
        <v>42</v>
      </c>
      <c r="H840" s="38"/>
      <c r="I840" s="38"/>
      <c r="J840" s="38"/>
      <c r="K840" s="18" t="s">
        <v>2212</v>
      </c>
      <c r="L840" s="18" t="s">
        <v>2213</v>
      </c>
      <c r="M840" s="18" t="s">
        <v>2214</v>
      </c>
      <c r="N840" s="60">
        <v>21.946082000000001</v>
      </c>
      <c r="O840" s="60">
        <v>91.938338999999999</v>
      </c>
      <c r="P840" s="62">
        <v>900</v>
      </c>
      <c r="Q840" s="62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38"/>
    </row>
    <row r="841" spans="1:36" x14ac:dyDescent="0.3">
      <c r="A841" s="77">
        <v>835</v>
      </c>
      <c r="B841" s="79" t="s">
        <v>2439</v>
      </c>
      <c r="C841" s="79" t="s">
        <v>117</v>
      </c>
      <c r="D841" s="65" t="s">
        <v>117</v>
      </c>
      <c r="E841" s="18" t="s">
        <v>101</v>
      </c>
      <c r="F841" s="63" t="s">
        <v>115</v>
      </c>
      <c r="G841" s="18" t="s">
        <v>42</v>
      </c>
      <c r="H841" s="38"/>
      <c r="I841" s="38"/>
      <c r="J841" s="38"/>
      <c r="K841" s="18" t="s">
        <v>2215</v>
      </c>
      <c r="L841" s="18" t="s">
        <v>2216</v>
      </c>
      <c r="M841" s="18" t="s">
        <v>2217</v>
      </c>
      <c r="N841" s="60">
        <v>21.942581000000001</v>
      </c>
      <c r="O841" s="60">
        <v>91.935952999999998</v>
      </c>
      <c r="P841" s="62">
        <v>1000</v>
      </c>
      <c r="Q841" s="62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38"/>
    </row>
    <row r="842" spans="1:36" x14ac:dyDescent="0.3">
      <c r="A842" s="77">
        <v>836</v>
      </c>
      <c r="B842" s="79" t="s">
        <v>2439</v>
      </c>
      <c r="C842" s="79" t="s">
        <v>117</v>
      </c>
      <c r="D842" s="65" t="s">
        <v>117</v>
      </c>
      <c r="E842" s="18" t="s">
        <v>101</v>
      </c>
      <c r="F842" s="63" t="s">
        <v>115</v>
      </c>
      <c r="G842" s="18" t="s">
        <v>43</v>
      </c>
      <c r="H842" s="38"/>
      <c r="I842" s="38"/>
      <c r="J842" s="38"/>
      <c r="K842" s="18" t="s">
        <v>2218</v>
      </c>
      <c r="L842" s="18" t="s">
        <v>2219</v>
      </c>
      <c r="M842" s="18" t="s">
        <v>2220</v>
      </c>
      <c r="N842" s="60">
        <v>21.937965999999999</v>
      </c>
      <c r="O842" s="60">
        <v>91.939437999999996</v>
      </c>
      <c r="P842" s="62">
        <v>2000</v>
      </c>
      <c r="Q842" s="62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38"/>
    </row>
    <row r="843" spans="1:36" x14ac:dyDescent="0.3">
      <c r="A843" s="77">
        <v>837</v>
      </c>
      <c r="B843" s="79" t="s">
        <v>2439</v>
      </c>
      <c r="C843" s="79" t="s">
        <v>117</v>
      </c>
      <c r="D843" s="65" t="s">
        <v>117</v>
      </c>
      <c r="E843" s="18" t="s">
        <v>101</v>
      </c>
      <c r="F843" s="63" t="s">
        <v>115</v>
      </c>
      <c r="G843" s="18" t="s">
        <v>43</v>
      </c>
      <c r="H843" s="38"/>
      <c r="I843" s="38"/>
      <c r="J843" s="38"/>
      <c r="K843" s="63" t="s">
        <v>211</v>
      </c>
      <c r="L843" s="18" t="s">
        <v>212</v>
      </c>
      <c r="M843" s="18" t="s">
        <v>2221</v>
      </c>
      <c r="N843" s="60">
        <v>21.939363</v>
      </c>
      <c r="O843" s="60">
        <v>91.932941</v>
      </c>
      <c r="P843" s="62">
        <v>2500</v>
      </c>
      <c r="Q843" s="62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38"/>
    </row>
    <row r="844" spans="1:36" x14ac:dyDescent="0.3">
      <c r="A844" s="77">
        <v>838</v>
      </c>
      <c r="B844" s="79" t="s">
        <v>2439</v>
      </c>
      <c r="C844" s="79" t="s">
        <v>117</v>
      </c>
      <c r="D844" s="65" t="s">
        <v>117</v>
      </c>
      <c r="E844" s="18" t="s">
        <v>101</v>
      </c>
      <c r="F844" s="63" t="s">
        <v>115</v>
      </c>
      <c r="G844" s="18" t="s">
        <v>44</v>
      </c>
      <c r="H844" s="38"/>
      <c r="I844" s="38"/>
      <c r="J844" s="38"/>
      <c r="K844" s="18" t="s">
        <v>2222</v>
      </c>
      <c r="L844" s="18" t="s">
        <v>2223</v>
      </c>
      <c r="M844" s="18" t="s">
        <v>2224</v>
      </c>
      <c r="N844" s="60">
        <v>21.950326</v>
      </c>
      <c r="O844" s="60">
        <v>91.956434000000002</v>
      </c>
      <c r="P844" s="62">
        <v>1500</v>
      </c>
      <c r="Q844" s="62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38"/>
    </row>
    <row r="845" spans="1:36" x14ac:dyDescent="0.3">
      <c r="A845" s="77">
        <v>839</v>
      </c>
      <c r="B845" s="79" t="s">
        <v>2439</v>
      </c>
      <c r="C845" s="79" t="s">
        <v>117</v>
      </c>
      <c r="D845" s="65" t="s">
        <v>117</v>
      </c>
      <c r="E845" s="18" t="s">
        <v>101</v>
      </c>
      <c r="F845" s="63" t="s">
        <v>115</v>
      </c>
      <c r="G845" s="18" t="s">
        <v>44</v>
      </c>
      <c r="H845" s="38"/>
      <c r="I845" s="38"/>
      <c r="J845" s="38"/>
      <c r="K845" s="18" t="s">
        <v>2225</v>
      </c>
      <c r="L845" s="18" t="s">
        <v>2226</v>
      </c>
      <c r="M845" s="18" t="s">
        <v>2227</v>
      </c>
      <c r="N845" s="60">
        <v>21.944538999999999</v>
      </c>
      <c r="O845" s="60">
        <v>91.949444999999997</v>
      </c>
      <c r="P845" s="62">
        <v>700</v>
      </c>
      <c r="Q845" s="62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38"/>
    </row>
    <row r="846" spans="1:36" x14ac:dyDescent="0.3">
      <c r="A846" s="77">
        <v>840</v>
      </c>
      <c r="B846" s="79" t="s">
        <v>2439</v>
      </c>
      <c r="C846" s="79" t="s">
        <v>117</v>
      </c>
      <c r="D846" s="65" t="s">
        <v>117</v>
      </c>
      <c r="E846" s="18" t="s">
        <v>101</v>
      </c>
      <c r="F846" s="63" t="s">
        <v>115</v>
      </c>
      <c r="G846" s="18" t="s">
        <v>44</v>
      </c>
      <c r="H846" s="38"/>
      <c r="I846" s="38"/>
      <c r="J846" s="38"/>
      <c r="K846" s="18" t="s">
        <v>2228</v>
      </c>
      <c r="L846" s="18" t="s">
        <v>2229</v>
      </c>
      <c r="M846" s="18" t="s">
        <v>2230</v>
      </c>
      <c r="N846" s="60">
        <v>21.948505000000001</v>
      </c>
      <c r="O846" s="60">
        <v>91.952805999999995</v>
      </c>
      <c r="P846" s="62">
        <v>1600</v>
      </c>
      <c r="Q846" s="62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38"/>
    </row>
    <row r="847" spans="1:36" x14ac:dyDescent="0.3">
      <c r="A847" s="77">
        <v>841</v>
      </c>
      <c r="B847" s="79" t="s">
        <v>2439</v>
      </c>
      <c r="C847" s="79" t="s">
        <v>117</v>
      </c>
      <c r="D847" s="65" t="s">
        <v>117</v>
      </c>
      <c r="E847" s="18" t="s">
        <v>101</v>
      </c>
      <c r="F847" s="63" t="s">
        <v>115</v>
      </c>
      <c r="G847" s="18" t="s">
        <v>44</v>
      </c>
      <c r="H847" s="38"/>
      <c r="I847" s="38"/>
      <c r="J847" s="38"/>
      <c r="K847" s="18" t="s">
        <v>882</v>
      </c>
      <c r="L847" s="18" t="s">
        <v>2231</v>
      </c>
      <c r="M847" s="18" t="s">
        <v>2232</v>
      </c>
      <c r="N847" s="60">
        <v>21.946389</v>
      </c>
      <c r="O847" s="60">
        <v>91.955147999999994</v>
      </c>
      <c r="P847" s="62">
        <v>800</v>
      </c>
      <c r="Q847" s="62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38"/>
    </row>
    <row r="848" spans="1:36" x14ac:dyDescent="0.3">
      <c r="A848" s="77">
        <v>842</v>
      </c>
      <c r="B848" s="79" t="s">
        <v>2439</v>
      </c>
      <c r="C848" s="79" t="s">
        <v>117</v>
      </c>
      <c r="D848" s="65" t="s">
        <v>117</v>
      </c>
      <c r="E848" s="18" t="s">
        <v>101</v>
      </c>
      <c r="F848" s="63" t="s">
        <v>115</v>
      </c>
      <c r="G848" s="18" t="s">
        <v>44</v>
      </c>
      <c r="H848" s="38"/>
      <c r="I848" s="38"/>
      <c r="J848" s="38"/>
      <c r="K848" s="18" t="s">
        <v>92</v>
      </c>
      <c r="L848" s="18" t="s">
        <v>93</v>
      </c>
      <c r="M848" s="18" t="s">
        <v>2233</v>
      </c>
      <c r="N848" s="60">
        <v>21.950126999999998</v>
      </c>
      <c r="O848" s="60">
        <v>91.949124999999995</v>
      </c>
      <c r="P848" s="62">
        <v>700</v>
      </c>
      <c r="Q848" s="62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38"/>
    </row>
    <row r="849" spans="1:36" x14ac:dyDescent="0.3">
      <c r="A849" s="77">
        <v>843</v>
      </c>
      <c r="B849" s="79" t="s">
        <v>2439</v>
      </c>
      <c r="C849" s="79" t="s">
        <v>117</v>
      </c>
      <c r="D849" s="65" t="s">
        <v>117</v>
      </c>
      <c r="E849" s="18" t="s">
        <v>101</v>
      </c>
      <c r="F849" s="63" t="s">
        <v>115</v>
      </c>
      <c r="G849" s="18" t="s">
        <v>44</v>
      </c>
      <c r="H849" s="38"/>
      <c r="I849" s="38"/>
      <c r="J849" s="38"/>
      <c r="K849" s="67" t="s">
        <v>981</v>
      </c>
      <c r="L849" s="18" t="s">
        <v>2234</v>
      </c>
      <c r="M849" s="18" t="s">
        <v>2235</v>
      </c>
      <c r="N849" s="60">
        <v>21.947004</v>
      </c>
      <c r="O849" s="60">
        <v>91.948552000000007</v>
      </c>
      <c r="P849" s="62">
        <v>3000</v>
      </c>
      <c r="Q849" s="62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38"/>
    </row>
    <row r="850" spans="1:36" x14ac:dyDescent="0.3">
      <c r="A850" s="77">
        <v>844</v>
      </c>
      <c r="B850" s="79" t="s">
        <v>2439</v>
      </c>
      <c r="C850" s="79" t="s">
        <v>117</v>
      </c>
      <c r="D850" s="65" t="s">
        <v>117</v>
      </c>
      <c r="E850" s="18" t="s">
        <v>101</v>
      </c>
      <c r="F850" s="63" t="s">
        <v>115</v>
      </c>
      <c r="G850" s="18" t="s">
        <v>45</v>
      </c>
      <c r="H850" s="38"/>
      <c r="I850" s="38"/>
      <c r="J850" s="38"/>
      <c r="K850" s="18" t="s">
        <v>2236</v>
      </c>
      <c r="L850" s="18" t="s">
        <v>2237</v>
      </c>
      <c r="M850" s="18" t="s">
        <v>2238</v>
      </c>
      <c r="N850" s="60">
        <v>21.941306000000001</v>
      </c>
      <c r="O850" s="60">
        <v>91.947704999999999</v>
      </c>
      <c r="P850" s="62">
        <v>600</v>
      </c>
      <c r="Q850" s="62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38"/>
    </row>
    <row r="851" spans="1:36" x14ac:dyDescent="0.3">
      <c r="A851" s="77">
        <v>845</v>
      </c>
      <c r="B851" s="79" t="s">
        <v>2439</v>
      </c>
      <c r="C851" s="79" t="s">
        <v>117</v>
      </c>
      <c r="D851" s="65" t="s">
        <v>117</v>
      </c>
      <c r="E851" s="18" t="s">
        <v>101</v>
      </c>
      <c r="F851" s="63" t="s">
        <v>115</v>
      </c>
      <c r="G851" s="18" t="s">
        <v>45</v>
      </c>
      <c r="H851" s="38"/>
      <c r="I851" s="38"/>
      <c r="J851" s="38"/>
      <c r="K851" s="18" t="s">
        <v>2239</v>
      </c>
      <c r="L851" s="18" t="s">
        <v>2240</v>
      </c>
      <c r="M851" s="18" t="s">
        <v>2241</v>
      </c>
      <c r="N851" s="60">
        <v>21.937466000000001</v>
      </c>
      <c r="O851" s="60">
        <v>91.945421999999994</v>
      </c>
      <c r="P851" s="62">
        <v>600</v>
      </c>
      <c r="Q851" s="62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38"/>
    </row>
    <row r="852" spans="1:36" x14ac:dyDescent="0.3">
      <c r="A852" s="77">
        <v>846</v>
      </c>
      <c r="B852" s="79" t="s">
        <v>2439</v>
      </c>
      <c r="C852" s="79" t="s">
        <v>117</v>
      </c>
      <c r="D852" s="65" t="s">
        <v>117</v>
      </c>
      <c r="E852" s="18" t="s">
        <v>101</v>
      </c>
      <c r="F852" s="63" t="s">
        <v>115</v>
      </c>
      <c r="G852" s="18" t="s">
        <v>45</v>
      </c>
      <c r="H852" s="38"/>
      <c r="I852" s="38"/>
      <c r="J852" s="38"/>
      <c r="K852" s="18" t="s">
        <v>2141</v>
      </c>
      <c r="L852" s="18" t="s">
        <v>2142</v>
      </c>
      <c r="M852" s="18" t="s">
        <v>2242</v>
      </c>
      <c r="N852" s="60">
        <v>21.932836999999999</v>
      </c>
      <c r="O852" s="60">
        <v>91.944767999999996</v>
      </c>
      <c r="P852" s="62">
        <v>600</v>
      </c>
      <c r="Q852" s="62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38"/>
    </row>
    <row r="853" spans="1:36" x14ac:dyDescent="0.3">
      <c r="A853" s="77">
        <v>847</v>
      </c>
      <c r="B853" s="79" t="s">
        <v>2439</v>
      </c>
      <c r="C853" s="79" t="s">
        <v>117</v>
      </c>
      <c r="D853" s="65" t="s">
        <v>117</v>
      </c>
      <c r="E853" s="18" t="s">
        <v>101</v>
      </c>
      <c r="F853" s="63" t="s">
        <v>115</v>
      </c>
      <c r="G853" s="18" t="s">
        <v>45</v>
      </c>
      <c r="H853" s="38"/>
      <c r="I853" s="38"/>
      <c r="J853" s="38"/>
      <c r="K853" s="18" t="s">
        <v>2243</v>
      </c>
      <c r="L853" s="18" t="s">
        <v>2244</v>
      </c>
      <c r="M853" s="18" t="s">
        <v>2245</v>
      </c>
      <c r="N853" s="60">
        <v>21.929680999999999</v>
      </c>
      <c r="O853" s="60">
        <v>91.947211999999993</v>
      </c>
      <c r="P853" s="62">
        <v>800</v>
      </c>
      <c r="Q853" s="62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38"/>
    </row>
    <row r="854" spans="1:36" x14ac:dyDescent="0.3">
      <c r="A854" s="77">
        <v>848</v>
      </c>
      <c r="B854" s="79" t="s">
        <v>2439</v>
      </c>
      <c r="C854" s="79" t="s">
        <v>117</v>
      </c>
      <c r="D854" s="65" t="s">
        <v>117</v>
      </c>
      <c r="E854" s="18" t="s">
        <v>101</v>
      </c>
      <c r="F854" s="63" t="s">
        <v>115</v>
      </c>
      <c r="G854" s="18" t="s">
        <v>45</v>
      </c>
      <c r="H854" s="38"/>
      <c r="I854" s="38"/>
      <c r="J854" s="38"/>
      <c r="K854" s="18" t="s">
        <v>2246</v>
      </c>
      <c r="L854" s="18" t="s">
        <v>2247</v>
      </c>
      <c r="M854" s="18" t="s">
        <v>2248</v>
      </c>
      <c r="N854" s="60">
        <v>21.925758999999999</v>
      </c>
      <c r="O854" s="60">
        <v>91.949089000000001</v>
      </c>
      <c r="P854" s="62">
        <v>700</v>
      </c>
      <c r="Q854" s="62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</row>
    <row r="855" spans="1:36" x14ac:dyDescent="0.3">
      <c r="A855" s="77">
        <v>849</v>
      </c>
      <c r="B855" s="79" t="s">
        <v>2439</v>
      </c>
      <c r="C855" s="79" t="s">
        <v>117</v>
      </c>
      <c r="D855" s="65" t="s">
        <v>117</v>
      </c>
      <c r="E855" s="18" t="s">
        <v>101</v>
      </c>
      <c r="F855" s="63" t="s">
        <v>115</v>
      </c>
      <c r="G855" s="18" t="s">
        <v>46</v>
      </c>
      <c r="H855" s="38"/>
      <c r="I855" s="38"/>
      <c r="J855" s="38"/>
      <c r="K855" s="18" t="s">
        <v>51</v>
      </c>
      <c r="L855" s="18" t="s">
        <v>52</v>
      </c>
      <c r="M855" s="18" t="s">
        <v>2249</v>
      </c>
      <c r="N855" s="60">
        <v>21.933024</v>
      </c>
      <c r="O855" s="60">
        <v>91.957550999999995</v>
      </c>
      <c r="P855" s="62">
        <v>4000</v>
      </c>
      <c r="Q855" s="62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</row>
    <row r="856" spans="1:36" x14ac:dyDescent="0.3">
      <c r="A856" s="77">
        <v>850</v>
      </c>
      <c r="B856" s="79" t="s">
        <v>2439</v>
      </c>
      <c r="C856" s="79" t="s">
        <v>117</v>
      </c>
      <c r="D856" s="65" t="s">
        <v>117</v>
      </c>
      <c r="E856" s="18" t="s">
        <v>101</v>
      </c>
      <c r="F856" s="63" t="s">
        <v>115</v>
      </c>
      <c r="G856" s="18" t="s">
        <v>46</v>
      </c>
      <c r="H856" s="38"/>
      <c r="I856" s="38"/>
      <c r="J856" s="38"/>
      <c r="K856" s="18" t="s">
        <v>2250</v>
      </c>
      <c r="L856" s="18" t="s">
        <v>2251</v>
      </c>
      <c r="M856" s="18" t="s">
        <v>2252</v>
      </c>
      <c r="N856" s="60">
        <v>21.938136</v>
      </c>
      <c r="O856" s="60">
        <v>91.953276000000002</v>
      </c>
      <c r="P856" s="62">
        <v>300</v>
      </c>
      <c r="Q856" s="62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</row>
    <row r="857" spans="1:36" x14ac:dyDescent="0.3">
      <c r="A857" s="77">
        <v>851</v>
      </c>
      <c r="B857" s="79" t="s">
        <v>2439</v>
      </c>
      <c r="C857" s="79" t="s">
        <v>117</v>
      </c>
      <c r="D857" s="65" t="s">
        <v>117</v>
      </c>
      <c r="E857" s="18" t="s">
        <v>101</v>
      </c>
      <c r="F857" s="63" t="s">
        <v>115</v>
      </c>
      <c r="G857" s="18" t="s">
        <v>46</v>
      </c>
      <c r="H857" s="38"/>
      <c r="I857" s="38"/>
      <c r="J857" s="38"/>
      <c r="K857" s="18" t="s">
        <v>2253</v>
      </c>
      <c r="L857" s="18" t="s">
        <v>2254</v>
      </c>
      <c r="M857" s="18" t="s">
        <v>2255</v>
      </c>
      <c r="N857" s="60">
        <v>21.927887999999999</v>
      </c>
      <c r="O857" s="60">
        <v>91.955740000000006</v>
      </c>
      <c r="P857" s="62">
        <v>1000</v>
      </c>
      <c r="Q857" s="62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</row>
    <row r="858" spans="1:36" x14ac:dyDescent="0.3">
      <c r="A858" s="77">
        <v>852</v>
      </c>
      <c r="B858" s="79" t="s">
        <v>2439</v>
      </c>
      <c r="C858" s="79" t="s">
        <v>117</v>
      </c>
      <c r="D858" s="65" t="s">
        <v>117</v>
      </c>
      <c r="E858" s="18" t="s">
        <v>101</v>
      </c>
      <c r="F858" s="63" t="s">
        <v>115</v>
      </c>
      <c r="G858" s="18" t="s">
        <v>47</v>
      </c>
      <c r="H858" s="38"/>
      <c r="I858" s="38"/>
      <c r="J858" s="38"/>
      <c r="K858" s="18" t="s">
        <v>2256</v>
      </c>
      <c r="L858" s="18" t="s">
        <v>2257</v>
      </c>
      <c r="M858" s="18" t="s">
        <v>2258</v>
      </c>
      <c r="N858" s="60">
        <v>21.934322999999999</v>
      </c>
      <c r="O858" s="60">
        <v>91.933436</v>
      </c>
      <c r="P858" s="62">
        <v>2100</v>
      </c>
      <c r="Q858" s="62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</row>
    <row r="859" spans="1:36" x14ac:dyDescent="0.3">
      <c r="A859" s="77">
        <v>853</v>
      </c>
      <c r="B859" s="79" t="s">
        <v>2439</v>
      </c>
      <c r="C859" s="79" t="s">
        <v>117</v>
      </c>
      <c r="D859" s="65" t="s">
        <v>117</v>
      </c>
      <c r="E859" s="18" t="s">
        <v>101</v>
      </c>
      <c r="F859" s="63" t="s">
        <v>115</v>
      </c>
      <c r="G859" s="18" t="s">
        <v>47</v>
      </c>
      <c r="H859" s="38"/>
      <c r="I859" s="38"/>
      <c r="J859" s="38"/>
      <c r="K859" s="18" t="s">
        <v>2259</v>
      </c>
      <c r="L859" s="18" t="s">
        <v>2260</v>
      </c>
      <c r="M859" s="18" t="s">
        <v>2261</v>
      </c>
      <c r="N859" s="60">
        <v>21.933088000000001</v>
      </c>
      <c r="O859" s="60">
        <v>91.942862000000005</v>
      </c>
      <c r="P859" s="62">
        <v>1500</v>
      </c>
      <c r="Q859" s="62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38"/>
    </row>
    <row r="860" spans="1:36" x14ac:dyDescent="0.3">
      <c r="A860" s="77">
        <v>854</v>
      </c>
      <c r="B860" s="79" t="s">
        <v>2439</v>
      </c>
      <c r="C860" s="79" t="s">
        <v>117</v>
      </c>
      <c r="D860" s="65" t="s">
        <v>117</v>
      </c>
      <c r="E860" s="18" t="s">
        <v>101</v>
      </c>
      <c r="F860" s="63" t="s">
        <v>115</v>
      </c>
      <c r="G860" s="18" t="s">
        <v>47</v>
      </c>
      <c r="H860" s="38"/>
      <c r="I860" s="38"/>
      <c r="J860" s="38"/>
      <c r="K860" s="66" t="s">
        <v>272</v>
      </c>
      <c r="L860" s="18" t="s">
        <v>273</v>
      </c>
      <c r="M860" s="18" t="s">
        <v>2262</v>
      </c>
      <c r="N860" s="60">
        <v>21.932486999999998</v>
      </c>
      <c r="O860" s="60">
        <v>91.936823000000004</v>
      </c>
      <c r="P860" s="62">
        <v>2000</v>
      </c>
      <c r="Q860" s="62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38"/>
    </row>
    <row r="861" spans="1:36" x14ac:dyDescent="0.3">
      <c r="A861" s="77">
        <v>855</v>
      </c>
      <c r="B861" s="79" t="s">
        <v>2439</v>
      </c>
      <c r="C861" s="79" t="s">
        <v>117</v>
      </c>
      <c r="D861" s="65" t="s">
        <v>117</v>
      </c>
      <c r="E861" s="18" t="s">
        <v>101</v>
      </c>
      <c r="F861" s="63" t="s">
        <v>115</v>
      </c>
      <c r="G861" s="18" t="s">
        <v>47</v>
      </c>
      <c r="H861" s="38"/>
      <c r="I861" s="38"/>
      <c r="J861" s="38"/>
      <c r="K861" s="18" t="s">
        <v>2263</v>
      </c>
      <c r="L861" s="18" t="s">
        <v>2264</v>
      </c>
      <c r="M861" s="18" t="s">
        <v>2265</v>
      </c>
      <c r="N861" s="60">
        <v>21.933772000000001</v>
      </c>
      <c r="O861" s="60">
        <v>91.937927999999999</v>
      </c>
      <c r="P861" s="62">
        <v>1000</v>
      </c>
      <c r="Q861" s="62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38"/>
    </row>
    <row r="862" spans="1:36" x14ac:dyDescent="0.3">
      <c r="A862" s="77">
        <v>856</v>
      </c>
      <c r="B862" s="79" t="s">
        <v>2439</v>
      </c>
      <c r="C862" s="79" t="s">
        <v>117</v>
      </c>
      <c r="D862" s="65" t="s">
        <v>117</v>
      </c>
      <c r="E862" s="18" t="s">
        <v>101</v>
      </c>
      <c r="F862" s="63" t="s">
        <v>115</v>
      </c>
      <c r="G862" s="18" t="s">
        <v>48</v>
      </c>
      <c r="H862" s="38"/>
      <c r="I862" s="38"/>
      <c r="J862" s="38"/>
      <c r="K862" s="18" t="s">
        <v>2266</v>
      </c>
      <c r="L862" s="18" t="s">
        <v>2267</v>
      </c>
      <c r="M862" s="18" t="s">
        <v>2268</v>
      </c>
      <c r="N862" s="60">
        <v>21.929207999999999</v>
      </c>
      <c r="O862" s="60">
        <v>91.932671999999997</v>
      </c>
      <c r="P862" s="62">
        <v>1800</v>
      </c>
      <c r="Q862" s="62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38"/>
    </row>
    <row r="863" spans="1:36" x14ac:dyDescent="0.3">
      <c r="A863" s="77">
        <v>857</v>
      </c>
      <c r="B863" s="79" t="s">
        <v>2439</v>
      </c>
      <c r="C863" s="79" t="s">
        <v>117</v>
      </c>
      <c r="D863" s="65" t="s">
        <v>117</v>
      </c>
      <c r="E863" s="18" t="s">
        <v>101</v>
      </c>
      <c r="F863" s="63" t="s">
        <v>115</v>
      </c>
      <c r="G863" s="18" t="s">
        <v>48</v>
      </c>
      <c r="H863" s="38"/>
      <c r="I863" s="38"/>
      <c r="J863" s="38"/>
      <c r="K863" s="18" t="s">
        <v>68</v>
      </c>
      <c r="L863" s="18" t="s">
        <v>72</v>
      </c>
      <c r="M863" s="18" t="s">
        <v>2269</v>
      </c>
      <c r="N863" s="60">
        <v>21.928559</v>
      </c>
      <c r="O863" s="60">
        <v>91.936451000000005</v>
      </c>
      <c r="P863" s="62">
        <v>1200</v>
      </c>
      <c r="Q863" s="62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38"/>
    </row>
    <row r="864" spans="1:36" x14ac:dyDescent="0.3">
      <c r="A864" s="77">
        <v>858</v>
      </c>
      <c r="B864" s="79" t="s">
        <v>2439</v>
      </c>
      <c r="C864" s="79" t="s">
        <v>117</v>
      </c>
      <c r="D864" s="65" t="s">
        <v>117</v>
      </c>
      <c r="E864" s="18" t="s">
        <v>101</v>
      </c>
      <c r="F864" s="63" t="s">
        <v>115</v>
      </c>
      <c r="G864" s="18" t="s">
        <v>48</v>
      </c>
      <c r="H864" s="38"/>
      <c r="I864" s="38"/>
      <c r="J864" s="38"/>
      <c r="K864" s="18" t="s">
        <v>2270</v>
      </c>
      <c r="L864" s="18" t="s">
        <v>2271</v>
      </c>
      <c r="M864" s="18" t="s">
        <v>2272</v>
      </c>
      <c r="N864" s="60">
        <v>21.920570000000001</v>
      </c>
      <c r="O864" s="60">
        <v>91.932899000000006</v>
      </c>
      <c r="P864" s="62">
        <v>1500</v>
      </c>
      <c r="Q864" s="62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38"/>
    </row>
    <row r="865" spans="1:36" x14ac:dyDescent="0.3">
      <c r="A865" s="77">
        <v>859</v>
      </c>
      <c r="B865" s="79" t="s">
        <v>2439</v>
      </c>
      <c r="C865" s="79" t="s">
        <v>117</v>
      </c>
      <c r="D865" s="65" t="s">
        <v>117</v>
      </c>
      <c r="E865" s="18" t="s">
        <v>101</v>
      </c>
      <c r="F865" s="63" t="s">
        <v>115</v>
      </c>
      <c r="G865" s="18" t="s">
        <v>48</v>
      </c>
      <c r="H865" s="38"/>
      <c r="I865" s="38"/>
      <c r="J865" s="38"/>
      <c r="K865" s="18" t="s">
        <v>92</v>
      </c>
      <c r="L865" s="18" t="s">
        <v>93</v>
      </c>
      <c r="M865" s="18" t="s">
        <v>2273</v>
      </c>
      <c r="N865" s="60">
        <v>21.922263999999998</v>
      </c>
      <c r="O865" s="60">
        <v>91.935760000000002</v>
      </c>
      <c r="P865" s="62">
        <v>300</v>
      </c>
      <c r="Q865" s="62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38"/>
    </row>
    <row r="866" spans="1:36" x14ac:dyDescent="0.3">
      <c r="A866" s="77">
        <v>860</v>
      </c>
      <c r="B866" s="79" t="s">
        <v>2439</v>
      </c>
      <c r="C866" s="79" t="s">
        <v>117</v>
      </c>
      <c r="D866" s="65" t="s">
        <v>117</v>
      </c>
      <c r="E866" s="18" t="s">
        <v>101</v>
      </c>
      <c r="F866" s="63" t="s">
        <v>115</v>
      </c>
      <c r="G866" s="18" t="s">
        <v>48</v>
      </c>
      <c r="H866" s="38"/>
      <c r="I866" s="38"/>
      <c r="J866" s="38"/>
      <c r="K866" s="18" t="s">
        <v>2274</v>
      </c>
      <c r="L866" s="18" t="s">
        <v>2275</v>
      </c>
      <c r="M866" s="18" t="s">
        <v>2276</v>
      </c>
      <c r="N866" s="60">
        <v>21.925818</v>
      </c>
      <c r="O866" s="60">
        <v>91.937443999999999</v>
      </c>
      <c r="P866" s="62">
        <v>1500</v>
      </c>
      <c r="Q866" s="62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38"/>
    </row>
    <row r="867" spans="1:36" x14ac:dyDescent="0.3">
      <c r="A867" s="77">
        <v>861</v>
      </c>
      <c r="B867" s="79" t="s">
        <v>2439</v>
      </c>
      <c r="C867" s="79" t="s">
        <v>117</v>
      </c>
      <c r="D867" s="65" t="s">
        <v>117</v>
      </c>
      <c r="E867" s="18" t="s">
        <v>101</v>
      </c>
      <c r="F867" s="63" t="s">
        <v>115</v>
      </c>
      <c r="G867" s="18" t="s">
        <v>49</v>
      </c>
      <c r="H867" s="38"/>
      <c r="I867" s="38"/>
      <c r="J867" s="38"/>
      <c r="K867" s="18" t="s">
        <v>2277</v>
      </c>
      <c r="L867" s="18" t="s">
        <v>2278</v>
      </c>
      <c r="M867" s="18" t="s">
        <v>2279</v>
      </c>
      <c r="N867" s="60">
        <v>21.919111999999998</v>
      </c>
      <c r="O867" s="60">
        <v>91.951823000000005</v>
      </c>
      <c r="P867" s="62">
        <v>2000</v>
      </c>
      <c r="Q867" s="62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38"/>
    </row>
    <row r="868" spans="1:36" x14ac:dyDescent="0.3">
      <c r="A868" s="77">
        <v>862</v>
      </c>
      <c r="B868" s="79" t="s">
        <v>2439</v>
      </c>
      <c r="C868" s="79" t="s">
        <v>117</v>
      </c>
      <c r="D868" s="65" t="s">
        <v>117</v>
      </c>
      <c r="E868" s="18" t="s">
        <v>101</v>
      </c>
      <c r="F868" s="63" t="s">
        <v>115</v>
      </c>
      <c r="G868" s="18" t="s">
        <v>49</v>
      </c>
      <c r="H868" s="38"/>
      <c r="I868" s="38"/>
      <c r="J868" s="38"/>
      <c r="K868" s="18" t="s">
        <v>734</v>
      </c>
      <c r="L868" s="18" t="s">
        <v>735</v>
      </c>
      <c r="M868" s="18" t="s">
        <v>2280</v>
      </c>
      <c r="N868" s="60">
        <v>21.912309</v>
      </c>
      <c r="O868" s="60">
        <v>91.950540000000004</v>
      </c>
      <c r="P868" s="62">
        <v>600</v>
      </c>
      <c r="Q868" s="62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38"/>
    </row>
    <row r="869" spans="1:36" x14ac:dyDescent="0.3">
      <c r="A869" s="77">
        <v>863</v>
      </c>
      <c r="B869" s="79" t="s">
        <v>2439</v>
      </c>
      <c r="C869" s="79" t="s">
        <v>117</v>
      </c>
      <c r="D869" s="65" t="s">
        <v>117</v>
      </c>
      <c r="E869" s="18" t="s">
        <v>101</v>
      </c>
      <c r="F869" s="63" t="s">
        <v>115</v>
      </c>
      <c r="G869" s="18" t="s">
        <v>49</v>
      </c>
      <c r="H869" s="38"/>
      <c r="I869" s="38"/>
      <c r="J869" s="38"/>
      <c r="K869" s="18" t="s">
        <v>2281</v>
      </c>
      <c r="L869" s="18" t="s">
        <v>2282</v>
      </c>
      <c r="M869" s="18" t="s">
        <v>2283</v>
      </c>
      <c r="N869" s="60">
        <v>21.922084999999999</v>
      </c>
      <c r="O869" s="60">
        <v>91.943764999999999</v>
      </c>
      <c r="P869" s="62">
        <v>500</v>
      </c>
      <c r="Q869" s="62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38"/>
    </row>
    <row r="870" spans="1:36" x14ac:dyDescent="0.3">
      <c r="A870" s="77">
        <v>864</v>
      </c>
      <c r="B870" s="79" t="s">
        <v>2439</v>
      </c>
      <c r="C870" s="79" t="s">
        <v>117</v>
      </c>
      <c r="D870" s="65" t="s">
        <v>117</v>
      </c>
      <c r="E870" s="18" t="s">
        <v>101</v>
      </c>
      <c r="F870" s="63" t="s">
        <v>115</v>
      </c>
      <c r="G870" s="18" t="s">
        <v>49</v>
      </c>
      <c r="H870" s="38"/>
      <c r="I870" s="38"/>
      <c r="J870" s="38"/>
      <c r="K870" s="18" t="s">
        <v>2284</v>
      </c>
      <c r="L870" s="18" t="s">
        <v>2285</v>
      </c>
      <c r="M870" s="18" t="s">
        <v>2286</v>
      </c>
      <c r="N870" s="60">
        <v>21.924786999999998</v>
      </c>
      <c r="O870" s="60">
        <v>91.947699999999998</v>
      </c>
      <c r="P870" s="62">
        <v>400</v>
      </c>
      <c r="Q870" s="62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38"/>
    </row>
    <row r="871" spans="1:36" x14ac:dyDescent="0.3">
      <c r="A871" s="77">
        <v>865</v>
      </c>
      <c r="B871" s="79" t="s">
        <v>2439</v>
      </c>
      <c r="C871" s="79" t="s">
        <v>117</v>
      </c>
      <c r="D871" s="65" t="s">
        <v>117</v>
      </c>
      <c r="E871" s="18" t="s">
        <v>101</v>
      </c>
      <c r="F871" s="63" t="s">
        <v>115</v>
      </c>
      <c r="G871" s="18" t="s">
        <v>49</v>
      </c>
      <c r="H871" s="38"/>
      <c r="I871" s="38"/>
      <c r="J871" s="38"/>
      <c r="K871" s="18" t="s">
        <v>2287</v>
      </c>
      <c r="L871" s="18" t="s">
        <v>2288</v>
      </c>
      <c r="M871" s="18" t="s">
        <v>2289</v>
      </c>
      <c r="N871" s="60">
        <v>21.927330000000001</v>
      </c>
      <c r="O871" s="60">
        <v>91.944316999999998</v>
      </c>
      <c r="P871" s="62">
        <v>600</v>
      </c>
      <c r="Q871" s="62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38"/>
    </row>
    <row r="872" spans="1:36" x14ac:dyDescent="0.3">
      <c r="A872" s="77">
        <v>866</v>
      </c>
      <c r="B872" s="79" t="s">
        <v>2439</v>
      </c>
      <c r="C872" s="79" t="s">
        <v>117</v>
      </c>
      <c r="D872" s="65" t="s">
        <v>117</v>
      </c>
      <c r="E872" s="18" t="s">
        <v>101</v>
      </c>
      <c r="F872" s="63" t="s">
        <v>115</v>
      </c>
      <c r="G872" s="18" t="s">
        <v>49</v>
      </c>
      <c r="H872" s="38"/>
      <c r="I872" s="38"/>
      <c r="J872" s="38"/>
      <c r="K872" s="18" t="s">
        <v>66</v>
      </c>
      <c r="L872" s="18" t="s">
        <v>158</v>
      </c>
      <c r="M872" s="18" t="s">
        <v>2290</v>
      </c>
      <c r="N872" s="60">
        <v>21.916996000000001</v>
      </c>
      <c r="O872" s="60">
        <v>91.954437999999996</v>
      </c>
      <c r="P872" s="62">
        <v>1000</v>
      </c>
      <c r="Q872" s="62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38"/>
    </row>
    <row r="873" spans="1:36" x14ac:dyDescent="0.3">
      <c r="A873" s="77">
        <v>867</v>
      </c>
      <c r="B873" s="79" t="s">
        <v>2439</v>
      </c>
      <c r="C873" s="79" t="s">
        <v>117</v>
      </c>
      <c r="D873" s="65" t="s">
        <v>117</v>
      </c>
      <c r="E873" s="18" t="s">
        <v>101</v>
      </c>
      <c r="F873" s="63" t="s">
        <v>116</v>
      </c>
      <c r="G873" s="18" t="s">
        <v>41</v>
      </c>
      <c r="H873" s="38"/>
      <c r="I873" s="38"/>
      <c r="J873" s="38"/>
      <c r="K873" s="67" t="s">
        <v>86</v>
      </c>
      <c r="L873" s="67" t="s">
        <v>160</v>
      </c>
      <c r="M873" s="67" t="s">
        <v>2291</v>
      </c>
      <c r="N873" s="60">
        <v>21.982894000000002</v>
      </c>
      <c r="O873" s="60">
        <v>91.917613000000003</v>
      </c>
      <c r="P873" s="62">
        <v>1300</v>
      </c>
      <c r="Q873" s="62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38"/>
    </row>
    <row r="874" spans="1:36" x14ac:dyDescent="0.3">
      <c r="A874" s="77">
        <v>868</v>
      </c>
      <c r="B874" s="79" t="s">
        <v>2439</v>
      </c>
      <c r="C874" s="79" t="s">
        <v>117</v>
      </c>
      <c r="D874" s="65" t="s">
        <v>117</v>
      </c>
      <c r="E874" s="18" t="s">
        <v>101</v>
      </c>
      <c r="F874" s="63" t="s">
        <v>116</v>
      </c>
      <c r="G874" s="18" t="s">
        <v>41</v>
      </c>
      <c r="H874" s="38"/>
      <c r="I874" s="38"/>
      <c r="J874" s="38"/>
      <c r="K874" s="67" t="s">
        <v>734</v>
      </c>
      <c r="L874" s="67" t="s">
        <v>735</v>
      </c>
      <c r="M874" s="67" t="s">
        <v>2292</v>
      </c>
      <c r="N874" s="60">
        <v>21.976832000000002</v>
      </c>
      <c r="O874" s="60">
        <v>91.916848000000002</v>
      </c>
      <c r="P874" s="62">
        <v>1600</v>
      </c>
      <c r="Q874" s="62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38"/>
    </row>
    <row r="875" spans="1:36" x14ac:dyDescent="0.3">
      <c r="A875" s="77">
        <v>869</v>
      </c>
      <c r="B875" s="79" t="s">
        <v>2439</v>
      </c>
      <c r="C875" s="79" t="s">
        <v>117</v>
      </c>
      <c r="D875" s="65" t="s">
        <v>117</v>
      </c>
      <c r="E875" s="18" t="s">
        <v>101</v>
      </c>
      <c r="F875" s="63" t="s">
        <v>116</v>
      </c>
      <c r="G875" s="18" t="s">
        <v>42</v>
      </c>
      <c r="H875" s="38"/>
      <c r="I875" s="38"/>
      <c r="J875" s="38"/>
      <c r="K875" s="67" t="s">
        <v>2293</v>
      </c>
      <c r="L875" s="67" t="s">
        <v>2294</v>
      </c>
      <c r="M875" s="67" t="s">
        <v>2295</v>
      </c>
      <c r="N875" s="60">
        <v>21.983105999999999</v>
      </c>
      <c r="O875" s="60">
        <v>91.931110000000004</v>
      </c>
      <c r="P875" s="62">
        <v>1200</v>
      </c>
      <c r="Q875" s="62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38"/>
    </row>
    <row r="876" spans="1:36" x14ac:dyDescent="0.3">
      <c r="A876" s="77">
        <v>870</v>
      </c>
      <c r="B876" s="79" t="s">
        <v>2439</v>
      </c>
      <c r="C876" s="79" t="s">
        <v>117</v>
      </c>
      <c r="D876" s="65" t="s">
        <v>117</v>
      </c>
      <c r="E876" s="18" t="s">
        <v>101</v>
      </c>
      <c r="F876" s="63" t="s">
        <v>116</v>
      </c>
      <c r="G876" s="18" t="s">
        <v>42</v>
      </c>
      <c r="H876" s="38"/>
      <c r="I876" s="38"/>
      <c r="J876" s="38"/>
      <c r="K876" s="67" t="s">
        <v>2296</v>
      </c>
      <c r="L876" s="67" t="s">
        <v>2297</v>
      </c>
      <c r="M876" s="67" t="s">
        <v>2298</v>
      </c>
      <c r="N876" s="60">
        <v>21.981321999999999</v>
      </c>
      <c r="O876" s="60">
        <v>91.934952999999993</v>
      </c>
      <c r="P876" s="62">
        <v>800</v>
      </c>
      <c r="Q876" s="62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38"/>
    </row>
    <row r="877" spans="1:36" x14ac:dyDescent="0.3">
      <c r="A877" s="77">
        <v>871</v>
      </c>
      <c r="B877" s="79" t="s">
        <v>2439</v>
      </c>
      <c r="C877" s="79" t="s">
        <v>117</v>
      </c>
      <c r="D877" s="65" t="s">
        <v>117</v>
      </c>
      <c r="E877" s="18" t="s">
        <v>101</v>
      </c>
      <c r="F877" s="63" t="s">
        <v>116</v>
      </c>
      <c r="G877" s="18" t="s">
        <v>42</v>
      </c>
      <c r="H877" s="38"/>
      <c r="I877" s="38"/>
      <c r="J877" s="38"/>
      <c r="K877" s="67" t="s">
        <v>2299</v>
      </c>
      <c r="L877" s="67" t="s">
        <v>2300</v>
      </c>
      <c r="M877" s="67" t="s">
        <v>2301</v>
      </c>
      <c r="N877" s="60">
        <v>21.985263</v>
      </c>
      <c r="O877" s="60">
        <v>91.935159999999996</v>
      </c>
      <c r="P877" s="62">
        <v>500</v>
      </c>
      <c r="Q877" s="62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38"/>
    </row>
    <row r="878" spans="1:36" x14ac:dyDescent="0.3">
      <c r="A878" s="77">
        <v>872</v>
      </c>
      <c r="B878" s="79" t="s">
        <v>2439</v>
      </c>
      <c r="C878" s="79" t="s">
        <v>117</v>
      </c>
      <c r="D878" s="65" t="s">
        <v>117</v>
      </c>
      <c r="E878" s="18" t="s">
        <v>101</v>
      </c>
      <c r="F878" s="63" t="s">
        <v>116</v>
      </c>
      <c r="G878" s="18" t="s">
        <v>42</v>
      </c>
      <c r="H878" s="38"/>
      <c r="I878" s="38"/>
      <c r="J878" s="38"/>
      <c r="K878" s="67" t="s">
        <v>2302</v>
      </c>
      <c r="L878" s="67" t="s">
        <v>2303</v>
      </c>
      <c r="M878" s="67" t="s">
        <v>2304</v>
      </c>
      <c r="N878" s="60">
        <v>21.982088999999998</v>
      </c>
      <c r="O878" s="60">
        <v>91.924766000000005</v>
      </c>
      <c r="P878" s="62">
        <v>300</v>
      </c>
      <c r="Q878" s="62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38"/>
    </row>
    <row r="879" spans="1:36" x14ac:dyDescent="0.3">
      <c r="A879" s="77">
        <v>873</v>
      </c>
      <c r="B879" s="79" t="s">
        <v>2439</v>
      </c>
      <c r="C879" s="79" t="s">
        <v>117</v>
      </c>
      <c r="D879" s="65" t="s">
        <v>117</v>
      </c>
      <c r="E879" s="18" t="s">
        <v>101</v>
      </c>
      <c r="F879" s="63" t="s">
        <v>116</v>
      </c>
      <c r="G879" s="18" t="s">
        <v>42</v>
      </c>
      <c r="H879" s="38"/>
      <c r="I879" s="38"/>
      <c r="J879" s="38"/>
      <c r="K879" s="67" t="s">
        <v>208</v>
      </c>
      <c r="L879" s="67" t="s">
        <v>209</v>
      </c>
      <c r="M879" s="67" t="s">
        <v>2305</v>
      </c>
      <c r="N879" s="60">
        <v>21.981642000000001</v>
      </c>
      <c r="O879" s="60">
        <v>91.925166000000004</v>
      </c>
      <c r="P879" s="62">
        <v>500</v>
      </c>
      <c r="Q879" s="62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38"/>
    </row>
    <row r="880" spans="1:36" x14ac:dyDescent="0.3">
      <c r="A880" s="77">
        <v>874</v>
      </c>
      <c r="B880" s="79" t="s">
        <v>2439</v>
      </c>
      <c r="C880" s="79" t="s">
        <v>117</v>
      </c>
      <c r="D880" s="65" t="s">
        <v>117</v>
      </c>
      <c r="E880" s="18" t="s">
        <v>101</v>
      </c>
      <c r="F880" s="63" t="s">
        <v>116</v>
      </c>
      <c r="G880" s="18" t="s">
        <v>43</v>
      </c>
      <c r="H880" s="38"/>
      <c r="I880" s="38"/>
      <c r="J880" s="38"/>
      <c r="K880" s="67" t="s">
        <v>2306</v>
      </c>
      <c r="L880" s="67" t="s">
        <v>2307</v>
      </c>
      <c r="M880" s="67" t="s">
        <v>2308</v>
      </c>
      <c r="N880" s="60">
        <v>21.977661000000001</v>
      </c>
      <c r="O880" s="60">
        <v>91.930111999999994</v>
      </c>
      <c r="P880" s="62">
        <v>500</v>
      </c>
      <c r="Q880" s="62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38"/>
    </row>
    <row r="881" spans="1:36" x14ac:dyDescent="0.3">
      <c r="A881" s="77">
        <v>875</v>
      </c>
      <c r="B881" s="79" t="s">
        <v>2439</v>
      </c>
      <c r="C881" s="79" t="s">
        <v>117</v>
      </c>
      <c r="D881" s="65" t="s">
        <v>117</v>
      </c>
      <c r="E881" s="18" t="s">
        <v>101</v>
      </c>
      <c r="F881" s="63" t="s">
        <v>116</v>
      </c>
      <c r="G881" s="18" t="s">
        <v>43</v>
      </c>
      <c r="H881" s="38"/>
      <c r="I881" s="38"/>
      <c r="J881" s="38"/>
      <c r="K881" s="67" t="s">
        <v>2309</v>
      </c>
      <c r="L881" s="67" t="s">
        <v>2310</v>
      </c>
      <c r="M881" s="67" t="s">
        <v>2311</v>
      </c>
      <c r="N881" s="60">
        <v>21.976099999999999</v>
      </c>
      <c r="O881" s="60">
        <v>91.936115999999998</v>
      </c>
      <c r="P881" s="62">
        <v>700</v>
      </c>
      <c r="Q881" s="62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38"/>
    </row>
    <row r="882" spans="1:36" x14ac:dyDescent="0.3">
      <c r="A882" s="77">
        <v>876</v>
      </c>
      <c r="B882" s="79" t="s">
        <v>2439</v>
      </c>
      <c r="C882" s="79" t="s">
        <v>117</v>
      </c>
      <c r="D882" s="65" t="s">
        <v>117</v>
      </c>
      <c r="E882" s="18" t="s">
        <v>101</v>
      </c>
      <c r="F882" s="63" t="s">
        <v>116</v>
      </c>
      <c r="G882" s="18" t="s">
        <v>43</v>
      </c>
      <c r="H882" s="38"/>
      <c r="I882" s="38"/>
      <c r="J882" s="38"/>
      <c r="K882" s="67" t="s">
        <v>2312</v>
      </c>
      <c r="L882" s="67" t="s">
        <v>2313</v>
      </c>
      <c r="M882" s="67" t="s">
        <v>2314</v>
      </c>
      <c r="N882" s="60">
        <v>21.976437000000001</v>
      </c>
      <c r="O882" s="60">
        <v>91.933999</v>
      </c>
      <c r="P882" s="62">
        <v>200</v>
      </c>
      <c r="Q882" s="62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38"/>
    </row>
    <row r="883" spans="1:36" x14ac:dyDescent="0.3">
      <c r="A883" s="77">
        <v>877</v>
      </c>
      <c r="B883" s="79" t="s">
        <v>2439</v>
      </c>
      <c r="C883" s="79" t="s">
        <v>117</v>
      </c>
      <c r="D883" s="65" t="s">
        <v>117</v>
      </c>
      <c r="E883" s="18" t="s">
        <v>101</v>
      </c>
      <c r="F883" s="63" t="s">
        <v>116</v>
      </c>
      <c r="G883" s="18" t="s">
        <v>43</v>
      </c>
      <c r="H883" s="38"/>
      <c r="I883" s="38"/>
      <c r="J883" s="38"/>
      <c r="K883" s="67" t="s">
        <v>2315</v>
      </c>
      <c r="L883" s="67" t="s">
        <v>2316</v>
      </c>
      <c r="M883" s="67" t="s">
        <v>2317</v>
      </c>
      <c r="N883" s="60">
        <v>21.978161</v>
      </c>
      <c r="O883" s="60">
        <v>91.922471000000002</v>
      </c>
      <c r="P883" s="62">
        <v>150</v>
      </c>
      <c r="Q883" s="62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38"/>
    </row>
    <row r="884" spans="1:36" x14ac:dyDescent="0.3">
      <c r="A884" s="77">
        <v>878</v>
      </c>
      <c r="B884" s="79" t="s">
        <v>2439</v>
      </c>
      <c r="C884" s="79" t="s">
        <v>117</v>
      </c>
      <c r="D884" s="65" t="s">
        <v>117</v>
      </c>
      <c r="E884" s="18" t="s">
        <v>101</v>
      </c>
      <c r="F884" s="63" t="s">
        <v>116</v>
      </c>
      <c r="G884" s="18" t="s">
        <v>43</v>
      </c>
      <c r="H884" s="38"/>
      <c r="I884" s="38"/>
      <c r="J884" s="38"/>
      <c r="K884" s="67" t="s">
        <v>2318</v>
      </c>
      <c r="L884" s="67" t="s">
        <v>2319</v>
      </c>
      <c r="M884" s="67" t="s">
        <v>2320</v>
      </c>
      <c r="N884" s="60">
        <v>21.978957000000001</v>
      </c>
      <c r="O884" s="60">
        <v>91.931798999999998</v>
      </c>
      <c r="P884" s="62">
        <v>280</v>
      </c>
      <c r="Q884" s="62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38"/>
    </row>
    <row r="885" spans="1:36" x14ac:dyDescent="0.3">
      <c r="A885" s="77">
        <v>879</v>
      </c>
      <c r="B885" s="79" t="s">
        <v>2439</v>
      </c>
      <c r="C885" s="79" t="s">
        <v>117</v>
      </c>
      <c r="D885" s="65" t="s">
        <v>117</v>
      </c>
      <c r="E885" s="18" t="s">
        <v>101</v>
      </c>
      <c r="F885" s="63" t="s">
        <v>116</v>
      </c>
      <c r="G885" s="18" t="s">
        <v>43</v>
      </c>
      <c r="H885" s="38"/>
      <c r="I885" s="38"/>
      <c r="J885" s="38"/>
      <c r="K885" s="67" t="s">
        <v>2321</v>
      </c>
      <c r="L885" s="67" t="s">
        <v>2322</v>
      </c>
      <c r="M885" s="67" t="s">
        <v>2323</v>
      </c>
      <c r="N885" s="60">
        <v>21.979787999999999</v>
      </c>
      <c r="O885" s="60">
        <v>91.936519000000004</v>
      </c>
      <c r="P885" s="62">
        <v>50</v>
      </c>
      <c r="Q885" s="62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38"/>
    </row>
    <row r="886" spans="1:36" x14ac:dyDescent="0.3">
      <c r="A886" s="77">
        <v>880</v>
      </c>
      <c r="B886" s="79" t="s">
        <v>2439</v>
      </c>
      <c r="C886" s="79" t="s">
        <v>117</v>
      </c>
      <c r="D886" s="65" t="s">
        <v>117</v>
      </c>
      <c r="E886" s="18" t="s">
        <v>101</v>
      </c>
      <c r="F886" s="63" t="s">
        <v>116</v>
      </c>
      <c r="G886" s="18" t="s">
        <v>43</v>
      </c>
      <c r="H886" s="38"/>
      <c r="I886" s="38"/>
      <c r="J886" s="38"/>
      <c r="K886" s="67" t="s">
        <v>2324</v>
      </c>
      <c r="L886" s="67" t="s">
        <v>2325</v>
      </c>
      <c r="M886" s="67" t="s">
        <v>2326</v>
      </c>
      <c r="N886" s="60">
        <v>21.977191999999999</v>
      </c>
      <c r="O886" s="60">
        <v>91.931751000000006</v>
      </c>
      <c r="P886" s="62">
        <v>240</v>
      </c>
      <c r="Q886" s="62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38"/>
    </row>
    <row r="887" spans="1:36" x14ac:dyDescent="0.3">
      <c r="A887" s="77">
        <v>881</v>
      </c>
      <c r="B887" s="79" t="s">
        <v>2439</v>
      </c>
      <c r="C887" s="79" t="s">
        <v>117</v>
      </c>
      <c r="D887" s="65" t="s">
        <v>117</v>
      </c>
      <c r="E887" s="18" t="s">
        <v>101</v>
      </c>
      <c r="F887" s="63" t="s">
        <v>116</v>
      </c>
      <c r="G887" s="18" t="s">
        <v>44</v>
      </c>
      <c r="H887" s="38"/>
      <c r="I887" s="38"/>
      <c r="J887" s="38"/>
      <c r="K887" s="67" t="s">
        <v>2299</v>
      </c>
      <c r="L887" s="67" t="s">
        <v>2300</v>
      </c>
      <c r="M887" s="67" t="s">
        <v>2327</v>
      </c>
      <c r="N887" s="60">
        <v>21.985068999999999</v>
      </c>
      <c r="O887" s="60">
        <v>91.936971</v>
      </c>
      <c r="P887" s="62">
        <v>900</v>
      </c>
      <c r="Q887" s="62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38"/>
    </row>
    <row r="888" spans="1:36" x14ac:dyDescent="0.3">
      <c r="A888" s="77">
        <v>882</v>
      </c>
      <c r="B888" s="79" t="s">
        <v>2439</v>
      </c>
      <c r="C888" s="79" t="s">
        <v>117</v>
      </c>
      <c r="D888" s="65" t="s">
        <v>117</v>
      </c>
      <c r="E888" s="18" t="s">
        <v>101</v>
      </c>
      <c r="F888" s="63" t="s">
        <v>116</v>
      </c>
      <c r="G888" s="18" t="s">
        <v>44</v>
      </c>
      <c r="H888" s="38"/>
      <c r="I888" s="38"/>
      <c r="J888" s="38"/>
      <c r="K888" s="18" t="s">
        <v>241</v>
      </c>
      <c r="L888" s="67" t="s">
        <v>242</v>
      </c>
      <c r="M888" s="67" t="s">
        <v>2328</v>
      </c>
      <c r="N888" s="60">
        <v>21.987476999999998</v>
      </c>
      <c r="O888" s="60">
        <v>91.938061000000005</v>
      </c>
      <c r="P888" s="62">
        <v>3500</v>
      </c>
      <c r="Q888" s="62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38"/>
    </row>
    <row r="889" spans="1:36" x14ac:dyDescent="0.3">
      <c r="A889" s="77">
        <v>883</v>
      </c>
      <c r="B889" s="79" t="s">
        <v>2439</v>
      </c>
      <c r="C889" s="79" t="s">
        <v>117</v>
      </c>
      <c r="D889" s="65" t="s">
        <v>117</v>
      </c>
      <c r="E889" s="18" t="s">
        <v>101</v>
      </c>
      <c r="F889" s="63" t="s">
        <v>116</v>
      </c>
      <c r="G889" s="18" t="s">
        <v>44</v>
      </c>
      <c r="H889" s="38"/>
      <c r="I889" s="38"/>
      <c r="J889" s="38"/>
      <c r="K889" s="67" t="s">
        <v>2329</v>
      </c>
      <c r="L889" s="67" t="s">
        <v>2330</v>
      </c>
      <c r="M889" s="67" t="s">
        <v>2331</v>
      </c>
      <c r="N889" s="60">
        <v>21.989464000000002</v>
      </c>
      <c r="O889" s="60">
        <v>91.941406000000001</v>
      </c>
      <c r="P889" s="62">
        <v>1000</v>
      </c>
      <c r="Q889" s="62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38"/>
    </row>
    <row r="890" spans="1:36" x14ac:dyDescent="0.3">
      <c r="A890" s="77">
        <v>884</v>
      </c>
      <c r="B890" s="79" t="s">
        <v>2439</v>
      </c>
      <c r="C890" s="79" t="s">
        <v>117</v>
      </c>
      <c r="D890" s="65" t="s">
        <v>117</v>
      </c>
      <c r="E890" s="18" t="s">
        <v>101</v>
      </c>
      <c r="F890" s="63" t="s">
        <v>116</v>
      </c>
      <c r="G890" s="18" t="s">
        <v>44</v>
      </c>
      <c r="H890" s="38"/>
      <c r="I890" s="38"/>
      <c r="J890" s="38"/>
      <c r="K890" s="66" t="s">
        <v>2332</v>
      </c>
      <c r="L890" s="67" t="s">
        <v>2333</v>
      </c>
      <c r="M890" s="67" t="s">
        <v>2334</v>
      </c>
      <c r="N890" s="60">
        <v>21.984843000000001</v>
      </c>
      <c r="O890" s="60">
        <v>91.944489000000004</v>
      </c>
      <c r="P890" s="62">
        <v>700</v>
      </c>
      <c r="Q890" s="62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38"/>
    </row>
    <row r="891" spans="1:36" x14ac:dyDescent="0.3">
      <c r="A891" s="77">
        <v>885</v>
      </c>
      <c r="B891" s="79" t="s">
        <v>2439</v>
      </c>
      <c r="C891" s="79" t="s">
        <v>117</v>
      </c>
      <c r="D891" s="65" t="s">
        <v>117</v>
      </c>
      <c r="E891" s="18" t="s">
        <v>101</v>
      </c>
      <c r="F891" s="63" t="s">
        <v>116</v>
      </c>
      <c r="G891" s="18" t="s">
        <v>45</v>
      </c>
      <c r="H891" s="38"/>
      <c r="I891" s="38"/>
      <c r="J891" s="38"/>
      <c r="K891" s="67" t="s">
        <v>2335</v>
      </c>
      <c r="L891" s="67" t="s">
        <v>2336</v>
      </c>
      <c r="M891" s="67" t="s">
        <v>2337</v>
      </c>
      <c r="N891" s="60">
        <v>21.982953999999999</v>
      </c>
      <c r="O891" s="60">
        <v>91.941693000000001</v>
      </c>
      <c r="P891" s="62">
        <v>700</v>
      </c>
      <c r="Q891" s="62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38"/>
    </row>
    <row r="892" spans="1:36" x14ac:dyDescent="0.3">
      <c r="A892" s="77">
        <v>886</v>
      </c>
      <c r="B892" s="79" t="s">
        <v>2439</v>
      </c>
      <c r="C892" s="79" t="s">
        <v>117</v>
      </c>
      <c r="D892" s="65" t="s">
        <v>117</v>
      </c>
      <c r="E892" s="18" t="s">
        <v>101</v>
      </c>
      <c r="F892" s="63" t="s">
        <v>116</v>
      </c>
      <c r="G892" s="18" t="s">
        <v>45</v>
      </c>
      <c r="H892" s="38"/>
      <c r="I892" s="38"/>
      <c r="J892" s="38"/>
      <c r="K892" s="67" t="s">
        <v>2338</v>
      </c>
      <c r="L892" s="67" t="s">
        <v>2339</v>
      </c>
      <c r="M892" s="67" t="s">
        <v>2340</v>
      </c>
      <c r="N892" s="60">
        <v>21.980975999999998</v>
      </c>
      <c r="O892" s="60">
        <v>91.940205000000006</v>
      </c>
      <c r="P892" s="62">
        <v>500</v>
      </c>
      <c r="Q892" s="62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38"/>
    </row>
    <row r="893" spans="1:36" x14ac:dyDescent="0.3">
      <c r="A893" s="77">
        <v>887</v>
      </c>
      <c r="B893" s="79" t="s">
        <v>2439</v>
      </c>
      <c r="C893" s="79" t="s">
        <v>117</v>
      </c>
      <c r="D893" s="65" t="s">
        <v>117</v>
      </c>
      <c r="E893" s="18" t="s">
        <v>101</v>
      </c>
      <c r="F893" s="63" t="s">
        <v>116</v>
      </c>
      <c r="G893" s="18" t="s">
        <v>45</v>
      </c>
      <c r="H893" s="38"/>
      <c r="I893" s="38"/>
      <c r="J893" s="38"/>
      <c r="K893" s="66" t="s">
        <v>2341</v>
      </c>
      <c r="L893" s="67" t="s">
        <v>2342</v>
      </c>
      <c r="M893" s="67" t="s">
        <v>2343</v>
      </c>
      <c r="N893" s="60">
        <v>21.977689999999999</v>
      </c>
      <c r="O893" s="60">
        <v>91.939430000000002</v>
      </c>
      <c r="P893" s="62">
        <v>1500</v>
      </c>
      <c r="Q893" s="62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38"/>
    </row>
    <row r="894" spans="1:36" x14ac:dyDescent="0.3">
      <c r="A894" s="77">
        <v>888</v>
      </c>
      <c r="B894" s="79" t="s">
        <v>2439</v>
      </c>
      <c r="C894" s="79" t="s">
        <v>117</v>
      </c>
      <c r="D894" s="65" t="s">
        <v>117</v>
      </c>
      <c r="E894" s="18" t="s">
        <v>101</v>
      </c>
      <c r="F894" s="63" t="s">
        <v>116</v>
      </c>
      <c r="G894" s="18" t="s">
        <v>45</v>
      </c>
      <c r="H894" s="38"/>
      <c r="I894" s="38"/>
      <c r="J894" s="38"/>
      <c r="K894" s="66" t="s">
        <v>2344</v>
      </c>
      <c r="L894" s="67" t="s">
        <v>2345</v>
      </c>
      <c r="M894" s="67" t="s">
        <v>2346</v>
      </c>
      <c r="N894" s="60">
        <v>21.976762000000001</v>
      </c>
      <c r="O894" s="60">
        <v>91.940675999999996</v>
      </c>
      <c r="P894" s="62">
        <v>700</v>
      </c>
      <c r="Q894" s="62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38"/>
    </row>
    <row r="895" spans="1:36" x14ac:dyDescent="0.3">
      <c r="A895" s="77">
        <v>889</v>
      </c>
      <c r="B895" s="79" t="s">
        <v>2439</v>
      </c>
      <c r="C895" s="79" t="s">
        <v>117</v>
      </c>
      <c r="D895" s="65" t="s">
        <v>117</v>
      </c>
      <c r="E895" s="18" t="s">
        <v>101</v>
      </c>
      <c r="F895" s="63" t="s">
        <v>116</v>
      </c>
      <c r="G895" s="18" t="s">
        <v>45</v>
      </c>
      <c r="H895" s="38"/>
      <c r="I895" s="38"/>
      <c r="J895" s="38"/>
      <c r="K895" s="66" t="s">
        <v>2347</v>
      </c>
      <c r="L895" s="67" t="s">
        <v>2348</v>
      </c>
      <c r="M895" s="67" t="s">
        <v>2349</v>
      </c>
      <c r="N895" s="60">
        <v>21.971982000000001</v>
      </c>
      <c r="O895" s="60">
        <v>91.939807000000002</v>
      </c>
      <c r="P895" s="62">
        <v>2000</v>
      </c>
      <c r="Q895" s="62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38"/>
    </row>
    <row r="896" spans="1:36" x14ac:dyDescent="0.3">
      <c r="A896" s="77">
        <v>890</v>
      </c>
      <c r="B896" s="79" t="s">
        <v>2439</v>
      </c>
      <c r="C896" s="79" t="s">
        <v>117</v>
      </c>
      <c r="D896" s="65" t="s">
        <v>117</v>
      </c>
      <c r="E896" s="18" t="s">
        <v>101</v>
      </c>
      <c r="F896" s="63" t="s">
        <v>116</v>
      </c>
      <c r="G896" s="18" t="s">
        <v>45</v>
      </c>
      <c r="H896" s="38"/>
      <c r="I896" s="38"/>
      <c r="J896" s="38"/>
      <c r="K896" s="67" t="s">
        <v>2350</v>
      </c>
      <c r="L896" s="67" t="s">
        <v>2351</v>
      </c>
      <c r="M896" s="67" t="s">
        <v>2352</v>
      </c>
      <c r="N896" s="60">
        <v>21.980862999999999</v>
      </c>
      <c r="O896" s="60">
        <v>91.944547999999998</v>
      </c>
      <c r="P896" s="62">
        <v>300</v>
      </c>
      <c r="Q896" s="62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38"/>
    </row>
    <row r="897" spans="1:36" x14ac:dyDescent="0.3">
      <c r="A897" s="77">
        <v>891</v>
      </c>
      <c r="B897" s="79" t="s">
        <v>2439</v>
      </c>
      <c r="C897" s="79" t="s">
        <v>117</v>
      </c>
      <c r="D897" s="65" t="s">
        <v>117</v>
      </c>
      <c r="E897" s="18" t="s">
        <v>101</v>
      </c>
      <c r="F897" s="63" t="s">
        <v>116</v>
      </c>
      <c r="G897" s="18" t="s">
        <v>46</v>
      </c>
      <c r="H897" s="38"/>
      <c r="I897" s="38"/>
      <c r="J897" s="38"/>
      <c r="K897" s="18" t="s">
        <v>1529</v>
      </c>
      <c r="L897" s="18" t="s">
        <v>1530</v>
      </c>
      <c r="M897" s="67" t="s">
        <v>2353</v>
      </c>
      <c r="N897" s="60">
        <v>21.976444999999998</v>
      </c>
      <c r="O897" s="60">
        <v>91.945030000000003</v>
      </c>
      <c r="P897" s="62">
        <v>5000</v>
      </c>
      <c r="Q897" s="62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38"/>
    </row>
    <row r="898" spans="1:36" x14ac:dyDescent="0.3">
      <c r="A898" s="77">
        <v>892</v>
      </c>
      <c r="B898" s="79" t="s">
        <v>2439</v>
      </c>
      <c r="C898" s="79" t="s">
        <v>117</v>
      </c>
      <c r="D898" s="65" t="s">
        <v>117</v>
      </c>
      <c r="E898" s="18" t="s">
        <v>101</v>
      </c>
      <c r="F898" s="63" t="s">
        <v>116</v>
      </c>
      <c r="G898" s="18" t="s">
        <v>47</v>
      </c>
      <c r="H898" s="38"/>
      <c r="I898" s="38"/>
      <c r="J898" s="38"/>
      <c r="K898" s="67" t="s">
        <v>761</v>
      </c>
      <c r="L898" s="18" t="s">
        <v>762</v>
      </c>
      <c r="M898" s="67" t="s">
        <v>2354</v>
      </c>
      <c r="N898" s="60">
        <v>21.972536000000002</v>
      </c>
      <c r="O898" s="60">
        <v>91.949748999999997</v>
      </c>
      <c r="P898" s="62">
        <v>700</v>
      </c>
      <c r="Q898" s="62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38"/>
    </row>
    <row r="899" spans="1:36" x14ac:dyDescent="0.3">
      <c r="A899" s="77">
        <v>893</v>
      </c>
      <c r="B899" s="79" t="s">
        <v>2439</v>
      </c>
      <c r="C899" s="79" t="s">
        <v>117</v>
      </c>
      <c r="D899" s="65" t="s">
        <v>117</v>
      </c>
      <c r="E899" s="18" t="s">
        <v>101</v>
      </c>
      <c r="F899" s="63" t="s">
        <v>116</v>
      </c>
      <c r="G899" s="18" t="s">
        <v>47</v>
      </c>
      <c r="H899" s="38"/>
      <c r="I899" s="38"/>
      <c r="J899" s="38"/>
      <c r="K899" s="66" t="s">
        <v>755</v>
      </c>
      <c r="L899" s="18" t="s">
        <v>756</v>
      </c>
      <c r="M899" s="67" t="s">
        <v>2355</v>
      </c>
      <c r="N899" s="60">
        <v>21.972002</v>
      </c>
      <c r="O899" s="60">
        <v>91.953442999999993</v>
      </c>
      <c r="P899" s="62">
        <v>300</v>
      </c>
      <c r="Q899" s="62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</row>
    <row r="900" spans="1:36" x14ac:dyDescent="0.3">
      <c r="A900" s="77">
        <v>894</v>
      </c>
      <c r="B900" s="79" t="s">
        <v>2439</v>
      </c>
      <c r="C900" s="79" t="s">
        <v>117</v>
      </c>
      <c r="D900" s="65" t="s">
        <v>117</v>
      </c>
      <c r="E900" s="18" t="s">
        <v>101</v>
      </c>
      <c r="F900" s="63" t="s">
        <v>116</v>
      </c>
      <c r="G900" s="18" t="s">
        <v>47</v>
      </c>
      <c r="H900" s="38"/>
      <c r="I900" s="38"/>
      <c r="J900" s="38"/>
      <c r="K900" s="67" t="s">
        <v>2356</v>
      </c>
      <c r="L900" s="67" t="s">
        <v>2357</v>
      </c>
      <c r="M900" s="67" t="s">
        <v>2358</v>
      </c>
      <c r="N900" s="60">
        <v>21.973901000000001</v>
      </c>
      <c r="O900" s="60">
        <v>91.954164000000006</v>
      </c>
      <c r="P900" s="62">
        <v>700</v>
      </c>
      <c r="Q900" s="62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</row>
    <row r="901" spans="1:36" x14ac:dyDescent="0.3">
      <c r="A901" s="77">
        <v>895</v>
      </c>
      <c r="B901" s="79" t="s">
        <v>2439</v>
      </c>
      <c r="C901" s="79" t="s">
        <v>117</v>
      </c>
      <c r="D901" s="65" t="s">
        <v>117</v>
      </c>
      <c r="E901" s="18" t="s">
        <v>101</v>
      </c>
      <c r="F901" s="63" t="s">
        <v>116</v>
      </c>
      <c r="G901" s="18" t="s">
        <v>47</v>
      </c>
      <c r="H901" s="38"/>
      <c r="I901" s="38"/>
      <c r="J901" s="38"/>
      <c r="K901" s="67" t="s">
        <v>2359</v>
      </c>
      <c r="L901" s="67" t="s">
        <v>2360</v>
      </c>
      <c r="M901" s="67" t="s">
        <v>2361</v>
      </c>
      <c r="N901" s="60">
        <v>21.975642000000001</v>
      </c>
      <c r="O901" s="60">
        <v>91.953845999999999</v>
      </c>
      <c r="P901" s="62">
        <v>350</v>
      </c>
      <c r="Q901" s="62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</row>
    <row r="902" spans="1:36" x14ac:dyDescent="0.3">
      <c r="A902" s="77">
        <v>896</v>
      </c>
      <c r="B902" s="79" t="s">
        <v>2439</v>
      </c>
      <c r="C902" s="79" t="s">
        <v>117</v>
      </c>
      <c r="D902" s="65" t="s">
        <v>117</v>
      </c>
      <c r="E902" s="18" t="s">
        <v>101</v>
      </c>
      <c r="F902" s="63" t="s">
        <v>116</v>
      </c>
      <c r="G902" s="18" t="s">
        <v>47</v>
      </c>
      <c r="H902" s="38"/>
      <c r="I902" s="38"/>
      <c r="J902" s="38"/>
      <c r="K902" s="67" t="s">
        <v>208</v>
      </c>
      <c r="L902" s="67" t="s">
        <v>209</v>
      </c>
      <c r="M902" s="67" t="s">
        <v>2362</v>
      </c>
      <c r="N902" s="60">
        <v>21.976755000000001</v>
      </c>
      <c r="O902" s="60">
        <v>91.953778999999997</v>
      </c>
      <c r="P902" s="62">
        <v>250</v>
      </c>
      <c r="Q902" s="62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</row>
    <row r="903" spans="1:36" x14ac:dyDescent="0.3">
      <c r="A903" s="77">
        <v>897</v>
      </c>
      <c r="B903" s="79" t="s">
        <v>2439</v>
      </c>
      <c r="C903" s="79" t="s">
        <v>117</v>
      </c>
      <c r="D903" s="65" t="s">
        <v>117</v>
      </c>
      <c r="E903" s="18" t="s">
        <v>101</v>
      </c>
      <c r="F903" s="63" t="s">
        <v>116</v>
      </c>
      <c r="G903" s="18" t="s">
        <v>47</v>
      </c>
      <c r="H903" s="38"/>
      <c r="I903" s="38"/>
      <c r="J903" s="38"/>
      <c r="K903" s="67" t="s">
        <v>706</v>
      </c>
      <c r="L903" s="67" t="s">
        <v>2363</v>
      </c>
      <c r="M903" s="67" t="s">
        <v>2364</v>
      </c>
      <c r="N903" s="60">
        <v>21.976617999999998</v>
      </c>
      <c r="O903" s="60">
        <v>91.952611000000005</v>
      </c>
      <c r="P903" s="62">
        <v>200</v>
      </c>
      <c r="Q903" s="62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</row>
    <row r="904" spans="1:36" x14ac:dyDescent="0.3">
      <c r="A904" s="77">
        <v>898</v>
      </c>
      <c r="B904" s="79" t="s">
        <v>2439</v>
      </c>
      <c r="C904" s="79" t="s">
        <v>117</v>
      </c>
      <c r="D904" s="65" t="s">
        <v>117</v>
      </c>
      <c r="E904" s="18" t="s">
        <v>101</v>
      </c>
      <c r="F904" s="63" t="s">
        <v>116</v>
      </c>
      <c r="G904" s="18" t="s">
        <v>47</v>
      </c>
      <c r="H904" s="38"/>
      <c r="I904" s="38"/>
      <c r="J904" s="38"/>
      <c r="K904" s="67" t="s">
        <v>2365</v>
      </c>
      <c r="L904" s="67" t="s">
        <v>2366</v>
      </c>
      <c r="M904" s="67" t="s">
        <v>2367</v>
      </c>
      <c r="N904" s="60">
        <v>21.975021000000002</v>
      </c>
      <c r="O904" s="60">
        <v>91.951570000000004</v>
      </c>
      <c r="P904" s="62">
        <v>250</v>
      </c>
      <c r="Q904" s="62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38"/>
    </row>
    <row r="905" spans="1:36" x14ac:dyDescent="0.3">
      <c r="A905" s="77">
        <v>899</v>
      </c>
      <c r="B905" s="79" t="s">
        <v>2439</v>
      </c>
      <c r="C905" s="79" t="s">
        <v>117</v>
      </c>
      <c r="D905" s="65" t="s">
        <v>117</v>
      </c>
      <c r="E905" s="18" t="s">
        <v>101</v>
      </c>
      <c r="F905" s="63" t="s">
        <v>116</v>
      </c>
      <c r="G905" s="18" t="s">
        <v>47</v>
      </c>
      <c r="H905" s="38"/>
      <c r="I905" s="38"/>
      <c r="J905" s="38"/>
      <c r="K905" s="67" t="s">
        <v>2368</v>
      </c>
      <c r="L905" s="67" t="s">
        <v>2369</v>
      </c>
      <c r="M905" s="67" t="s">
        <v>2370</v>
      </c>
      <c r="N905" s="60">
        <v>21.97494</v>
      </c>
      <c r="O905" s="60">
        <v>91.951318999999998</v>
      </c>
      <c r="P905" s="62">
        <v>150</v>
      </c>
      <c r="Q905" s="62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38"/>
    </row>
    <row r="906" spans="1:36" x14ac:dyDescent="0.3">
      <c r="A906" s="77">
        <v>900</v>
      </c>
      <c r="B906" s="79" t="s">
        <v>2439</v>
      </c>
      <c r="C906" s="79" t="s">
        <v>117</v>
      </c>
      <c r="D906" s="65" t="s">
        <v>117</v>
      </c>
      <c r="E906" s="18" t="s">
        <v>101</v>
      </c>
      <c r="F906" s="63" t="s">
        <v>116</v>
      </c>
      <c r="G906" s="18" t="s">
        <v>47</v>
      </c>
      <c r="H906" s="38"/>
      <c r="I906" s="38"/>
      <c r="J906" s="38"/>
      <c r="K906" s="67" t="s">
        <v>2371</v>
      </c>
      <c r="L906" s="67" t="s">
        <v>2372</v>
      </c>
      <c r="M906" s="67" t="s">
        <v>2373</v>
      </c>
      <c r="N906" s="60">
        <v>21.976133000000001</v>
      </c>
      <c r="O906" s="60">
        <v>91.950486999999995</v>
      </c>
      <c r="P906" s="62">
        <v>200</v>
      </c>
      <c r="Q906" s="62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38"/>
    </row>
    <row r="907" spans="1:36" x14ac:dyDescent="0.3">
      <c r="A907" s="77">
        <v>901</v>
      </c>
      <c r="B907" s="79" t="s">
        <v>2439</v>
      </c>
      <c r="C907" s="79" t="s">
        <v>117</v>
      </c>
      <c r="D907" s="65" t="s">
        <v>117</v>
      </c>
      <c r="E907" s="18" t="s">
        <v>101</v>
      </c>
      <c r="F907" s="63" t="s">
        <v>116</v>
      </c>
      <c r="G907" s="18" t="s">
        <v>47</v>
      </c>
      <c r="H907" s="38"/>
      <c r="I907" s="38"/>
      <c r="J907" s="38"/>
      <c r="K907" s="67" t="s">
        <v>2374</v>
      </c>
      <c r="L907" s="67" t="s">
        <v>2375</v>
      </c>
      <c r="M907" s="67" t="s">
        <v>2376</v>
      </c>
      <c r="N907" s="60">
        <v>21.977160999999999</v>
      </c>
      <c r="O907" s="60">
        <v>91.948890000000006</v>
      </c>
      <c r="P907" s="62">
        <v>500</v>
      </c>
      <c r="Q907" s="62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38"/>
    </row>
    <row r="908" spans="1:36" x14ac:dyDescent="0.3">
      <c r="A908" s="77">
        <v>902</v>
      </c>
      <c r="B908" s="79" t="s">
        <v>2439</v>
      </c>
      <c r="C908" s="79" t="s">
        <v>117</v>
      </c>
      <c r="D908" s="65" t="s">
        <v>117</v>
      </c>
      <c r="E908" s="18" t="s">
        <v>101</v>
      </c>
      <c r="F908" s="63" t="s">
        <v>116</v>
      </c>
      <c r="G908" s="18" t="s">
        <v>47</v>
      </c>
      <c r="H908" s="38"/>
      <c r="I908" s="38"/>
      <c r="J908" s="38"/>
      <c r="K908" s="67" t="s">
        <v>2377</v>
      </c>
      <c r="L908" s="67" t="s">
        <v>2378</v>
      </c>
      <c r="M908" s="67" t="s">
        <v>2379</v>
      </c>
      <c r="N908" s="60">
        <v>21.975360999999999</v>
      </c>
      <c r="O908" s="60">
        <v>91.949408000000005</v>
      </c>
      <c r="P908" s="62">
        <v>100</v>
      </c>
      <c r="Q908" s="62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38"/>
    </row>
    <row r="909" spans="1:36" x14ac:dyDescent="0.3">
      <c r="A909" s="77">
        <v>903</v>
      </c>
      <c r="B909" s="79" t="s">
        <v>2439</v>
      </c>
      <c r="C909" s="79" t="s">
        <v>117</v>
      </c>
      <c r="D909" s="65" t="s">
        <v>117</v>
      </c>
      <c r="E909" s="18" t="s">
        <v>101</v>
      </c>
      <c r="F909" s="63" t="s">
        <v>116</v>
      </c>
      <c r="G909" s="18" t="s">
        <v>47</v>
      </c>
      <c r="H909" s="38"/>
      <c r="I909" s="38"/>
      <c r="J909" s="38"/>
      <c r="K909" s="66" t="s">
        <v>2380</v>
      </c>
      <c r="L909" s="67" t="s">
        <v>2381</v>
      </c>
      <c r="M909" s="67" t="s">
        <v>2382</v>
      </c>
      <c r="N909" s="60">
        <v>21.975542999999998</v>
      </c>
      <c r="O909" s="60">
        <v>91.948576000000003</v>
      </c>
      <c r="P909" s="62">
        <v>100</v>
      </c>
      <c r="Q909" s="62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38"/>
    </row>
    <row r="910" spans="1:36" x14ac:dyDescent="0.3">
      <c r="A910" s="77">
        <v>904</v>
      </c>
      <c r="B910" s="79" t="s">
        <v>2439</v>
      </c>
      <c r="C910" s="79" t="s">
        <v>117</v>
      </c>
      <c r="D910" s="65" t="s">
        <v>117</v>
      </c>
      <c r="E910" s="18" t="s">
        <v>101</v>
      </c>
      <c r="F910" s="63" t="s">
        <v>116</v>
      </c>
      <c r="G910" s="18" t="s">
        <v>47</v>
      </c>
      <c r="H910" s="38"/>
      <c r="I910" s="38"/>
      <c r="J910" s="38"/>
      <c r="K910" s="66" t="s">
        <v>2383</v>
      </c>
      <c r="L910" s="67" t="s">
        <v>2384</v>
      </c>
      <c r="M910" s="67" t="s">
        <v>2385</v>
      </c>
      <c r="N910" s="60">
        <v>21.974734999999999</v>
      </c>
      <c r="O910" s="60">
        <v>91.948231000000007</v>
      </c>
      <c r="P910" s="62">
        <v>150</v>
      </c>
      <c r="Q910" s="62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38"/>
    </row>
    <row r="911" spans="1:36" x14ac:dyDescent="0.3">
      <c r="A911" s="77">
        <v>905</v>
      </c>
      <c r="B911" s="79" t="s">
        <v>2439</v>
      </c>
      <c r="C911" s="79" t="s">
        <v>117</v>
      </c>
      <c r="D911" s="65" t="s">
        <v>117</v>
      </c>
      <c r="E911" s="18" t="s">
        <v>101</v>
      </c>
      <c r="F911" s="63" t="s">
        <v>116</v>
      </c>
      <c r="G911" s="18" t="s">
        <v>48</v>
      </c>
      <c r="H911" s="38"/>
      <c r="I911" s="38"/>
      <c r="J911" s="38"/>
      <c r="K911" s="67" t="s">
        <v>2386</v>
      </c>
      <c r="L911" s="67" t="s">
        <v>2387</v>
      </c>
      <c r="M911" s="67" t="s">
        <v>2388</v>
      </c>
      <c r="N911" s="60">
        <v>21.979348000000002</v>
      </c>
      <c r="O911" s="60">
        <v>91.955656000000005</v>
      </c>
      <c r="P911" s="62">
        <v>1000</v>
      </c>
      <c r="Q911" s="62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38"/>
    </row>
    <row r="912" spans="1:36" x14ac:dyDescent="0.3">
      <c r="A912" s="77">
        <v>906</v>
      </c>
      <c r="B912" s="79" t="s">
        <v>2439</v>
      </c>
      <c r="C912" s="79" t="s">
        <v>117</v>
      </c>
      <c r="D912" s="65" t="s">
        <v>117</v>
      </c>
      <c r="E912" s="18" t="s">
        <v>101</v>
      </c>
      <c r="F912" s="63" t="s">
        <v>116</v>
      </c>
      <c r="G912" s="18" t="s">
        <v>48</v>
      </c>
      <c r="H912" s="38"/>
      <c r="I912" s="38"/>
      <c r="J912" s="38"/>
      <c r="K912" s="67" t="s">
        <v>2389</v>
      </c>
      <c r="L912" s="67" t="s">
        <v>2390</v>
      </c>
      <c r="M912" s="67" t="s">
        <v>2391</v>
      </c>
      <c r="N912" s="60">
        <v>21.976369999999999</v>
      </c>
      <c r="O912" s="60">
        <v>91.955920000000006</v>
      </c>
      <c r="P912" s="62">
        <v>30</v>
      </c>
      <c r="Q912" s="62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38"/>
    </row>
    <row r="913" spans="1:36" x14ac:dyDescent="0.3">
      <c r="A913" s="77">
        <v>907</v>
      </c>
      <c r="B913" s="79" t="s">
        <v>2439</v>
      </c>
      <c r="C913" s="79" t="s">
        <v>117</v>
      </c>
      <c r="D913" s="65" t="s">
        <v>117</v>
      </c>
      <c r="E913" s="18" t="s">
        <v>101</v>
      </c>
      <c r="F913" s="63" t="s">
        <v>116</v>
      </c>
      <c r="G913" s="18" t="s">
        <v>48</v>
      </c>
      <c r="H913" s="38"/>
      <c r="I913" s="38"/>
      <c r="J913" s="38"/>
      <c r="K913" s="67" t="s">
        <v>2392</v>
      </c>
      <c r="L913" s="67" t="s">
        <v>2393</v>
      </c>
      <c r="M913" s="67" t="s">
        <v>2394</v>
      </c>
      <c r="N913" s="60">
        <v>21.981604000000001</v>
      </c>
      <c r="O913" s="60">
        <v>91.955044000000001</v>
      </c>
      <c r="P913" s="62">
        <v>400</v>
      </c>
      <c r="Q913" s="62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</row>
    <row r="914" spans="1:36" x14ac:dyDescent="0.3">
      <c r="A914" s="77">
        <v>908</v>
      </c>
      <c r="B914" s="79" t="s">
        <v>2439</v>
      </c>
      <c r="C914" s="79" t="s">
        <v>117</v>
      </c>
      <c r="D914" s="65" t="s">
        <v>117</v>
      </c>
      <c r="E914" s="18" t="s">
        <v>101</v>
      </c>
      <c r="F914" s="63" t="s">
        <v>116</v>
      </c>
      <c r="G914" s="18" t="s">
        <v>48</v>
      </c>
      <c r="H914" s="38"/>
      <c r="I914" s="38"/>
      <c r="J914" s="38"/>
      <c r="K914" s="67" t="s">
        <v>2395</v>
      </c>
      <c r="L914" s="67" t="s">
        <v>2396</v>
      </c>
      <c r="M914" s="67" t="s">
        <v>2397</v>
      </c>
      <c r="N914" s="60">
        <v>21.980443000000001</v>
      </c>
      <c r="O914" s="60">
        <v>91.952337999999997</v>
      </c>
      <c r="P914" s="62">
        <v>300</v>
      </c>
      <c r="Q914" s="62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38"/>
    </row>
    <row r="915" spans="1:36" x14ac:dyDescent="0.3">
      <c r="A915" s="77">
        <v>909</v>
      </c>
      <c r="B915" s="79" t="s">
        <v>2439</v>
      </c>
      <c r="C915" s="79" t="s">
        <v>117</v>
      </c>
      <c r="D915" s="65" t="s">
        <v>117</v>
      </c>
      <c r="E915" s="18" t="s">
        <v>101</v>
      </c>
      <c r="F915" s="63" t="s">
        <v>116</v>
      </c>
      <c r="G915" s="18" t="s">
        <v>48</v>
      </c>
      <c r="H915" s="38"/>
      <c r="I915" s="38"/>
      <c r="J915" s="38"/>
      <c r="K915" s="67" t="s">
        <v>2398</v>
      </c>
      <c r="L915" s="67" t="s">
        <v>2399</v>
      </c>
      <c r="M915" s="67" t="s">
        <v>2400</v>
      </c>
      <c r="N915" s="60">
        <v>21.978102</v>
      </c>
      <c r="O915" s="60">
        <v>91.954239999999999</v>
      </c>
      <c r="P915" s="62">
        <v>40</v>
      </c>
      <c r="Q915" s="62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38"/>
    </row>
    <row r="916" spans="1:36" x14ac:dyDescent="0.3">
      <c r="A916" s="77">
        <v>910</v>
      </c>
      <c r="B916" s="79" t="s">
        <v>2439</v>
      </c>
      <c r="C916" s="79" t="s">
        <v>117</v>
      </c>
      <c r="D916" s="65" t="s">
        <v>117</v>
      </c>
      <c r="E916" s="18" t="s">
        <v>101</v>
      </c>
      <c r="F916" s="63" t="s">
        <v>116</v>
      </c>
      <c r="G916" s="18" t="s">
        <v>48</v>
      </c>
      <c r="H916" s="38"/>
      <c r="I916" s="38"/>
      <c r="J916" s="38"/>
      <c r="K916" s="67" t="s">
        <v>495</v>
      </c>
      <c r="L916" s="67" t="s">
        <v>496</v>
      </c>
      <c r="M916" s="67" t="s">
        <v>2401</v>
      </c>
      <c r="N916" s="60">
        <v>21.98199</v>
      </c>
      <c r="O916" s="60">
        <v>91.947830999999994</v>
      </c>
      <c r="P916" s="62">
        <v>1300</v>
      </c>
      <c r="Q916" s="62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38"/>
    </row>
    <row r="917" spans="1:36" x14ac:dyDescent="0.3">
      <c r="A917" s="77">
        <v>911</v>
      </c>
      <c r="B917" s="79" t="s">
        <v>2439</v>
      </c>
      <c r="C917" s="79" t="s">
        <v>117</v>
      </c>
      <c r="D917" s="65" t="s">
        <v>117</v>
      </c>
      <c r="E917" s="18" t="s">
        <v>101</v>
      </c>
      <c r="F917" s="63" t="s">
        <v>116</v>
      </c>
      <c r="G917" s="18" t="s">
        <v>48</v>
      </c>
      <c r="H917" s="38"/>
      <c r="I917" s="38"/>
      <c r="J917" s="38"/>
      <c r="K917" s="67" t="s">
        <v>2402</v>
      </c>
      <c r="L917" s="67" t="s">
        <v>2403</v>
      </c>
      <c r="M917" s="67" t="s">
        <v>2404</v>
      </c>
      <c r="N917" s="60">
        <v>21.981885999999999</v>
      </c>
      <c r="O917" s="60">
        <v>91.949854000000002</v>
      </c>
      <c r="P917" s="62">
        <v>200</v>
      </c>
      <c r="Q917" s="62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38"/>
    </row>
    <row r="918" spans="1:36" x14ac:dyDescent="0.3">
      <c r="A918" s="77">
        <v>912</v>
      </c>
      <c r="B918" s="79" t="s">
        <v>2439</v>
      </c>
      <c r="C918" s="79" t="s">
        <v>117</v>
      </c>
      <c r="D918" s="65" t="s">
        <v>117</v>
      </c>
      <c r="E918" s="18" t="s">
        <v>101</v>
      </c>
      <c r="F918" s="63" t="s">
        <v>116</v>
      </c>
      <c r="G918" s="18" t="s">
        <v>49</v>
      </c>
      <c r="H918" s="38"/>
      <c r="I918" s="38"/>
      <c r="J918" s="38"/>
      <c r="K918" s="67" t="s">
        <v>70</v>
      </c>
      <c r="L918" s="67" t="s">
        <v>162</v>
      </c>
      <c r="M918" s="67" t="s">
        <v>2405</v>
      </c>
      <c r="N918" s="60">
        <v>21.975182</v>
      </c>
      <c r="O918" s="60">
        <v>91.958316999999994</v>
      </c>
      <c r="P918" s="62">
        <v>800</v>
      </c>
      <c r="Q918" s="62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38"/>
    </row>
    <row r="919" spans="1:36" x14ac:dyDescent="0.3">
      <c r="A919" s="77">
        <v>913</v>
      </c>
      <c r="B919" s="79" t="s">
        <v>2439</v>
      </c>
      <c r="C919" s="79" t="s">
        <v>117</v>
      </c>
      <c r="D919" s="65" t="s">
        <v>117</v>
      </c>
      <c r="E919" s="18" t="s">
        <v>101</v>
      </c>
      <c r="F919" s="63" t="s">
        <v>116</v>
      </c>
      <c r="G919" s="18" t="s">
        <v>49</v>
      </c>
      <c r="H919" s="38"/>
      <c r="I919" s="38"/>
      <c r="J919" s="38"/>
      <c r="K919" s="67" t="s">
        <v>2406</v>
      </c>
      <c r="L919" s="67" t="s">
        <v>2407</v>
      </c>
      <c r="M919" s="67" t="s">
        <v>2408</v>
      </c>
      <c r="N919" s="60">
        <v>21.976247999999998</v>
      </c>
      <c r="O919" s="60">
        <v>91.959417999999999</v>
      </c>
      <c r="P919" s="62">
        <v>200</v>
      </c>
      <c r="Q919" s="62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38"/>
    </row>
    <row r="920" spans="1:36" x14ac:dyDescent="0.3">
      <c r="A920" s="77">
        <v>914</v>
      </c>
      <c r="B920" s="79" t="s">
        <v>2439</v>
      </c>
      <c r="C920" s="79" t="s">
        <v>117</v>
      </c>
      <c r="D920" s="65" t="s">
        <v>117</v>
      </c>
      <c r="E920" s="18" t="s">
        <v>101</v>
      </c>
      <c r="F920" s="63" t="s">
        <v>116</v>
      </c>
      <c r="G920" s="18" t="s">
        <v>49</v>
      </c>
      <c r="H920" s="38"/>
      <c r="I920" s="38"/>
      <c r="J920" s="38"/>
      <c r="K920" s="18" t="s">
        <v>948</v>
      </c>
      <c r="L920" s="18" t="s">
        <v>949</v>
      </c>
      <c r="M920" s="67" t="s">
        <v>2409</v>
      </c>
      <c r="N920" s="60">
        <v>21.974712</v>
      </c>
      <c r="O920" s="60">
        <v>91.959998999999996</v>
      </c>
      <c r="P920" s="62">
        <v>60</v>
      </c>
      <c r="Q920" s="62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38"/>
    </row>
    <row r="921" spans="1:36" x14ac:dyDescent="0.3">
      <c r="A921" s="77">
        <v>915</v>
      </c>
      <c r="B921" s="79" t="s">
        <v>2439</v>
      </c>
      <c r="C921" s="79" t="s">
        <v>117</v>
      </c>
      <c r="D921" s="65" t="s">
        <v>117</v>
      </c>
      <c r="E921" s="18" t="s">
        <v>101</v>
      </c>
      <c r="F921" s="63" t="s">
        <v>116</v>
      </c>
      <c r="G921" s="18" t="s">
        <v>49</v>
      </c>
      <c r="H921" s="38"/>
      <c r="I921" s="38"/>
      <c r="J921" s="38"/>
      <c r="K921" s="67" t="s">
        <v>2410</v>
      </c>
      <c r="L921" s="67" t="s">
        <v>2411</v>
      </c>
      <c r="M921" s="67" t="s">
        <v>2412</v>
      </c>
      <c r="N921" s="60">
        <v>21.978238999999999</v>
      </c>
      <c r="O921" s="60">
        <v>91.961465000000004</v>
      </c>
      <c r="P921" s="62">
        <v>100</v>
      </c>
      <c r="Q921" s="62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38"/>
    </row>
    <row r="922" spans="1:36" x14ac:dyDescent="0.3">
      <c r="A922" s="77">
        <v>916</v>
      </c>
      <c r="B922" s="79" t="s">
        <v>2439</v>
      </c>
      <c r="C922" s="79" t="s">
        <v>117</v>
      </c>
      <c r="D922" s="65" t="s">
        <v>117</v>
      </c>
      <c r="E922" s="18" t="s">
        <v>101</v>
      </c>
      <c r="F922" s="63" t="s">
        <v>116</v>
      </c>
      <c r="G922" s="18" t="s">
        <v>49</v>
      </c>
      <c r="H922" s="38"/>
      <c r="I922" s="38"/>
      <c r="J922" s="38"/>
      <c r="K922" s="67" t="s">
        <v>208</v>
      </c>
      <c r="L922" s="67" t="s">
        <v>209</v>
      </c>
      <c r="M922" s="67" t="s">
        <v>2413</v>
      </c>
      <c r="N922" s="60">
        <v>21.978256999999999</v>
      </c>
      <c r="O922" s="60">
        <v>91.960006000000007</v>
      </c>
      <c r="P922" s="62">
        <v>900</v>
      </c>
      <c r="Q922" s="62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38"/>
    </row>
    <row r="923" spans="1:36" x14ac:dyDescent="0.3">
      <c r="A923" s="77">
        <v>917</v>
      </c>
      <c r="B923" s="79" t="s">
        <v>2439</v>
      </c>
      <c r="C923" s="79" t="s">
        <v>117</v>
      </c>
      <c r="D923" s="65" t="s">
        <v>117</v>
      </c>
      <c r="E923" s="18" t="s">
        <v>101</v>
      </c>
      <c r="F923" s="63" t="s">
        <v>116</v>
      </c>
      <c r="G923" s="18" t="s">
        <v>49</v>
      </c>
      <c r="H923" s="38"/>
      <c r="I923" s="38"/>
      <c r="J923" s="38"/>
      <c r="K923" s="18" t="s">
        <v>60</v>
      </c>
      <c r="L923" s="67" t="s">
        <v>399</v>
      </c>
      <c r="M923" s="67" t="s">
        <v>2414</v>
      </c>
      <c r="N923" s="60">
        <v>21.978435000000001</v>
      </c>
      <c r="O923" s="60">
        <v>91.962845000000002</v>
      </c>
      <c r="P923" s="62">
        <v>500</v>
      </c>
      <c r="Q923" s="62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38"/>
    </row>
    <row r="924" spans="1:36" x14ac:dyDescent="0.3">
      <c r="A924" s="77">
        <v>918</v>
      </c>
      <c r="B924" s="79" t="s">
        <v>2439</v>
      </c>
      <c r="C924" s="79" t="s">
        <v>117</v>
      </c>
      <c r="D924" s="65" t="s">
        <v>117</v>
      </c>
      <c r="E924" s="18" t="s">
        <v>101</v>
      </c>
      <c r="F924" s="63" t="s">
        <v>116</v>
      </c>
      <c r="G924" s="18" t="s">
        <v>49</v>
      </c>
      <c r="H924" s="38"/>
      <c r="I924" s="38"/>
      <c r="J924" s="38"/>
      <c r="K924" s="67" t="s">
        <v>2415</v>
      </c>
      <c r="L924" s="67" t="s">
        <v>2416</v>
      </c>
      <c r="M924" s="67" t="s">
        <v>2417</v>
      </c>
      <c r="N924" s="60">
        <v>21.977997999999999</v>
      </c>
      <c r="O924" s="60">
        <v>91.964125999999993</v>
      </c>
      <c r="P924" s="62">
        <v>100</v>
      </c>
      <c r="Q924" s="62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38"/>
    </row>
    <row r="925" spans="1:36" x14ac:dyDescent="0.3">
      <c r="A925" s="77">
        <v>919</v>
      </c>
      <c r="B925" s="79" t="s">
        <v>2439</v>
      </c>
      <c r="C925" s="79" t="s">
        <v>117</v>
      </c>
      <c r="D925" s="65" t="s">
        <v>117</v>
      </c>
      <c r="E925" s="18" t="s">
        <v>101</v>
      </c>
      <c r="F925" s="63" t="s">
        <v>116</v>
      </c>
      <c r="G925" s="18" t="s">
        <v>49</v>
      </c>
      <c r="H925" s="38"/>
      <c r="I925" s="38"/>
      <c r="J925" s="38"/>
      <c r="K925" s="67" t="s">
        <v>2418</v>
      </c>
      <c r="L925" s="67" t="s">
        <v>2419</v>
      </c>
      <c r="M925" s="67" t="s">
        <v>2420</v>
      </c>
      <c r="N925" s="60">
        <v>21.978892999999999</v>
      </c>
      <c r="O925" s="60">
        <v>91.962631999999999</v>
      </c>
      <c r="P925" s="62">
        <v>50</v>
      </c>
      <c r="Q925" s="62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38"/>
    </row>
    <row r="926" spans="1:36" x14ac:dyDescent="0.3">
      <c r="A926" s="77">
        <v>920</v>
      </c>
      <c r="B926" s="79" t="s">
        <v>2439</v>
      </c>
      <c r="C926" s="79" t="s">
        <v>117</v>
      </c>
      <c r="D926" s="65" t="s">
        <v>117</v>
      </c>
      <c r="E926" s="18" t="s">
        <v>101</v>
      </c>
      <c r="F926" s="63" t="s">
        <v>116</v>
      </c>
      <c r="G926" s="18" t="s">
        <v>49</v>
      </c>
      <c r="H926" s="38"/>
      <c r="I926" s="38"/>
      <c r="J926" s="38"/>
      <c r="K926" s="67" t="s">
        <v>99</v>
      </c>
      <c r="L926" s="67" t="s">
        <v>2421</v>
      </c>
      <c r="M926" s="67" t="s">
        <v>2422</v>
      </c>
      <c r="N926" s="60">
        <v>21.977976000000002</v>
      </c>
      <c r="O926" s="60">
        <v>91.966904</v>
      </c>
      <c r="P926" s="62">
        <v>150</v>
      </c>
      <c r="Q926" s="62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38"/>
    </row>
    <row r="927" spans="1:36" x14ac:dyDescent="0.3">
      <c r="A927" s="77">
        <v>921</v>
      </c>
      <c r="B927" s="79" t="s">
        <v>2439</v>
      </c>
      <c r="C927" s="79" t="s">
        <v>117</v>
      </c>
      <c r="D927" s="65" t="s">
        <v>117</v>
      </c>
      <c r="E927" s="18" t="s">
        <v>101</v>
      </c>
      <c r="F927" s="63" t="s">
        <v>116</v>
      </c>
      <c r="G927" s="18" t="s">
        <v>49</v>
      </c>
      <c r="H927" s="38"/>
      <c r="I927" s="38"/>
      <c r="J927" s="38"/>
      <c r="K927" s="67" t="s">
        <v>2423</v>
      </c>
      <c r="L927" s="67" t="s">
        <v>2424</v>
      </c>
      <c r="M927" s="67" t="s">
        <v>2425</v>
      </c>
      <c r="N927" s="60">
        <v>21.980070000000001</v>
      </c>
      <c r="O927" s="60">
        <v>91.977416000000005</v>
      </c>
      <c r="P927" s="62">
        <v>700</v>
      </c>
      <c r="Q927" s="62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</row>
    <row r="928" spans="1:36" x14ac:dyDescent="0.3">
      <c r="A928" s="77">
        <v>922</v>
      </c>
      <c r="B928" s="79" t="s">
        <v>2439</v>
      </c>
      <c r="C928" s="79" t="s">
        <v>117</v>
      </c>
      <c r="D928" s="65" t="s">
        <v>117</v>
      </c>
      <c r="E928" s="18" t="s">
        <v>101</v>
      </c>
      <c r="F928" s="63" t="s">
        <v>116</v>
      </c>
      <c r="G928" s="18" t="s">
        <v>49</v>
      </c>
      <c r="H928" s="38"/>
      <c r="I928" s="38"/>
      <c r="J928" s="38"/>
      <c r="K928" s="18" t="s">
        <v>885</v>
      </c>
      <c r="L928" s="67" t="s">
        <v>886</v>
      </c>
      <c r="M928" s="67" t="s">
        <v>2426</v>
      </c>
      <c r="N928" s="60">
        <v>21.987414999999999</v>
      </c>
      <c r="O928" s="60">
        <v>91.975808999999998</v>
      </c>
      <c r="P928" s="62">
        <v>500</v>
      </c>
      <c r="Q928" s="62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</row>
    <row r="929" spans="1:36" x14ac:dyDescent="0.3">
      <c r="A929" s="77">
        <v>923</v>
      </c>
      <c r="B929" s="79" t="s">
        <v>2439</v>
      </c>
      <c r="C929" s="79" t="s">
        <v>117</v>
      </c>
      <c r="D929" s="65" t="s">
        <v>117</v>
      </c>
      <c r="E929" s="18" t="s">
        <v>101</v>
      </c>
      <c r="F929" s="63" t="s">
        <v>116</v>
      </c>
      <c r="G929" s="18" t="s">
        <v>49</v>
      </c>
      <c r="H929" s="38"/>
      <c r="I929" s="38"/>
      <c r="J929" s="38"/>
      <c r="K929" s="67" t="s">
        <v>2427</v>
      </c>
      <c r="L929" s="67" t="s">
        <v>2428</v>
      </c>
      <c r="M929" s="67" t="s">
        <v>2429</v>
      </c>
      <c r="N929" s="60">
        <v>21.989366</v>
      </c>
      <c r="O929" s="60">
        <v>91.982287999999997</v>
      </c>
      <c r="P929" s="62">
        <v>20</v>
      </c>
      <c r="Q929" s="62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</row>
    <row r="930" spans="1:36" x14ac:dyDescent="0.3">
      <c r="A930" s="77">
        <v>924</v>
      </c>
      <c r="B930" s="79" t="s">
        <v>2439</v>
      </c>
      <c r="C930" s="79" t="s">
        <v>117</v>
      </c>
      <c r="D930" s="65" t="s">
        <v>117</v>
      </c>
      <c r="E930" s="18" t="s">
        <v>101</v>
      </c>
      <c r="F930" s="63" t="s">
        <v>116</v>
      </c>
      <c r="G930" s="18" t="s">
        <v>49</v>
      </c>
      <c r="H930" s="38"/>
      <c r="I930" s="38"/>
      <c r="J930" s="38"/>
      <c r="K930" s="18" t="s">
        <v>58</v>
      </c>
      <c r="L930" s="67" t="s">
        <v>364</v>
      </c>
      <c r="M930" s="67" t="s">
        <v>2430</v>
      </c>
      <c r="N930" s="60">
        <v>21.985149</v>
      </c>
      <c r="O930" s="60">
        <v>91.966663999999994</v>
      </c>
      <c r="P930" s="62">
        <v>400</v>
      </c>
      <c r="Q930" s="62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</row>
    <row r="931" spans="1:36" x14ac:dyDescent="0.3">
      <c r="A931" s="77">
        <v>925</v>
      </c>
      <c r="B931" s="79" t="s">
        <v>2439</v>
      </c>
      <c r="C931" s="79" t="s">
        <v>117</v>
      </c>
      <c r="D931" s="65" t="s">
        <v>117</v>
      </c>
      <c r="E931" s="18" t="s">
        <v>101</v>
      </c>
      <c r="F931" s="63" t="s">
        <v>116</v>
      </c>
      <c r="G931" s="18" t="s">
        <v>49</v>
      </c>
      <c r="H931" s="38"/>
      <c r="I931" s="38"/>
      <c r="J931" s="38"/>
      <c r="K931" s="67" t="s">
        <v>1933</v>
      </c>
      <c r="L931" s="67" t="s">
        <v>1934</v>
      </c>
      <c r="M931" s="67" t="s">
        <v>2431</v>
      </c>
      <c r="N931" s="60">
        <v>21.983815</v>
      </c>
      <c r="O931" s="60">
        <v>91.973207000000002</v>
      </c>
      <c r="P931" s="62">
        <v>700</v>
      </c>
      <c r="Q931" s="62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</row>
    <row r="932" spans="1:36" x14ac:dyDescent="0.3">
      <c r="A932" s="77">
        <v>926</v>
      </c>
      <c r="B932" s="79" t="s">
        <v>2439</v>
      </c>
      <c r="C932" s="79" t="s">
        <v>117</v>
      </c>
      <c r="D932" s="65" t="s">
        <v>117</v>
      </c>
      <c r="E932" s="18" t="s">
        <v>101</v>
      </c>
      <c r="F932" s="63" t="s">
        <v>116</v>
      </c>
      <c r="G932" s="18" t="s">
        <v>49</v>
      </c>
      <c r="H932" s="38"/>
      <c r="I932" s="38"/>
      <c r="J932" s="38"/>
      <c r="K932" s="18" t="s">
        <v>991</v>
      </c>
      <c r="L932" s="67" t="s">
        <v>992</v>
      </c>
      <c r="M932" s="67" t="s">
        <v>2432</v>
      </c>
      <c r="N932" s="60">
        <v>21.980491000000001</v>
      </c>
      <c r="O932" s="60">
        <v>91.965146000000004</v>
      </c>
      <c r="P932" s="62">
        <v>400</v>
      </c>
      <c r="Q932" s="62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38"/>
    </row>
    <row r="933" spans="1:36" x14ac:dyDescent="0.3">
      <c r="A933" s="77">
        <v>927</v>
      </c>
      <c r="B933" s="79" t="s">
        <v>2439</v>
      </c>
      <c r="C933" s="79" t="s">
        <v>117</v>
      </c>
      <c r="D933" s="65" t="s">
        <v>117</v>
      </c>
      <c r="E933" s="18" t="s">
        <v>101</v>
      </c>
      <c r="F933" s="63" t="s">
        <v>116</v>
      </c>
      <c r="G933" s="18" t="s">
        <v>49</v>
      </c>
      <c r="H933" s="38"/>
      <c r="I933" s="38"/>
      <c r="J933" s="38"/>
      <c r="K933" s="67" t="s">
        <v>53</v>
      </c>
      <c r="L933" s="18" t="s">
        <v>54</v>
      </c>
      <c r="M933" s="67" t="s">
        <v>2433</v>
      </c>
      <c r="N933" s="60">
        <v>21.979762000000001</v>
      </c>
      <c r="O933" s="60">
        <v>91.961213000000001</v>
      </c>
      <c r="P933" s="62">
        <v>75</v>
      </c>
      <c r="Q933" s="62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38"/>
    </row>
    <row r="934" spans="1:36" x14ac:dyDescent="0.3">
      <c r="A934" s="77">
        <v>928</v>
      </c>
      <c r="B934" s="79" t="s">
        <v>2439</v>
      </c>
      <c r="C934" s="79" t="s">
        <v>117</v>
      </c>
      <c r="D934" s="65" t="s">
        <v>117</v>
      </c>
      <c r="E934" s="18" t="s">
        <v>101</v>
      </c>
      <c r="F934" s="63" t="s">
        <v>116</v>
      </c>
      <c r="G934" s="18" t="s">
        <v>49</v>
      </c>
      <c r="H934" s="38"/>
      <c r="I934" s="38"/>
      <c r="J934" s="38"/>
      <c r="K934" s="67" t="s">
        <v>2434</v>
      </c>
      <c r="L934" s="67" t="s">
        <v>2435</v>
      </c>
      <c r="M934" s="67" t="s">
        <v>2436</v>
      </c>
      <c r="N934" s="60">
        <v>21.989777</v>
      </c>
      <c r="O934" s="60">
        <v>91.964798000000002</v>
      </c>
      <c r="P934" s="62">
        <v>30</v>
      </c>
      <c r="Q934" s="62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38"/>
    </row>
  </sheetData>
  <mergeCells count="3">
    <mergeCell ref="G1:G2"/>
    <mergeCell ref="A5:D5"/>
    <mergeCell ref="U5:AF5"/>
  </mergeCells>
  <conditionalFormatting sqref="M7:M934">
    <cfRule type="duplicateValues" dxfId="13" priority="1"/>
  </conditionalFormatting>
  <conditionalFormatting sqref="M7:M934"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0"/>
  <sheetViews>
    <sheetView workbookViewId="0">
      <pane xSplit="12" ySplit="6" topLeftCell="M7" activePane="bottomRight" state="frozen"/>
      <selection pane="topRight" activeCell="M1" sqref="M1"/>
      <selection pane="bottomLeft" activeCell="A7" sqref="A7"/>
      <selection pane="bottomRight" activeCell="M7" sqref="M7"/>
    </sheetView>
  </sheetViews>
  <sheetFormatPr defaultRowHeight="14.4" x14ac:dyDescent="0.3"/>
  <cols>
    <col min="3" max="3" width="13.44140625" customWidth="1"/>
    <col min="4" max="4" width="14.21875" customWidth="1"/>
    <col min="5" max="5" width="13.33203125" customWidth="1"/>
    <col min="6" max="6" width="15.33203125" customWidth="1"/>
    <col min="8" max="8" width="22" customWidth="1"/>
    <col min="11" max="11" width="20.5546875" customWidth="1"/>
    <col min="21" max="32" width="4.77734375" customWidth="1"/>
  </cols>
  <sheetData>
    <row r="1" spans="1:36" ht="14.4" customHeight="1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COUNTIF(I7:I425,"SK(H)")</f>
        <v>0</v>
      </c>
      <c r="J1" s="50" t="s">
        <v>1</v>
      </c>
      <c r="K1" s="50">
        <f>COUNTA(J7:J441)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COUNTIF(I7:I426,"SHW(H)")</f>
        <v>0</v>
      </c>
      <c r="J2" s="50" t="s">
        <v>5</v>
      </c>
      <c r="K2" s="50">
        <f>COUNTA(K7:K110)</f>
        <v>104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2442</v>
      </c>
      <c r="F5" s="80"/>
      <c r="G5" s="114" t="s">
        <v>7</v>
      </c>
      <c r="H5" s="114"/>
      <c r="I5" s="114"/>
      <c r="J5" s="114"/>
      <c r="K5" s="80" t="s">
        <v>2560</v>
      </c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2560</v>
      </c>
      <c r="F7" s="91" t="s">
        <v>2561</v>
      </c>
      <c r="G7" s="92">
        <v>1</v>
      </c>
      <c r="H7" s="91" t="s">
        <v>2562</v>
      </c>
      <c r="I7" s="91"/>
      <c r="J7" s="91"/>
      <c r="K7" s="93" t="s">
        <v>2563</v>
      </c>
      <c r="L7" s="93"/>
      <c r="M7" s="93"/>
      <c r="N7" s="93"/>
      <c r="O7" s="93"/>
      <c r="P7" s="92">
        <v>5058</v>
      </c>
      <c r="Q7" s="92">
        <v>1110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2560</v>
      </c>
      <c r="F8" s="91" t="s">
        <v>2561</v>
      </c>
      <c r="G8" s="92">
        <v>1</v>
      </c>
      <c r="H8" s="91" t="s">
        <v>2562</v>
      </c>
      <c r="I8" s="91"/>
      <c r="J8" s="96"/>
      <c r="K8" s="93" t="s">
        <v>2564</v>
      </c>
      <c r="L8" s="93"/>
      <c r="M8" s="93"/>
      <c r="N8" s="93"/>
      <c r="O8" s="93"/>
      <c r="P8" s="92">
        <v>4248</v>
      </c>
      <c r="Q8" s="92">
        <v>847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2560</v>
      </c>
      <c r="F9" s="91" t="s">
        <v>2561</v>
      </c>
      <c r="G9" s="92">
        <v>2</v>
      </c>
      <c r="H9" s="91" t="s">
        <v>2562</v>
      </c>
      <c r="I9" s="91"/>
      <c r="J9" s="96"/>
      <c r="K9" s="93" t="s">
        <v>2565</v>
      </c>
      <c r="L9" s="93"/>
      <c r="M9" s="93"/>
      <c r="N9" s="93"/>
      <c r="O9" s="93"/>
      <c r="P9" s="92">
        <v>4419</v>
      </c>
      <c r="Q9" s="92">
        <v>223</v>
      </c>
      <c r="R9" s="92"/>
      <c r="S9" s="97">
        <v>0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2560</v>
      </c>
      <c r="F10" s="91" t="s">
        <v>2561</v>
      </c>
      <c r="G10" s="92">
        <v>3</v>
      </c>
      <c r="H10" s="91" t="s">
        <v>2562</v>
      </c>
      <c r="I10" s="91"/>
      <c r="J10" s="96"/>
      <c r="K10" s="93" t="s">
        <v>2566</v>
      </c>
      <c r="L10" s="93"/>
      <c r="M10" s="93"/>
      <c r="N10" s="93"/>
      <c r="O10" s="93"/>
      <c r="P10" s="92">
        <v>3124</v>
      </c>
      <c r="Q10" s="92">
        <v>624</v>
      </c>
      <c r="R10" s="92"/>
      <c r="S10" s="97">
        <v>200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2560</v>
      </c>
      <c r="F11" s="91" t="s">
        <v>2561</v>
      </c>
      <c r="G11" s="92">
        <v>4</v>
      </c>
      <c r="H11" s="91" t="s">
        <v>2562</v>
      </c>
      <c r="I11" s="91"/>
      <c r="J11" s="96"/>
      <c r="K11" s="93" t="s">
        <v>2567</v>
      </c>
      <c r="L11" s="93"/>
      <c r="M11" s="93"/>
      <c r="N11" s="93"/>
      <c r="O11" s="93"/>
      <c r="P11" s="92">
        <v>5283</v>
      </c>
      <c r="Q11" s="92">
        <v>854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2560</v>
      </c>
      <c r="F12" s="91" t="s">
        <v>2561</v>
      </c>
      <c r="G12" s="92">
        <v>5</v>
      </c>
      <c r="H12" s="96" t="s">
        <v>2562</v>
      </c>
      <c r="I12" s="96"/>
      <c r="J12" s="96"/>
      <c r="K12" s="93" t="s">
        <v>2568</v>
      </c>
      <c r="L12" s="93"/>
      <c r="M12" s="93"/>
      <c r="N12" s="93"/>
      <c r="O12" s="93"/>
      <c r="P12" s="92">
        <v>4746</v>
      </c>
      <c r="Q12" s="92">
        <v>949</v>
      </c>
      <c r="R12" s="92"/>
      <c r="S12" s="97">
        <v>0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2560</v>
      </c>
      <c r="F13" s="91" t="s">
        <v>2561</v>
      </c>
      <c r="G13" s="92">
        <v>6</v>
      </c>
      <c r="H13" s="96" t="s">
        <v>2562</v>
      </c>
      <c r="I13" s="96"/>
      <c r="J13" s="96"/>
      <c r="K13" s="93" t="s">
        <v>2569</v>
      </c>
      <c r="L13" s="93"/>
      <c r="M13" s="93"/>
      <c r="N13" s="93"/>
      <c r="O13" s="93"/>
      <c r="P13" s="92">
        <v>3408</v>
      </c>
      <c r="Q13" s="92">
        <v>681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2560</v>
      </c>
      <c r="F14" s="91" t="s">
        <v>2561</v>
      </c>
      <c r="G14" s="92">
        <v>7</v>
      </c>
      <c r="H14" s="96" t="s">
        <v>2562</v>
      </c>
      <c r="I14" s="96"/>
      <c r="J14" s="96"/>
      <c r="K14" s="93" t="s">
        <v>2570</v>
      </c>
      <c r="L14" s="93"/>
      <c r="M14" s="93"/>
      <c r="N14" s="93"/>
      <c r="O14" s="93"/>
      <c r="P14" s="92">
        <v>2124</v>
      </c>
      <c r="Q14" s="92">
        <v>378</v>
      </c>
      <c r="R14" s="92"/>
      <c r="S14" s="97">
        <v>0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2560</v>
      </c>
      <c r="F15" s="91" t="s">
        <v>2561</v>
      </c>
      <c r="G15" s="92">
        <v>7</v>
      </c>
      <c r="H15" s="96" t="s">
        <v>2562</v>
      </c>
      <c r="I15" s="96"/>
      <c r="J15" s="96"/>
      <c r="K15" s="93" t="s">
        <v>2571</v>
      </c>
      <c r="L15" s="93"/>
      <c r="M15" s="93"/>
      <c r="N15" s="93"/>
      <c r="O15" s="93"/>
      <c r="P15" s="92">
        <v>4143</v>
      </c>
      <c r="Q15" s="92">
        <v>828</v>
      </c>
      <c r="R15" s="92"/>
      <c r="S15" s="97">
        <v>0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2560</v>
      </c>
      <c r="F16" s="91" t="s">
        <v>2561</v>
      </c>
      <c r="G16" s="92">
        <v>8</v>
      </c>
      <c r="H16" s="96" t="s">
        <v>2562</v>
      </c>
      <c r="I16" s="96"/>
      <c r="J16" s="96"/>
      <c r="K16" s="93" t="s">
        <v>2572</v>
      </c>
      <c r="L16" s="93"/>
      <c r="M16" s="93"/>
      <c r="N16" s="93"/>
      <c r="O16" s="93"/>
      <c r="P16" s="92">
        <v>4792</v>
      </c>
      <c r="Q16" s="92">
        <v>630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2560</v>
      </c>
      <c r="F17" s="91" t="s">
        <v>2561</v>
      </c>
      <c r="G17" s="92">
        <v>9</v>
      </c>
      <c r="H17" s="96" t="s">
        <v>2562</v>
      </c>
      <c r="I17" s="96"/>
      <c r="J17" s="96"/>
      <c r="K17" s="93" t="s">
        <v>2573</v>
      </c>
      <c r="L17" s="93"/>
      <c r="M17" s="93"/>
      <c r="N17" s="93"/>
      <c r="O17" s="93"/>
      <c r="P17" s="92">
        <v>3154</v>
      </c>
      <c r="Q17" s="92">
        <v>958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2560</v>
      </c>
      <c r="F18" s="91" t="s">
        <v>2574</v>
      </c>
      <c r="G18" s="92">
        <v>1</v>
      </c>
      <c r="H18" s="96" t="s">
        <v>2575</v>
      </c>
      <c r="I18" s="96"/>
      <c r="J18" s="96"/>
      <c r="K18" s="93" t="s">
        <v>2576</v>
      </c>
      <c r="L18" s="93"/>
      <c r="M18" s="93"/>
      <c r="N18" s="93"/>
      <c r="O18" s="93"/>
      <c r="P18" s="92">
        <v>4738</v>
      </c>
      <c r="Q18" s="92">
        <v>902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2560</v>
      </c>
      <c r="F19" s="91" t="s">
        <v>2574</v>
      </c>
      <c r="G19" s="92">
        <v>1</v>
      </c>
      <c r="H19" s="96" t="s">
        <v>2575</v>
      </c>
      <c r="I19" s="96"/>
      <c r="J19" s="96"/>
      <c r="K19" s="93" t="s">
        <v>2577</v>
      </c>
      <c r="L19" s="93"/>
      <c r="M19" s="93"/>
      <c r="N19" s="93"/>
      <c r="O19" s="93"/>
      <c r="P19" s="92">
        <v>2938</v>
      </c>
      <c r="Q19" s="92">
        <v>578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2560</v>
      </c>
      <c r="F20" s="91" t="s">
        <v>2574</v>
      </c>
      <c r="G20" s="92">
        <v>2</v>
      </c>
      <c r="H20" s="96" t="s">
        <v>2575</v>
      </c>
      <c r="I20" s="96"/>
      <c r="J20" s="96"/>
      <c r="K20" s="93" t="s">
        <v>2578</v>
      </c>
      <c r="L20" s="93"/>
      <c r="M20" s="93"/>
      <c r="N20" s="93"/>
      <c r="O20" s="93"/>
      <c r="P20" s="92">
        <v>2412</v>
      </c>
      <c r="Q20" s="92">
        <v>472</v>
      </c>
      <c r="R20" s="92"/>
      <c r="S20" s="97">
        <v>9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2560</v>
      </c>
      <c r="F21" s="91" t="s">
        <v>2574</v>
      </c>
      <c r="G21" s="97">
        <v>2</v>
      </c>
      <c r="H21" s="96" t="s">
        <v>2575</v>
      </c>
      <c r="I21" s="96"/>
      <c r="J21" s="96"/>
      <c r="K21" s="93" t="s">
        <v>2579</v>
      </c>
      <c r="L21" s="93"/>
      <c r="M21" s="93"/>
      <c r="N21" s="93"/>
      <c r="O21" s="93"/>
      <c r="P21" s="92">
        <v>1544</v>
      </c>
      <c r="Q21" s="92">
        <v>296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2560</v>
      </c>
      <c r="F22" s="91" t="s">
        <v>2574</v>
      </c>
      <c r="G22" s="92">
        <v>3</v>
      </c>
      <c r="H22" s="96" t="s">
        <v>2575</v>
      </c>
      <c r="I22" s="96"/>
      <c r="J22" s="96"/>
      <c r="K22" s="93" t="s">
        <v>2580</v>
      </c>
      <c r="L22" s="93"/>
      <c r="M22" s="93"/>
      <c r="N22" s="93"/>
      <c r="O22" s="93"/>
      <c r="P22" s="92">
        <v>4133</v>
      </c>
      <c r="Q22" s="92">
        <v>810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2560</v>
      </c>
      <c r="F23" s="91" t="s">
        <v>2574</v>
      </c>
      <c r="G23" s="92">
        <v>3</v>
      </c>
      <c r="H23" s="96" t="s">
        <v>2575</v>
      </c>
      <c r="I23" s="96"/>
      <c r="J23" s="96"/>
      <c r="K23" s="93" t="s">
        <v>118</v>
      </c>
      <c r="L23" s="93"/>
      <c r="M23" s="93"/>
      <c r="N23" s="93"/>
      <c r="O23" s="93"/>
      <c r="P23" s="92">
        <v>4245</v>
      </c>
      <c r="Q23" s="92">
        <v>828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2560</v>
      </c>
      <c r="F24" s="91" t="s">
        <v>2574</v>
      </c>
      <c r="G24" s="92">
        <v>4</v>
      </c>
      <c r="H24" s="96" t="s">
        <v>2575</v>
      </c>
      <c r="I24" s="96"/>
      <c r="J24" s="96"/>
      <c r="K24" s="93" t="s">
        <v>2581</v>
      </c>
      <c r="L24" s="93"/>
      <c r="M24" s="93"/>
      <c r="N24" s="93"/>
      <c r="O24" s="93"/>
      <c r="P24" s="92">
        <v>2766</v>
      </c>
      <c r="Q24" s="92">
        <v>533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2560</v>
      </c>
      <c r="F25" s="91" t="s">
        <v>2574</v>
      </c>
      <c r="G25" s="97">
        <v>4</v>
      </c>
      <c r="H25" s="96" t="s">
        <v>2575</v>
      </c>
      <c r="I25" s="96"/>
      <c r="J25" s="96"/>
      <c r="K25" s="93" t="s">
        <v>2582</v>
      </c>
      <c r="L25" s="93"/>
      <c r="M25" s="93"/>
      <c r="N25" s="93"/>
      <c r="O25" s="93"/>
      <c r="P25" s="92">
        <v>4581</v>
      </c>
      <c r="Q25" s="92">
        <v>1102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2560</v>
      </c>
      <c r="F26" s="91" t="s">
        <v>2574</v>
      </c>
      <c r="G26" s="97">
        <v>5</v>
      </c>
      <c r="H26" s="96" t="s">
        <v>2575</v>
      </c>
      <c r="I26" s="96"/>
      <c r="J26" s="96"/>
      <c r="K26" s="93" t="s">
        <v>2583</v>
      </c>
      <c r="L26" s="93"/>
      <c r="M26" s="93"/>
      <c r="N26" s="93"/>
      <c r="O26" s="93"/>
      <c r="P26" s="92">
        <v>3366</v>
      </c>
      <c r="Q26" s="92">
        <v>669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2560</v>
      </c>
      <c r="F27" s="91" t="s">
        <v>2574</v>
      </c>
      <c r="G27" s="97">
        <v>5</v>
      </c>
      <c r="H27" s="96" t="s">
        <v>2575</v>
      </c>
      <c r="I27" s="96"/>
      <c r="J27" s="96"/>
      <c r="K27" s="93" t="s">
        <v>2584</v>
      </c>
      <c r="L27" s="93"/>
      <c r="M27" s="93"/>
      <c r="N27" s="93"/>
      <c r="O27" s="93"/>
      <c r="P27" s="92">
        <v>2897</v>
      </c>
      <c r="Q27" s="92">
        <v>578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2560</v>
      </c>
      <c r="F28" s="91" t="s">
        <v>2585</v>
      </c>
      <c r="G28" s="97">
        <v>1</v>
      </c>
      <c r="H28" s="96" t="s">
        <v>2586</v>
      </c>
      <c r="I28" s="96"/>
      <c r="J28" s="96"/>
      <c r="K28" s="93" t="s">
        <v>2587</v>
      </c>
      <c r="L28" s="93"/>
      <c r="M28" s="93"/>
      <c r="N28" s="93"/>
      <c r="O28" s="93"/>
      <c r="P28" s="92">
        <v>2380</v>
      </c>
      <c r="Q28" s="92">
        <v>772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2560</v>
      </c>
      <c r="F29" s="91" t="s">
        <v>2585</v>
      </c>
      <c r="G29" s="97">
        <v>2</v>
      </c>
      <c r="H29" s="96" t="s">
        <v>2586</v>
      </c>
      <c r="I29" s="96"/>
      <c r="J29" s="96"/>
      <c r="K29" s="93" t="s">
        <v>2588</v>
      </c>
      <c r="L29" s="93"/>
      <c r="M29" s="93"/>
      <c r="N29" s="93"/>
      <c r="O29" s="93"/>
      <c r="P29" s="92">
        <v>3507</v>
      </c>
      <c r="Q29" s="92">
        <v>706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2560</v>
      </c>
      <c r="F30" s="91" t="s">
        <v>2585</v>
      </c>
      <c r="G30" s="97">
        <v>3</v>
      </c>
      <c r="H30" s="96" t="s">
        <v>2586</v>
      </c>
      <c r="I30" s="96"/>
      <c r="J30" s="96"/>
      <c r="K30" s="93" t="s">
        <v>2589</v>
      </c>
      <c r="L30" s="93"/>
      <c r="M30" s="93"/>
      <c r="N30" s="93"/>
      <c r="O30" s="93"/>
      <c r="P30" s="92">
        <v>2984</v>
      </c>
      <c r="Q30" s="92">
        <v>597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2560</v>
      </c>
      <c r="F31" s="91" t="s">
        <v>2585</v>
      </c>
      <c r="G31" s="97">
        <v>4</v>
      </c>
      <c r="H31" s="96" t="s">
        <v>2586</v>
      </c>
      <c r="I31" s="96"/>
      <c r="J31" s="96"/>
      <c r="K31" s="93" t="s">
        <v>2590</v>
      </c>
      <c r="L31" s="93"/>
      <c r="M31" s="93"/>
      <c r="N31" s="93"/>
      <c r="O31" s="93"/>
      <c r="P31" s="92">
        <v>3557</v>
      </c>
      <c r="Q31" s="92">
        <v>613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2560</v>
      </c>
      <c r="F32" s="96" t="s">
        <v>2585</v>
      </c>
      <c r="G32" s="97">
        <v>5</v>
      </c>
      <c r="H32" s="96" t="s">
        <v>2586</v>
      </c>
      <c r="I32" s="96"/>
      <c r="J32" s="96"/>
      <c r="K32" s="93" t="s">
        <v>2591</v>
      </c>
      <c r="L32" s="93"/>
      <c r="M32" s="93"/>
      <c r="N32" s="93"/>
      <c r="O32" s="93"/>
      <c r="P32" s="92">
        <v>3321</v>
      </c>
      <c r="Q32" s="92">
        <v>899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2560</v>
      </c>
      <c r="F33" s="96" t="s">
        <v>2585</v>
      </c>
      <c r="G33" s="97">
        <v>6</v>
      </c>
      <c r="H33" s="96" t="s">
        <v>2586</v>
      </c>
      <c r="I33" s="96"/>
      <c r="J33" s="96"/>
      <c r="K33" s="93" t="s">
        <v>2592</v>
      </c>
      <c r="L33" s="93"/>
      <c r="M33" s="93"/>
      <c r="N33" s="93"/>
      <c r="O33" s="93"/>
      <c r="P33" s="92">
        <v>3042</v>
      </c>
      <c r="Q33" s="92">
        <v>602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2560</v>
      </c>
      <c r="F34" s="96" t="s">
        <v>2585</v>
      </c>
      <c r="G34" s="97">
        <v>7</v>
      </c>
      <c r="H34" s="96" t="s">
        <v>2586</v>
      </c>
      <c r="I34" s="96"/>
      <c r="J34" s="96"/>
      <c r="K34" s="93" t="s">
        <v>2593</v>
      </c>
      <c r="L34" s="93"/>
      <c r="M34" s="93"/>
      <c r="N34" s="93"/>
      <c r="O34" s="93"/>
      <c r="P34" s="92">
        <v>5310</v>
      </c>
      <c r="Q34" s="92">
        <v>1031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2560</v>
      </c>
      <c r="F35" s="96" t="s">
        <v>2585</v>
      </c>
      <c r="G35" s="97">
        <v>8</v>
      </c>
      <c r="H35" s="96" t="s">
        <v>2586</v>
      </c>
      <c r="I35" s="96"/>
      <c r="J35" s="96"/>
      <c r="K35" s="93" t="s">
        <v>2570</v>
      </c>
      <c r="L35" s="93"/>
      <c r="M35" s="93"/>
      <c r="N35" s="93"/>
      <c r="O35" s="93"/>
      <c r="P35" s="92">
        <v>2695</v>
      </c>
      <c r="Q35" s="92">
        <v>539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2560</v>
      </c>
      <c r="F36" s="96" t="s">
        <v>2585</v>
      </c>
      <c r="G36" s="97">
        <v>9</v>
      </c>
      <c r="H36" s="96" t="s">
        <v>2586</v>
      </c>
      <c r="I36" s="96"/>
      <c r="J36" s="96"/>
      <c r="K36" s="93" t="s">
        <v>2594</v>
      </c>
      <c r="L36" s="93"/>
      <c r="M36" s="93"/>
      <c r="N36" s="93"/>
      <c r="O36" s="93"/>
      <c r="P36" s="92">
        <v>1384</v>
      </c>
      <c r="Q36" s="92">
        <v>262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2560</v>
      </c>
      <c r="F37" s="96" t="s">
        <v>2595</v>
      </c>
      <c r="G37" s="97">
        <v>1</v>
      </c>
      <c r="H37" s="96" t="s">
        <v>2596</v>
      </c>
      <c r="I37" s="96"/>
      <c r="J37" s="96"/>
      <c r="K37" s="93" t="s">
        <v>2597</v>
      </c>
      <c r="L37" s="93"/>
      <c r="M37" s="93"/>
      <c r="N37" s="93"/>
      <c r="O37" s="93"/>
      <c r="P37" s="92">
        <v>3273</v>
      </c>
      <c r="Q37" s="92">
        <v>700</v>
      </c>
      <c r="R37" s="92"/>
      <c r="S37" s="97">
        <v>69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2560</v>
      </c>
      <c r="F38" s="96" t="s">
        <v>2595</v>
      </c>
      <c r="G38" s="97">
        <v>1</v>
      </c>
      <c r="H38" s="96" t="s">
        <v>2596</v>
      </c>
      <c r="I38" s="96"/>
      <c r="J38" s="96"/>
      <c r="K38" s="93" t="s">
        <v>2598</v>
      </c>
      <c r="L38" s="93"/>
      <c r="M38" s="93"/>
      <c r="N38" s="93"/>
      <c r="O38" s="93"/>
      <c r="P38" s="92">
        <v>734</v>
      </c>
      <c r="Q38" s="92">
        <v>152</v>
      </c>
      <c r="R38" s="92"/>
      <c r="S38" s="97">
        <v>0</v>
      </c>
      <c r="T38" s="97">
        <v>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2560</v>
      </c>
      <c r="F39" s="96" t="s">
        <v>2595</v>
      </c>
      <c r="G39" s="97">
        <v>2</v>
      </c>
      <c r="H39" s="96" t="s">
        <v>2596</v>
      </c>
      <c r="I39" s="96"/>
      <c r="J39" s="96"/>
      <c r="K39" s="93" t="s">
        <v>2599</v>
      </c>
      <c r="L39" s="93"/>
      <c r="M39" s="93"/>
      <c r="N39" s="93"/>
      <c r="O39" s="93"/>
      <c r="P39" s="92">
        <v>2524</v>
      </c>
      <c r="Q39" s="92">
        <v>608</v>
      </c>
      <c r="R39" s="92"/>
      <c r="S39" s="97">
        <v>17</v>
      </c>
      <c r="T39" s="97">
        <v>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2560</v>
      </c>
      <c r="F40" s="96" t="s">
        <v>2595</v>
      </c>
      <c r="G40" s="97">
        <v>2</v>
      </c>
      <c r="H40" s="96" t="s">
        <v>2596</v>
      </c>
      <c r="I40" s="96"/>
      <c r="J40" s="96"/>
      <c r="K40" s="93" t="s">
        <v>2600</v>
      </c>
      <c r="L40" s="93"/>
      <c r="M40" s="93"/>
      <c r="N40" s="93"/>
      <c r="O40" s="93"/>
      <c r="P40" s="92">
        <v>886</v>
      </c>
      <c r="Q40" s="92">
        <v>169</v>
      </c>
      <c r="R40" s="92"/>
      <c r="S40" s="97">
        <v>122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2560</v>
      </c>
      <c r="F41" s="96" t="s">
        <v>2595</v>
      </c>
      <c r="G41" s="97">
        <v>3</v>
      </c>
      <c r="H41" s="96" t="s">
        <v>2596</v>
      </c>
      <c r="I41" s="96"/>
      <c r="J41" s="96"/>
      <c r="K41" s="93" t="s">
        <v>2601</v>
      </c>
      <c r="L41" s="93"/>
      <c r="M41" s="93"/>
      <c r="N41" s="93"/>
      <c r="O41" s="93"/>
      <c r="P41" s="92">
        <v>2679</v>
      </c>
      <c r="Q41" s="92">
        <v>536</v>
      </c>
      <c r="R41" s="92"/>
      <c r="S41" s="97">
        <v>215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2560</v>
      </c>
      <c r="F42" s="96" t="s">
        <v>2595</v>
      </c>
      <c r="G42" s="97" t="s">
        <v>2602</v>
      </c>
      <c r="H42" s="96" t="s">
        <v>2596</v>
      </c>
      <c r="I42" s="96"/>
      <c r="J42" s="96"/>
      <c r="K42" s="93" t="s">
        <v>2603</v>
      </c>
      <c r="L42" s="93"/>
      <c r="M42" s="93"/>
      <c r="N42" s="93"/>
      <c r="O42" s="93"/>
      <c r="P42" s="92">
        <v>4433</v>
      </c>
      <c r="Q42" s="92">
        <v>886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2560</v>
      </c>
      <c r="F43" s="96" t="s">
        <v>2595</v>
      </c>
      <c r="G43" s="97">
        <v>6</v>
      </c>
      <c r="H43" s="96" t="s">
        <v>2596</v>
      </c>
      <c r="I43" s="96"/>
      <c r="J43" s="96"/>
      <c r="K43" s="93" t="s">
        <v>2604</v>
      </c>
      <c r="L43" s="93"/>
      <c r="M43" s="93"/>
      <c r="N43" s="93"/>
      <c r="O43" s="93"/>
      <c r="P43" s="92">
        <v>745</v>
      </c>
      <c r="Q43" s="92">
        <v>148</v>
      </c>
      <c r="R43" s="92"/>
      <c r="S43" s="97">
        <v>0</v>
      </c>
      <c r="T43" s="97">
        <v>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2560</v>
      </c>
      <c r="F44" s="96" t="s">
        <v>2595</v>
      </c>
      <c r="G44" s="97">
        <v>7</v>
      </c>
      <c r="H44" s="96" t="s">
        <v>2596</v>
      </c>
      <c r="I44" s="96"/>
      <c r="J44" s="96"/>
      <c r="K44" s="93" t="s">
        <v>2605</v>
      </c>
      <c r="L44" s="93"/>
      <c r="M44" s="93"/>
      <c r="N44" s="93"/>
      <c r="O44" s="93"/>
      <c r="P44" s="92">
        <v>979</v>
      </c>
      <c r="Q44" s="92">
        <v>201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2560</v>
      </c>
      <c r="F45" s="96" t="s">
        <v>2595</v>
      </c>
      <c r="G45" s="97">
        <v>8</v>
      </c>
      <c r="H45" s="96" t="s">
        <v>2596</v>
      </c>
      <c r="I45" s="96"/>
      <c r="J45" s="96"/>
      <c r="K45" s="93" t="s">
        <v>2606</v>
      </c>
      <c r="L45" s="93"/>
      <c r="M45" s="93"/>
      <c r="N45" s="93"/>
      <c r="O45" s="93"/>
      <c r="P45" s="92">
        <v>1393</v>
      </c>
      <c r="Q45" s="92">
        <v>278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2560</v>
      </c>
      <c r="F46" s="96" t="s">
        <v>2595</v>
      </c>
      <c r="G46" s="97">
        <v>9</v>
      </c>
      <c r="H46" s="96" t="s">
        <v>2596</v>
      </c>
      <c r="I46" s="96"/>
      <c r="J46" s="96"/>
      <c r="K46" s="93" t="s">
        <v>582</v>
      </c>
      <c r="L46" s="93"/>
      <c r="M46" s="93"/>
      <c r="N46" s="93"/>
      <c r="O46" s="93"/>
      <c r="P46" s="92">
        <v>1547</v>
      </c>
      <c r="Q46" s="92">
        <v>374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2560</v>
      </c>
      <c r="F47" s="96" t="s">
        <v>2607</v>
      </c>
      <c r="G47" s="97">
        <v>1</v>
      </c>
      <c r="H47" s="96" t="s">
        <v>2608</v>
      </c>
      <c r="I47" s="96"/>
      <c r="J47" s="96"/>
      <c r="K47" s="93" t="s">
        <v>2609</v>
      </c>
      <c r="L47" s="93"/>
      <c r="M47" s="93"/>
      <c r="N47" s="93"/>
      <c r="O47" s="93"/>
      <c r="P47" s="92">
        <v>2744</v>
      </c>
      <c r="Q47" s="92">
        <v>749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2560</v>
      </c>
      <c r="F48" s="96" t="s">
        <v>2607</v>
      </c>
      <c r="G48" s="97">
        <v>2</v>
      </c>
      <c r="H48" s="96" t="s">
        <v>2608</v>
      </c>
      <c r="I48" s="96"/>
      <c r="J48" s="96"/>
      <c r="K48" s="93" t="s">
        <v>2610</v>
      </c>
      <c r="L48" s="93"/>
      <c r="M48" s="93"/>
      <c r="N48" s="93"/>
      <c r="O48" s="93"/>
      <c r="P48" s="92">
        <v>2169</v>
      </c>
      <c r="Q48" s="92">
        <v>1034</v>
      </c>
      <c r="R48" s="92"/>
      <c r="S48" s="97">
        <v>0</v>
      </c>
      <c r="T48" s="97">
        <v>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2560</v>
      </c>
      <c r="F49" s="96" t="s">
        <v>2607</v>
      </c>
      <c r="G49" s="97">
        <v>3</v>
      </c>
      <c r="H49" s="96" t="s">
        <v>2608</v>
      </c>
      <c r="I49" s="96"/>
      <c r="J49" s="96"/>
      <c r="K49" s="93" t="s">
        <v>2611</v>
      </c>
      <c r="L49" s="93"/>
      <c r="M49" s="93"/>
      <c r="N49" s="93"/>
      <c r="O49" s="93"/>
      <c r="P49" s="92">
        <v>2400</v>
      </c>
      <c r="Q49" s="92">
        <v>480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2560</v>
      </c>
      <c r="F50" s="96" t="s">
        <v>2607</v>
      </c>
      <c r="G50" s="97" t="s">
        <v>2602</v>
      </c>
      <c r="H50" s="96" t="s">
        <v>2608</v>
      </c>
      <c r="I50" s="96"/>
      <c r="J50" s="96"/>
      <c r="K50" s="93" t="s">
        <v>2612</v>
      </c>
      <c r="L50" s="93"/>
      <c r="M50" s="93"/>
      <c r="N50" s="93"/>
      <c r="O50" s="93"/>
      <c r="P50" s="92">
        <v>2563</v>
      </c>
      <c r="Q50" s="92">
        <v>512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2560</v>
      </c>
      <c r="F51" s="96" t="s">
        <v>2607</v>
      </c>
      <c r="G51" s="97">
        <v>6</v>
      </c>
      <c r="H51" s="96" t="s">
        <v>2608</v>
      </c>
      <c r="I51" s="96"/>
      <c r="J51" s="96"/>
      <c r="K51" s="93" t="s">
        <v>2613</v>
      </c>
      <c r="L51" s="93"/>
      <c r="M51" s="93"/>
      <c r="N51" s="93"/>
      <c r="O51" s="93"/>
      <c r="P51" s="92">
        <v>4852</v>
      </c>
      <c r="Q51" s="92">
        <v>969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2560</v>
      </c>
      <c r="F52" s="96" t="s">
        <v>2607</v>
      </c>
      <c r="G52" s="97" t="s">
        <v>2614</v>
      </c>
      <c r="H52" s="96" t="s">
        <v>2608</v>
      </c>
      <c r="I52" s="96"/>
      <c r="J52" s="96"/>
      <c r="K52" s="93" t="s">
        <v>2615</v>
      </c>
      <c r="L52" s="93"/>
      <c r="M52" s="93"/>
      <c r="N52" s="93"/>
      <c r="O52" s="93"/>
      <c r="P52" s="92">
        <v>2482</v>
      </c>
      <c r="Q52" s="92">
        <v>496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2560</v>
      </c>
      <c r="F53" s="96" t="s">
        <v>2607</v>
      </c>
      <c r="G53" s="97">
        <v>9</v>
      </c>
      <c r="H53" s="96" t="s">
        <v>2608</v>
      </c>
      <c r="I53" s="96"/>
      <c r="J53" s="96"/>
      <c r="K53" s="93" t="s">
        <v>2616</v>
      </c>
      <c r="L53" s="93"/>
      <c r="M53" s="93"/>
      <c r="N53" s="93"/>
      <c r="O53" s="93"/>
      <c r="P53" s="92">
        <v>3844</v>
      </c>
      <c r="Q53" s="92">
        <v>778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2560</v>
      </c>
      <c r="F54" s="96" t="s">
        <v>2607</v>
      </c>
      <c r="G54" s="97" t="s">
        <v>2617</v>
      </c>
      <c r="H54" s="96" t="s">
        <v>2618</v>
      </c>
      <c r="I54" s="96"/>
      <c r="J54" s="96"/>
      <c r="K54" s="93" t="s">
        <v>2619</v>
      </c>
      <c r="L54" s="93"/>
      <c r="M54" s="93"/>
      <c r="N54" s="93"/>
      <c r="O54" s="93"/>
      <c r="P54" s="92">
        <v>6404</v>
      </c>
      <c r="Q54" s="92">
        <v>1180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2560</v>
      </c>
      <c r="F55" s="96" t="s">
        <v>2620</v>
      </c>
      <c r="G55" s="97">
        <v>3</v>
      </c>
      <c r="H55" s="96" t="s">
        <v>2618</v>
      </c>
      <c r="I55" s="96"/>
      <c r="J55" s="96"/>
      <c r="K55" s="93" t="s">
        <v>2621</v>
      </c>
      <c r="L55" s="93"/>
      <c r="M55" s="93"/>
      <c r="N55" s="93"/>
      <c r="O55" s="93"/>
      <c r="P55" s="92">
        <v>5183</v>
      </c>
      <c r="Q55" s="92">
        <v>1010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2560</v>
      </c>
      <c r="F56" s="96" t="s">
        <v>2620</v>
      </c>
      <c r="G56" s="97">
        <v>4</v>
      </c>
      <c r="H56" s="96" t="s">
        <v>2618</v>
      </c>
      <c r="I56" s="96"/>
      <c r="J56" s="96"/>
      <c r="K56" s="93" t="s">
        <v>2622</v>
      </c>
      <c r="L56" s="93"/>
      <c r="M56" s="93"/>
      <c r="N56" s="93"/>
      <c r="O56" s="93"/>
      <c r="P56" s="92">
        <v>1360</v>
      </c>
      <c r="Q56" s="92">
        <v>268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2560</v>
      </c>
      <c r="F57" s="96" t="s">
        <v>2620</v>
      </c>
      <c r="G57" s="97">
        <v>5</v>
      </c>
      <c r="H57" s="96" t="s">
        <v>2618</v>
      </c>
      <c r="I57" s="96"/>
      <c r="J57" s="96"/>
      <c r="K57" s="93" t="s">
        <v>2623</v>
      </c>
      <c r="L57" s="93"/>
      <c r="M57" s="93"/>
      <c r="N57" s="93"/>
      <c r="O57" s="93"/>
      <c r="P57" s="92">
        <v>1512</v>
      </c>
      <c r="Q57" s="92">
        <v>300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2560</v>
      </c>
      <c r="F58" s="96" t="s">
        <v>2620</v>
      </c>
      <c r="G58" s="97">
        <v>6</v>
      </c>
      <c r="H58" s="96" t="s">
        <v>2618</v>
      </c>
      <c r="I58" s="96"/>
      <c r="J58" s="96"/>
      <c r="K58" s="93" t="s">
        <v>53</v>
      </c>
      <c r="L58" s="93"/>
      <c r="M58" s="93"/>
      <c r="N58" s="93"/>
      <c r="O58" s="93"/>
      <c r="P58" s="92">
        <v>1552</v>
      </c>
      <c r="Q58" s="92">
        <v>311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2560</v>
      </c>
      <c r="F59" s="96" t="s">
        <v>2620</v>
      </c>
      <c r="G59" s="97">
        <v>6</v>
      </c>
      <c r="H59" s="96" t="s">
        <v>2618</v>
      </c>
      <c r="I59" s="96"/>
      <c r="J59" s="96"/>
      <c r="K59" s="93" t="s">
        <v>2624</v>
      </c>
      <c r="L59" s="93"/>
      <c r="M59" s="93"/>
      <c r="N59" s="93"/>
      <c r="O59" s="93"/>
      <c r="P59" s="92">
        <v>1852</v>
      </c>
      <c r="Q59" s="92">
        <v>379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2560</v>
      </c>
      <c r="F60" s="96" t="s">
        <v>2620</v>
      </c>
      <c r="G60" s="97">
        <v>7</v>
      </c>
      <c r="H60" s="96" t="s">
        <v>2618</v>
      </c>
      <c r="I60" s="96"/>
      <c r="J60" s="96"/>
      <c r="K60" s="93" t="s">
        <v>2625</v>
      </c>
      <c r="L60" s="93"/>
      <c r="M60" s="93"/>
      <c r="N60" s="93"/>
      <c r="O60" s="93"/>
      <c r="P60" s="92">
        <v>2406</v>
      </c>
      <c r="Q60" s="92">
        <v>481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2560</v>
      </c>
      <c r="F61" s="96" t="s">
        <v>2620</v>
      </c>
      <c r="G61" s="97">
        <v>8</v>
      </c>
      <c r="H61" s="96" t="s">
        <v>2618</v>
      </c>
      <c r="I61" s="96"/>
      <c r="J61" s="96"/>
      <c r="K61" s="93" t="s">
        <v>2626</v>
      </c>
      <c r="L61" s="93"/>
      <c r="M61" s="93"/>
      <c r="N61" s="93"/>
      <c r="O61" s="93"/>
      <c r="P61" s="92">
        <v>2245</v>
      </c>
      <c r="Q61" s="92">
        <v>449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2560</v>
      </c>
      <c r="F62" s="96" t="s">
        <v>2620</v>
      </c>
      <c r="G62" s="97">
        <v>9</v>
      </c>
      <c r="H62" s="96" t="s">
        <v>2618</v>
      </c>
      <c r="I62" s="96"/>
      <c r="J62" s="96"/>
      <c r="K62" s="93" t="s">
        <v>2627</v>
      </c>
      <c r="L62" s="93"/>
      <c r="M62" s="93"/>
      <c r="N62" s="93"/>
      <c r="O62" s="93"/>
      <c r="P62" s="92">
        <v>2436</v>
      </c>
      <c r="Q62" s="92">
        <v>487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2560</v>
      </c>
      <c r="F63" s="96" t="s">
        <v>2620</v>
      </c>
      <c r="G63" s="97">
        <v>9</v>
      </c>
      <c r="H63" s="96" t="s">
        <v>2618</v>
      </c>
      <c r="I63" s="96"/>
      <c r="J63" s="96"/>
      <c r="K63" s="93" t="s">
        <v>88</v>
      </c>
      <c r="L63" s="93"/>
      <c r="M63" s="93"/>
      <c r="N63" s="93"/>
      <c r="O63" s="93"/>
      <c r="P63" s="92">
        <v>1796</v>
      </c>
      <c r="Q63" s="92">
        <v>355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2560</v>
      </c>
      <c r="F64" s="96" t="s">
        <v>2628</v>
      </c>
      <c r="G64" s="97">
        <v>1</v>
      </c>
      <c r="H64" s="96" t="s">
        <v>2629</v>
      </c>
      <c r="I64" s="96"/>
      <c r="J64" s="96"/>
      <c r="K64" s="93" t="s">
        <v>2630</v>
      </c>
      <c r="L64" s="93"/>
      <c r="M64" s="93"/>
      <c r="N64" s="93"/>
      <c r="O64" s="93"/>
      <c r="P64" s="92">
        <v>5283</v>
      </c>
      <c r="Q64" s="92">
        <v>957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2560</v>
      </c>
      <c r="F65" s="96" t="s">
        <v>2628</v>
      </c>
      <c r="G65" s="97">
        <v>2</v>
      </c>
      <c r="H65" s="96" t="s">
        <v>2629</v>
      </c>
      <c r="I65" s="96"/>
      <c r="J65" s="96"/>
      <c r="K65" s="93" t="s">
        <v>2631</v>
      </c>
      <c r="L65" s="93"/>
      <c r="M65" s="93"/>
      <c r="N65" s="93"/>
      <c r="O65" s="93"/>
      <c r="P65" s="92">
        <v>2896</v>
      </c>
      <c r="Q65" s="92">
        <v>476</v>
      </c>
      <c r="R65" s="92"/>
      <c r="S65" s="97">
        <v>45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2560</v>
      </c>
      <c r="F66" s="96" t="s">
        <v>2628</v>
      </c>
      <c r="G66" s="97">
        <v>3</v>
      </c>
      <c r="H66" s="96" t="s">
        <v>2629</v>
      </c>
      <c r="I66" s="96"/>
      <c r="J66" s="96"/>
      <c r="K66" s="93" t="s">
        <v>2632</v>
      </c>
      <c r="L66" s="93"/>
      <c r="M66" s="93"/>
      <c r="N66" s="93"/>
      <c r="O66" s="93"/>
      <c r="P66" s="92">
        <v>4218</v>
      </c>
      <c r="Q66" s="92">
        <v>823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2560</v>
      </c>
      <c r="F67" s="96" t="s">
        <v>2628</v>
      </c>
      <c r="G67" s="97">
        <v>4</v>
      </c>
      <c r="H67" s="96" t="s">
        <v>2629</v>
      </c>
      <c r="I67" s="96"/>
      <c r="J67" s="96"/>
      <c r="K67" s="93" t="s">
        <v>2628</v>
      </c>
      <c r="L67" s="93"/>
      <c r="M67" s="93"/>
      <c r="N67" s="93"/>
      <c r="O67" s="93"/>
      <c r="P67" s="92">
        <v>5107</v>
      </c>
      <c r="Q67" s="92">
        <v>1029</v>
      </c>
      <c r="R67" s="92"/>
      <c r="S67" s="97">
        <v>280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2560</v>
      </c>
      <c r="F68" s="96" t="s">
        <v>2628</v>
      </c>
      <c r="G68" s="97">
        <v>5</v>
      </c>
      <c r="H68" s="96" t="s">
        <v>2629</v>
      </c>
      <c r="I68" s="96"/>
      <c r="J68" s="96"/>
      <c r="K68" s="93" t="s">
        <v>2633</v>
      </c>
      <c r="L68" s="93"/>
      <c r="M68" s="93"/>
      <c r="N68" s="93"/>
      <c r="O68" s="93"/>
      <c r="P68" s="92">
        <v>2472</v>
      </c>
      <c r="Q68" s="92">
        <v>494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2560</v>
      </c>
      <c r="F69" s="96" t="s">
        <v>2628</v>
      </c>
      <c r="G69" s="97">
        <v>6</v>
      </c>
      <c r="H69" s="96" t="s">
        <v>2629</v>
      </c>
      <c r="I69" s="96"/>
      <c r="J69" s="96"/>
      <c r="K69" s="93" t="s">
        <v>2634</v>
      </c>
      <c r="L69" s="93"/>
      <c r="M69" s="93"/>
      <c r="N69" s="93"/>
      <c r="O69" s="93"/>
      <c r="P69" s="92">
        <v>2320</v>
      </c>
      <c r="Q69" s="92">
        <v>464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2560</v>
      </c>
      <c r="F70" s="96" t="s">
        <v>2628</v>
      </c>
      <c r="G70" s="97">
        <v>7</v>
      </c>
      <c r="H70" s="96" t="s">
        <v>2629</v>
      </c>
      <c r="I70" s="96"/>
      <c r="J70" s="96"/>
      <c r="K70" s="93" t="s">
        <v>2635</v>
      </c>
      <c r="L70" s="93"/>
      <c r="M70" s="93"/>
      <c r="N70" s="93"/>
      <c r="O70" s="93"/>
      <c r="P70" s="92">
        <v>2429</v>
      </c>
      <c r="Q70" s="92">
        <v>485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2560</v>
      </c>
      <c r="F71" s="96" t="s">
        <v>2628</v>
      </c>
      <c r="G71" s="97">
        <v>8</v>
      </c>
      <c r="H71" s="96" t="s">
        <v>2629</v>
      </c>
      <c r="I71" s="96"/>
      <c r="J71" s="96"/>
      <c r="K71" s="93" t="s">
        <v>2636</v>
      </c>
      <c r="L71" s="93"/>
      <c r="M71" s="93"/>
      <c r="N71" s="93"/>
      <c r="O71" s="93"/>
      <c r="P71" s="92">
        <v>2133</v>
      </c>
      <c r="Q71" s="92">
        <v>426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2560</v>
      </c>
      <c r="F72" s="96" t="s">
        <v>2628</v>
      </c>
      <c r="G72" s="97">
        <v>9</v>
      </c>
      <c r="H72" s="96" t="s">
        <v>2629</v>
      </c>
      <c r="I72" s="96"/>
      <c r="J72" s="96"/>
      <c r="K72" s="93" t="s">
        <v>2622</v>
      </c>
      <c r="L72" s="93"/>
      <c r="M72" s="93"/>
      <c r="N72" s="93"/>
      <c r="O72" s="93"/>
      <c r="P72" s="92">
        <v>2255</v>
      </c>
      <c r="Q72" s="92">
        <v>415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2560</v>
      </c>
      <c r="F73" s="96" t="s">
        <v>2637</v>
      </c>
      <c r="G73" s="97">
        <v>1</v>
      </c>
      <c r="H73" s="96" t="s">
        <v>2638</v>
      </c>
      <c r="I73" s="96"/>
      <c r="J73" s="96"/>
      <c r="K73" s="93" t="s">
        <v>2639</v>
      </c>
      <c r="L73" s="93"/>
      <c r="M73" s="93"/>
      <c r="N73" s="93"/>
      <c r="O73" s="93"/>
      <c r="P73" s="92">
        <v>3287</v>
      </c>
      <c r="Q73" s="92">
        <v>536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2560</v>
      </c>
      <c r="F74" s="96" t="s">
        <v>2637</v>
      </c>
      <c r="G74" s="97">
        <v>2</v>
      </c>
      <c r="H74" s="96" t="s">
        <v>2638</v>
      </c>
      <c r="I74" s="96"/>
      <c r="J74" s="96"/>
      <c r="K74" s="93" t="s">
        <v>2582</v>
      </c>
      <c r="L74" s="93"/>
      <c r="M74" s="93"/>
      <c r="N74" s="93"/>
      <c r="O74" s="93"/>
      <c r="P74" s="92">
        <v>1543</v>
      </c>
      <c r="Q74" s="92">
        <v>298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2560</v>
      </c>
      <c r="F75" s="96" t="s">
        <v>2637</v>
      </c>
      <c r="G75" s="97">
        <v>2</v>
      </c>
      <c r="H75" s="96" t="s">
        <v>2638</v>
      </c>
      <c r="I75" s="96"/>
      <c r="J75" s="96"/>
      <c r="K75" s="93" t="s">
        <v>2624</v>
      </c>
      <c r="L75" s="93"/>
      <c r="M75" s="93"/>
      <c r="N75" s="93"/>
      <c r="O75" s="93"/>
      <c r="P75" s="92">
        <v>869</v>
      </c>
      <c r="Q75" s="92">
        <v>165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2560</v>
      </c>
      <c r="F76" s="96" t="s">
        <v>2637</v>
      </c>
      <c r="G76" s="97">
        <v>3</v>
      </c>
      <c r="H76" s="96" t="s">
        <v>2638</v>
      </c>
      <c r="I76" s="96"/>
      <c r="J76" s="96"/>
      <c r="K76" s="93" t="s">
        <v>2604</v>
      </c>
      <c r="L76" s="93"/>
      <c r="M76" s="93"/>
      <c r="N76" s="93"/>
      <c r="O76" s="93"/>
      <c r="P76" s="92">
        <v>1784</v>
      </c>
      <c r="Q76" s="92">
        <v>344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2560</v>
      </c>
      <c r="F77" s="96" t="s">
        <v>2637</v>
      </c>
      <c r="G77" s="97">
        <v>4</v>
      </c>
      <c r="H77" s="96" t="s">
        <v>2638</v>
      </c>
      <c r="I77" s="96"/>
      <c r="J77" s="96"/>
      <c r="K77" s="93" t="s">
        <v>2640</v>
      </c>
      <c r="L77" s="93"/>
      <c r="M77" s="93"/>
      <c r="N77" s="93"/>
      <c r="O77" s="93"/>
      <c r="P77" s="92">
        <v>2666</v>
      </c>
      <c r="Q77" s="92">
        <v>503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2560</v>
      </c>
      <c r="F78" s="96" t="s">
        <v>2637</v>
      </c>
      <c r="G78" s="97">
        <v>5</v>
      </c>
      <c r="H78" s="96" t="s">
        <v>2638</v>
      </c>
      <c r="I78" s="96"/>
      <c r="J78" s="96"/>
      <c r="K78" s="93" t="s">
        <v>2144</v>
      </c>
      <c r="L78" s="93"/>
      <c r="M78" s="93"/>
      <c r="N78" s="93"/>
      <c r="O78" s="93"/>
      <c r="P78" s="92">
        <v>757</v>
      </c>
      <c r="Q78" s="92">
        <v>161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2560</v>
      </c>
      <c r="F79" s="96" t="s">
        <v>2637</v>
      </c>
      <c r="G79" s="97">
        <v>5</v>
      </c>
      <c r="H79" s="96" t="s">
        <v>2638</v>
      </c>
      <c r="I79" s="96"/>
      <c r="J79" s="96"/>
      <c r="K79" s="93" t="s">
        <v>2641</v>
      </c>
      <c r="L79" s="93"/>
      <c r="M79" s="93"/>
      <c r="N79" s="93"/>
      <c r="O79" s="93"/>
      <c r="P79" s="92">
        <v>1275</v>
      </c>
      <c r="Q79" s="92">
        <v>262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2560</v>
      </c>
      <c r="F80" s="96" t="s">
        <v>2637</v>
      </c>
      <c r="G80" s="97">
        <v>6</v>
      </c>
      <c r="H80" s="96" t="s">
        <v>2638</v>
      </c>
      <c r="I80" s="96"/>
      <c r="J80" s="96"/>
      <c r="K80" s="93" t="s">
        <v>2642</v>
      </c>
      <c r="L80" s="93"/>
      <c r="M80" s="93"/>
      <c r="N80" s="93"/>
      <c r="O80" s="93"/>
      <c r="P80" s="92">
        <v>1216</v>
      </c>
      <c r="Q80" s="92">
        <v>206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2560</v>
      </c>
      <c r="F81" s="96" t="s">
        <v>2637</v>
      </c>
      <c r="G81" s="97">
        <v>7</v>
      </c>
      <c r="H81" s="96" t="s">
        <v>2643</v>
      </c>
      <c r="I81" s="96"/>
      <c r="J81" s="96"/>
      <c r="K81" s="93" t="s">
        <v>2644</v>
      </c>
      <c r="L81" s="93"/>
      <c r="M81" s="93"/>
      <c r="N81" s="93"/>
      <c r="O81" s="93"/>
      <c r="P81" s="92">
        <v>1246</v>
      </c>
      <c r="Q81" s="92">
        <v>262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2560</v>
      </c>
      <c r="F82" s="96" t="s">
        <v>2637</v>
      </c>
      <c r="G82" s="97">
        <v>7</v>
      </c>
      <c r="H82" s="96" t="s">
        <v>2643</v>
      </c>
      <c r="I82" s="96"/>
      <c r="J82" s="96"/>
      <c r="K82" s="93" t="s">
        <v>2645</v>
      </c>
      <c r="L82" s="93"/>
      <c r="M82" s="93"/>
      <c r="N82" s="93"/>
      <c r="O82" s="93"/>
      <c r="P82" s="92">
        <v>1978</v>
      </c>
      <c r="Q82" s="92">
        <v>396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2560</v>
      </c>
      <c r="F83" s="96" t="s">
        <v>2637</v>
      </c>
      <c r="G83" s="97">
        <v>7</v>
      </c>
      <c r="H83" s="96" t="s">
        <v>2643</v>
      </c>
      <c r="I83" s="96"/>
      <c r="J83" s="96"/>
      <c r="K83" s="93" t="s">
        <v>53</v>
      </c>
      <c r="L83" s="93"/>
      <c r="M83" s="93"/>
      <c r="N83" s="93"/>
      <c r="O83" s="93"/>
      <c r="P83" s="92">
        <v>1156</v>
      </c>
      <c r="Q83" s="92">
        <v>223</v>
      </c>
      <c r="R83" s="92"/>
      <c r="S83" s="97">
        <v>23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2560</v>
      </c>
      <c r="F84" s="96" t="s">
        <v>2637</v>
      </c>
      <c r="G84" s="97">
        <v>8</v>
      </c>
      <c r="H84" s="96" t="s">
        <v>2643</v>
      </c>
      <c r="I84" s="96"/>
      <c r="J84" s="96"/>
      <c r="K84" s="93" t="s">
        <v>2646</v>
      </c>
      <c r="L84" s="93"/>
      <c r="M84" s="93"/>
      <c r="N84" s="93"/>
      <c r="O84" s="93"/>
      <c r="P84" s="92">
        <v>1416</v>
      </c>
      <c r="Q84" s="92">
        <v>336</v>
      </c>
      <c r="R84" s="92"/>
      <c r="S84" s="97">
        <v>0</v>
      </c>
      <c r="T84" s="97">
        <v>0</v>
      </c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2560</v>
      </c>
      <c r="F85" s="96" t="s">
        <v>2637</v>
      </c>
      <c r="G85" s="97">
        <v>8</v>
      </c>
      <c r="H85" s="96" t="s">
        <v>2643</v>
      </c>
      <c r="I85" s="96"/>
      <c r="J85" s="96"/>
      <c r="K85" s="93" t="s">
        <v>2647</v>
      </c>
      <c r="L85" s="93"/>
      <c r="M85" s="93"/>
      <c r="N85" s="93"/>
      <c r="O85" s="93"/>
      <c r="P85" s="92">
        <v>950</v>
      </c>
      <c r="Q85" s="92">
        <v>257</v>
      </c>
      <c r="R85" s="92"/>
      <c r="S85" s="97">
        <v>0</v>
      </c>
      <c r="T85" s="97">
        <v>0</v>
      </c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2560</v>
      </c>
      <c r="F86" s="96" t="s">
        <v>2637</v>
      </c>
      <c r="G86" s="97">
        <v>9</v>
      </c>
      <c r="H86" s="96" t="s">
        <v>2643</v>
      </c>
      <c r="I86" s="96"/>
      <c r="J86" s="96"/>
      <c r="K86" s="93" t="s">
        <v>2648</v>
      </c>
      <c r="L86" s="93"/>
      <c r="M86" s="93"/>
      <c r="N86" s="93"/>
      <c r="O86" s="93"/>
      <c r="P86" s="92">
        <v>1808</v>
      </c>
      <c r="Q86" s="92">
        <v>373</v>
      </c>
      <c r="R86" s="92"/>
      <c r="S86" s="97">
        <v>0</v>
      </c>
      <c r="T86" s="97">
        <v>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2560</v>
      </c>
      <c r="F87" s="96" t="s">
        <v>2637</v>
      </c>
      <c r="G87" s="97">
        <v>9</v>
      </c>
      <c r="H87" s="96" t="s">
        <v>2643</v>
      </c>
      <c r="I87" s="96"/>
      <c r="J87" s="96"/>
      <c r="K87" s="93" t="s">
        <v>2649</v>
      </c>
      <c r="L87" s="93"/>
      <c r="M87" s="93"/>
      <c r="N87" s="93"/>
      <c r="O87" s="93"/>
      <c r="P87" s="92">
        <v>823</v>
      </c>
      <c r="Q87" s="92">
        <v>185</v>
      </c>
      <c r="R87" s="92"/>
      <c r="S87" s="97">
        <v>255</v>
      </c>
      <c r="T87" s="97">
        <v>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2560</v>
      </c>
      <c r="F88" s="96" t="s">
        <v>2650</v>
      </c>
      <c r="G88" s="97">
        <v>1</v>
      </c>
      <c r="H88" s="96" t="s">
        <v>2586</v>
      </c>
      <c r="I88" s="96"/>
      <c r="J88" s="96"/>
      <c r="K88" s="93" t="s">
        <v>50</v>
      </c>
      <c r="L88" s="93"/>
      <c r="M88" s="93"/>
      <c r="N88" s="93"/>
      <c r="O88" s="93"/>
      <c r="P88" s="92">
        <v>3176</v>
      </c>
      <c r="Q88" s="92">
        <v>531</v>
      </c>
      <c r="R88" s="92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2560</v>
      </c>
      <c r="F89" s="96" t="s">
        <v>2650</v>
      </c>
      <c r="G89" s="97">
        <v>2</v>
      </c>
      <c r="H89" s="96" t="s">
        <v>2586</v>
      </c>
      <c r="I89" s="96"/>
      <c r="J89" s="96"/>
      <c r="K89" s="93" t="s">
        <v>2651</v>
      </c>
      <c r="L89" s="93"/>
      <c r="M89" s="93"/>
      <c r="N89" s="93"/>
      <c r="O89" s="93"/>
      <c r="P89" s="92">
        <v>2416</v>
      </c>
      <c r="Q89" s="92">
        <v>467</v>
      </c>
      <c r="R89" s="92"/>
      <c r="S89" s="97">
        <v>168</v>
      </c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2560</v>
      </c>
      <c r="F90" s="96" t="s">
        <v>2650</v>
      </c>
      <c r="G90" s="97">
        <v>2</v>
      </c>
      <c r="H90" s="96" t="s">
        <v>2586</v>
      </c>
      <c r="I90" s="96"/>
      <c r="J90" s="96"/>
      <c r="K90" s="93" t="s">
        <v>2652</v>
      </c>
      <c r="L90" s="93"/>
      <c r="M90" s="93"/>
      <c r="N90" s="93"/>
      <c r="O90" s="93"/>
      <c r="P90" s="92">
        <v>822</v>
      </c>
      <c r="Q90" s="92">
        <v>161</v>
      </c>
      <c r="R90" s="92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2560</v>
      </c>
      <c r="F91" s="96" t="s">
        <v>2650</v>
      </c>
      <c r="G91" s="97">
        <v>3</v>
      </c>
      <c r="H91" s="96" t="s">
        <v>2586</v>
      </c>
      <c r="I91" s="96"/>
      <c r="J91" s="96"/>
      <c r="K91" s="93" t="s">
        <v>2653</v>
      </c>
      <c r="L91" s="93"/>
      <c r="M91" s="93"/>
      <c r="N91" s="93"/>
      <c r="O91" s="93"/>
      <c r="P91" s="92">
        <v>1193</v>
      </c>
      <c r="Q91" s="92">
        <v>231</v>
      </c>
      <c r="R91" s="92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2560</v>
      </c>
      <c r="F92" s="96" t="s">
        <v>2650</v>
      </c>
      <c r="G92" s="97">
        <v>4</v>
      </c>
      <c r="H92" s="96" t="s">
        <v>2586</v>
      </c>
      <c r="I92" s="96"/>
      <c r="J92" s="96"/>
      <c r="K92" s="93" t="s">
        <v>2654</v>
      </c>
      <c r="L92" s="93"/>
      <c r="M92" s="93"/>
      <c r="N92" s="93"/>
      <c r="O92" s="93"/>
      <c r="P92" s="92">
        <v>2697</v>
      </c>
      <c r="Q92" s="92">
        <v>539</v>
      </c>
      <c r="R92" s="92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2560</v>
      </c>
      <c r="F93" s="96" t="s">
        <v>2650</v>
      </c>
      <c r="G93" s="97">
        <v>5</v>
      </c>
      <c r="H93" s="96" t="s">
        <v>2586</v>
      </c>
      <c r="I93" s="96"/>
      <c r="J93" s="96"/>
      <c r="K93" s="93" t="s">
        <v>2655</v>
      </c>
      <c r="L93" s="93"/>
      <c r="M93" s="93"/>
      <c r="N93" s="93"/>
      <c r="O93" s="93"/>
      <c r="P93" s="92">
        <v>2359</v>
      </c>
      <c r="Q93" s="92">
        <v>472</v>
      </c>
      <c r="R93" s="92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2560</v>
      </c>
      <c r="F94" s="96" t="s">
        <v>2650</v>
      </c>
      <c r="G94" s="97">
        <v>6</v>
      </c>
      <c r="H94" s="96" t="s">
        <v>2586</v>
      </c>
      <c r="I94" s="96"/>
      <c r="J94" s="96"/>
      <c r="K94" s="93" t="s">
        <v>2656</v>
      </c>
      <c r="L94" s="93"/>
      <c r="M94" s="93"/>
      <c r="N94" s="93"/>
      <c r="O94" s="93"/>
      <c r="P94" s="92">
        <v>2326</v>
      </c>
      <c r="Q94" s="92">
        <v>454</v>
      </c>
      <c r="R94" s="92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2560</v>
      </c>
      <c r="F95" s="96" t="s">
        <v>2650</v>
      </c>
      <c r="G95" s="97">
        <v>7</v>
      </c>
      <c r="H95" s="96" t="s">
        <v>2586</v>
      </c>
      <c r="I95" s="96"/>
      <c r="J95" s="96"/>
      <c r="K95" s="93" t="s">
        <v>2657</v>
      </c>
      <c r="L95" s="93"/>
      <c r="M95" s="93"/>
      <c r="N95" s="93"/>
      <c r="O95" s="93"/>
      <c r="P95" s="92">
        <v>2616</v>
      </c>
      <c r="Q95" s="92">
        <v>523</v>
      </c>
      <c r="R95" s="92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2560</v>
      </c>
      <c r="F96" s="96" t="s">
        <v>2650</v>
      </c>
      <c r="G96" s="97">
        <v>7</v>
      </c>
      <c r="H96" s="96" t="s">
        <v>2586</v>
      </c>
      <c r="I96" s="96"/>
      <c r="J96" s="96"/>
      <c r="K96" s="93" t="s">
        <v>62</v>
      </c>
      <c r="L96" s="93"/>
      <c r="M96" s="93"/>
      <c r="N96" s="93"/>
      <c r="O96" s="93"/>
      <c r="P96" s="92">
        <v>2905</v>
      </c>
      <c r="Q96" s="92">
        <v>559</v>
      </c>
      <c r="R96" s="92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0">
        <v>91</v>
      </c>
      <c r="B97" s="79" t="s">
        <v>2439</v>
      </c>
      <c r="C97" s="79" t="s">
        <v>117</v>
      </c>
      <c r="D97" s="79" t="s">
        <v>117</v>
      </c>
      <c r="E97" s="91" t="s">
        <v>2560</v>
      </c>
      <c r="F97" s="96" t="s">
        <v>2650</v>
      </c>
      <c r="G97" s="97">
        <v>8</v>
      </c>
      <c r="H97" s="96" t="s">
        <v>2586</v>
      </c>
      <c r="I97" s="96"/>
      <c r="J97" s="96"/>
      <c r="K97" s="93" t="s">
        <v>2658</v>
      </c>
      <c r="L97" s="93"/>
      <c r="M97" s="93"/>
      <c r="N97" s="93"/>
      <c r="O97" s="93"/>
      <c r="P97" s="92">
        <v>2482</v>
      </c>
      <c r="Q97" s="92">
        <v>488</v>
      </c>
      <c r="R97" s="92"/>
      <c r="S97" s="97">
        <v>132</v>
      </c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7"/>
      <c r="AH97" s="24"/>
      <c r="AI97" s="25"/>
      <c r="AJ97" s="25"/>
    </row>
    <row r="98" spans="1:36" x14ac:dyDescent="0.3">
      <c r="A98" s="90">
        <v>92</v>
      </c>
      <c r="B98" s="79" t="s">
        <v>2439</v>
      </c>
      <c r="C98" s="79" t="s">
        <v>117</v>
      </c>
      <c r="D98" s="79" t="s">
        <v>117</v>
      </c>
      <c r="E98" s="91" t="s">
        <v>2560</v>
      </c>
      <c r="F98" s="96" t="s">
        <v>2650</v>
      </c>
      <c r="G98" s="97">
        <v>9</v>
      </c>
      <c r="H98" s="96" t="s">
        <v>2586</v>
      </c>
      <c r="I98" s="96"/>
      <c r="J98" s="96"/>
      <c r="K98" s="93" t="s">
        <v>2659</v>
      </c>
      <c r="L98" s="93"/>
      <c r="M98" s="93"/>
      <c r="N98" s="93"/>
      <c r="O98" s="93"/>
      <c r="P98" s="92">
        <v>108</v>
      </c>
      <c r="Q98" s="92">
        <v>545</v>
      </c>
      <c r="R98" s="92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17"/>
      <c r="AH98" s="24"/>
      <c r="AI98" s="25"/>
      <c r="AJ98" s="25"/>
    </row>
    <row r="99" spans="1:36" x14ac:dyDescent="0.3">
      <c r="A99" s="90">
        <v>93</v>
      </c>
      <c r="B99" s="79" t="s">
        <v>2439</v>
      </c>
      <c r="C99" s="79" t="s">
        <v>117</v>
      </c>
      <c r="D99" s="79" t="s">
        <v>117</v>
      </c>
      <c r="E99" s="91" t="s">
        <v>2560</v>
      </c>
      <c r="F99" s="96" t="s">
        <v>2660</v>
      </c>
      <c r="G99" s="97">
        <v>1</v>
      </c>
      <c r="H99" s="96" t="s">
        <v>2638</v>
      </c>
      <c r="I99" s="96"/>
      <c r="J99" s="96"/>
      <c r="K99" s="93" t="s">
        <v>53</v>
      </c>
      <c r="L99" s="93"/>
      <c r="M99" s="93"/>
      <c r="N99" s="93"/>
      <c r="O99" s="93"/>
      <c r="P99" s="92">
        <v>2011</v>
      </c>
      <c r="Q99" s="92">
        <v>402</v>
      </c>
      <c r="R99" s="92"/>
      <c r="S99" s="97">
        <v>152</v>
      </c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17"/>
      <c r="AH99" s="24"/>
      <c r="AI99" s="25"/>
      <c r="AJ99" s="25"/>
    </row>
    <row r="100" spans="1:36" x14ac:dyDescent="0.3">
      <c r="A100" s="90">
        <v>94</v>
      </c>
      <c r="B100" s="79" t="s">
        <v>2439</v>
      </c>
      <c r="C100" s="79" t="s">
        <v>117</v>
      </c>
      <c r="D100" s="79" t="s">
        <v>117</v>
      </c>
      <c r="E100" s="91" t="s">
        <v>2560</v>
      </c>
      <c r="F100" s="96" t="s">
        <v>2660</v>
      </c>
      <c r="G100" s="97">
        <v>1</v>
      </c>
      <c r="H100" s="96" t="s">
        <v>2638</v>
      </c>
      <c r="I100" s="96"/>
      <c r="J100" s="96"/>
      <c r="K100" s="93" t="s">
        <v>2660</v>
      </c>
      <c r="L100" s="93"/>
      <c r="M100" s="93"/>
      <c r="N100" s="93"/>
      <c r="O100" s="93"/>
      <c r="P100" s="92">
        <v>2487</v>
      </c>
      <c r="Q100" s="92">
        <v>385</v>
      </c>
      <c r="R100" s="92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17"/>
      <c r="AH100" s="24"/>
      <c r="AI100" s="25"/>
      <c r="AJ100" s="25"/>
    </row>
    <row r="101" spans="1:36" x14ac:dyDescent="0.3">
      <c r="A101" s="90">
        <v>95</v>
      </c>
      <c r="B101" s="79" t="s">
        <v>2439</v>
      </c>
      <c r="C101" s="79" t="s">
        <v>117</v>
      </c>
      <c r="D101" s="79" t="s">
        <v>117</v>
      </c>
      <c r="E101" s="91" t="s">
        <v>2560</v>
      </c>
      <c r="F101" s="96" t="s">
        <v>2660</v>
      </c>
      <c r="G101" s="97">
        <v>2</v>
      </c>
      <c r="H101" s="96" t="s">
        <v>2638</v>
      </c>
      <c r="I101" s="96"/>
      <c r="J101" s="96"/>
      <c r="K101" s="93" t="s">
        <v>2661</v>
      </c>
      <c r="L101" s="93"/>
      <c r="M101" s="93"/>
      <c r="N101" s="93"/>
      <c r="O101" s="93"/>
      <c r="P101" s="92">
        <v>1303</v>
      </c>
      <c r="Q101" s="92">
        <v>261</v>
      </c>
      <c r="R101" s="92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17"/>
      <c r="AH101" s="24"/>
      <c r="AI101" s="25"/>
      <c r="AJ101" s="25"/>
    </row>
    <row r="102" spans="1:36" x14ac:dyDescent="0.3">
      <c r="A102" s="90">
        <v>96</v>
      </c>
      <c r="B102" s="79" t="s">
        <v>2439</v>
      </c>
      <c r="C102" s="79" t="s">
        <v>117</v>
      </c>
      <c r="D102" s="79" t="s">
        <v>117</v>
      </c>
      <c r="E102" s="91" t="s">
        <v>2560</v>
      </c>
      <c r="F102" s="96" t="s">
        <v>2660</v>
      </c>
      <c r="G102" s="97">
        <v>3</v>
      </c>
      <c r="H102" s="96" t="s">
        <v>2638</v>
      </c>
      <c r="I102" s="96"/>
      <c r="J102" s="96"/>
      <c r="K102" s="93" t="s">
        <v>2662</v>
      </c>
      <c r="L102" s="93"/>
      <c r="M102" s="93"/>
      <c r="N102" s="93"/>
      <c r="O102" s="93"/>
      <c r="P102" s="92">
        <v>1468</v>
      </c>
      <c r="Q102" s="92">
        <v>294</v>
      </c>
      <c r="R102" s="92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17"/>
      <c r="AH102" s="24"/>
      <c r="AI102" s="25"/>
      <c r="AJ102" s="25"/>
    </row>
    <row r="103" spans="1:36" x14ac:dyDescent="0.3">
      <c r="A103" s="90">
        <v>97</v>
      </c>
      <c r="B103" s="79" t="s">
        <v>2439</v>
      </c>
      <c r="C103" s="79" t="s">
        <v>117</v>
      </c>
      <c r="D103" s="79" t="s">
        <v>117</v>
      </c>
      <c r="E103" s="91" t="s">
        <v>2560</v>
      </c>
      <c r="F103" s="96" t="s">
        <v>2660</v>
      </c>
      <c r="G103" s="97">
        <v>4</v>
      </c>
      <c r="H103" s="96" t="s">
        <v>2638</v>
      </c>
      <c r="I103" s="96"/>
      <c r="J103" s="96"/>
      <c r="K103" s="93" t="s">
        <v>2663</v>
      </c>
      <c r="L103" s="93"/>
      <c r="M103" s="93"/>
      <c r="N103" s="93"/>
      <c r="O103" s="93"/>
      <c r="P103" s="92">
        <v>2068</v>
      </c>
      <c r="Q103" s="92">
        <v>308</v>
      </c>
      <c r="R103" s="92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17"/>
      <c r="AH103" s="24"/>
      <c r="AI103" s="25"/>
      <c r="AJ103" s="25"/>
    </row>
    <row r="104" spans="1:36" x14ac:dyDescent="0.3">
      <c r="A104" s="90">
        <v>98</v>
      </c>
      <c r="B104" s="79" t="s">
        <v>2439</v>
      </c>
      <c r="C104" s="79" t="s">
        <v>117</v>
      </c>
      <c r="D104" s="79" t="s">
        <v>117</v>
      </c>
      <c r="E104" s="91" t="s">
        <v>2560</v>
      </c>
      <c r="F104" s="96" t="s">
        <v>2660</v>
      </c>
      <c r="G104" s="97">
        <v>5</v>
      </c>
      <c r="H104" s="96" t="s">
        <v>2638</v>
      </c>
      <c r="I104" s="96"/>
      <c r="J104" s="96"/>
      <c r="K104" s="93" t="s">
        <v>51</v>
      </c>
      <c r="L104" s="93"/>
      <c r="M104" s="93"/>
      <c r="N104" s="93"/>
      <c r="O104" s="93"/>
      <c r="P104" s="92">
        <v>2515</v>
      </c>
      <c r="Q104" s="92">
        <v>315</v>
      </c>
      <c r="R104" s="92"/>
      <c r="S104" s="97">
        <v>25</v>
      </c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17"/>
      <c r="AH104" s="24"/>
      <c r="AI104" s="25"/>
      <c r="AJ104" s="25"/>
    </row>
    <row r="105" spans="1:36" x14ac:dyDescent="0.3">
      <c r="A105" s="98">
        <v>99</v>
      </c>
      <c r="B105" s="99" t="s">
        <v>2439</v>
      </c>
      <c r="C105" s="99" t="s">
        <v>117</v>
      </c>
      <c r="D105" s="99" t="s">
        <v>117</v>
      </c>
      <c r="E105" s="100" t="s">
        <v>2560</v>
      </c>
      <c r="F105" s="101" t="s">
        <v>2660</v>
      </c>
      <c r="G105" s="102" t="s">
        <v>2664</v>
      </c>
      <c r="H105" s="101" t="s">
        <v>2638</v>
      </c>
      <c r="I105" s="101"/>
      <c r="J105" s="101"/>
      <c r="K105" s="103" t="s">
        <v>2665</v>
      </c>
      <c r="L105" s="103"/>
      <c r="M105" s="103"/>
      <c r="N105" s="103"/>
      <c r="O105" s="103"/>
      <c r="P105" s="104">
        <v>1652</v>
      </c>
      <c r="Q105" s="104">
        <v>330</v>
      </c>
      <c r="R105" s="104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5"/>
      <c r="AH105" s="106"/>
      <c r="AI105" s="107"/>
      <c r="AJ105" s="107"/>
    </row>
    <row r="106" spans="1:36" x14ac:dyDescent="0.3">
      <c r="A106" s="77">
        <v>100</v>
      </c>
      <c r="B106" s="108" t="s">
        <v>2439</v>
      </c>
      <c r="C106" s="108" t="s">
        <v>117</v>
      </c>
      <c r="D106" s="108" t="s">
        <v>117</v>
      </c>
      <c r="E106" s="96" t="s">
        <v>2560</v>
      </c>
      <c r="F106" s="96" t="s">
        <v>2660</v>
      </c>
      <c r="G106" s="97">
        <v>8</v>
      </c>
      <c r="H106" s="96" t="s">
        <v>2638</v>
      </c>
      <c r="I106" s="96"/>
      <c r="J106" s="96"/>
      <c r="K106" s="93" t="s">
        <v>2666</v>
      </c>
      <c r="L106" s="93"/>
      <c r="M106" s="93"/>
      <c r="N106" s="93"/>
      <c r="O106" s="93"/>
      <c r="P106" s="92">
        <v>1884</v>
      </c>
      <c r="Q106" s="92">
        <v>255</v>
      </c>
      <c r="R106" s="92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7"/>
      <c r="AH106" s="24"/>
      <c r="AI106" s="25"/>
      <c r="AJ106" s="25"/>
    </row>
    <row r="107" spans="1:36" x14ac:dyDescent="0.3">
      <c r="A107" s="77">
        <v>101</v>
      </c>
      <c r="B107" s="108" t="s">
        <v>2439</v>
      </c>
      <c r="C107" s="108" t="s">
        <v>117</v>
      </c>
      <c r="D107" s="108" t="s">
        <v>117</v>
      </c>
      <c r="E107" s="109" t="s">
        <v>2560</v>
      </c>
      <c r="F107" s="109" t="s">
        <v>2660</v>
      </c>
      <c r="G107" s="109">
        <v>9</v>
      </c>
      <c r="H107" s="109" t="s">
        <v>2638</v>
      </c>
      <c r="I107" s="109"/>
      <c r="J107" s="109"/>
      <c r="K107" s="109" t="s">
        <v>2667</v>
      </c>
      <c r="L107" s="109"/>
      <c r="M107" s="109"/>
      <c r="N107" s="109"/>
      <c r="O107" s="109"/>
      <c r="P107" s="110">
        <v>2155</v>
      </c>
      <c r="Q107" s="110">
        <v>353</v>
      </c>
      <c r="R107" s="109"/>
      <c r="S107" s="109">
        <v>148</v>
      </c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x14ac:dyDescent="0.3">
      <c r="A108" s="77">
        <v>102</v>
      </c>
      <c r="B108" s="108" t="s">
        <v>2439</v>
      </c>
      <c r="C108" s="108" t="s">
        <v>117</v>
      </c>
      <c r="D108" s="108" t="s">
        <v>117</v>
      </c>
      <c r="E108" s="109" t="s">
        <v>2560</v>
      </c>
      <c r="F108" s="109" t="s">
        <v>2637</v>
      </c>
      <c r="G108" s="109">
        <v>5</v>
      </c>
      <c r="H108" s="109" t="s">
        <v>2643</v>
      </c>
      <c r="I108" s="109"/>
      <c r="J108" s="109"/>
      <c r="K108" s="109" t="s">
        <v>55</v>
      </c>
      <c r="L108" s="109"/>
      <c r="M108" s="109"/>
      <c r="N108" s="109"/>
      <c r="O108" s="109"/>
      <c r="P108" s="110">
        <v>2245</v>
      </c>
      <c r="Q108" s="110">
        <v>310</v>
      </c>
      <c r="R108" s="109"/>
      <c r="S108" s="109">
        <v>24</v>
      </c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x14ac:dyDescent="0.3">
      <c r="A109" s="77">
        <v>103</v>
      </c>
      <c r="B109" s="108" t="s">
        <v>2439</v>
      </c>
      <c r="C109" s="108" t="s">
        <v>117</v>
      </c>
      <c r="D109" s="108" t="s">
        <v>117</v>
      </c>
      <c r="E109" s="109" t="s">
        <v>2560</v>
      </c>
      <c r="F109" s="109" t="s">
        <v>2637</v>
      </c>
      <c r="G109" s="109">
        <v>6</v>
      </c>
      <c r="H109" s="109" t="s">
        <v>2643</v>
      </c>
      <c r="I109" s="109"/>
      <c r="J109" s="109"/>
      <c r="K109" s="109" t="s">
        <v>2668</v>
      </c>
      <c r="L109" s="109"/>
      <c r="M109" s="109"/>
      <c r="N109" s="109"/>
      <c r="O109" s="109"/>
      <c r="P109" s="110">
        <v>1988</v>
      </c>
      <c r="Q109" s="110">
        <v>268</v>
      </c>
      <c r="R109" s="109"/>
      <c r="S109" s="109">
        <v>98</v>
      </c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 spans="1:36" x14ac:dyDescent="0.3">
      <c r="A110" s="77">
        <v>104</v>
      </c>
      <c r="B110" s="108" t="s">
        <v>2439</v>
      </c>
      <c r="C110" s="108" t="s">
        <v>117</v>
      </c>
      <c r="D110" s="108" t="s">
        <v>117</v>
      </c>
      <c r="E110" s="109" t="s">
        <v>2560</v>
      </c>
      <c r="F110" s="109" t="s">
        <v>2637</v>
      </c>
      <c r="G110" s="109">
        <v>9</v>
      </c>
      <c r="H110" s="109" t="s">
        <v>2643</v>
      </c>
      <c r="I110" s="109"/>
      <c r="J110" s="109"/>
      <c r="K110" s="109" t="s">
        <v>2669</v>
      </c>
      <c r="L110" s="109"/>
      <c r="M110" s="109"/>
      <c r="N110" s="109"/>
      <c r="O110" s="109"/>
      <c r="P110" s="110">
        <v>1747</v>
      </c>
      <c r="Q110" s="110">
        <v>430</v>
      </c>
      <c r="R110" s="109"/>
      <c r="S110" s="109">
        <v>49</v>
      </c>
      <c r="T110" s="109">
        <v>0</v>
      </c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</row>
  </sheetData>
  <autoFilter ref="A6:AJ6"/>
  <mergeCells count="4">
    <mergeCell ref="G1:G2"/>
    <mergeCell ref="A5:D5"/>
    <mergeCell ref="G5:J5"/>
    <mergeCell ref="U5:AF5"/>
  </mergeCells>
  <conditionalFormatting sqref="M7:M106">
    <cfRule type="duplicateValues" dxfId="11" priority="1"/>
  </conditionalFormatting>
  <dataValidations count="1">
    <dataValidation type="list" allowBlank="1" showInputMessage="1" showErrorMessage="1" sqref="E7:E106">
      <formula1>INDIRECT($B7)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7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Z18" sqref="Z18"/>
    </sheetView>
  </sheetViews>
  <sheetFormatPr defaultRowHeight="14.4" x14ac:dyDescent="0.3"/>
  <cols>
    <col min="4" max="4" width="11.6640625" customWidth="1"/>
    <col min="5" max="5" width="12.77734375" customWidth="1"/>
    <col min="6" max="6" width="14.88671875" customWidth="1"/>
    <col min="8" max="8" width="16.77734375" customWidth="1"/>
    <col min="11" max="11" width="21.21875" customWidth="1"/>
    <col min="12" max="12" width="16.664062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COUNTIF(I7:I412,"SK(H)")</f>
        <v>0</v>
      </c>
      <c r="J1" s="50" t="s">
        <v>1</v>
      </c>
      <c r="K1" s="50">
        <f>COUNTA(J7:J428)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COUNTIF(I7:I413,"SHW(H)")</f>
        <v>0</v>
      </c>
      <c r="J2" s="50" t="s">
        <v>5</v>
      </c>
      <c r="K2" s="50">
        <f>COUNTA(K7:K97)</f>
        <v>91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2670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2670</v>
      </c>
      <c r="F7" s="91" t="s">
        <v>2671</v>
      </c>
      <c r="G7" s="92">
        <v>1</v>
      </c>
      <c r="H7" s="91" t="s">
        <v>2672</v>
      </c>
      <c r="I7" s="91"/>
      <c r="J7" s="91"/>
      <c r="K7" s="93" t="s">
        <v>2673</v>
      </c>
      <c r="L7" s="93"/>
      <c r="M7" s="93"/>
      <c r="N7" s="93"/>
      <c r="O7" s="93"/>
      <c r="P7" s="92">
        <v>1679</v>
      </c>
      <c r="Q7" s="92">
        <v>436</v>
      </c>
      <c r="R7" s="94"/>
      <c r="S7" s="95">
        <v>736</v>
      </c>
      <c r="T7" s="95">
        <v>736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2670</v>
      </c>
      <c r="F8" s="91" t="s">
        <v>2671</v>
      </c>
      <c r="G8" s="92">
        <v>2</v>
      </c>
      <c r="H8" s="91" t="s">
        <v>2672</v>
      </c>
      <c r="I8" s="91"/>
      <c r="J8" s="96"/>
      <c r="K8" s="93" t="s">
        <v>2674</v>
      </c>
      <c r="L8" s="93"/>
      <c r="M8" s="93"/>
      <c r="N8" s="93"/>
      <c r="O8" s="93"/>
      <c r="P8" s="92">
        <v>1825</v>
      </c>
      <c r="Q8" s="92">
        <v>474</v>
      </c>
      <c r="R8" s="92"/>
      <c r="S8" s="97">
        <v>444</v>
      </c>
      <c r="T8" s="97">
        <v>454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2670</v>
      </c>
      <c r="F9" s="91" t="s">
        <v>2671</v>
      </c>
      <c r="G9" s="92">
        <v>3</v>
      </c>
      <c r="H9" s="91" t="s">
        <v>2675</v>
      </c>
      <c r="I9" s="91"/>
      <c r="J9" s="96"/>
      <c r="K9" s="93" t="s">
        <v>2676</v>
      </c>
      <c r="L9" s="93"/>
      <c r="M9" s="93"/>
      <c r="N9" s="93"/>
      <c r="O9" s="93"/>
      <c r="P9" s="92">
        <v>2575</v>
      </c>
      <c r="Q9" s="92">
        <v>669</v>
      </c>
      <c r="R9" s="92"/>
      <c r="S9" s="97">
        <v>733</v>
      </c>
      <c r="T9" s="97">
        <v>1552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2670</v>
      </c>
      <c r="F10" s="91" t="s">
        <v>2671</v>
      </c>
      <c r="G10" s="92">
        <v>4</v>
      </c>
      <c r="H10" s="91" t="s">
        <v>2675</v>
      </c>
      <c r="I10" s="91"/>
      <c r="J10" s="96"/>
      <c r="K10" s="93" t="s">
        <v>2677</v>
      </c>
      <c r="L10" s="93"/>
      <c r="M10" s="93"/>
      <c r="N10" s="93"/>
      <c r="O10" s="93"/>
      <c r="P10" s="92">
        <v>2875</v>
      </c>
      <c r="Q10" s="92">
        <v>747</v>
      </c>
      <c r="R10" s="92"/>
      <c r="S10" s="97">
        <v>149</v>
      </c>
      <c r="T10" s="97">
        <v>1441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2670</v>
      </c>
      <c r="F11" s="91" t="s">
        <v>2671</v>
      </c>
      <c r="G11" s="92">
        <v>4</v>
      </c>
      <c r="H11" s="91" t="s">
        <v>2678</v>
      </c>
      <c r="I11" s="91"/>
      <c r="J11" s="96"/>
      <c r="K11" s="93" t="s">
        <v>2679</v>
      </c>
      <c r="L11" s="93"/>
      <c r="M11" s="93"/>
      <c r="N11" s="93"/>
      <c r="O11" s="93"/>
      <c r="P11" s="92">
        <v>1875</v>
      </c>
      <c r="Q11" s="92">
        <v>487</v>
      </c>
      <c r="R11" s="92"/>
      <c r="S11" s="97">
        <v>1487</v>
      </c>
      <c r="T11" s="97">
        <v>1543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2670</v>
      </c>
      <c r="F12" s="91" t="s">
        <v>2671</v>
      </c>
      <c r="G12" s="92">
        <v>5</v>
      </c>
      <c r="H12" s="96" t="s">
        <v>2678</v>
      </c>
      <c r="I12" s="96"/>
      <c r="J12" s="96"/>
      <c r="K12" s="93" t="s">
        <v>2680</v>
      </c>
      <c r="L12" s="93"/>
      <c r="M12" s="93"/>
      <c r="N12" s="93"/>
      <c r="O12" s="93"/>
      <c r="P12" s="92">
        <v>1975</v>
      </c>
      <c r="Q12" s="92">
        <v>513</v>
      </c>
      <c r="R12" s="92"/>
      <c r="S12" s="97">
        <v>1411</v>
      </c>
      <c r="T12" s="97">
        <v>1962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2670</v>
      </c>
      <c r="F13" s="91" t="s">
        <v>2671</v>
      </c>
      <c r="G13" s="92">
        <v>6</v>
      </c>
      <c r="H13" s="96" t="s">
        <v>2678</v>
      </c>
      <c r="I13" s="96"/>
      <c r="J13" s="96"/>
      <c r="K13" s="93" t="s">
        <v>2681</v>
      </c>
      <c r="L13" s="93"/>
      <c r="M13" s="93"/>
      <c r="N13" s="93"/>
      <c r="O13" s="93"/>
      <c r="P13" s="92">
        <v>1725</v>
      </c>
      <c r="Q13" s="92">
        <v>448</v>
      </c>
      <c r="R13" s="92"/>
      <c r="S13" s="97">
        <v>957</v>
      </c>
      <c r="T13" s="97">
        <v>957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2670</v>
      </c>
      <c r="F14" s="91" t="s">
        <v>2671</v>
      </c>
      <c r="G14" s="92">
        <v>7</v>
      </c>
      <c r="H14" s="96" t="s">
        <v>2672</v>
      </c>
      <c r="I14" s="96"/>
      <c r="J14" s="96"/>
      <c r="K14" s="93" t="s">
        <v>2682</v>
      </c>
      <c r="L14" s="93"/>
      <c r="M14" s="93"/>
      <c r="N14" s="93"/>
      <c r="O14" s="93"/>
      <c r="P14" s="92">
        <v>1649</v>
      </c>
      <c r="Q14" s="92">
        <v>428</v>
      </c>
      <c r="R14" s="92"/>
      <c r="S14" s="97">
        <v>1425</v>
      </c>
      <c r="T14" s="97">
        <v>1425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2670</v>
      </c>
      <c r="F15" s="91" t="s">
        <v>2671</v>
      </c>
      <c r="G15" s="92">
        <v>8</v>
      </c>
      <c r="H15" s="96" t="s">
        <v>2683</v>
      </c>
      <c r="I15" s="96"/>
      <c r="J15" s="96"/>
      <c r="K15" s="93" t="s">
        <v>2684</v>
      </c>
      <c r="L15" s="93"/>
      <c r="M15" s="93"/>
      <c r="N15" s="93"/>
      <c r="O15" s="93"/>
      <c r="P15" s="92">
        <v>1765</v>
      </c>
      <c r="Q15" s="92">
        <v>458</v>
      </c>
      <c r="R15" s="92"/>
      <c r="S15" s="97">
        <v>1255</v>
      </c>
      <c r="T15" s="97">
        <v>1255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2670</v>
      </c>
      <c r="F16" s="91" t="s">
        <v>2671</v>
      </c>
      <c r="G16" s="92">
        <v>9</v>
      </c>
      <c r="H16" s="96" t="s">
        <v>2683</v>
      </c>
      <c r="I16" s="96"/>
      <c r="J16" s="96"/>
      <c r="K16" s="93" t="s">
        <v>2685</v>
      </c>
      <c r="L16" s="93"/>
      <c r="M16" s="93"/>
      <c r="N16" s="93"/>
      <c r="O16" s="93"/>
      <c r="P16" s="92">
        <v>1672</v>
      </c>
      <c r="Q16" s="92">
        <v>434</v>
      </c>
      <c r="R16" s="92"/>
      <c r="S16" s="97">
        <v>161</v>
      </c>
      <c r="T16" s="97">
        <v>1437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2670</v>
      </c>
      <c r="F17" s="91" t="s">
        <v>2686</v>
      </c>
      <c r="G17" s="92">
        <v>1</v>
      </c>
      <c r="H17" s="96" t="s">
        <v>2687</v>
      </c>
      <c r="I17" s="96"/>
      <c r="J17" s="96"/>
      <c r="K17" s="93" t="s">
        <v>2688</v>
      </c>
      <c r="L17" s="93"/>
      <c r="M17" s="93"/>
      <c r="N17" s="93"/>
      <c r="O17" s="93"/>
      <c r="P17" s="92">
        <v>2879</v>
      </c>
      <c r="Q17" s="92">
        <v>748</v>
      </c>
      <c r="R17" s="92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2670</v>
      </c>
      <c r="F18" s="91" t="s">
        <v>2686</v>
      </c>
      <c r="G18" s="92">
        <v>2</v>
      </c>
      <c r="H18" s="96" t="s">
        <v>2687</v>
      </c>
      <c r="I18" s="96"/>
      <c r="J18" s="96"/>
      <c r="K18" s="93" t="s">
        <v>2689</v>
      </c>
      <c r="L18" s="93"/>
      <c r="M18" s="93"/>
      <c r="N18" s="93"/>
      <c r="O18" s="93"/>
      <c r="P18" s="92">
        <v>3014</v>
      </c>
      <c r="Q18" s="92">
        <v>783</v>
      </c>
      <c r="R18" s="92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2670</v>
      </c>
      <c r="F19" s="91" t="s">
        <v>2686</v>
      </c>
      <c r="G19" s="92">
        <v>3</v>
      </c>
      <c r="H19" s="96" t="s">
        <v>2687</v>
      </c>
      <c r="I19" s="96"/>
      <c r="J19" s="96"/>
      <c r="K19" s="93" t="s">
        <v>2690</v>
      </c>
      <c r="L19" s="93"/>
      <c r="M19" s="93"/>
      <c r="N19" s="93"/>
      <c r="O19" s="93"/>
      <c r="P19" s="92">
        <v>2784</v>
      </c>
      <c r="Q19" s="92">
        <v>723</v>
      </c>
      <c r="R19" s="92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2670</v>
      </c>
      <c r="F20" s="91" t="s">
        <v>2686</v>
      </c>
      <c r="G20" s="92">
        <v>4</v>
      </c>
      <c r="H20" s="96" t="s">
        <v>2687</v>
      </c>
      <c r="I20" s="96"/>
      <c r="J20" s="96"/>
      <c r="K20" s="93" t="s">
        <v>2691</v>
      </c>
      <c r="L20" s="93"/>
      <c r="M20" s="93"/>
      <c r="N20" s="93"/>
      <c r="O20" s="93"/>
      <c r="P20" s="92">
        <v>3019</v>
      </c>
      <c r="Q20" s="92">
        <v>784</v>
      </c>
      <c r="R20" s="92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2670</v>
      </c>
      <c r="F21" s="91" t="s">
        <v>2686</v>
      </c>
      <c r="G21" s="97">
        <v>5</v>
      </c>
      <c r="H21" s="96" t="s">
        <v>2687</v>
      </c>
      <c r="I21" s="96"/>
      <c r="J21" s="96"/>
      <c r="K21" s="93" t="s">
        <v>2692</v>
      </c>
      <c r="L21" s="93"/>
      <c r="M21" s="93"/>
      <c r="N21" s="93"/>
      <c r="O21" s="93"/>
      <c r="P21" s="92">
        <v>2548</v>
      </c>
      <c r="Q21" s="92">
        <v>662</v>
      </c>
      <c r="R21" s="92"/>
      <c r="S21" s="97">
        <v>700</v>
      </c>
      <c r="T21" s="97">
        <v>700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2670</v>
      </c>
      <c r="F22" s="91" t="s">
        <v>2686</v>
      </c>
      <c r="G22" s="92">
        <v>6</v>
      </c>
      <c r="H22" s="96" t="s">
        <v>2687</v>
      </c>
      <c r="I22" s="96"/>
      <c r="J22" s="96"/>
      <c r="K22" s="93" t="s">
        <v>2693</v>
      </c>
      <c r="L22" s="93"/>
      <c r="M22" s="93"/>
      <c r="N22" s="93"/>
      <c r="O22" s="93"/>
      <c r="P22" s="92">
        <v>2687</v>
      </c>
      <c r="Q22" s="92">
        <v>698</v>
      </c>
      <c r="R22" s="92"/>
      <c r="S22" s="97">
        <v>1245</v>
      </c>
      <c r="T22" s="97">
        <v>1245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2670</v>
      </c>
      <c r="F23" s="91" t="s">
        <v>2686</v>
      </c>
      <c r="G23" s="92">
        <v>7</v>
      </c>
      <c r="H23" s="96" t="s">
        <v>2687</v>
      </c>
      <c r="I23" s="96"/>
      <c r="J23" s="96"/>
      <c r="K23" s="93" t="s">
        <v>2694</v>
      </c>
      <c r="L23" s="93"/>
      <c r="M23" s="93"/>
      <c r="N23" s="93"/>
      <c r="O23" s="93"/>
      <c r="P23" s="92">
        <v>2894</v>
      </c>
      <c r="Q23" s="92">
        <v>752</v>
      </c>
      <c r="R23" s="92"/>
      <c r="S23" s="97">
        <v>369</v>
      </c>
      <c r="T23" s="97">
        <v>369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2670</v>
      </c>
      <c r="F24" s="91" t="s">
        <v>2686</v>
      </c>
      <c r="G24" s="92">
        <v>8</v>
      </c>
      <c r="H24" s="96" t="s">
        <v>2687</v>
      </c>
      <c r="I24" s="96"/>
      <c r="J24" s="96"/>
      <c r="K24" s="93" t="s">
        <v>2695</v>
      </c>
      <c r="L24" s="93"/>
      <c r="M24" s="93"/>
      <c r="N24" s="93"/>
      <c r="O24" s="93"/>
      <c r="P24" s="92">
        <v>2782</v>
      </c>
      <c r="Q24" s="92">
        <v>723</v>
      </c>
      <c r="R24" s="92"/>
      <c r="S24" s="97">
        <v>1508</v>
      </c>
      <c r="T24" s="97">
        <v>1705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2670</v>
      </c>
      <c r="F25" s="91" t="s">
        <v>2686</v>
      </c>
      <c r="G25" s="97">
        <v>9</v>
      </c>
      <c r="H25" s="96" t="s">
        <v>2687</v>
      </c>
      <c r="I25" s="96"/>
      <c r="J25" s="96"/>
      <c r="K25" s="93" t="s">
        <v>2696</v>
      </c>
      <c r="L25" s="93"/>
      <c r="M25" s="93"/>
      <c r="N25" s="93"/>
      <c r="O25" s="93"/>
      <c r="P25" s="92">
        <v>2634</v>
      </c>
      <c r="Q25" s="92">
        <v>684</v>
      </c>
      <c r="R25" s="92"/>
      <c r="S25" s="97">
        <v>125</v>
      </c>
      <c r="T25" s="97">
        <v>1358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2670</v>
      </c>
      <c r="F26" s="91" t="s">
        <v>2697</v>
      </c>
      <c r="G26" s="97">
        <v>1</v>
      </c>
      <c r="H26" s="96" t="s">
        <v>2698</v>
      </c>
      <c r="I26" s="96"/>
      <c r="J26" s="96"/>
      <c r="K26" s="93" t="s">
        <v>2699</v>
      </c>
      <c r="L26" s="93"/>
      <c r="M26" s="93"/>
      <c r="N26" s="93"/>
      <c r="O26" s="93"/>
      <c r="P26" s="92">
        <v>2871</v>
      </c>
      <c r="Q26" s="92">
        <v>746</v>
      </c>
      <c r="R26" s="92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2670</v>
      </c>
      <c r="F27" s="91" t="s">
        <v>2697</v>
      </c>
      <c r="G27" s="97">
        <v>2</v>
      </c>
      <c r="H27" s="96" t="s">
        <v>2698</v>
      </c>
      <c r="I27" s="96"/>
      <c r="J27" s="96"/>
      <c r="K27" s="93" t="s">
        <v>2700</v>
      </c>
      <c r="L27" s="93"/>
      <c r="M27" s="93"/>
      <c r="N27" s="93"/>
      <c r="O27" s="93"/>
      <c r="P27" s="92">
        <v>2671</v>
      </c>
      <c r="Q27" s="92">
        <v>694</v>
      </c>
      <c r="R27" s="92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2670</v>
      </c>
      <c r="F28" s="91" t="s">
        <v>2697</v>
      </c>
      <c r="G28" s="97">
        <v>3</v>
      </c>
      <c r="H28" s="96" t="s">
        <v>2698</v>
      </c>
      <c r="I28" s="96"/>
      <c r="J28" s="96"/>
      <c r="K28" s="93" t="s">
        <v>2701</v>
      </c>
      <c r="L28" s="93"/>
      <c r="M28" s="93"/>
      <c r="N28" s="93"/>
      <c r="O28" s="93"/>
      <c r="P28" s="92">
        <v>2781</v>
      </c>
      <c r="Q28" s="92">
        <v>722</v>
      </c>
      <c r="R28" s="92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2670</v>
      </c>
      <c r="F29" s="91" t="s">
        <v>2697</v>
      </c>
      <c r="G29" s="97">
        <v>4</v>
      </c>
      <c r="H29" s="96" t="s">
        <v>2698</v>
      </c>
      <c r="I29" s="96"/>
      <c r="J29" s="96"/>
      <c r="K29" s="93" t="s">
        <v>2702</v>
      </c>
      <c r="L29" s="93"/>
      <c r="M29" s="93"/>
      <c r="N29" s="93"/>
      <c r="O29" s="93"/>
      <c r="P29" s="92">
        <v>3185</v>
      </c>
      <c r="Q29" s="92">
        <v>827</v>
      </c>
      <c r="R29" s="92"/>
      <c r="S29" s="97">
        <v>700</v>
      </c>
      <c r="T29" s="97">
        <v>700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2670</v>
      </c>
      <c r="F30" s="91" t="s">
        <v>2697</v>
      </c>
      <c r="G30" s="97">
        <v>5</v>
      </c>
      <c r="H30" s="96" t="s">
        <v>2698</v>
      </c>
      <c r="I30" s="96"/>
      <c r="J30" s="96"/>
      <c r="K30" s="93" t="s">
        <v>2703</v>
      </c>
      <c r="L30" s="93"/>
      <c r="M30" s="93"/>
      <c r="N30" s="93"/>
      <c r="O30" s="93"/>
      <c r="P30" s="92">
        <v>2967</v>
      </c>
      <c r="Q30" s="92">
        <v>771</v>
      </c>
      <c r="R30" s="92"/>
      <c r="S30" s="97">
        <v>651</v>
      </c>
      <c r="T30" s="97">
        <v>651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2670</v>
      </c>
      <c r="F31" s="91" t="s">
        <v>2697</v>
      </c>
      <c r="G31" s="97">
        <v>6</v>
      </c>
      <c r="H31" s="96" t="s">
        <v>2698</v>
      </c>
      <c r="I31" s="96"/>
      <c r="J31" s="96"/>
      <c r="K31" s="93" t="s">
        <v>2704</v>
      </c>
      <c r="L31" s="93"/>
      <c r="M31" s="93"/>
      <c r="N31" s="93"/>
      <c r="O31" s="93"/>
      <c r="P31" s="92">
        <v>3314</v>
      </c>
      <c r="Q31" s="92">
        <v>861</v>
      </c>
      <c r="R31" s="92"/>
      <c r="S31" s="97">
        <v>719</v>
      </c>
      <c r="T31" s="97">
        <v>1369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2670</v>
      </c>
      <c r="F32" s="96" t="s">
        <v>2697</v>
      </c>
      <c r="G32" s="97">
        <v>7</v>
      </c>
      <c r="H32" s="96" t="s">
        <v>2698</v>
      </c>
      <c r="I32" s="96"/>
      <c r="J32" s="96"/>
      <c r="K32" s="93" t="s">
        <v>2705</v>
      </c>
      <c r="L32" s="93"/>
      <c r="M32" s="93"/>
      <c r="N32" s="93"/>
      <c r="O32" s="93"/>
      <c r="P32" s="92">
        <v>3671</v>
      </c>
      <c r="Q32" s="92">
        <v>954</v>
      </c>
      <c r="R32" s="92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2670</v>
      </c>
      <c r="F33" s="96" t="s">
        <v>2697</v>
      </c>
      <c r="G33" s="97">
        <v>8</v>
      </c>
      <c r="H33" s="96" t="s">
        <v>2698</v>
      </c>
      <c r="I33" s="96"/>
      <c r="J33" s="96"/>
      <c r="K33" s="93" t="s">
        <v>2706</v>
      </c>
      <c r="L33" s="93"/>
      <c r="M33" s="93"/>
      <c r="N33" s="93"/>
      <c r="O33" s="93"/>
      <c r="P33" s="92">
        <v>3240</v>
      </c>
      <c r="Q33" s="92">
        <v>842</v>
      </c>
      <c r="R33" s="92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2670</v>
      </c>
      <c r="F34" s="96" t="s">
        <v>2697</v>
      </c>
      <c r="G34" s="97">
        <v>9</v>
      </c>
      <c r="H34" s="96" t="s">
        <v>2698</v>
      </c>
      <c r="I34" s="96"/>
      <c r="J34" s="96"/>
      <c r="K34" s="93" t="s">
        <v>2707</v>
      </c>
      <c r="L34" s="93"/>
      <c r="M34" s="93"/>
      <c r="N34" s="93"/>
      <c r="O34" s="93"/>
      <c r="P34" s="92">
        <v>2872</v>
      </c>
      <c r="Q34" s="92">
        <v>746</v>
      </c>
      <c r="R34" s="92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2670</v>
      </c>
      <c r="F35" s="96" t="s">
        <v>2708</v>
      </c>
      <c r="G35" s="97">
        <v>1</v>
      </c>
      <c r="H35" s="96" t="s">
        <v>2709</v>
      </c>
      <c r="I35" s="96"/>
      <c r="J35" s="96"/>
      <c r="K35" s="93" t="s">
        <v>2710</v>
      </c>
      <c r="L35" s="93"/>
      <c r="M35" s="93"/>
      <c r="N35" s="93"/>
      <c r="O35" s="93"/>
      <c r="P35" s="92">
        <v>3140</v>
      </c>
      <c r="Q35" s="92">
        <v>816</v>
      </c>
      <c r="R35" s="92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2670</v>
      </c>
      <c r="F36" s="96" t="s">
        <v>2708</v>
      </c>
      <c r="G36" s="97">
        <v>2</v>
      </c>
      <c r="H36" s="96" t="s">
        <v>2709</v>
      </c>
      <c r="I36" s="96"/>
      <c r="J36" s="96"/>
      <c r="K36" s="93" t="s">
        <v>2711</v>
      </c>
      <c r="L36" s="93"/>
      <c r="M36" s="93"/>
      <c r="N36" s="93"/>
      <c r="O36" s="93"/>
      <c r="P36" s="92">
        <v>2841</v>
      </c>
      <c r="Q36" s="92">
        <v>738</v>
      </c>
      <c r="R36" s="92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2670</v>
      </c>
      <c r="F37" s="96" t="s">
        <v>2708</v>
      </c>
      <c r="G37" s="97">
        <v>3</v>
      </c>
      <c r="H37" s="96" t="s">
        <v>2709</v>
      </c>
      <c r="I37" s="96"/>
      <c r="J37" s="96"/>
      <c r="K37" s="93" t="s">
        <v>2712</v>
      </c>
      <c r="L37" s="93"/>
      <c r="M37" s="93"/>
      <c r="N37" s="93"/>
      <c r="O37" s="93"/>
      <c r="P37" s="92">
        <v>2451</v>
      </c>
      <c r="Q37" s="92">
        <v>637</v>
      </c>
      <c r="R37" s="92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2670</v>
      </c>
      <c r="F38" s="96" t="s">
        <v>2708</v>
      </c>
      <c r="G38" s="97">
        <v>4</v>
      </c>
      <c r="H38" s="96" t="s">
        <v>2709</v>
      </c>
      <c r="I38" s="96"/>
      <c r="J38" s="96"/>
      <c r="K38" s="93" t="s">
        <v>2713</v>
      </c>
      <c r="L38" s="93"/>
      <c r="M38" s="93"/>
      <c r="N38" s="93"/>
      <c r="O38" s="93"/>
      <c r="P38" s="92">
        <v>2871</v>
      </c>
      <c r="Q38" s="92">
        <v>746</v>
      </c>
      <c r="R38" s="92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2670</v>
      </c>
      <c r="F39" s="96" t="s">
        <v>2708</v>
      </c>
      <c r="G39" s="97">
        <v>5</v>
      </c>
      <c r="H39" s="96" t="s">
        <v>2714</v>
      </c>
      <c r="I39" s="96"/>
      <c r="J39" s="96"/>
      <c r="K39" s="93" t="s">
        <v>2715</v>
      </c>
      <c r="L39" s="93"/>
      <c r="M39" s="93"/>
      <c r="N39" s="93"/>
      <c r="O39" s="93"/>
      <c r="P39" s="92">
        <v>2812</v>
      </c>
      <c r="Q39" s="92">
        <v>730</v>
      </c>
      <c r="R39" s="92"/>
      <c r="S39" s="97">
        <v>1005</v>
      </c>
      <c r="T39" s="97">
        <v>1005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2670</v>
      </c>
      <c r="F40" s="96" t="s">
        <v>2708</v>
      </c>
      <c r="G40" s="97">
        <v>6</v>
      </c>
      <c r="H40" s="96" t="s">
        <v>2714</v>
      </c>
      <c r="I40" s="96"/>
      <c r="J40" s="96"/>
      <c r="K40" s="93" t="s">
        <v>2716</v>
      </c>
      <c r="L40" s="93"/>
      <c r="M40" s="93"/>
      <c r="N40" s="93"/>
      <c r="O40" s="93"/>
      <c r="P40" s="92">
        <v>3012</v>
      </c>
      <c r="Q40" s="92">
        <v>782</v>
      </c>
      <c r="R40" s="92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2670</v>
      </c>
      <c r="F41" s="96" t="s">
        <v>2708</v>
      </c>
      <c r="G41" s="97">
        <v>7</v>
      </c>
      <c r="H41" s="96" t="s">
        <v>2714</v>
      </c>
      <c r="I41" s="96"/>
      <c r="J41" s="96"/>
      <c r="K41" s="93" t="s">
        <v>2717</v>
      </c>
      <c r="L41" s="93"/>
      <c r="M41" s="93"/>
      <c r="N41" s="93"/>
      <c r="O41" s="93"/>
      <c r="P41" s="92">
        <v>3142</v>
      </c>
      <c r="Q41" s="92">
        <v>816</v>
      </c>
      <c r="R41" s="92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2670</v>
      </c>
      <c r="F42" s="96" t="s">
        <v>2708</v>
      </c>
      <c r="G42" s="97">
        <v>8</v>
      </c>
      <c r="H42" s="96" t="s">
        <v>2714</v>
      </c>
      <c r="I42" s="96"/>
      <c r="J42" s="96"/>
      <c r="K42" s="93" t="s">
        <v>2718</v>
      </c>
      <c r="L42" s="93"/>
      <c r="M42" s="93"/>
      <c r="N42" s="93"/>
      <c r="O42" s="93"/>
      <c r="P42" s="92">
        <v>3014</v>
      </c>
      <c r="Q42" s="92">
        <v>783</v>
      </c>
      <c r="R42" s="92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2670</v>
      </c>
      <c r="F43" s="96" t="s">
        <v>2708</v>
      </c>
      <c r="G43" s="97">
        <v>9</v>
      </c>
      <c r="H43" s="96" t="s">
        <v>2714</v>
      </c>
      <c r="I43" s="96"/>
      <c r="J43" s="96"/>
      <c r="K43" s="93" t="s">
        <v>2719</v>
      </c>
      <c r="L43" s="93"/>
      <c r="M43" s="93"/>
      <c r="N43" s="93"/>
      <c r="O43" s="93"/>
      <c r="P43" s="92">
        <v>3102</v>
      </c>
      <c r="Q43" s="92">
        <v>806</v>
      </c>
      <c r="R43" s="92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2670</v>
      </c>
      <c r="F44" s="96" t="s">
        <v>2720</v>
      </c>
      <c r="G44" s="97">
        <v>1</v>
      </c>
      <c r="H44" s="96" t="s">
        <v>2721</v>
      </c>
      <c r="I44" s="96"/>
      <c r="J44" s="96"/>
      <c r="K44" s="93" t="s">
        <v>904</v>
      </c>
      <c r="L44" s="93"/>
      <c r="M44" s="93"/>
      <c r="N44" s="93"/>
      <c r="O44" s="93"/>
      <c r="P44" s="92">
        <v>2874</v>
      </c>
      <c r="Q44" s="92">
        <v>746</v>
      </c>
      <c r="R44" s="92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2670</v>
      </c>
      <c r="F45" s="96" t="s">
        <v>2720</v>
      </c>
      <c r="G45" s="97">
        <v>2</v>
      </c>
      <c r="H45" s="96" t="s">
        <v>2721</v>
      </c>
      <c r="I45" s="96"/>
      <c r="J45" s="96"/>
      <c r="K45" s="93" t="s">
        <v>2722</v>
      </c>
      <c r="L45" s="93"/>
      <c r="M45" s="93"/>
      <c r="N45" s="93"/>
      <c r="O45" s="93"/>
      <c r="P45" s="92">
        <v>2314</v>
      </c>
      <c r="Q45" s="92">
        <v>601</v>
      </c>
      <c r="R45" s="92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2670</v>
      </c>
      <c r="F46" s="96" t="s">
        <v>2720</v>
      </c>
      <c r="G46" s="97">
        <v>3</v>
      </c>
      <c r="H46" s="96" t="s">
        <v>2721</v>
      </c>
      <c r="I46" s="96"/>
      <c r="J46" s="96"/>
      <c r="K46" s="93" t="s">
        <v>2723</v>
      </c>
      <c r="L46" s="93"/>
      <c r="M46" s="93"/>
      <c r="N46" s="93"/>
      <c r="O46" s="93"/>
      <c r="P46" s="92">
        <v>2415</v>
      </c>
      <c r="Q46" s="92">
        <v>627</v>
      </c>
      <c r="R46" s="92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2670</v>
      </c>
      <c r="F47" s="96" t="s">
        <v>2720</v>
      </c>
      <c r="G47" s="97">
        <v>4</v>
      </c>
      <c r="H47" s="96" t="s">
        <v>2721</v>
      </c>
      <c r="I47" s="96"/>
      <c r="J47" s="96"/>
      <c r="K47" s="93" t="s">
        <v>2724</v>
      </c>
      <c r="L47" s="93"/>
      <c r="M47" s="93"/>
      <c r="N47" s="93"/>
      <c r="O47" s="93"/>
      <c r="P47" s="92">
        <v>2214</v>
      </c>
      <c r="Q47" s="92">
        <v>575</v>
      </c>
      <c r="R47" s="92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2670</v>
      </c>
      <c r="F48" s="96" t="s">
        <v>2720</v>
      </c>
      <c r="G48" s="97">
        <v>5</v>
      </c>
      <c r="H48" s="96" t="s">
        <v>2721</v>
      </c>
      <c r="I48" s="96"/>
      <c r="J48" s="96"/>
      <c r="K48" s="93" t="s">
        <v>2725</v>
      </c>
      <c r="L48" s="93"/>
      <c r="M48" s="93"/>
      <c r="N48" s="93"/>
      <c r="O48" s="93"/>
      <c r="P48" s="92">
        <v>3120</v>
      </c>
      <c r="Q48" s="92">
        <v>810</v>
      </c>
      <c r="R48" s="92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2670</v>
      </c>
      <c r="F49" s="96" t="s">
        <v>2720</v>
      </c>
      <c r="G49" s="97">
        <v>6</v>
      </c>
      <c r="H49" s="96" t="s">
        <v>2721</v>
      </c>
      <c r="I49" s="96"/>
      <c r="J49" s="96"/>
      <c r="K49" s="93" t="s">
        <v>2726</v>
      </c>
      <c r="L49" s="93"/>
      <c r="M49" s="93"/>
      <c r="N49" s="93"/>
      <c r="O49" s="93"/>
      <c r="P49" s="92">
        <v>2241</v>
      </c>
      <c r="Q49" s="92">
        <v>582</v>
      </c>
      <c r="R49" s="92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2670</v>
      </c>
      <c r="F50" s="96" t="s">
        <v>2720</v>
      </c>
      <c r="G50" s="97">
        <v>7</v>
      </c>
      <c r="H50" s="96" t="s">
        <v>2721</v>
      </c>
      <c r="I50" s="96"/>
      <c r="J50" s="96"/>
      <c r="K50" s="93" t="s">
        <v>2727</v>
      </c>
      <c r="L50" s="93"/>
      <c r="M50" s="93"/>
      <c r="N50" s="93"/>
      <c r="O50" s="93"/>
      <c r="P50" s="92">
        <v>2315</v>
      </c>
      <c r="Q50" s="92">
        <v>601</v>
      </c>
      <c r="R50" s="92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2670</v>
      </c>
      <c r="F51" s="96" t="s">
        <v>2720</v>
      </c>
      <c r="G51" s="97">
        <v>8</v>
      </c>
      <c r="H51" s="96" t="s">
        <v>2721</v>
      </c>
      <c r="I51" s="96"/>
      <c r="J51" s="96"/>
      <c r="K51" s="93" t="s">
        <v>2728</v>
      </c>
      <c r="L51" s="93"/>
      <c r="M51" s="93"/>
      <c r="N51" s="93"/>
      <c r="O51" s="93"/>
      <c r="P51" s="92">
        <v>3148</v>
      </c>
      <c r="Q51" s="92">
        <v>818</v>
      </c>
      <c r="R51" s="92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2670</v>
      </c>
      <c r="F52" s="96" t="s">
        <v>2720</v>
      </c>
      <c r="G52" s="97">
        <v>9</v>
      </c>
      <c r="H52" s="96" t="s">
        <v>2721</v>
      </c>
      <c r="I52" s="96"/>
      <c r="J52" s="96"/>
      <c r="K52" s="93" t="s">
        <v>2729</v>
      </c>
      <c r="L52" s="93"/>
      <c r="M52" s="93"/>
      <c r="N52" s="93"/>
      <c r="O52" s="93"/>
      <c r="P52" s="92">
        <v>2315</v>
      </c>
      <c r="Q52" s="92">
        <v>601</v>
      </c>
      <c r="R52" s="92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2670</v>
      </c>
      <c r="F53" s="96" t="s">
        <v>2730</v>
      </c>
      <c r="G53" s="97">
        <v>1</v>
      </c>
      <c r="H53" s="96" t="s">
        <v>2721</v>
      </c>
      <c r="I53" s="96"/>
      <c r="J53" s="96"/>
      <c r="K53" s="93" t="s">
        <v>2731</v>
      </c>
      <c r="L53" s="93"/>
      <c r="M53" s="93"/>
      <c r="N53" s="93"/>
      <c r="O53" s="93"/>
      <c r="P53" s="92">
        <v>2419</v>
      </c>
      <c r="Q53" s="92">
        <v>628</v>
      </c>
      <c r="R53" s="92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2670</v>
      </c>
      <c r="F54" s="96" t="s">
        <v>2730</v>
      </c>
      <c r="G54" s="97">
        <v>2</v>
      </c>
      <c r="H54" s="96" t="s">
        <v>2721</v>
      </c>
      <c r="I54" s="96"/>
      <c r="J54" s="96"/>
      <c r="K54" s="93" t="s">
        <v>2732</v>
      </c>
      <c r="L54" s="93"/>
      <c r="M54" s="93"/>
      <c r="N54" s="93"/>
      <c r="O54" s="93"/>
      <c r="P54" s="92">
        <v>2612</v>
      </c>
      <c r="Q54" s="92">
        <v>678</v>
      </c>
      <c r="R54" s="92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2670</v>
      </c>
      <c r="F55" s="96" t="s">
        <v>2730</v>
      </c>
      <c r="G55" s="97">
        <v>3</v>
      </c>
      <c r="H55" s="96" t="s">
        <v>2721</v>
      </c>
      <c r="I55" s="96"/>
      <c r="J55" s="96"/>
      <c r="K55" s="93" t="s">
        <v>2733</v>
      </c>
      <c r="L55" s="93"/>
      <c r="M55" s="93"/>
      <c r="N55" s="93"/>
      <c r="O55" s="93"/>
      <c r="P55" s="92">
        <v>2810</v>
      </c>
      <c r="Q55" s="92">
        <v>730</v>
      </c>
      <c r="R55" s="92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2670</v>
      </c>
      <c r="F56" s="96" t="s">
        <v>2730</v>
      </c>
      <c r="G56" s="97">
        <v>4</v>
      </c>
      <c r="H56" s="96" t="s">
        <v>2721</v>
      </c>
      <c r="I56" s="96"/>
      <c r="J56" s="96"/>
      <c r="K56" s="93" t="s">
        <v>2734</v>
      </c>
      <c r="L56" s="93"/>
      <c r="M56" s="93"/>
      <c r="N56" s="93"/>
      <c r="O56" s="93"/>
      <c r="P56" s="92">
        <v>2914</v>
      </c>
      <c r="Q56" s="92">
        <v>757</v>
      </c>
      <c r="R56" s="92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2670</v>
      </c>
      <c r="F57" s="96" t="s">
        <v>2730</v>
      </c>
      <c r="G57" s="97">
        <v>5</v>
      </c>
      <c r="H57" s="96" t="s">
        <v>2721</v>
      </c>
      <c r="I57" s="96"/>
      <c r="J57" s="96"/>
      <c r="K57" s="93" t="s">
        <v>2735</v>
      </c>
      <c r="L57" s="93"/>
      <c r="M57" s="93"/>
      <c r="N57" s="93"/>
      <c r="O57" s="93"/>
      <c r="P57" s="92">
        <v>2296</v>
      </c>
      <c r="Q57" s="92">
        <v>596</v>
      </c>
      <c r="R57" s="92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2670</v>
      </c>
      <c r="F58" s="96" t="s">
        <v>2730</v>
      </c>
      <c r="G58" s="97">
        <v>6</v>
      </c>
      <c r="H58" s="96" t="s">
        <v>2721</v>
      </c>
      <c r="I58" s="96"/>
      <c r="J58" s="96"/>
      <c r="K58" s="93" t="s">
        <v>2736</v>
      </c>
      <c r="L58" s="93"/>
      <c r="M58" s="93"/>
      <c r="N58" s="93"/>
      <c r="O58" s="93"/>
      <c r="P58" s="92">
        <v>2832</v>
      </c>
      <c r="Q58" s="92">
        <v>736</v>
      </c>
      <c r="R58" s="92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2670</v>
      </c>
      <c r="F59" s="96" t="s">
        <v>2730</v>
      </c>
      <c r="G59" s="97">
        <v>7</v>
      </c>
      <c r="H59" s="96" t="s">
        <v>2721</v>
      </c>
      <c r="I59" s="96"/>
      <c r="J59" s="96"/>
      <c r="K59" s="93" t="s">
        <v>2737</v>
      </c>
      <c r="L59" s="93"/>
      <c r="M59" s="93"/>
      <c r="N59" s="93"/>
      <c r="O59" s="93"/>
      <c r="P59" s="92">
        <v>2971</v>
      </c>
      <c r="Q59" s="92">
        <v>772</v>
      </c>
      <c r="R59" s="92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2670</v>
      </c>
      <c r="F60" s="96" t="s">
        <v>2730</v>
      </c>
      <c r="G60" s="97">
        <v>8</v>
      </c>
      <c r="H60" s="96" t="s">
        <v>2721</v>
      </c>
      <c r="I60" s="96"/>
      <c r="J60" s="96"/>
      <c r="K60" s="93" t="s">
        <v>2738</v>
      </c>
      <c r="L60" s="93"/>
      <c r="M60" s="93"/>
      <c r="N60" s="93"/>
      <c r="O60" s="93"/>
      <c r="P60" s="92">
        <v>3018</v>
      </c>
      <c r="Q60" s="92">
        <v>784</v>
      </c>
      <c r="R60" s="92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2670</v>
      </c>
      <c r="F61" s="96" t="s">
        <v>2730</v>
      </c>
      <c r="G61" s="97">
        <v>9</v>
      </c>
      <c r="H61" s="96" t="s">
        <v>2721</v>
      </c>
      <c r="I61" s="96"/>
      <c r="J61" s="96"/>
      <c r="K61" s="93" t="s">
        <v>2739</v>
      </c>
      <c r="L61" s="93"/>
      <c r="M61" s="93"/>
      <c r="N61" s="93"/>
      <c r="O61" s="93"/>
      <c r="P61" s="92">
        <v>3214</v>
      </c>
      <c r="Q61" s="92">
        <v>835</v>
      </c>
      <c r="R61" s="92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2670</v>
      </c>
      <c r="F62" s="96" t="s">
        <v>2740</v>
      </c>
      <c r="G62" s="97">
        <v>1</v>
      </c>
      <c r="H62" s="96"/>
      <c r="I62" s="96"/>
      <c r="J62" s="96"/>
      <c r="K62" s="93" t="s">
        <v>2741</v>
      </c>
      <c r="L62" s="93"/>
      <c r="M62" s="93"/>
      <c r="N62" s="93"/>
      <c r="O62" s="93"/>
      <c r="P62" s="92">
        <v>3421</v>
      </c>
      <c r="Q62" s="92">
        <v>889</v>
      </c>
      <c r="R62" s="92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2670</v>
      </c>
      <c r="F63" s="96" t="s">
        <v>2740</v>
      </c>
      <c r="G63" s="97">
        <v>2</v>
      </c>
      <c r="H63" s="96"/>
      <c r="I63" s="96"/>
      <c r="J63" s="96"/>
      <c r="K63" s="93" t="s">
        <v>2742</v>
      </c>
      <c r="L63" s="93"/>
      <c r="M63" s="93"/>
      <c r="N63" s="93"/>
      <c r="O63" s="93"/>
      <c r="P63" s="92">
        <v>3314</v>
      </c>
      <c r="Q63" s="92">
        <v>861</v>
      </c>
      <c r="R63" s="92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2670</v>
      </c>
      <c r="F64" s="96" t="s">
        <v>2740</v>
      </c>
      <c r="G64" s="97">
        <v>3</v>
      </c>
      <c r="H64" s="96"/>
      <c r="I64" s="96"/>
      <c r="J64" s="96"/>
      <c r="K64" s="93" t="s">
        <v>2743</v>
      </c>
      <c r="L64" s="93"/>
      <c r="M64" s="93"/>
      <c r="N64" s="93"/>
      <c r="O64" s="93"/>
      <c r="P64" s="92">
        <v>2849</v>
      </c>
      <c r="Q64" s="92">
        <v>740</v>
      </c>
      <c r="R64" s="92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2670</v>
      </c>
      <c r="F65" s="96" t="s">
        <v>2740</v>
      </c>
      <c r="G65" s="97">
        <v>4</v>
      </c>
      <c r="H65" s="96"/>
      <c r="I65" s="96"/>
      <c r="J65" s="96"/>
      <c r="K65" s="93" t="s">
        <v>2744</v>
      </c>
      <c r="L65" s="93"/>
      <c r="M65" s="93"/>
      <c r="N65" s="93"/>
      <c r="O65" s="93"/>
      <c r="P65" s="92">
        <v>1642</v>
      </c>
      <c r="Q65" s="92">
        <v>426</v>
      </c>
      <c r="R65" s="92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2670</v>
      </c>
      <c r="F66" s="96" t="s">
        <v>2740</v>
      </c>
      <c r="G66" s="97">
        <v>5</v>
      </c>
      <c r="H66" s="96"/>
      <c r="I66" s="96"/>
      <c r="J66" s="96"/>
      <c r="K66" s="93" t="s">
        <v>2745</v>
      </c>
      <c r="L66" s="93"/>
      <c r="M66" s="93"/>
      <c r="N66" s="93"/>
      <c r="O66" s="93"/>
      <c r="P66" s="92">
        <v>2441</v>
      </c>
      <c r="Q66" s="92">
        <v>634</v>
      </c>
      <c r="R66" s="92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2670</v>
      </c>
      <c r="F67" s="96" t="s">
        <v>2740</v>
      </c>
      <c r="G67" s="97">
        <v>6</v>
      </c>
      <c r="H67" s="96"/>
      <c r="I67" s="96"/>
      <c r="J67" s="96"/>
      <c r="K67" s="93" t="s">
        <v>2746</v>
      </c>
      <c r="L67" s="93"/>
      <c r="M67" s="93"/>
      <c r="N67" s="93"/>
      <c r="O67" s="93"/>
      <c r="P67" s="92">
        <v>3310</v>
      </c>
      <c r="Q67" s="92">
        <v>860</v>
      </c>
      <c r="R67" s="92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2670</v>
      </c>
      <c r="F68" s="96" t="s">
        <v>2740</v>
      </c>
      <c r="G68" s="97">
        <v>7</v>
      </c>
      <c r="H68" s="96"/>
      <c r="I68" s="96"/>
      <c r="J68" s="96"/>
      <c r="K68" s="93" t="s">
        <v>2747</v>
      </c>
      <c r="L68" s="93"/>
      <c r="M68" s="93"/>
      <c r="N68" s="93"/>
      <c r="O68" s="93"/>
      <c r="P68" s="92">
        <v>3245</v>
      </c>
      <c r="Q68" s="92">
        <v>843</v>
      </c>
      <c r="R68" s="92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2670</v>
      </c>
      <c r="F69" s="96" t="s">
        <v>2740</v>
      </c>
      <c r="G69" s="97">
        <v>8</v>
      </c>
      <c r="H69" s="96"/>
      <c r="I69" s="96"/>
      <c r="J69" s="96"/>
      <c r="K69" s="93" t="s">
        <v>2748</v>
      </c>
      <c r="L69" s="93"/>
      <c r="M69" s="93"/>
      <c r="N69" s="93"/>
      <c r="O69" s="93"/>
      <c r="P69" s="92">
        <v>2971</v>
      </c>
      <c r="Q69" s="92">
        <v>772</v>
      </c>
      <c r="R69" s="92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2670</v>
      </c>
      <c r="F70" s="96" t="s">
        <v>2740</v>
      </c>
      <c r="G70" s="97">
        <v>9</v>
      </c>
      <c r="H70" s="96"/>
      <c r="I70" s="96"/>
      <c r="J70" s="96"/>
      <c r="K70" s="93" t="s">
        <v>2749</v>
      </c>
      <c r="L70" s="93"/>
      <c r="M70" s="93"/>
      <c r="N70" s="93"/>
      <c r="O70" s="93"/>
      <c r="P70" s="92">
        <v>3124</v>
      </c>
      <c r="Q70" s="92">
        <v>811</v>
      </c>
      <c r="R70" s="92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2670</v>
      </c>
      <c r="F71" s="96" t="s">
        <v>2750</v>
      </c>
      <c r="G71" s="97">
        <v>1</v>
      </c>
      <c r="H71" s="96"/>
      <c r="I71" s="96"/>
      <c r="J71" s="96"/>
      <c r="K71" s="93" t="s">
        <v>2751</v>
      </c>
      <c r="L71" s="93"/>
      <c r="M71" s="93"/>
      <c r="N71" s="93"/>
      <c r="O71" s="93"/>
      <c r="P71" s="92">
        <v>2674</v>
      </c>
      <c r="Q71" s="92">
        <v>695</v>
      </c>
      <c r="R71" s="92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2670</v>
      </c>
      <c r="F72" s="96" t="s">
        <v>2750</v>
      </c>
      <c r="G72" s="97">
        <v>2</v>
      </c>
      <c r="H72" s="96"/>
      <c r="I72" s="96"/>
      <c r="J72" s="96"/>
      <c r="K72" s="93" t="s">
        <v>2752</v>
      </c>
      <c r="L72" s="93"/>
      <c r="M72" s="93"/>
      <c r="N72" s="93"/>
      <c r="O72" s="93"/>
      <c r="P72" s="92">
        <v>2874</v>
      </c>
      <c r="Q72" s="92">
        <v>746</v>
      </c>
      <c r="R72" s="92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2670</v>
      </c>
      <c r="F73" s="96" t="s">
        <v>2750</v>
      </c>
      <c r="G73" s="97">
        <v>3</v>
      </c>
      <c r="H73" s="96"/>
      <c r="I73" s="96"/>
      <c r="J73" s="96"/>
      <c r="K73" s="93" t="s">
        <v>2753</v>
      </c>
      <c r="L73" s="93"/>
      <c r="M73" s="93"/>
      <c r="N73" s="93"/>
      <c r="O73" s="93"/>
      <c r="P73" s="92">
        <v>3175</v>
      </c>
      <c r="Q73" s="92">
        <v>825</v>
      </c>
      <c r="R73" s="92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2670</v>
      </c>
      <c r="F74" s="96" t="s">
        <v>2750</v>
      </c>
      <c r="G74" s="97">
        <v>4</v>
      </c>
      <c r="H74" s="96"/>
      <c r="I74" s="96"/>
      <c r="J74" s="96"/>
      <c r="K74" s="93" t="s">
        <v>2754</v>
      </c>
      <c r="L74" s="93"/>
      <c r="M74" s="93"/>
      <c r="N74" s="93"/>
      <c r="O74" s="93"/>
      <c r="P74" s="92">
        <v>3641</v>
      </c>
      <c r="Q74" s="92">
        <v>946</v>
      </c>
      <c r="R74" s="92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2670</v>
      </c>
      <c r="F75" s="96" t="s">
        <v>2750</v>
      </c>
      <c r="G75" s="97">
        <v>5</v>
      </c>
      <c r="H75" s="96"/>
      <c r="I75" s="96"/>
      <c r="J75" s="96"/>
      <c r="K75" s="93" t="s">
        <v>2755</v>
      </c>
      <c r="L75" s="93"/>
      <c r="M75" s="93"/>
      <c r="N75" s="93"/>
      <c r="O75" s="93"/>
      <c r="P75" s="92">
        <v>3319</v>
      </c>
      <c r="Q75" s="92">
        <v>862</v>
      </c>
      <c r="R75" s="92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2670</v>
      </c>
      <c r="F76" s="96" t="s">
        <v>2750</v>
      </c>
      <c r="G76" s="97">
        <v>6</v>
      </c>
      <c r="H76" s="96"/>
      <c r="I76" s="96"/>
      <c r="J76" s="96"/>
      <c r="K76" s="93" t="s">
        <v>2756</v>
      </c>
      <c r="L76" s="93"/>
      <c r="M76" s="93"/>
      <c r="N76" s="93"/>
      <c r="O76" s="93"/>
      <c r="P76" s="92">
        <v>2972</v>
      </c>
      <c r="Q76" s="92">
        <v>772</v>
      </c>
      <c r="R76" s="92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2670</v>
      </c>
      <c r="F77" s="96" t="s">
        <v>2750</v>
      </c>
      <c r="G77" s="97">
        <v>7</v>
      </c>
      <c r="H77" s="96"/>
      <c r="I77" s="96"/>
      <c r="J77" s="96"/>
      <c r="K77" s="93" t="s">
        <v>2757</v>
      </c>
      <c r="L77" s="93"/>
      <c r="M77" s="93"/>
      <c r="N77" s="93"/>
      <c r="O77" s="93"/>
      <c r="P77" s="92">
        <v>2644</v>
      </c>
      <c r="Q77" s="92">
        <v>687</v>
      </c>
      <c r="R77" s="92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2670</v>
      </c>
      <c r="F78" s="96" t="s">
        <v>2750</v>
      </c>
      <c r="G78" s="97">
        <v>8</v>
      </c>
      <c r="H78" s="96"/>
      <c r="I78" s="96"/>
      <c r="J78" s="96"/>
      <c r="K78" s="93" t="s">
        <v>2758</v>
      </c>
      <c r="L78" s="93"/>
      <c r="M78" s="93"/>
      <c r="N78" s="93"/>
      <c r="O78" s="93"/>
      <c r="P78" s="92">
        <v>2761</v>
      </c>
      <c r="Q78" s="92">
        <v>717</v>
      </c>
      <c r="R78" s="92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2670</v>
      </c>
      <c r="F79" s="96" t="s">
        <v>2750</v>
      </c>
      <c r="G79" s="97">
        <v>9</v>
      </c>
      <c r="H79" s="96"/>
      <c r="I79" s="96"/>
      <c r="J79" s="96"/>
      <c r="K79" s="93" t="s">
        <v>2759</v>
      </c>
      <c r="L79" s="93"/>
      <c r="M79" s="93"/>
      <c r="N79" s="93"/>
      <c r="O79" s="93"/>
      <c r="P79" s="92">
        <v>2876</v>
      </c>
      <c r="Q79" s="92">
        <v>747</v>
      </c>
      <c r="R79" s="92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2670</v>
      </c>
      <c r="F80" s="96" t="s">
        <v>2760</v>
      </c>
      <c r="G80" s="97">
        <v>1</v>
      </c>
      <c r="H80" s="96"/>
      <c r="I80" s="96"/>
      <c r="J80" s="96"/>
      <c r="K80" s="93" t="s">
        <v>2761</v>
      </c>
      <c r="L80" s="93"/>
      <c r="M80" s="93"/>
      <c r="N80" s="93"/>
      <c r="O80" s="93"/>
      <c r="P80" s="92">
        <v>3173</v>
      </c>
      <c r="Q80" s="92">
        <v>824</v>
      </c>
      <c r="R80" s="92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2670</v>
      </c>
      <c r="F81" s="96" t="s">
        <v>2760</v>
      </c>
      <c r="G81" s="97">
        <v>2</v>
      </c>
      <c r="H81" s="96"/>
      <c r="I81" s="96"/>
      <c r="J81" s="96"/>
      <c r="K81" s="93" t="s">
        <v>2762</v>
      </c>
      <c r="L81" s="93"/>
      <c r="M81" s="93"/>
      <c r="N81" s="93"/>
      <c r="O81" s="93"/>
      <c r="P81" s="92">
        <v>2052</v>
      </c>
      <c r="Q81" s="92">
        <v>533</v>
      </c>
      <c r="R81" s="92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2670</v>
      </c>
      <c r="F82" s="96" t="s">
        <v>2760</v>
      </c>
      <c r="G82" s="97">
        <v>3</v>
      </c>
      <c r="H82" s="96"/>
      <c r="I82" s="96"/>
      <c r="J82" s="96"/>
      <c r="K82" s="93" t="s">
        <v>2763</v>
      </c>
      <c r="L82" s="93"/>
      <c r="M82" s="93"/>
      <c r="N82" s="93"/>
      <c r="O82" s="93"/>
      <c r="P82" s="92">
        <v>2121</v>
      </c>
      <c r="Q82" s="92">
        <v>551</v>
      </c>
      <c r="R82" s="92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2670</v>
      </c>
      <c r="F83" s="96" t="s">
        <v>2760</v>
      </c>
      <c r="G83" s="97">
        <v>4</v>
      </c>
      <c r="H83" s="96"/>
      <c r="I83" s="96"/>
      <c r="J83" s="96"/>
      <c r="K83" s="93" t="s">
        <v>2764</v>
      </c>
      <c r="L83" s="93"/>
      <c r="M83" s="93"/>
      <c r="N83" s="93"/>
      <c r="O83" s="93"/>
      <c r="P83" s="92">
        <v>2048</v>
      </c>
      <c r="Q83" s="92">
        <v>532</v>
      </c>
      <c r="R83" s="92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2670</v>
      </c>
      <c r="F84" s="96" t="s">
        <v>2760</v>
      </c>
      <c r="G84" s="97">
        <v>5</v>
      </c>
      <c r="H84" s="96"/>
      <c r="I84" s="96"/>
      <c r="J84" s="96"/>
      <c r="K84" s="93" t="s">
        <v>2765</v>
      </c>
      <c r="L84" s="93"/>
      <c r="M84" s="93"/>
      <c r="N84" s="93"/>
      <c r="O84" s="93"/>
      <c r="P84" s="92">
        <v>3231</v>
      </c>
      <c r="Q84" s="92">
        <v>839</v>
      </c>
      <c r="R84" s="92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2670</v>
      </c>
      <c r="F85" s="96" t="s">
        <v>2760</v>
      </c>
      <c r="G85" s="97">
        <v>6</v>
      </c>
      <c r="H85" s="96"/>
      <c r="I85" s="96"/>
      <c r="J85" s="96"/>
      <c r="K85" s="93" t="s">
        <v>2766</v>
      </c>
      <c r="L85" s="93"/>
      <c r="M85" s="93"/>
      <c r="N85" s="93"/>
      <c r="O85" s="93"/>
      <c r="P85" s="92">
        <v>2541</v>
      </c>
      <c r="Q85" s="92">
        <v>660</v>
      </c>
      <c r="R85" s="92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2670</v>
      </c>
      <c r="F86" s="96" t="s">
        <v>2760</v>
      </c>
      <c r="G86" s="97">
        <v>7</v>
      </c>
      <c r="H86" s="96"/>
      <c r="I86" s="96"/>
      <c r="J86" s="96"/>
      <c r="K86" s="93" t="s">
        <v>2767</v>
      </c>
      <c r="L86" s="93"/>
      <c r="M86" s="93"/>
      <c r="N86" s="93"/>
      <c r="O86" s="93"/>
      <c r="P86" s="92">
        <v>2647</v>
      </c>
      <c r="Q86" s="92">
        <v>688</v>
      </c>
      <c r="R86" s="92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2670</v>
      </c>
      <c r="F87" s="96" t="s">
        <v>2760</v>
      </c>
      <c r="G87" s="97">
        <v>8</v>
      </c>
      <c r="H87" s="96"/>
      <c r="I87" s="96"/>
      <c r="J87" s="96"/>
      <c r="K87" s="93" t="s">
        <v>2768</v>
      </c>
      <c r="L87" s="93"/>
      <c r="M87" s="93"/>
      <c r="N87" s="93"/>
      <c r="O87" s="93"/>
      <c r="P87" s="92">
        <v>3451</v>
      </c>
      <c r="Q87" s="92">
        <v>896</v>
      </c>
      <c r="R87" s="92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2670</v>
      </c>
      <c r="F88" s="96" t="s">
        <v>2760</v>
      </c>
      <c r="G88" s="97">
        <v>9</v>
      </c>
      <c r="H88" s="96"/>
      <c r="I88" s="96"/>
      <c r="J88" s="96"/>
      <c r="K88" s="93" t="s">
        <v>2769</v>
      </c>
      <c r="L88" s="93"/>
      <c r="M88" s="93"/>
      <c r="N88" s="93"/>
      <c r="O88" s="93"/>
      <c r="P88" s="92">
        <v>3587</v>
      </c>
      <c r="Q88" s="92">
        <v>932</v>
      </c>
      <c r="R88" s="92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2670</v>
      </c>
      <c r="F89" s="96" t="s">
        <v>2670</v>
      </c>
      <c r="G89" s="97">
        <v>1</v>
      </c>
      <c r="H89" s="96"/>
      <c r="I89" s="96"/>
      <c r="J89" s="96"/>
      <c r="K89" s="93" t="s">
        <v>2770</v>
      </c>
      <c r="L89" s="93"/>
      <c r="M89" s="93"/>
      <c r="N89" s="93"/>
      <c r="O89" s="93"/>
      <c r="P89" s="92">
        <v>4321</v>
      </c>
      <c r="Q89" s="92">
        <v>1122</v>
      </c>
      <c r="R89" s="92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2670</v>
      </c>
      <c r="F90" s="96" t="s">
        <v>2670</v>
      </c>
      <c r="G90" s="97">
        <v>2</v>
      </c>
      <c r="H90" s="96"/>
      <c r="I90" s="96"/>
      <c r="J90" s="96"/>
      <c r="K90" s="93" t="s">
        <v>2771</v>
      </c>
      <c r="L90" s="93"/>
      <c r="M90" s="93"/>
      <c r="N90" s="93"/>
      <c r="O90" s="93"/>
      <c r="P90" s="92">
        <v>4092</v>
      </c>
      <c r="Q90" s="92">
        <v>1063</v>
      </c>
      <c r="R90" s="92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2670</v>
      </c>
      <c r="F91" s="96" t="s">
        <v>2670</v>
      </c>
      <c r="G91" s="97">
        <v>3</v>
      </c>
      <c r="H91" s="96"/>
      <c r="I91" s="96"/>
      <c r="J91" s="96"/>
      <c r="K91" s="93" t="s">
        <v>2772</v>
      </c>
      <c r="L91" s="93"/>
      <c r="M91" s="93"/>
      <c r="N91" s="93"/>
      <c r="O91" s="93"/>
      <c r="P91" s="92">
        <v>3897</v>
      </c>
      <c r="Q91" s="92">
        <v>1012</v>
      </c>
      <c r="R91" s="92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2670</v>
      </c>
      <c r="F92" s="96" t="s">
        <v>2670</v>
      </c>
      <c r="G92" s="97">
        <v>4</v>
      </c>
      <c r="H92" s="96"/>
      <c r="I92" s="96"/>
      <c r="J92" s="96"/>
      <c r="K92" s="93" t="s">
        <v>2773</v>
      </c>
      <c r="L92" s="93"/>
      <c r="M92" s="93"/>
      <c r="N92" s="93"/>
      <c r="O92" s="93"/>
      <c r="P92" s="92">
        <v>4215</v>
      </c>
      <c r="Q92" s="92">
        <v>1095</v>
      </c>
      <c r="R92" s="92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2670</v>
      </c>
      <c r="F93" s="96" t="s">
        <v>2670</v>
      </c>
      <c r="G93" s="97">
        <v>5</v>
      </c>
      <c r="H93" s="96"/>
      <c r="I93" s="96"/>
      <c r="J93" s="96"/>
      <c r="K93" s="93" t="s">
        <v>2774</v>
      </c>
      <c r="L93" s="93"/>
      <c r="M93" s="93"/>
      <c r="N93" s="93"/>
      <c r="O93" s="93"/>
      <c r="P93" s="92">
        <v>4018</v>
      </c>
      <c r="Q93" s="92">
        <v>1044</v>
      </c>
      <c r="R93" s="92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2670</v>
      </c>
      <c r="F94" s="96" t="s">
        <v>2670</v>
      </c>
      <c r="G94" s="97">
        <v>6</v>
      </c>
      <c r="H94" s="96"/>
      <c r="I94" s="96"/>
      <c r="J94" s="96"/>
      <c r="K94" s="93" t="s">
        <v>2775</v>
      </c>
      <c r="L94" s="93"/>
      <c r="M94" s="93"/>
      <c r="N94" s="93"/>
      <c r="O94" s="93"/>
      <c r="P94" s="92">
        <v>3808</v>
      </c>
      <c r="Q94" s="92">
        <v>989</v>
      </c>
      <c r="R94" s="92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2670</v>
      </c>
      <c r="F95" s="96" t="s">
        <v>2670</v>
      </c>
      <c r="G95" s="97">
        <v>7</v>
      </c>
      <c r="H95" s="96"/>
      <c r="I95" s="96"/>
      <c r="J95" s="96"/>
      <c r="K95" s="93" t="s">
        <v>2776</v>
      </c>
      <c r="L95" s="93"/>
      <c r="M95" s="93"/>
      <c r="N95" s="93"/>
      <c r="O95" s="93"/>
      <c r="P95" s="92">
        <v>4512</v>
      </c>
      <c r="Q95" s="92">
        <v>1172</v>
      </c>
      <c r="R95" s="92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2670</v>
      </c>
      <c r="F96" s="96" t="s">
        <v>2670</v>
      </c>
      <c r="G96" s="97">
        <v>8</v>
      </c>
      <c r="H96" s="96"/>
      <c r="I96" s="96"/>
      <c r="J96" s="96"/>
      <c r="K96" s="93" t="s">
        <v>2777</v>
      </c>
      <c r="L96" s="93"/>
      <c r="M96" s="93"/>
      <c r="N96" s="93"/>
      <c r="O96" s="93"/>
      <c r="P96" s="92">
        <v>4154</v>
      </c>
      <c r="Q96" s="92">
        <v>1079</v>
      </c>
      <c r="R96" s="92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0">
        <v>91</v>
      </c>
      <c r="B97" s="79" t="s">
        <v>2439</v>
      </c>
      <c r="C97" s="79" t="s">
        <v>117</v>
      </c>
      <c r="D97" s="79" t="s">
        <v>117</v>
      </c>
      <c r="E97" s="91" t="s">
        <v>2670</v>
      </c>
      <c r="F97" s="96" t="s">
        <v>2670</v>
      </c>
      <c r="G97" s="97">
        <v>9</v>
      </c>
      <c r="H97" s="96"/>
      <c r="I97" s="96"/>
      <c r="J97" s="96"/>
      <c r="K97" s="93" t="s">
        <v>2778</v>
      </c>
      <c r="L97" s="93"/>
      <c r="M97" s="93"/>
      <c r="N97" s="93"/>
      <c r="O97" s="93"/>
      <c r="P97" s="92">
        <v>4315</v>
      </c>
      <c r="Q97" s="92">
        <v>1121</v>
      </c>
      <c r="R97" s="92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7"/>
      <c r="AH97" s="24"/>
      <c r="AI97" s="25"/>
      <c r="AJ97" s="25"/>
    </row>
  </sheetData>
  <mergeCells count="3">
    <mergeCell ref="G1:G2"/>
    <mergeCell ref="A5:D5"/>
    <mergeCell ref="U5:AF5"/>
  </mergeCells>
  <conditionalFormatting sqref="M7:M97">
    <cfRule type="duplicateValues" dxfId="10" priority="4"/>
  </conditionalFormatting>
  <dataValidations count="1">
    <dataValidation type="list" allowBlank="1" showInputMessage="1" showErrorMessage="1" sqref="E7:E97">
      <formula1>INDIRECT($B7)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2"/>
  <sheetViews>
    <sheetView workbookViewId="0">
      <pane xSplit="12" ySplit="6" topLeftCell="W7" activePane="bottomRight" state="frozen"/>
      <selection pane="topRight" activeCell="M1" sqref="M1"/>
      <selection pane="bottomLeft" activeCell="A6" sqref="A6"/>
      <selection pane="bottomRight" activeCell="A3" sqref="A3:XFD3"/>
    </sheetView>
  </sheetViews>
  <sheetFormatPr defaultRowHeight="14.4" x14ac:dyDescent="0.3"/>
  <cols>
    <col min="2" max="2" width="11.44140625" customWidth="1"/>
    <col min="3" max="3" width="11.88671875" customWidth="1"/>
    <col min="4" max="4" width="13" customWidth="1"/>
    <col min="5" max="5" width="13.44140625" customWidth="1"/>
    <col min="6" max="6" width="12.88671875" customWidth="1"/>
    <col min="11" max="11" width="24.33203125" customWidth="1"/>
    <col min="12" max="12" width="15.218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COUNTIF(I7:I412,"SK(H)")</f>
        <v>0</v>
      </c>
      <c r="J1" s="50" t="s">
        <v>1</v>
      </c>
      <c r="K1" s="50">
        <f>COUNTA(J7:J428)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COUNTIF(I7:I413,"SHW(H)")</f>
        <v>0</v>
      </c>
      <c r="J2" s="50" t="s">
        <v>5</v>
      </c>
      <c r="K2" s="50">
        <f>COUNTA(K7:K212)</f>
        <v>206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2779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2779</v>
      </c>
      <c r="F7" s="91" t="s">
        <v>2780</v>
      </c>
      <c r="G7" s="92">
        <v>1</v>
      </c>
      <c r="H7" s="91" t="s">
        <v>2781</v>
      </c>
      <c r="I7" s="91"/>
      <c r="J7" s="91"/>
      <c r="K7" s="93" t="s">
        <v>2782</v>
      </c>
      <c r="L7" s="93"/>
      <c r="M7" s="93"/>
      <c r="N7" s="93"/>
      <c r="O7" s="93"/>
      <c r="P7" s="92">
        <v>3697</v>
      </c>
      <c r="Q7" s="92">
        <v>1045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2779</v>
      </c>
      <c r="F8" s="91" t="s">
        <v>2780</v>
      </c>
      <c r="G8" s="92">
        <v>1</v>
      </c>
      <c r="H8" s="91" t="s">
        <v>2781</v>
      </c>
      <c r="I8" s="91"/>
      <c r="J8" s="96"/>
      <c r="K8" s="93" t="s">
        <v>2783</v>
      </c>
      <c r="L8" s="93"/>
      <c r="M8" s="93"/>
      <c r="N8" s="93"/>
      <c r="O8" s="93"/>
      <c r="P8" s="92">
        <v>3382</v>
      </c>
      <c r="Q8" s="92">
        <v>1088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2779</v>
      </c>
      <c r="F9" s="91" t="s">
        <v>2780</v>
      </c>
      <c r="G9" s="92">
        <v>2</v>
      </c>
      <c r="H9" s="91" t="s">
        <v>2781</v>
      </c>
      <c r="I9" s="91"/>
      <c r="J9" s="96"/>
      <c r="K9" s="93" t="s">
        <v>2784</v>
      </c>
      <c r="L9" s="93"/>
      <c r="M9" s="93"/>
      <c r="N9" s="93"/>
      <c r="O9" s="93"/>
      <c r="P9" s="92">
        <v>3147</v>
      </c>
      <c r="Q9" s="92">
        <v>1001</v>
      </c>
      <c r="R9" s="92"/>
      <c r="S9" s="97">
        <v>0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2779</v>
      </c>
      <c r="F10" s="91" t="s">
        <v>2780</v>
      </c>
      <c r="G10" s="92">
        <v>2</v>
      </c>
      <c r="H10" s="91" t="s">
        <v>2781</v>
      </c>
      <c r="I10" s="91"/>
      <c r="J10" s="96"/>
      <c r="K10" s="93" t="s">
        <v>2785</v>
      </c>
      <c r="L10" s="93"/>
      <c r="M10" s="93"/>
      <c r="N10" s="93"/>
      <c r="O10" s="93"/>
      <c r="P10" s="92">
        <v>1217</v>
      </c>
      <c r="Q10" s="92">
        <v>455</v>
      </c>
      <c r="R10" s="92"/>
      <c r="S10" s="97">
        <v>0</v>
      </c>
      <c r="T10" s="97">
        <v>60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2779</v>
      </c>
      <c r="F11" s="91" t="s">
        <v>2780</v>
      </c>
      <c r="G11" s="92">
        <v>3</v>
      </c>
      <c r="H11" s="91" t="s">
        <v>2781</v>
      </c>
      <c r="I11" s="91"/>
      <c r="J11" s="96"/>
      <c r="K11" s="93" t="s">
        <v>2786</v>
      </c>
      <c r="L11" s="93"/>
      <c r="M11" s="93"/>
      <c r="N11" s="93"/>
      <c r="O11" s="93"/>
      <c r="P11" s="92">
        <v>4696</v>
      </c>
      <c r="Q11" s="92">
        <v>1047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2779</v>
      </c>
      <c r="F12" s="91" t="s">
        <v>2780</v>
      </c>
      <c r="G12" s="92">
        <v>4</v>
      </c>
      <c r="H12" s="96" t="s">
        <v>2787</v>
      </c>
      <c r="I12" s="96"/>
      <c r="J12" s="96"/>
      <c r="K12" s="93" t="s">
        <v>2788</v>
      </c>
      <c r="L12" s="93"/>
      <c r="M12" s="93"/>
      <c r="N12" s="93"/>
      <c r="O12" s="93"/>
      <c r="P12" s="92">
        <v>2551</v>
      </c>
      <c r="Q12" s="92">
        <v>580</v>
      </c>
      <c r="R12" s="92"/>
      <c r="S12" s="97">
        <v>1344</v>
      </c>
      <c r="T12" s="97">
        <v>50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2779</v>
      </c>
      <c r="F13" s="91" t="s">
        <v>2780</v>
      </c>
      <c r="G13" s="92">
        <v>5</v>
      </c>
      <c r="H13" s="96" t="s">
        <v>2787</v>
      </c>
      <c r="I13" s="96"/>
      <c r="J13" s="96"/>
      <c r="K13" s="93" t="s">
        <v>2789</v>
      </c>
      <c r="L13" s="93"/>
      <c r="M13" s="93"/>
      <c r="N13" s="93"/>
      <c r="O13" s="93"/>
      <c r="P13" s="92">
        <v>1016</v>
      </c>
      <c r="Q13" s="92">
        <v>310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2779</v>
      </c>
      <c r="F14" s="91" t="s">
        <v>2780</v>
      </c>
      <c r="G14" s="92">
        <v>5</v>
      </c>
      <c r="H14" s="96" t="s">
        <v>2787</v>
      </c>
      <c r="I14" s="96"/>
      <c r="J14" s="96"/>
      <c r="K14" s="93" t="s">
        <v>2790</v>
      </c>
      <c r="L14" s="93"/>
      <c r="M14" s="93"/>
      <c r="N14" s="93"/>
      <c r="O14" s="93"/>
      <c r="P14" s="92">
        <v>2256</v>
      </c>
      <c r="Q14" s="92">
        <v>433</v>
      </c>
      <c r="R14" s="92"/>
      <c r="S14" s="97">
        <v>1242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2779</v>
      </c>
      <c r="F15" s="91" t="s">
        <v>2780</v>
      </c>
      <c r="G15" s="92">
        <v>6</v>
      </c>
      <c r="H15" s="96" t="s">
        <v>2791</v>
      </c>
      <c r="I15" s="96"/>
      <c r="J15" s="96"/>
      <c r="K15" s="93" t="s">
        <v>2792</v>
      </c>
      <c r="L15" s="93"/>
      <c r="M15" s="93"/>
      <c r="N15" s="93"/>
      <c r="O15" s="93"/>
      <c r="P15" s="92">
        <v>4001</v>
      </c>
      <c r="Q15" s="92">
        <v>1035</v>
      </c>
      <c r="R15" s="92"/>
      <c r="S15" s="97">
        <v>0</v>
      </c>
      <c r="T15" s="97">
        <v>40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2779</v>
      </c>
      <c r="F16" s="91" t="s">
        <v>2780</v>
      </c>
      <c r="G16" s="92">
        <v>6</v>
      </c>
      <c r="H16" s="96" t="s">
        <v>2791</v>
      </c>
      <c r="I16" s="96"/>
      <c r="J16" s="96"/>
      <c r="K16" s="93" t="s">
        <v>2793</v>
      </c>
      <c r="L16" s="93"/>
      <c r="M16" s="93"/>
      <c r="N16" s="93"/>
      <c r="O16" s="93"/>
      <c r="P16" s="92">
        <v>940</v>
      </c>
      <c r="Q16" s="92">
        <v>301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2779</v>
      </c>
      <c r="F17" s="91" t="s">
        <v>2780</v>
      </c>
      <c r="G17" s="92">
        <v>7</v>
      </c>
      <c r="H17" s="96" t="s">
        <v>2791</v>
      </c>
      <c r="I17" s="96"/>
      <c r="J17" s="96"/>
      <c r="K17" s="93" t="s">
        <v>2794</v>
      </c>
      <c r="L17" s="93"/>
      <c r="M17" s="93"/>
      <c r="N17" s="93"/>
      <c r="O17" s="93"/>
      <c r="P17" s="92">
        <v>7101</v>
      </c>
      <c r="Q17" s="92">
        <v>1555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2779</v>
      </c>
      <c r="F18" s="91" t="s">
        <v>2780</v>
      </c>
      <c r="G18" s="92">
        <v>7</v>
      </c>
      <c r="H18" s="96" t="s">
        <v>2791</v>
      </c>
      <c r="I18" s="96"/>
      <c r="J18" s="96"/>
      <c r="K18" s="93" t="s">
        <v>2795</v>
      </c>
      <c r="L18" s="93"/>
      <c r="M18" s="93"/>
      <c r="N18" s="93"/>
      <c r="O18" s="93"/>
      <c r="P18" s="92">
        <v>651</v>
      </c>
      <c r="Q18" s="92">
        <v>200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2779</v>
      </c>
      <c r="F19" s="91" t="s">
        <v>2780</v>
      </c>
      <c r="G19" s="92">
        <v>7</v>
      </c>
      <c r="H19" s="96" t="s">
        <v>2791</v>
      </c>
      <c r="I19" s="96"/>
      <c r="J19" s="96"/>
      <c r="K19" s="93" t="s">
        <v>2796</v>
      </c>
      <c r="L19" s="93"/>
      <c r="M19" s="93"/>
      <c r="N19" s="93"/>
      <c r="O19" s="93"/>
      <c r="P19" s="92">
        <v>2392</v>
      </c>
      <c r="Q19" s="92">
        <v>570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2779</v>
      </c>
      <c r="F20" s="91" t="s">
        <v>2780</v>
      </c>
      <c r="G20" s="92">
        <v>7</v>
      </c>
      <c r="H20" s="96" t="s">
        <v>2791</v>
      </c>
      <c r="I20" s="96"/>
      <c r="J20" s="96"/>
      <c r="K20" s="93" t="s">
        <v>2797</v>
      </c>
      <c r="L20" s="93"/>
      <c r="M20" s="93"/>
      <c r="N20" s="93"/>
      <c r="O20" s="93"/>
      <c r="P20" s="92">
        <v>2507</v>
      </c>
      <c r="Q20" s="92">
        <v>671</v>
      </c>
      <c r="R20" s="92"/>
      <c r="S20" s="97">
        <v>1059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2779</v>
      </c>
      <c r="F21" s="91" t="s">
        <v>2780</v>
      </c>
      <c r="G21" s="97">
        <v>7</v>
      </c>
      <c r="H21" s="96" t="s">
        <v>2791</v>
      </c>
      <c r="I21" s="96"/>
      <c r="J21" s="96"/>
      <c r="K21" s="93" t="s">
        <v>2798</v>
      </c>
      <c r="L21" s="93"/>
      <c r="M21" s="93"/>
      <c r="N21" s="93"/>
      <c r="O21" s="93"/>
      <c r="P21" s="92">
        <v>1531</v>
      </c>
      <c r="Q21" s="92">
        <v>399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2779</v>
      </c>
      <c r="F22" s="91" t="s">
        <v>2780</v>
      </c>
      <c r="G22" s="92">
        <v>7</v>
      </c>
      <c r="H22" s="96" t="s">
        <v>2791</v>
      </c>
      <c r="I22" s="96"/>
      <c r="J22" s="96"/>
      <c r="K22" s="93" t="s">
        <v>2799</v>
      </c>
      <c r="L22" s="93"/>
      <c r="M22" s="93"/>
      <c r="N22" s="93"/>
      <c r="O22" s="93"/>
      <c r="P22" s="92">
        <v>1247</v>
      </c>
      <c r="Q22" s="92">
        <v>322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2779</v>
      </c>
      <c r="F23" s="91" t="s">
        <v>2780</v>
      </c>
      <c r="G23" s="92">
        <v>8</v>
      </c>
      <c r="H23" s="96" t="s">
        <v>2800</v>
      </c>
      <c r="I23" s="96"/>
      <c r="J23" s="96"/>
      <c r="K23" s="93" t="s">
        <v>2801</v>
      </c>
      <c r="L23" s="93"/>
      <c r="M23" s="93"/>
      <c r="N23" s="93"/>
      <c r="O23" s="93"/>
      <c r="P23" s="92">
        <v>2668</v>
      </c>
      <c r="Q23" s="92">
        <v>680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2779</v>
      </c>
      <c r="F24" s="91" t="s">
        <v>2780</v>
      </c>
      <c r="G24" s="92">
        <v>8</v>
      </c>
      <c r="H24" s="96" t="s">
        <v>2800</v>
      </c>
      <c r="I24" s="96"/>
      <c r="J24" s="96"/>
      <c r="K24" s="93" t="s">
        <v>2802</v>
      </c>
      <c r="L24" s="93"/>
      <c r="M24" s="93"/>
      <c r="N24" s="93"/>
      <c r="O24" s="93"/>
      <c r="P24" s="92">
        <v>1013</v>
      </c>
      <c r="Q24" s="92">
        <v>320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2779</v>
      </c>
      <c r="F25" s="91" t="s">
        <v>2780</v>
      </c>
      <c r="G25" s="97">
        <v>8</v>
      </c>
      <c r="H25" s="96" t="s">
        <v>2800</v>
      </c>
      <c r="I25" s="96"/>
      <c r="J25" s="96"/>
      <c r="K25" s="93" t="s">
        <v>2803</v>
      </c>
      <c r="L25" s="93"/>
      <c r="M25" s="93"/>
      <c r="N25" s="93"/>
      <c r="O25" s="93"/>
      <c r="P25" s="92">
        <v>3335</v>
      </c>
      <c r="Q25" s="92">
        <v>843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2779</v>
      </c>
      <c r="F26" s="91" t="s">
        <v>2780</v>
      </c>
      <c r="G26" s="97">
        <v>9</v>
      </c>
      <c r="H26" s="96" t="s">
        <v>2800</v>
      </c>
      <c r="I26" s="96"/>
      <c r="J26" s="96"/>
      <c r="K26" s="93" t="s">
        <v>2804</v>
      </c>
      <c r="L26" s="93"/>
      <c r="M26" s="93"/>
      <c r="N26" s="93"/>
      <c r="O26" s="93"/>
      <c r="P26" s="92">
        <v>1598</v>
      </c>
      <c r="Q26" s="92">
        <v>445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2779</v>
      </c>
      <c r="F27" s="91" t="s">
        <v>2780</v>
      </c>
      <c r="G27" s="97">
        <v>9</v>
      </c>
      <c r="H27" s="96" t="s">
        <v>2800</v>
      </c>
      <c r="I27" s="96"/>
      <c r="J27" s="96"/>
      <c r="K27" s="93" t="s">
        <v>2805</v>
      </c>
      <c r="L27" s="93"/>
      <c r="M27" s="93"/>
      <c r="N27" s="93"/>
      <c r="O27" s="93"/>
      <c r="P27" s="92">
        <v>1560</v>
      </c>
      <c r="Q27" s="92">
        <v>502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2779</v>
      </c>
      <c r="F28" s="91" t="s">
        <v>2780</v>
      </c>
      <c r="G28" s="97">
        <v>9</v>
      </c>
      <c r="H28" s="96" t="s">
        <v>2800</v>
      </c>
      <c r="I28" s="96"/>
      <c r="J28" s="96"/>
      <c r="K28" s="93" t="s">
        <v>2806</v>
      </c>
      <c r="L28" s="93"/>
      <c r="M28" s="93"/>
      <c r="N28" s="93"/>
      <c r="O28" s="93"/>
      <c r="P28" s="92">
        <v>2056</v>
      </c>
      <c r="Q28" s="92">
        <v>510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2779</v>
      </c>
      <c r="F29" s="91" t="s">
        <v>2780</v>
      </c>
      <c r="G29" s="97">
        <v>9</v>
      </c>
      <c r="H29" s="96" t="s">
        <v>2800</v>
      </c>
      <c r="I29" s="96"/>
      <c r="J29" s="96"/>
      <c r="K29" s="93" t="s">
        <v>2807</v>
      </c>
      <c r="L29" s="93"/>
      <c r="M29" s="93"/>
      <c r="N29" s="93"/>
      <c r="O29" s="93"/>
      <c r="P29" s="92">
        <v>575</v>
      </c>
      <c r="Q29" s="92">
        <v>200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2779</v>
      </c>
      <c r="F30" s="91" t="s">
        <v>2808</v>
      </c>
      <c r="G30" s="97">
        <v>8</v>
      </c>
      <c r="H30" s="96" t="s">
        <v>2809</v>
      </c>
      <c r="I30" s="96"/>
      <c r="J30" s="96"/>
      <c r="K30" s="93" t="s">
        <v>2790</v>
      </c>
      <c r="L30" s="93"/>
      <c r="M30" s="93"/>
      <c r="N30" s="93"/>
      <c r="O30" s="93"/>
      <c r="P30" s="92">
        <v>2175</v>
      </c>
      <c r="Q30" s="92">
        <v>610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2779</v>
      </c>
      <c r="F31" s="91" t="s">
        <v>2808</v>
      </c>
      <c r="G31" s="97">
        <v>8</v>
      </c>
      <c r="H31" s="96" t="s">
        <v>2809</v>
      </c>
      <c r="I31" s="96"/>
      <c r="J31" s="96"/>
      <c r="K31" s="93" t="s">
        <v>2810</v>
      </c>
      <c r="L31" s="93"/>
      <c r="M31" s="93"/>
      <c r="N31" s="93"/>
      <c r="O31" s="93"/>
      <c r="P31" s="92">
        <v>5602</v>
      </c>
      <c r="Q31" s="92">
        <v>1592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2779</v>
      </c>
      <c r="F32" s="96" t="s">
        <v>2808</v>
      </c>
      <c r="G32" s="97">
        <v>9</v>
      </c>
      <c r="H32" s="96" t="s">
        <v>2809</v>
      </c>
      <c r="I32" s="96"/>
      <c r="J32" s="96"/>
      <c r="K32" s="93" t="s">
        <v>2811</v>
      </c>
      <c r="L32" s="93"/>
      <c r="M32" s="93"/>
      <c r="N32" s="93"/>
      <c r="O32" s="93"/>
      <c r="P32" s="92">
        <v>4722</v>
      </c>
      <c r="Q32" s="92">
        <v>1244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2779</v>
      </c>
      <c r="F33" s="96" t="s">
        <v>2808</v>
      </c>
      <c r="G33" s="97">
        <v>1</v>
      </c>
      <c r="H33" s="96" t="s">
        <v>2812</v>
      </c>
      <c r="I33" s="96"/>
      <c r="J33" s="96"/>
      <c r="K33" s="93" t="s">
        <v>2813</v>
      </c>
      <c r="L33" s="93"/>
      <c r="M33" s="93"/>
      <c r="N33" s="93"/>
      <c r="O33" s="93"/>
      <c r="P33" s="92">
        <v>5069</v>
      </c>
      <c r="Q33" s="92">
        <v>1060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2779</v>
      </c>
      <c r="F34" s="96" t="s">
        <v>2808</v>
      </c>
      <c r="G34" s="97">
        <v>1</v>
      </c>
      <c r="H34" s="96" t="s">
        <v>2812</v>
      </c>
      <c r="I34" s="96"/>
      <c r="J34" s="96"/>
      <c r="K34" s="93" t="s">
        <v>2814</v>
      </c>
      <c r="L34" s="93"/>
      <c r="M34" s="93"/>
      <c r="N34" s="93"/>
      <c r="O34" s="93"/>
      <c r="P34" s="92">
        <v>1563</v>
      </c>
      <c r="Q34" s="92">
        <v>430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2779</v>
      </c>
      <c r="F35" s="96" t="s">
        <v>2808</v>
      </c>
      <c r="G35" s="97">
        <v>1</v>
      </c>
      <c r="H35" s="96" t="s">
        <v>2812</v>
      </c>
      <c r="I35" s="96"/>
      <c r="J35" s="96"/>
      <c r="K35" s="93" t="s">
        <v>2815</v>
      </c>
      <c r="L35" s="93"/>
      <c r="M35" s="93"/>
      <c r="N35" s="93"/>
      <c r="O35" s="93"/>
      <c r="P35" s="92">
        <v>1010</v>
      </c>
      <c r="Q35" s="92">
        <v>208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2779</v>
      </c>
      <c r="F36" s="96" t="s">
        <v>2808</v>
      </c>
      <c r="G36" s="97">
        <v>2</v>
      </c>
      <c r="H36" s="96" t="s">
        <v>2812</v>
      </c>
      <c r="I36" s="96"/>
      <c r="J36" s="96"/>
      <c r="K36" s="93" t="s">
        <v>2816</v>
      </c>
      <c r="L36" s="93"/>
      <c r="M36" s="93"/>
      <c r="N36" s="93"/>
      <c r="O36" s="93"/>
      <c r="P36" s="92">
        <v>1256</v>
      </c>
      <c r="Q36" s="92">
        <v>333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2779</v>
      </c>
      <c r="F37" s="96" t="s">
        <v>2808</v>
      </c>
      <c r="G37" s="97">
        <v>2</v>
      </c>
      <c r="H37" s="96" t="s">
        <v>2812</v>
      </c>
      <c r="I37" s="96"/>
      <c r="J37" s="96"/>
      <c r="K37" s="93" t="s">
        <v>2817</v>
      </c>
      <c r="L37" s="93"/>
      <c r="M37" s="93"/>
      <c r="N37" s="93"/>
      <c r="O37" s="93"/>
      <c r="P37" s="92">
        <v>1795</v>
      </c>
      <c r="Q37" s="92">
        <v>390</v>
      </c>
      <c r="R37" s="92"/>
      <c r="S37" s="97">
        <v>1050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2779</v>
      </c>
      <c r="F38" s="96" t="s">
        <v>2808</v>
      </c>
      <c r="G38" s="97">
        <v>3</v>
      </c>
      <c r="H38" s="96" t="s">
        <v>2818</v>
      </c>
      <c r="I38" s="96"/>
      <c r="J38" s="96"/>
      <c r="K38" s="93" t="s">
        <v>2819</v>
      </c>
      <c r="L38" s="93"/>
      <c r="M38" s="93"/>
      <c r="N38" s="93"/>
      <c r="O38" s="93"/>
      <c r="P38" s="92">
        <v>1336</v>
      </c>
      <c r="Q38" s="92">
        <v>300</v>
      </c>
      <c r="R38" s="92"/>
      <c r="S38" s="97">
        <v>0</v>
      </c>
      <c r="T38" s="97">
        <v>55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2779</v>
      </c>
      <c r="F39" s="96" t="s">
        <v>2808</v>
      </c>
      <c r="G39" s="97">
        <v>3</v>
      </c>
      <c r="H39" s="96" t="s">
        <v>2818</v>
      </c>
      <c r="I39" s="96"/>
      <c r="J39" s="96"/>
      <c r="K39" s="93" t="s">
        <v>2820</v>
      </c>
      <c r="L39" s="93"/>
      <c r="M39" s="93"/>
      <c r="N39" s="93"/>
      <c r="O39" s="93"/>
      <c r="P39" s="92">
        <v>1486</v>
      </c>
      <c r="Q39" s="92">
        <v>466</v>
      </c>
      <c r="R39" s="92"/>
      <c r="S39" s="97">
        <v>1130</v>
      </c>
      <c r="T39" s="97">
        <v>45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2779</v>
      </c>
      <c r="F40" s="96" t="s">
        <v>2808</v>
      </c>
      <c r="G40" s="97">
        <v>3</v>
      </c>
      <c r="H40" s="96" t="s">
        <v>2818</v>
      </c>
      <c r="I40" s="96"/>
      <c r="J40" s="96"/>
      <c r="K40" s="93" t="s">
        <v>2821</v>
      </c>
      <c r="L40" s="93"/>
      <c r="M40" s="93"/>
      <c r="N40" s="93"/>
      <c r="O40" s="93"/>
      <c r="P40" s="92">
        <v>2620</v>
      </c>
      <c r="Q40" s="92">
        <v>720</v>
      </c>
      <c r="R40" s="92"/>
      <c r="S40" s="97">
        <v>0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2779</v>
      </c>
      <c r="F41" s="96" t="s">
        <v>2808</v>
      </c>
      <c r="G41" s="97">
        <v>3</v>
      </c>
      <c r="H41" s="96" t="s">
        <v>2818</v>
      </c>
      <c r="I41" s="96"/>
      <c r="J41" s="96"/>
      <c r="K41" s="93" t="s">
        <v>2808</v>
      </c>
      <c r="L41" s="93"/>
      <c r="M41" s="93"/>
      <c r="N41" s="93"/>
      <c r="O41" s="93"/>
      <c r="P41" s="92">
        <v>5371</v>
      </c>
      <c r="Q41" s="92">
        <v>1190</v>
      </c>
      <c r="R41" s="92"/>
      <c r="S41" s="97">
        <v>0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2779</v>
      </c>
      <c r="F42" s="96" t="s">
        <v>2808</v>
      </c>
      <c r="G42" s="97">
        <v>4</v>
      </c>
      <c r="H42" s="96" t="s">
        <v>2818</v>
      </c>
      <c r="I42" s="96"/>
      <c r="J42" s="96"/>
      <c r="K42" s="93" t="s">
        <v>2822</v>
      </c>
      <c r="L42" s="93"/>
      <c r="M42" s="93"/>
      <c r="N42" s="93"/>
      <c r="O42" s="93"/>
      <c r="P42" s="92">
        <v>2241</v>
      </c>
      <c r="Q42" s="92">
        <v>640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2779</v>
      </c>
      <c r="F43" s="96" t="s">
        <v>2808</v>
      </c>
      <c r="G43" s="97">
        <v>4</v>
      </c>
      <c r="H43" s="96" t="s">
        <v>2818</v>
      </c>
      <c r="I43" s="96"/>
      <c r="J43" s="96"/>
      <c r="K43" s="93" t="s">
        <v>869</v>
      </c>
      <c r="L43" s="93"/>
      <c r="M43" s="93"/>
      <c r="N43" s="93"/>
      <c r="O43" s="93"/>
      <c r="P43" s="92">
        <v>2326</v>
      </c>
      <c r="Q43" s="92">
        <v>582</v>
      </c>
      <c r="R43" s="92"/>
      <c r="S43" s="97">
        <v>0</v>
      </c>
      <c r="T43" s="97">
        <v>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2779</v>
      </c>
      <c r="F44" s="96" t="s">
        <v>2808</v>
      </c>
      <c r="G44" s="97">
        <v>4</v>
      </c>
      <c r="H44" s="96" t="s">
        <v>2818</v>
      </c>
      <c r="I44" s="96"/>
      <c r="J44" s="96"/>
      <c r="K44" s="93" t="s">
        <v>2810</v>
      </c>
      <c r="L44" s="93"/>
      <c r="M44" s="93"/>
      <c r="N44" s="93"/>
      <c r="O44" s="93"/>
      <c r="P44" s="92">
        <v>4831</v>
      </c>
      <c r="Q44" s="92">
        <v>1245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2779</v>
      </c>
      <c r="F45" s="96" t="s">
        <v>2808</v>
      </c>
      <c r="G45" s="97">
        <v>4</v>
      </c>
      <c r="H45" s="96" t="s">
        <v>2818</v>
      </c>
      <c r="I45" s="96"/>
      <c r="J45" s="96"/>
      <c r="K45" s="93" t="s">
        <v>2823</v>
      </c>
      <c r="L45" s="93"/>
      <c r="M45" s="93"/>
      <c r="N45" s="93"/>
      <c r="O45" s="93"/>
      <c r="P45" s="92">
        <v>3960</v>
      </c>
      <c r="Q45" s="92">
        <v>896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2779</v>
      </c>
      <c r="F46" s="96" t="s">
        <v>2808</v>
      </c>
      <c r="G46" s="97">
        <v>4</v>
      </c>
      <c r="H46" s="96" t="s">
        <v>2818</v>
      </c>
      <c r="I46" s="96"/>
      <c r="J46" s="96"/>
      <c r="K46" s="93" t="s">
        <v>2824</v>
      </c>
      <c r="L46" s="93"/>
      <c r="M46" s="93"/>
      <c r="N46" s="93"/>
      <c r="O46" s="93"/>
      <c r="P46" s="92">
        <v>716</v>
      </c>
      <c r="Q46" s="92">
        <v>230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2779</v>
      </c>
      <c r="F47" s="96" t="s">
        <v>2808</v>
      </c>
      <c r="G47" s="97">
        <v>5</v>
      </c>
      <c r="H47" s="96" t="s">
        <v>2825</v>
      </c>
      <c r="I47" s="96"/>
      <c r="J47" s="96"/>
      <c r="K47" s="93" t="s">
        <v>2826</v>
      </c>
      <c r="L47" s="93"/>
      <c r="M47" s="93"/>
      <c r="N47" s="93"/>
      <c r="O47" s="93"/>
      <c r="P47" s="92">
        <v>5290</v>
      </c>
      <c r="Q47" s="92">
        <v>1022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2779</v>
      </c>
      <c r="F48" s="96" t="s">
        <v>2808</v>
      </c>
      <c r="G48" s="97">
        <v>5</v>
      </c>
      <c r="H48" s="96" t="s">
        <v>2825</v>
      </c>
      <c r="I48" s="96"/>
      <c r="J48" s="96"/>
      <c r="K48" s="93" t="s">
        <v>2827</v>
      </c>
      <c r="L48" s="93"/>
      <c r="M48" s="93"/>
      <c r="N48" s="93"/>
      <c r="O48" s="93"/>
      <c r="P48" s="92">
        <v>3196</v>
      </c>
      <c r="Q48" s="92">
        <v>822</v>
      </c>
      <c r="R48" s="92"/>
      <c r="S48" s="97">
        <v>1100</v>
      </c>
      <c r="T48" s="97">
        <v>50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2779</v>
      </c>
      <c r="F49" s="96" t="s">
        <v>2808</v>
      </c>
      <c r="G49" s="97">
        <v>6</v>
      </c>
      <c r="H49" s="96" t="s">
        <v>2825</v>
      </c>
      <c r="I49" s="96"/>
      <c r="J49" s="96"/>
      <c r="K49" s="93" t="s">
        <v>2828</v>
      </c>
      <c r="L49" s="93"/>
      <c r="M49" s="93"/>
      <c r="N49" s="93"/>
      <c r="O49" s="93"/>
      <c r="P49" s="92">
        <v>3814</v>
      </c>
      <c r="Q49" s="92">
        <v>1030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2779</v>
      </c>
      <c r="F50" s="96" t="s">
        <v>2808</v>
      </c>
      <c r="G50" s="97">
        <v>6</v>
      </c>
      <c r="H50" s="96" t="s">
        <v>2825</v>
      </c>
      <c r="I50" s="96"/>
      <c r="J50" s="96"/>
      <c r="K50" s="93" t="s">
        <v>2657</v>
      </c>
      <c r="L50" s="93"/>
      <c r="M50" s="93"/>
      <c r="N50" s="93"/>
      <c r="O50" s="93"/>
      <c r="P50" s="92">
        <v>1313</v>
      </c>
      <c r="Q50" s="92">
        <v>371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2779</v>
      </c>
      <c r="F51" s="96" t="s">
        <v>2808</v>
      </c>
      <c r="G51" s="97">
        <v>7</v>
      </c>
      <c r="H51" s="96" t="s">
        <v>2825</v>
      </c>
      <c r="I51" s="96"/>
      <c r="J51" s="96"/>
      <c r="K51" s="93" t="s">
        <v>2798</v>
      </c>
      <c r="L51" s="93"/>
      <c r="M51" s="93"/>
      <c r="N51" s="93"/>
      <c r="O51" s="93"/>
      <c r="P51" s="92">
        <v>932</v>
      </c>
      <c r="Q51" s="92">
        <v>204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2779</v>
      </c>
      <c r="F52" s="96" t="s">
        <v>2808</v>
      </c>
      <c r="G52" s="97">
        <v>7</v>
      </c>
      <c r="H52" s="96" t="s">
        <v>2825</v>
      </c>
      <c r="I52" s="96"/>
      <c r="J52" s="96"/>
      <c r="K52" s="93" t="s">
        <v>2829</v>
      </c>
      <c r="L52" s="93"/>
      <c r="M52" s="93"/>
      <c r="N52" s="93"/>
      <c r="O52" s="93"/>
      <c r="P52" s="92">
        <v>2697</v>
      </c>
      <c r="Q52" s="92">
        <v>750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2779</v>
      </c>
      <c r="F53" s="96" t="s">
        <v>2808</v>
      </c>
      <c r="G53" s="97">
        <v>7</v>
      </c>
      <c r="H53" s="96" t="s">
        <v>2825</v>
      </c>
      <c r="I53" s="96"/>
      <c r="J53" s="96"/>
      <c r="K53" s="93" t="s">
        <v>2830</v>
      </c>
      <c r="L53" s="93"/>
      <c r="M53" s="93"/>
      <c r="N53" s="93"/>
      <c r="O53" s="93"/>
      <c r="P53" s="92">
        <v>2519</v>
      </c>
      <c r="Q53" s="92">
        <v>810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2779</v>
      </c>
      <c r="F54" s="96" t="s">
        <v>2831</v>
      </c>
      <c r="G54" s="97">
        <v>1</v>
      </c>
      <c r="H54" s="96" t="s">
        <v>2832</v>
      </c>
      <c r="I54" s="96"/>
      <c r="J54" s="96"/>
      <c r="K54" s="93" t="s">
        <v>2833</v>
      </c>
      <c r="L54" s="93"/>
      <c r="M54" s="93"/>
      <c r="N54" s="93"/>
      <c r="O54" s="93"/>
      <c r="P54" s="92">
        <v>3667</v>
      </c>
      <c r="Q54" s="92">
        <v>995</v>
      </c>
      <c r="R54" s="92"/>
      <c r="S54" s="97">
        <v>0</v>
      </c>
      <c r="T54" s="97">
        <v>100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2779</v>
      </c>
      <c r="F55" s="96" t="s">
        <v>2831</v>
      </c>
      <c r="G55" s="97">
        <v>2</v>
      </c>
      <c r="H55" s="96" t="s">
        <v>2832</v>
      </c>
      <c r="I55" s="96"/>
      <c r="J55" s="96"/>
      <c r="K55" s="93" t="s">
        <v>2834</v>
      </c>
      <c r="L55" s="93"/>
      <c r="M55" s="93"/>
      <c r="N55" s="93"/>
      <c r="O55" s="93"/>
      <c r="P55" s="92">
        <v>3649</v>
      </c>
      <c r="Q55" s="92">
        <v>720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2779</v>
      </c>
      <c r="F56" s="96" t="s">
        <v>2831</v>
      </c>
      <c r="G56" s="97">
        <v>6</v>
      </c>
      <c r="H56" s="96" t="s">
        <v>2832</v>
      </c>
      <c r="I56" s="96"/>
      <c r="J56" s="96"/>
      <c r="K56" s="93" t="s">
        <v>2835</v>
      </c>
      <c r="L56" s="93"/>
      <c r="M56" s="93"/>
      <c r="N56" s="93"/>
      <c r="O56" s="93"/>
      <c r="P56" s="92">
        <v>3575</v>
      </c>
      <c r="Q56" s="92">
        <v>944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2779</v>
      </c>
      <c r="F57" s="96" t="s">
        <v>2831</v>
      </c>
      <c r="G57" s="97">
        <v>5</v>
      </c>
      <c r="H57" s="96" t="s">
        <v>2836</v>
      </c>
      <c r="I57" s="96"/>
      <c r="J57" s="96"/>
      <c r="K57" s="93" t="s">
        <v>2837</v>
      </c>
      <c r="L57" s="93"/>
      <c r="M57" s="93"/>
      <c r="N57" s="93"/>
      <c r="O57" s="93"/>
      <c r="P57" s="92">
        <v>1280</v>
      </c>
      <c r="Q57" s="92">
        <v>305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2779</v>
      </c>
      <c r="F58" s="96" t="s">
        <v>2831</v>
      </c>
      <c r="G58" s="97">
        <v>5</v>
      </c>
      <c r="H58" s="96" t="s">
        <v>2836</v>
      </c>
      <c r="I58" s="96"/>
      <c r="J58" s="96"/>
      <c r="K58" s="93" t="s">
        <v>2838</v>
      </c>
      <c r="L58" s="93"/>
      <c r="M58" s="93"/>
      <c r="N58" s="93"/>
      <c r="O58" s="93"/>
      <c r="P58" s="92">
        <v>1540</v>
      </c>
      <c r="Q58" s="92">
        <v>520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2779</v>
      </c>
      <c r="F59" s="96" t="s">
        <v>2831</v>
      </c>
      <c r="G59" s="97">
        <v>4</v>
      </c>
      <c r="H59" s="96" t="s">
        <v>2836</v>
      </c>
      <c r="I59" s="96"/>
      <c r="J59" s="96"/>
      <c r="K59" s="93" t="s">
        <v>2839</v>
      </c>
      <c r="L59" s="93"/>
      <c r="M59" s="93"/>
      <c r="N59" s="93"/>
      <c r="O59" s="93"/>
      <c r="P59" s="92">
        <v>2767</v>
      </c>
      <c r="Q59" s="92">
        <v>888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2779</v>
      </c>
      <c r="F60" s="96" t="s">
        <v>2831</v>
      </c>
      <c r="G60" s="97">
        <v>3</v>
      </c>
      <c r="H60" s="96" t="s">
        <v>2840</v>
      </c>
      <c r="I60" s="96"/>
      <c r="J60" s="96"/>
      <c r="K60" s="93" t="s">
        <v>2841</v>
      </c>
      <c r="L60" s="93"/>
      <c r="M60" s="93"/>
      <c r="N60" s="93"/>
      <c r="O60" s="93"/>
      <c r="P60" s="92">
        <v>2608</v>
      </c>
      <c r="Q60" s="92">
        <v>760</v>
      </c>
      <c r="R60" s="92"/>
      <c r="S60" s="97">
        <v>0</v>
      </c>
      <c r="T60" s="97">
        <v>100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2779</v>
      </c>
      <c r="F61" s="96" t="s">
        <v>2831</v>
      </c>
      <c r="G61" s="97">
        <v>3</v>
      </c>
      <c r="H61" s="96" t="s">
        <v>2840</v>
      </c>
      <c r="I61" s="96"/>
      <c r="J61" s="96"/>
      <c r="K61" s="93" t="s">
        <v>2842</v>
      </c>
      <c r="L61" s="93"/>
      <c r="M61" s="93"/>
      <c r="N61" s="93"/>
      <c r="O61" s="93"/>
      <c r="P61" s="92">
        <v>2288</v>
      </c>
      <c r="Q61" s="92">
        <v>680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2779</v>
      </c>
      <c r="F62" s="96" t="s">
        <v>2831</v>
      </c>
      <c r="G62" s="97">
        <v>3</v>
      </c>
      <c r="H62" s="96" t="s">
        <v>2840</v>
      </c>
      <c r="I62" s="96"/>
      <c r="J62" s="96"/>
      <c r="K62" s="93" t="s">
        <v>2843</v>
      </c>
      <c r="L62" s="93"/>
      <c r="M62" s="93"/>
      <c r="N62" s="93"/>
      <c r="O62" s="93"/>
      <c r="P62" s="92">
        <v>3108</v>
      </c>
      <c r="Q62" s="92">
        <v>1145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2779</v>
      </c>
      <c r="F63" s="96" t="s">
        <v>2831</v>
      </c>
      <c r="G63" s="97">
        <v>8</v>
      </c>
      <c r="H63" s="96" t="s">
        <v>2844</v>
      </c>
      <c r="I63" s="96"/>
      <c r="J63" s="96"/>
      <c r="K63" s="93" t="s">
        <v>2845</v>
      </c>
      <c r="L63" s="93"/>
      <c r="M63" s="93"/>
      <c r="N63" s="93"/>
      <c r="O63" s="93"/>
      <c r="P63" s="92">
        <v>3349</v>
      </c>
      <c r="Q63" s="92">
        <v>1040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2779</v>
      </c>
      <c r="F64" s="96" t="s">
        <v>2831</v>
      </c>
      <c r="G64" s="97">
        <v>8</v>
      </c>
      <c r="H64" s="96" t="s">
        <v>2844</v>
      </c>
      <c r="I64" s="96"/>
      <c r="J64" s="96"/>
      <c r="K64" s="93" t="s">
        <v>2846</v>
      </c>
      <c r="L64" s="93"/>
      <c r="M64" s="93"/>
      <c r="N64" s="93"/>
      <c r="O64" s="93"/>
      <c r="P64" s="92">
        <v>1275</v>
      </c>
      <c r="Q64" s="92">
        <v>410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2779</v>
      </c>
      <c r="F65" s="96" t="s">
        <v>2831</v>
      </c>
      <c r="G65" s="97">
        <v>8</v>
      </c>
      <c r="H65" s="96" t="s">
        <v>2844</v>
      </c>
      <c r="I65" s="96"/>
      <c r="J65" s="96"/>
      <c r="K65" s="93" t="s">
        <v>2847</v>
      </c>
      <c r="L65" s="93"/>
      <c r="M65" s="93"/>
      <c r="N65" s="93"/>
      <c r="O65" s="93"/>
      <c r="P65" s="92">
        <v>2069</v>
      </c>
      <c r="Q65" s="92">
        <v>522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2779</v>
      </c>
      <c r="F66" s="96" t="s">
        <v>2831</v>
      </c>
      <c r="G66" s="97">
        <v>8</v>
      </c>
      <c r="H66" s="96" t="s">
        <v>2844</v>
      </c>
      <c r="I66" s="96"/>
      <c r="J66" s="96"/>
      <c r="K66" s="93" t="s">
        <v>2848</v>
      </c>
      <c r="L66" s="93"/>
      <c r="M66" s="93"/>
      <c r="N66" s="93"/>
      <c r="O66" s="93"/>
      <c r="P66" s="92">
        <v>2726</v>
      </c>
      <c r="Q66" s="92">
        <v>766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2779</v>
      </c>
      <c r="F67" s="96" t="s">
        <v>2831</v>
      </c>
      <c r="G67" s="97">
        <v>8</v>
      </c>
      <c r="H67" s="96" t="s">
        <v>2844</v>
      </c>
      <c r="I67" s="96"/>
      <c r="J67" s="96"/>
      <c r="K67" s="93" t="s">
        <v>2849</v>
      </c>
      <c r="L67" s="93"/>
      <c r="M67" s="93"/>
      <c r="N67" s="93"/>
      <c r="O67" s="93"/>
      <c r="P67" s="92">
        <v>2183</v>
      </c>
      <c r="Q67" s="92">
        <v>680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2779</v>
      </c>
      <c r="F68" s="96" t="s">
        <v>2831</v>
      </c>
      <c r="G68" s="97">
        <v>9</v>
      </c>
      <c r="H68" s="96" t="s">
        <v>2844</v>
      </c>
      <c r="I68" s="96"/>
      <c r="J68" s="96"/>
      <c r="K68" s="93" t="s">
        <v>2850</v>
      </c>
      <c r="L68" s="93"/>
      <c r="M68" s="93"/>
      <c r="N68" s="93"/>
      <c r="O68" s="93"/>
      <c r="P68" s="92">
        <v>1820</v>
      </c>
      <c r="Q68" s="92">
        <v>455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2779</v>
      </c>
      <c r="F69" s="96" t="s">
        <v>2831</v>
      </c>
      <c r="G69" s="97">
        <v>9</v>
      </c>
      <c r="H69" s="96" t="s">
        <v>2851</v>
      </c>
      <c r="I69" s="96"/>
      <c r="J69" s="96"/>
      <c r="K69" s="93" t="s">
        <v>2852</v>
      </c>
      <c r="L69" s="93"/>
      <c r="M69" s="93"/>
      <c r="N69" s="93"/>
      <c r="O69" s="93"/>
      <c r="P69" s="92">
        <v>1487</v>
      </c>
      <c r="Q69" s="92">
        <v>388</v>
      </c>
      <c r="R69" s="92"/>
      <c r="S69" s="97">
        <v>1110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2779</v>
      </c>
      <c r="F70" s="96" t="s">
        <v>2831</v>
      </c>
      <c r="G70" s="97">
        <v>9</v>
      </c>
      <c r="H70" s="96" t="s">
        <v>2851</v>
      </c>
      <c r="I70" s="96"/>
      <c r="J70" s="96"/>
      <c r="K70" s="93" t="s">
        <v>2853</v>
      </c>
      <c r="L70" s="93"/>
      <c r="M70" s="93"/>
      <c r="N70" s="93"/>
      <c r="O70" s="93"/>
      <c r="P70" s="92">
        <v>1848</v>
      </c>
      <c r="Q70" s="92">
        <v>710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2779</v>
      </c>
      <c r="F71" s="96" t="s">
        <v>2831</v>
      </c>
      <c r="G71" s="97">
        <v>9</v>
      </c>
      <c r="H71" s="96" t="s">
        <v>2851</v>
      </c>
      <c r="I71" s="96"/>
      <c r="J71" s="96"/>
      <c r="K71" s="93" t="s">
        <v>2854</v>
      </c>
      <c r="L71" s="93"/>
      <c r="M71" s="93"/>
      <c r="N71" s="93"/>
      <c r="O71" s="93"/>
      <c r="P71" s="92">
        <v>1791</v>
      </c>
      <c r="Q71" s="92">
        <v>420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2779</v>
      </c>
      <c r="F72" s="96" t="s">
        <v>2831</v>
      </c>
      <c r="G72" s="97">
        <v>9</v>
      </c>
      <c r="H72" s="96" t="s">
        <v>2851</v>
      </c>
      <c r="I72" s="96"/>
      <c r="J72" s="96"/>
      <c r="K72" s="93" t="s">
        <v>2855</v>
      </c>
      <c r="L72" s="93"/>
      <c r="M72" s="93"/>
      <c r="N72" s="93"/>
      <c r="O72" s="93"/>
      <c r="P72" s="92">
        <v>3000</v>
      </c>
      <c r="Q72" s="92">
        <v>755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2779</v>
      </c>
      <c r="F73" s="96" t="s">
        <v>2856</v>
      </c>
      <c r="G73" s="97" t="s">
        <v>2617</v>
      </c>
      <c r="H73" s="96" t="s">
        <v>2857</v>
      </c>
      <c r="I73" s="96"/>
      <c r="J73" s="96"/>
      <c r="K73" s="93" t="s">
        <v>2856</v>
      </c>
      <c r="L73" s="93"/>
      <c r="M73" s="93"/>
      <c r="N73" s="93"/>
      <c r="O73" s="93"/>
      <c r="P73" s="92">
        <v>1796</v>
      </c>
      <c r="Q73" s="92">
        <v>542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2779</v>
      </c>
      <c r="F74" s="96" t="s">
        <v>2856</v>
      </c>
      <c r="G74" s="97" t="s">
        <v>2858</v>
      </c>
      <c r="H74" s="96" t="s">
        <v>2857</v>
      </c>
      <c r="I74" s="96"/>
      <c r="J74" s="96"/>
      <c r="K74" s="93" t="s">
        <v>2859</v>
      </c>
      <c r="L74" s="93"/>
      <c r="M74" s="93"/>
      <c r="N74" s="93"/>
      <c r="O74" s="93"/>
      <c r="P74" s="92">
        <v>1680</v>
      </c>
      <c r="Q74" s="92">
        <v>410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2779</v>
      </c>
      <c r="F75" s="96" t="s">
        <v>2856</v>
      </c>
      <c r="G75" s="97">
        <v>4</v>
      </c>
      <c r="H75" s="96" t="s">
        <v>2857</v>
      </c>
      <c r="I75" s="96"/>
      <c r="J75" s="96"/>
      <c r="K75" s="93" t="s">
        <v>2860</v>
      </c>
      <c r="L75" s="93"/>
      <c r="M75" s="93"/>
      <c r="N75" s="93"/>
      <c r="O75" s="93"/>
      <c r="P75" s="92">
        <v>6011</v>
      </c>
      <c r="Q75" s="92">
        <v>1540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2779</v>
      </c>
      <c r="F76" s="96" t="s">
        <v>2856</v>
      </c>
      <c r="G76" s="97">
        <v>5</v>
      </c>
      <c r="H76" s="96" t="s">
        <v>2861</v>
      </c>
      <c r="I76" s="96"/>
      <c r="J76" s="96"/>
      <c r="K76" s="93" t="s">
        <v>2862</v>
      </c>
      <c r="L76" s="93"/>
      <c r="M76" s="93"/>
      <c r="N76" s="93"/>
      <c r="O76" s="93"/>
      <c r="P76" s="92">
        <v>5535</v>
      </c>
      <c r="Q76" s="92">
        <v>1688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2779</v>
      </c>
      <c r="F77" s="96" t="s">
        <v>2856</v>
      </c>
      <c r="G77" s="97">
        <v>6</v>
      </c>
      <c r="H77" s="96" t="s">
        <v>2861</v>
      </c>
      <c r="I77" s="96"/>
      <c r="J77" s="96"/>
      <c r="K77" s="93" t="s">
        <v>2863</v>
      </c>
      <c r="L77" s="93"/>
      <c r="M77" s="93"/>
      <c r="N77" s="93"/>
      <c r="O77" s="93"/>
      <c r="P77" s="92">
        <v>6990</v>
      </c>
      <c r="Q77" s="92">
        <v>1610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2779</v>
      </c>
      <c r="F78" s="96" t="s">
        <v>2856</v>
      </c>
      <c r="G78" s="97" t="s">
        <v>2614</v>
      </c>
      <c r="H78" s="96" t="s">
        <v>2861</v>
      </c>
      <c r="I78" s="96"/>
      <c r="J78" s="96"/>
      <c r="K78" s="93" t="s">
        <v>2864</v>
      </c>
      <c r="L78" s="93"/>
      <c r="M78" s="93"/>
      <c r="N78" s="93"/>
      <c r="O78" s="93"/>
      <c r="P78" s="92">
        <v>7852</v>
      </c>
      <c r="Q78" s="92">
        <v>1433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2779</v>
      </c>
      <c r="F79" s="96" t="s">
        <v>2856</v>
      </c>
      <c r="G79" s="97">
        <v>9</v>
      </c>
      <c r="H79" s="96" t="s">
        <v>2861</v>
      </c>
      <c r="I79" s="96"/>
      <c r="J79" s="96"/>
      <c r="K79" s="93" t="s">
        <v>2865</v>
      </c>
      <c r="L79" s="93"/>
      <c r="M79" s="93"/>
      <c r="N79" s="93"/>
      <c r="O79" s="93"/>
      <c r="P79" s="92">
        <v>2413</v>
      </c>
      <c r="Q79" s="92">
        <v>550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2779</v>
      </c>
      <c r="F80" s="96" t="s">
        <v>2866</v>
      </c>
      <c r="G80" s="97" t="s">
        <v>2867</v>
      </c>
      <c r="H80" s="96" t="s">
        <v>2868</v>
      </c>
      <c r="I80" s="96"/>
      <c r="J80" s="96"/>
      <c r="K80" s="93" t="s">
        <v>2866</v>
      </c>
      <c r="L80" s="93"/>
      <c r="M80" s="93"/>
      <c r="N80" s="93"/>
      <c r="O80" s="93"/>
      <c r="P80" s="92">
        <v>16124</v>
      </c>
      <c r="Q80" s="92">
        <v>3020</v>
      </c>
      <c r="R80" s="92"/>
      <c r="S80" s="97">
        <v>1245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2779</v>
      </c>
      <c r="F81" s="96" t="s">
        <v>2866</v>
      </c>
      <c r="G81" s="97" t="s">
        <v>2602</v>
      </c>
      <c r="H81" s="96" t="s">
        <v>2868</v>
      </c>
      <c r="I81" s="96"/>
      <c r="J81" s="96"/>
      <c r="K81" s="93" t="s">
        <v>2869</v>
      </c>
      <c r="L81" s="93"/>
      <c r="M81" s="93"/>
      <c r="N81" s="93"/>
      <c r="O81" s="93"/>
      <c r="P81" s="92">
        <v>2400</v>
      </c>
      <c r="Q81" s="92">
        <v>605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2779</v>
      </c>
      <c r="F82" s="96" t="s">
        <v>2866</v>
      </c>
      <c r="G82" s="97">
        <v>6</v>
      </c>
      <c r="H82" s="96" t="s">
        <v>2868</v>
      </c>
      <c r="I82" s="96"/>
      <c r="J82" s="96"/>
      <c r="K82" s="93" t="s">
        <v>2870</v>
      </c>
      <c r="L82" s="93"/>
      <c r="M82" s="93"/>
      <c r="N82" s="93"/>
      <c r="O82" s="93"/>
      <c r="P82" s="92">
        <v>2564</v>
      </c>
      <c r="Q82" s="92">
        <v>801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2779</v>
      </c>
      <c r="F83" s="96" t="s">
        <v>2866</v>
      </c>
      <c r="G83" s="97">
        <v>7</v>
      </c>
      <c r="H83" s="96" t="s">
        <v>2868</v>
      </c>
      <c r="I83" s="96"/>
      <c r="J83" s="96"/>
      <c r="K83" s="93" t="s">
        <v>2871</v>
      </c>
      <c r="L83" s="93"/>
      <c r="M83" s="93"/>
      <c r="N83" s="93"/>
      <c r="O83" s="93"/>
      <c r="P83" s="92">
        <v>1979</v>
      </c>
      <c r="Q83" s="92">
        <v>423</v>
      </c>
      <c r="R83" s="92"/>
      <c r="S83" s="97">
        <v>0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2779</v>
      </c>
      <c r="F84" s="96" t="s">
        <v>2866</v>
      </c>
      <c r="G84" s="97" t="s">
        <v>2872</v>
      </c>
      <c r="H84" s="96" t="s">
        <v>2868</v>
      </c>
      <c r="I84" s="96"/>
      <c r="J84" s="96"/>
      <c r="K84" s="93" t="s">
        <v>2873</v>
      </c>
      <c r="L84" s="93"/>
      <c r="M84" s="93"/>
      <c r="N84" s="93"/>
      <c r="O84" s="93"/>
      <c r="P84" s="92">
        <v>8200</v>
      </c>
      <c r="Q84" s="92">
        <v>2023</v>
      </c>
      <c r="R84" s="92"/>
      <c r="S84" s="97">
        <v>0</v>
      </c>
      <c r="T84" s="97">
        <v>0</v>
      </c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2779</v>
      </c>
      <c r="F85" s="96" t="s">
        <v>2874</v>
      </c>
      <c r="G85" s="97">
        <v>1</v>
      </c>
      <c r="H85" s="96" t="s">
        <v>2875</v>
      </c>
      <c r="I85" s="96"/>
      <c r="J85" s="96"/>
      <c r="K85" s="93" t="s">
        <v>2876</v>
      </c>
      <c r="L85" s="93"/>
      <c r="M85" s="93"/>
      <c r="N85" s="93"/>
      <c r="O85" s="93"/>
      <c r="P85" s="92">
        <v>1601</v>
      </c>
      <c r="Q85" s="92">
        <v>660</v>
      </c>
      <c r="R85" s="92"/>
      <c r="S85" s="97">
        <v>0</v>
      </c>
      <c r="T85" s="97">
        <v>0</v>
      </c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2779</v>
      </c>
      <c r="F86" s="96" t="s">
        <v>2874</v>
      </c>
      <c r="G86" s="97">
        <v>2</v>
      </c>
      <c r="H86" s="96" t="s">
        <v>2875</v>
      </c>
      <c r="I86" s="96"/>
      <c r="J86" s="96"/>
      <c r="K86" s="93" t="s">
        <v>2877</v>
      </c>
      <c r="L86" s="93"/>
      <c r="M86" s="93"/>
      <c r="N86" s="93"/>
      <c r="O86" s="93"/>
      <c r="P86" s="92">
        <v>1598</v>
      </c>
      <c r="Q86" s="92">
        <v>320</v>
      </c>
      <c r="R86" s="92"/>
      <c r="S86" s="97">
        <v>0</v>
      </c>
      <c r="T86" s="97">
        <v>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2779</v>
      </c>
      <c r="F87" s="96" t="s">
        <v>2874</v>
      </c>
      <c r="G87" s="97">
        <v>3</v>
      </c>
      <c r="H87" s="96" t="s">
        <v>2875</v>
      </c>
      <c r="I87" s="96"/>
      <c r="J87" s="96"/>
      <c r="K87" s="93" t="s">
        <v>2878</v>
      </c>
      <c r="L87" s="93"/>
      <c r="M87" s="93"/>
      <c r="N87" s="93"/>
      <c r="O87" s="93"/>
      <c r="P87" s="92">
        <v>1690</v>
      </c>
      <c r="Q87" s="92">
        <v>246</v>
      </c>
      <c r="R87" s="92"/>
      <c r="S87" s="97">
        <v>0</v>
      </c>
      <c r="T87" s="97">
        <v>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2779</v>
      </c>
      <c r="F88" s="96" t="s">
        <v>2874</v>
      </c>
      <c r="G88" s="97">
        <v>4</v>
      </c>
      <c r="H88" s="96" t="s">
        <v>2875</v>
      </c>
      <c r="I88" s="96"/>
      <c r="J88" s="96"/>
      <c r="K88" s="93" t="s">
        <v>2879</v>
      </c>
      <c r="L88" s="93"/>
      <c r="M88" s="93"/>
      <c r="N88" s="93"/>
      <c r="O88" s="93"/>
      <c r="P88" s="92">
        <v>6117</v>
      </c>
      <c r="Q88" s="92">
        <v>1246</v>
      </c>
      <c r="R88" s="92"/>
      <c r="S88" s="97">
        <v>0</v>
      </c>
      <c r="T88" s="97">
        <v>100</v>
      </c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2779</v>
      </c>
      <c r="F89" s="96" t="s">
        <v>2874</v>
      </c>
      <c r="G89" s="97">
        <v>5</v>
      </c>
      <c r="H89" s="96" t="s">
        <v>2875</v>
      </c>
      <c r="I89" s="96"/>
      <c r="J89" s="96"/>
      <c r="K89" s="93" t="s">
        <v>2880</v>
      </c>
      <c r="L89" s="93"/>
      <c r="M89" s="93"/>
      <c r="N89" s="93"/>
      <c r="O89" s="93"/>
      <c r="P89" s="92">
        <v>2519</v>
      </c>
      <c r="Q89" s="92">
        <v>470</v>
      </c>
      <c r="R89" s="92"/>
      <c r="S89" s="97">
        <v>1215</v>
      </c>
      <c r="T89" s="97">
        <v>78</v>
      </c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2779</v>
      </c>
      <c r="F90" s="96" t="s">
        <v>2874</v>
      </c>
      <c r="G90" s="97">
        <v>5</v>
      </c>
      <c r="H90" s="96" t="s">
        <v>2875</v>
      </c>
      <c r="I90" s="96"/>
      <c r="J90" s="96"/>
      <c r="K90" s="93" t="s">
        <v>2881</v>
      </c>
      <c r="L90" s="93"/>
      <c r="M90" s="93"/>
      <c r="N90" s="93"/>
      <c r="O90" s="93"/>
      <c r="P90" s="92">
        <v>2598</v>
      </c>
      <c r="Q90" s="92">
        <v>720</v>
      </c>
      <c r="R90" s="92"/>
      <c r="S90" s="97">
        <v>0</v>
      </c>
      <c r="T90" s="97">
        <v>0</v>
      </c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2779</v>
      </c>
      <c r="F91" s="96" t="s">
        <v>2874</v>
      </c>
      <c r="G91" s="97">
        <v>6</v>
      </c>
      <c r="H91" s="96" t="s">
        <v>2882</v>
      </c>
      <c r="I91" s="96"/>
      <c r="J91" s="96"/>
      <c r="K91" s="93" t="s">
        <v>2883</v>
      </c>
      <c r="L91" s="93"/>
      <c r="M91" s="93"/>
      <c r="N91" s="93"/>
      <c r="O91" s="93"/>
      <c r="P91" s="92">
        <v>3043</v>
      </c>
      <c r="Q91" s="92">
        <v>845</v>
      </c>
      <c r="R91" s="92"/>
      <c r="S91" s="97">
        <v>0</v>
      </c>
      <c r="T91" s="97">
        <v>0</v>
      </c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2779</v>
      </c>
      <c r="F92" s="96" t="s">
        <v>2874</v>
      </c>
      <c r="G92" s="97">
        <v>6</v>
      </c>
      <c r="H92" s="96" t="s">
        <v>2882</v>
      </c>
      <c r="I92" s="96"/>
      <c r="J92" s="96"/>
      <c r="K92" s="93" t="s">
        <v>2884</v>
      </c>
      <c r="L92" s="93"/>
      <c r="M92" s="93"/>
      <c r="N92" s="93"/>
      <c r="O92" s="93"/>
      <c r="P92" s="92">
        <v>2865</v>
      </c>
      <c r="Q92" s="92">
        <v>966</v>
      </c>
      <c r="R92" s="92"/>
      <c r="S92" s="97">
        <v>0</v>
      </c>
      <c r="T92" s="97">
        <v>0</v>
      </c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2779</v>
      </c>
      <c r="F93" s="96" t="s">
        <v>2874</v>
      </c>
      <c r="G93" s="97">
        <v>7</v>
      </c>
      <c r="H93" s="96" t="s">
        <v>2882</v>
      </c>
      <c r="I93" s="96"/>
      <c r="J93" s="96"/>
      <c r="K93" s="93" t="s">
        <v>2885</v>
      </c>
      <c r="L93" s="93"/>
      <c r="M93" s="93"/>
      <c r="N93" s="93"/>
      <c r="O93" s="93"/>
      <c r="P93" s="92">
        <v>3149</v>
      </c>
      <c r="Q93" s="92">
        <v>502</v>
      </c>
      <c r="R93" s="92"/>
      <c r="S93" s="97">
        <v>1290</v>
      </c>
      <c r="T93" s="97">
        <v>0</v>
      </c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2779</v>
      </c>
      <c r="F94" s="96" t="s">
        <v>2874</v>
      </c>
      <c r="G94" s="97">
        <v>7</v>
      </c>
      <c r="H94" s="96" t="s">
        <v>2882</v>
      </c>
      <c r="I94" s="96"/>
      <c r="J94" s="96"/>
      <c r="K94" s="93" t="s">
        <v>2886</v>
      </c>
      <c r="L94" s="93"/>
      <c r="M94" s="93"/>
      <c r="N94" s="93"/>
      <c r="O94" s="93"/>
      <c r="P94" s="92">
        <v>5510</v>
      </c>
      <c r="Q94" s="92">
        <v>1209</v>
      </c>
      <c r="R94" s="92"/>
      <c r="S94" s="97">
        <v>0</v>
      </c>
      <c r="T94" s="97">
        <v>0</v>
      </c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2779</v>
      </c>
      <c r="F95" s="96" t="s">
        <v>2874</v>
      </c>
      <c r="G95" s="97">
        <v>8</v>
      </c>
      <c r="H95" s="96" t="s">
        <v>2882</v>
      </c>
      <c r="I95" s="96"/>
      <c r="J95" s="96"/>
      <c r="K95" s="93" t="s">
        <v>2887</v>
      </c>
      <c r="L95" s="93"/>
      <c r="M95" s="93"/>
      <c r="N95" s="93"/>
      <c r="O95" s="93"/>
      <c r="P95" s="92">
        <v>2636</v>
      </c>
      <c r="Q95" s="92">
        <v>720</v>
      </c>
      <c r="R95" s="92"/>
      <c r="S95" s="97">
        <v>0</v>
      </c>
      <c r="T95" s="97">
        <v>0</v>
      </c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2779</v>
      </c>
      <c r="F96" s="96" t="s">
        <v>2874</v>
      </c>
      <c r="G96" s="97">
        <v>8</v>
      </c>
      <c r="H96" s="96" t="s">
        <v>2882</v>
      </c>
      <c r="I96" s="96"/>
      <c r="J96" s="96"/>
      <c r="K96" s="93" t="s">
        <v>2888</v>
      </c>
      <c r="L96" s="93"/>
      <c r="M96" s="93"/>
      <c r="N96" s="93"/>
      <c r="O96" s="93"/>
      <c r="P96" s="92">
        <v>2425</v>
      </c>
      <c r="Q96" s="92">
        <v>655</v>
      </c>
      <c r="R96" s="92"/>
      <c r="S96" s="97">
        <v>0</v>
      </c>
      <c r="T96" s="97">
        <v>0</v>
      </c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8">
        <v>91</v>
      </c>
      <c r="B97" s="99" t="s">
        <v>2439</v>
      </c>
      <c r="C97" s="99" t="s">
        <v>117</v>
      </c>
      <c r="D97" s="99" t="s">
        <v>117</v>
      </c>
      <c r="E97" s="100" t="s">
        <v>2779</v>
      </c>
      <c r="F97" s="101" t="s">
        <v>2874</v>
      </c>
      <c r="G97" s="102">
        <v>9</v>
      </c>
      <c r="H97" s="101" t="s">
        <v>2882</v>
      </c>
      <c r="I97" s="101"/>
      <c r="J97" s="101"/>
      <c r="K97" s="103" t="s">
        <v>2889</v>
      </c>
      <c r="L97" s="103"/>
      <c r="M97" s="103"/>
      <c r="N97" s="103"/>
      <c r="O97" s="103"/>
      <c r="P97" s="104">
        <v>2606</v>
      </c>
      <c r="Q97" s="104">
        <v>825</v>
      </c>
      <c r="R97" s="104"/>
      <c r="S97" s="102">
        <v>0</v>
      </c>
      <c r="T97" s="102">
        <v>0</v>
      </c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5"/>
      <c r="AH97" s="106"/>
      <c r="AI97" s="107"/>
      <c r="AJ97" s="107"/>
    </row>
    <row r="98" spans="1:36" x14ac:dyDescent="0.3">
      <c r="A98" s="77">
        <v>92</v>
      </c>
      <c r="B98" s="108" t="s">
        <v>2439</v>
      </c>
      <c r="C98" s="108" t="s">
        <v>117</v>
      </c>
      <c r="D98" s="108" t="s">
        <v>117</v>
      </c>
      <c r="E98" s="109" t="s">
        <v>2779</v>
      </c>
      <c r="F98" s="109" t="s">
        <v>2874</v>
      </c>
      <c r="G98" s="109">
        <v>9</v>
      </c>
      <c r="H98" s="109" t="s">
        <v>2882</v>
      </c>
      <c r="I98" s="109"/>
      <c r="J98" s="109"/>
      <c r="K98" s="109" t="s">
        <v>2890</v>
      </c>
      <c r="L98" s="109"/>
      <c r="M98" s="109"/>
      <c r="N98" s="109"/>
      <c r="O98" s="109"/>
      <c r="P98" s="109">
        <v>2500</v>
      </c>
      <c r="Q98" s="109">
        <v>770</v>
      </c>
      <c r="R98" s="109"/>
      <c r="S98" s="109">
        <v>0</v>
      </c>
      <c r="T98" s="109">
        <v>0</v>
      </c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</row>
    <row r="99" spans="1:36" x14ac:dyDescent="0.3">
      <c r="A99" s="77">
        <v>93</v>
      </c>
      <c r="B99" s="108" t="s">
        <v>2439</v>
      </c>
      <c r="C99" s="108" t="s">
        <v>117</v>
      </c>
      <c r="D99" s="108" t="s">
        <v>117</v>
      </c>
      <c r="E99" s="109" t="s">
        <v>2779</v>
      </c>
      <c r="F99" s="109" t="s">
        <v>2874</v>
      </c>
      <c r="G99" s="109">
        <v>9</v>
      </c>
      <c r="H99" s="109" t="s">
        <v>2882</v>
      </c>
      <c r="I99" s="109"/>
      <c r="J99" s="109"/>
      <c r="K99" s="109" t="s">
        <v>2891</v>
      </c>
      <c r="L99" s="109"/>
      <c r="M99" s="109"/>
      <c r="N99" s="109"/>
      <c r="O99" s="109"/>
      <c r="P99" s="109">
        <v>1769</v>
      </c>
      <c r="Q99" s="109">
        <v>399</v>
      </c>
      <c r="R99" s="109"/>
      <c r="S99" s="109">
        <v>0</v>
      </c>
      <c r="T99" s="109">
        <v>0</v>
      </c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</row>
    <row r="100" spans="1:36" x14ac:dyDescent="0.3">
      <c r="A100" s="77">
        <v>94</v>
      </c>
      <c r="B100" s="108" t="s">
        <v>2439</v>
      </c>
      <c r="C100" s="108" t="s">
        <v>117</v>
      </c>
      <c r="D100" s="108" t="s">
        <v>117</v>
      </c>
      <c r="E100" s="109" t="s">
        <v>2779</v>
      </c>
      <c r="F100" s="109" t="s">
        <v>2892</v>
      </c>
      <c r="G100" s="109" t="s">
        <v>2893</v>
      </c>
      <c r="H100" s="109" t="s">
        <v>2894</v>
      </c>
      <c r="I100" s="109"/>
      <c r="J100" s="109"/>
      <c r="K100" s="109" t="s">
        <v>2892</v>
      </c>
      <c r="L100" s="109"/>
      <c r="M100" s="109"/>
      <c r="N100" s="109"/>
      <c r="O100" s="109"/>
      <c r="P100" s="109">
        <v>12367</v>
      </c>
      <c r="Q100" s="109">
        <v>3855</v>
      </c>
      <c r="R100" s="109"/>
      <c r="S100" s="109">
        <v>0</v>
      </c>
      <c r="T100" s="109">
        <v>0</v>
      </c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</row>
    <row r="101" spans="1:36" x14ac:dyDescent="0.3">
      <c r="A101" s="77">
        <v>95</v>
      </c>
      <c r="B101" s="108" t="s">
        <v>2439</v>
      </c>
      <c r="C101" s="108" t="s">
        <v>117</v>
      </c>
      <c r="D101" s="108" t="s">
        <v>117</v>
      </c>
      <c r="E101" s="109" t="s">
        <v>2779</v>
      </c>
      <c r="F101" s="109" t="s">
        <v>2892</v>
      </c>
      <c r="G101" s="109">
        <v>8</v>
      </c>
      <c r="H101" s="109" t="s">
        <v>2894</v>
      </c>
      <c r="I101" s="109"/>
      <c r="J101" s="109"/>
      <c r="K101" s="109" t="s">
        <v>2895</v>
      </c>
      <c r="L101" s="109"/>
      <c r="M101" s="109"/>
      <c r="N101" s="109"/>
      <c r="O101" s="109"/>
      <c r="P101" s="109">
        <v>1265</v>
      </c>
      <c r="Q101" s="109">
        <v>250</v>
      </c>
      <c r="R101" s="109"/>
      <c r="S101" s="109">
        <v>0</v>
      </c>
      <c r="T101" s="109">
        <v>0</v>
      </c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</row>
    <row r="102" spans="1:36" x14ac:dyDescent="0.3">
      <c r="A102" s="77">
        <v>96</v>
      </c>
      <c r="B102" s="108" t="s">
        <v>2439</v>
      </c>
      <c r="C102" s="108" t="s">
        <v>117</v>
      </c>
      <c r="D102" s="108" t="s">
        <v>117</v>
      </c>
      <c r="E102" s="109" t="s">
        <v>2779</v>
      </c>
      <c r="F102" s="109" t="s">
        <v>2892</v>
      </c>
      <c r="G102" s="109">
        <v>9</v>
      </c>
      <c r="H102" s="109" t="s">
        <v>2894</v>
      </c>
      <c r="I102" s="109"/>
      <c r="J102" s="109"/>
      <c r="K102" s="109" t="s">
        <v>2896</v>
      </c>
      <c r="L102" s="109"/>
      <c r="M102" s="109"/>
      <c r="N102" s="109"/>
      <c r="O102" s="109"/>
      <c r="P102" s="109">
        <v>2275</v>
      </c>
      <c r="Q102" s="109">
        <v>743</v>
      </c>
      <c r="R102" s="109"/>
      <c r="S102" s="109">
        <v>0</v>
      </c>
      <c r="T102" s="109">
        <v>0</v>
      </c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</row>
    <row r="103" spans="1:36" x14ac:dyDescent="0.3">
      <c r="A103" s="77">
        <v>97</v>
      </c>
      <c r="B103" s="108" t="s">
        <v>2439</v>
      </c>
      <c r="C103" s="108" t="s">
        <v>117</v>
      </c>
      <c r="D103" s="108" t="s">
        <v>117</v>
      </c>
      <c r="E103" s="109" t="s">
        <v>2779</v>
      </c>
      <c r="F103" s="109" t="s">
        <v>2897</v>
      </c>
      <c r="G103" s="109" t="s">
        <v>2617</v>
      </c>
      <c r="H103" s="109" t="s">
        <v>2868</v>
      </c>
      <c r="I103" s="109"/>
      <c r="J103" s="109"/>
      <c r="K103" s="109" t="s">
        <v>2898</v>
      </c>
      <c r="L103" s="109"/>
      <c r="M103" s="109"/>
      <c r="N103" s="109"/>
      <c r="O103" s="109"/>
      <c r="P103" s="109">
        <v>4546</v>
      </c>
      <c r="Q103" s="109">
        <v>1025</v>
      </c>
      <c r="R103" s="109"/>
      <c r="S103" s="109">
        <v>0</v>
      </c>
      <c r="T103" s="109">
        <v>0</v>
      </c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</row>
    <row r="104" spans="1:36" x14ac:dyDescent="0.3">
      <c r="A104" s="77">
        <v>98</v>
      </c>
      <c r="B104" s="108" t="s">
        <v>2439</v>
      </c>
      <c r="C104" s="108" t="s">
        <v>117</v>
      </c>
      <c r="D104" s="108" t="s">
        <v>117</v>
      </c>
      <c r="E104" s="109" t="s">
        <v>2779</v>
      </c>
      <c r="F104" s="109" t="s">
        <v>2897</v>
      </c>
      <c r="G104" s="109" t="s">
        <v>2899</v>
      </c>
      <c r="H104" s="109" t="s">
        <v>2868</v>
      </c>
      <c r="I104" s="109"/>
      <c r="J104" s="109"/>
      <c r="K104" s="109" t="s">
        <v>2900</v>
      </c>
      <c r="L104" s="109"/>
      <c r="M104" s="109"/>
      <c r="N104" s="109"/>
      <c r="O104" s="109"/>
      <c r="P104" s="109">
        <v>6448</v>
      </c>
      <c r="Q104" s="109">
        <v>1476</v>
      </c>
      <c r="R104" s="109"/>
      <c r="S104" s="109">
        <v>0</v>
      </c>
      <c r="T104" s="109">
        <v>0</v>
      </c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</row>
    <row r="105" spans="1:36" x14ac:dyDescent="0.3">
      <c r="A105" s="77">
        <v>99</v>
      </c>
      <c r="B105" s="108" t="s">
        <v>2439</v>
      </c>
      <c r="C105" s="108" t="s">
        <v>117</v>
      </c>
      <c r="D105" s="108" t="s">
        <v>117</v>
      </c>
      <c r="E105" s="109" t="s">
        <v>2779</v>
      </c>
      <c r="F105" s="109" t="s">
        <v>2897</v>
      </c>
      <c r="G105" s="109" t="s">
        <v>2901</v>
      </c>
      <c r="H105" s="109" t="s">
        <v>2868</v>
      </c>
      <c r="I105" s="109"/>
      <c r="J105" s="109"/>
      <c r="K105" s="109" t="s">
        <v>2897</v>
      </c>
      <c r="L105" s="109"/>
      <c r="M105" s="109"/>
      <c r="N105" s="109"/>
      <c r="O105" s="109"/>
      <c r="P105" s="109">
        <v>25545</v>
      </c>
      <c r="Q105" s="109">
        <v>7150</v>
      </c>
      <c r="R105" s="109"/>
      <c r="S105" s="109">
        <v>0</v>
      </c>
      <c r="T105" s="109">
        <v>0</v>
      </c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</row>
    <row r="106" spans="1:36" x14ac:dyDescent="0.3">
      <c r="A106" s="77">
        <v>100</v>
      </c>
      <c r="B106" s="108" t="s">
        <v>2439</v>
      </c>
      <c r="C106" s="108" t="s">
        <v>117</v>
      </c>
      <c r="D106" s="108" t="s">
        <v>117</v>
      </c>
      <c r="E106" s="109" t="s">
        <v>2779</v>
      </c>
      <c r="F106" s="109" t="s">
        <v>2897</v>
      </c>
      <c r="G106" s="109">
        <v>9</v>
      </c>
      <c r="H106" s="109" t="s">
        <v>2868</v>
      </c>
      <c r="I106" s="109"/>
      <c r="J106" s="109"/>
      <c r="K106" s="109" t="s">
        <v>2902</v>
      </c>
      <c r="L106" s="109"/>
      <c r="M106" s="109"/>
      <c r="N106" s="109"/>
      <c r="O106" s="109"/>
      <c r="P106" s="109">
        <v>5302</v>
      </c>
      <c r="Q106" s="109">
        <v>1399</v>
      </c>
      <c r="R106" s="109"/>
      <c r="S106" s="109">
        <v>0</v>
      </c>
      <c r="T106" s="109">
        <v>0</v>
      </c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</row>
    <row r="107" spans="1:36" x14ac:dyDescent="0.3">
      <c r="A107" s="77">
        <v>101</v>
      </c>
      <c r="B107" s="108" t="s">
        <v>2439</v>
      </c>
      <c r="C107" s="108" t="s">
        <v>117</v>
      </c>
      <c r="D107" s="108" t="s">
        <v>117</v>
      </c>
      <c r="E107" s="109" t="s">
        <v>2779</v>
      </c>
      <c r="F107" s="109" t="s">
        <v>2903</v>
      </c>
      <c r="G107" s="109">
        <v>1</v>
      </c>
      <c r="H107" s="109" t="s">
        <v>2904</v>
      </c>
      <c r="I107" s="109"/>
      <c r="J107" s="109"/>
      <c r="K107" s="109" t="s">
        <v>2905</v>
      </c>
      <c r="L107" s="109"/>
      <c r="M107" s="109"/>
      <c r="N107" s="109"/>
      <c r="O107" s="109"/>
      <c r="P107" s="109">
        <v>2503</v>
      </c>
      <c r="Q107" s="109">
        <v>822</v>
      </c>
      <c r="R107" s="109"/>
      <c r="S107" s="109">
        <v>0</v>
      </c>
      <c r="T107" s="109">
        <v>0</v>
      </c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x14ac:dyDescent="0.3">
      <c r="A108" s="77">
        <v>102</v>
      </c>
      <c r="B108" s="108" t="s">
        <v>2439</v>
      </c>
      <c r="C108" s="108" t="s">
        <v>117</v>
      </c>
      <c r="D108" s="108" t="s">
        <v>117</v>
      </c>
      <c r="E108" s="109" t="s">
        <v>2779</v>
      </c>
      <c r="F108" s="109" t="s">
        <v>2903</v>
      </c>
      <c r="G108" s="109">
        <v>1</v>
      </c>
      <c r="H108" s="109" t="s">
        <v>2904</v>
      </c>
      <c r="I108" s="109"/>
      <c r="J108" s="109"/>
      <c r="K108" s="109" t="s">
        <v>2903</v>
      </c>
      <c r="L108" s="109"/>
      <c r="M108" s="109"/>
      <c r="N108" s="109"/>
      <c r="O108" s="109"/>
      <c r="P108" s="109">
        <v>1934</v>
      </c>
      <c r="Q108" s="109">
        <v>444</v>
      </c>
      <c r="R108" s="109"/>
      <c r="S108" s="109">
        <v>0</v>
      </c>
      <c r="T108" s="109">
        <v>0</v>
      </c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x14ac:dyDescent="0.3">
      <c r="A109" s="77">
        <v>103</v>
      </c>
      <c r="B109" s="108" t="s">
        <v>2439</v>
      </c>
      <c r="C109" s="108" t="s">
        <v>117</v>
      </c>
      <c r="D109" s="108" t="s">
        <v>117</v>
      </c>
      <c r="E109" s="109" t="s">
        <v>2779</v>
      </c>
      <c r="F109" s="109" t="s">
        <v>2903</v>
      </c>
      <c r="G109" s="109">
        <v>2</v>
      </c>
      <c r="H109" s="109" t="s">
        <v>2904</v>
      </c>
      <c r="I109" s="109"/>
      <c r="J109" s="109"/>
      <c r="K109" s="109" t="s">
        <v>2906</v>
      </c>
      <c r="L109" s="109"/>
      <c r="M109" s="109"/>
      <c r="N109" s="109"/>
      <c r="O109" s="109"/>
      <c r="P109" s="109">
        <v>4000</v>
      </c>
      <c r="Q109" s="109">
        <v>1263</v>
      </c>
      <c r="R109" s="109"/>
      <c r="S109" s="109">
        <v>0</v>
      </c>
      <c r="T109" s="109">
        <v>0</v>
      </c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 spans="1:36" x14ac:dyDescent="0.3">
      <c r="A110" s="77">
        <v>104</v>
      </c>
      <c r="B110" s="108" t="s">
        <v>2439</v>
      </c>
      <c r="C110" s="108" t="s">
        <v>117</v>
      </c>
      <c r="D110" s="108" t="s">
        <v>117</v>
      </c>
      <c r="E110" s="109" t="s">
        <v>2779</v>
      </c>
      <c r="F110" s="109" t="s">
        <v>2903</v>
      </c>
      <c r="G110" s="109">
        <v>3</v>
      </c>
      <c r="H110" s="109" t="s">
        <v>2904</v>
      </c>
      <c r="I110" s="109"/>
      <c r="J110" s="109"/>
      <c r="K110" s="109" t="s">
        <v>2907</v>
      </c>
      <c r="L110" s="109"/>
      <c r="M110" s="109"/>
      <c r="N110" s="109"/>
      <c r="O110" s="109"/>
      <c r="P110" s="109">
        <v>1405</v>
      </c>
      <c r="Q110" s="109">
        <v>750</v>
      </c>
      <c r="R110" s="109"/>
      <c r="S110" s="109">
        <v>0</v>
      </c>
      <c r="T110" s="109">
        <v>0</v>
      </c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</row>
    <row r="111" spans="1:36" x14ac:dyDescent="0.3">
      <c r="A111" s="77">
        <v>105</v>
      </c>
      <c r="B111" s="108" t="s">
        <v>2439</v>
      </c>
      <c r="C111" s="108" t="s">
        <v>117</v>
      </c>
      <c r="D111" s="108" t="s">
        <v>117</v>
      </c>
      <c r="E111" s="109" t="s">
        <v>2779</v>
      </c>
      <c r="F111" s="109" t="s">
        <v>2903</v>
      </c>
      <c r="G111" s="109">
        <v>4</v>
      </c>
      <c r="H111" s="109" t="s">
        <v>2904</v>
      </c>
      <c r="I111" s="109"/>
      <c r="J111" s="109"/>
      <c r="K111" s="109" t="s">
        <v>2908</v>
      </c>
      <c r="L111" s="109"/>
      <c r="M111" s="109"/>
      <c r="N111" s="109"/>
      <c r="O111" s="109"/>
      <c r="P111" s="109">
        <v>3489</v>
      </c>
      <c r="Q111" s="109">
        <v>1344</v>
      </c>
      <c r="R111" s="109"/>
      <c r="S111" s="109">
        <v>0</v>
      </c>
      <c r="T111" s="109">
        <v>0</v>
      </c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</row>
    <row r="112" spans="1:36" x14ac:dyDescent="0.3">
      <c r="A112" s="77">
        <v>106</v>
      </c>
      <c r="B112" s="108" t="s">
        <v>2439</v>
      </c>
      <c r="C112" s="108" t="s">
        <v>117</v>
      </c>
      <c r="D112" s="108" t="s">
        <v>117</v>
      </c>
      <c r="E112" s="109" t="s">
        <v>2779</v>
      </c>
      <c r="F112" s="109" t="s">
        <v>2903</v>
      </c>
      <c r="G112" s="109">
        <v>5</v>
      </c>
      <c r="H112" s="109" t="s">
        <v>2904</v>
      </c>
      <c r="I112" s="109"/>
      <c r="J112" s="109"/>
      <c r="K112" s="109" t="s">
        <v>2909</v>
      </c>
      <c r="L112" s="109"/>
      <c r="M112" s="109"/>
      <c r="N112" s="109"/>
      <c r="O112" s="109"/>
      <c r="P112" s="109">
        <v>3000</v>
      </c>
      <c r="Q112" s="109">
        <v>1420</v>
      </c>
      <c r="R112" s="109"/>
      <c r="S112" s="109">
        <v>0</v>
      </c>
      <c r="T112" s="109">
        <v>0</v>
      </c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6" x14ac:dyDescent="0.3">
      <c r="A113" s="77">
        <v>107</v>
      </c>
      <c r="B113" s="108" t="s">
        <v>2439</v>
      </c>
      <c r="C113" s="108" t="s">
        <v>117</v>
      </c>
      <c r="D113" s="108" t="s">
        <v>117</v>
      </c>
      <c r="E113" s="109" t="s">
        <v>2779</v>
      </c>
      <c r="F113" s="109" t="s">
        <v>2903</v>
      </c>
      <c r="G113" s="109">
        <v>6</v>
      </c>
      <c r="H113" s="109" t="s">
        <v>2910</v>
      </c>
      <c r="I113" s="109"/>
      <c r="J113" s="109"/>
      <c r="K113" s="109" t="s">
        <v>2911</v>
      </c>
      <c r="L113" s="109"/>
      <c r="M113" s="109"/>
      <c r="N113" s="109"/>
      <c r="O113" s="109"/>
      <c r="P113" s="109">
        <v>1834</v>
      </c>
      <c r="Q113" s="109">
        <v>823</v>
      </c>
      <c r="R113" s="109"/>
      <c r="S113" s="109">
        <v>0</v>
      </c>
      <c r="T113" s="109">
        <v>0</v>
      </c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6" x14ac:dyDescent="0.3">
      <c r="A114" s="77">
        <v>108</v>
      </c>
      <c r="B114" s="108" t="s">
        <v>2439</v>
      </c>
      <c r="C114" s="108" t="s">
        <v>117</v>
      </c>
      <c r="D114" s="108" t="s">
        <v>117</v>
      </c>
      <c r="E114" s="109" t="s">
        <v>2779</v>
      </c>
      <c r="F114" s="109" t="s">
        <v>2903</v>
      </c>
      <c r="G114" s="109">
        <v>7</v>
      </c>
      <c r="H114" s="109" t="s">
        <v>2910</v>
      </c>
      <c r="I114" s="109"/>
      <c r="J114" s="109"/>
      <c r="K114" s="109" t="s">
        <v>2912</v>
      </c>
      <c r="L114" s="109"/>
      <c r="M114" s="109"/>
      <c r="N114" s="109"/>
      <c r="O114" s="109"/>
      <c r="P114" s="109">
        <v>4230</v>
      </c>
      <c r="Q114" s="109">
        <v>1510</v>
      </c>
      <c r="R114" s="109"/>
      <c r="S114" s="109">
        <v>0</v>
      </c>
      <c r="T114" s="109">
        <v>0</v>
      </c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</row>
    <row r="115" spans="1:36" x14ac:dyDescent="0.3">
      <c r="A115" s="77">
        <v>109</v>
      </c>
      <c r="B115" s="108" t="s">
        <v>2439</v>
      </c>
      <c r="C115" s="108" t="s">
        <v>117</v>
      </c>
      <c r="D115" s="108" t="s">
        <v>117</v>
      </c>
      <c r="E115" s="109" t="s">
        <v>2779</v>
      </c>
      <c r="F115" s="109" t="s">
        <v>2903</v>
      </c>
      <c r="G115" s="109">
        <v>8</v>
      </c>
      <c r="H115" s="109" t="s">
        <v>2910</v>
      </c>
      <c r="I115" s="109"/>
      <c r="J115" s="109"/>
      <c r="K115" s="109" t="s">
        <v>2913</v>
      </c>
      <c r="L115" s="109"/>
      <c r="M115" s="109"/>
      <c r="N115" s="109"/>
      <c r="O115" s="109"/>
      <c r="P115" s="109">
        <v>1405</v>
      </c>
      <c r="Q115" s="109">
        <v>688</v>
      </c>
      <c r="R115" s="109"/>
      <c r="S115" s="109">
        <v>0</v>
      </c>
      <c r="T115" s="109">
        <v>0</v>
      </c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</row>
    <row r="116" spans="1:36" x14ac:dyDescent="0.3">
      <c r="A116" s="77">
        <v>110</v>
      </c>
      <c r="B116" s="108" t="s">
        <v>2439</v>
      </c>
      <c r="C116" s="108" t="s">
        <v>117</v>
      </c>
      <c r="D116" s="108" t="s">
        <v>117</v>
      </c>
      <c r="E116" s="109" t="s">
        <v>2779</v>
      </c>
      <c r="F116" s="109" t="s">
        <v>2903</v>
      </c>
      <c r="G116" s="109">
        <v>8</v>
      </c>
      <c r="H116" s="109" t="s">
        <v>2910</v>
      </c>
      <c r="I116" s="109"/>
      <c r="J116" s="109"/>
      <c r="K116" s="109" t="s">
        <v>2908</v>
      </c>
      <c r="L116" s="109"/>
      <c r="M116" s="109"/>
      <c r="N116" s="109"/>
      <c r="O116" s="109"/>
      <c r="P116" s="109">
        <v>3589</v>
      </c>
      <c r="Q116" s="109">
        <v>990</v>
      </c>
      <c r="R116" s="109"/>
      <c r="S116" s="109">
        <v>0</v>
      </c>
      <c r="T116" s="109">
        <v>0</v>
      </c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</row>
    <row r="117" spans="1:36" x14ac:dyDescent="0.3">
      <c r="A117" s="77">
        <v>111</v>
      </c>
      <c r="B117" s="108" t="s">
        <v>2439</v>
      </c>
      <c r="C117" s="108" t="s">
        <v>117</v>
      </c>
      <c r="D117" s="108" t="s">
        <v>117</v>
      </c>
      <c r="E117" s="109" t="s">
        <v>2779</v>
      </c>
      <c r="F117" s="109" t="s">
        <v>2903</v>
      </c>
      <c r="G117" s="109">
        <v>9</v>
      </c>
      <c r="H117" s="109" t="s">
        <v>2910</v>
      </c>
      <c r="I117" s="109"/>
      <c r="J117" s="109"/>
      <c r="K117" s="109" t="s">
        <v>2914</v>
      </c>
      <c r="L117" s="109"/>
      <c r="M117" s="109"/>
      <c r="N117" s="109"/>
      <c r="O117" s="109"/>
      <c r="P117" s="109">
        <v>1008</v>
      </c>
      <c r="Q117" s="109">
        <v>302</v>
      </c>
      <c r="R117" s="109"/>
      <c r="S117" s="109">
        <v>1020</v>
      </c>
      <c r="T117" s="109">
        <v>0</v>
      </c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</row>
    <row r="118" spans="1:36" x14ac:dyDescent="0.3">
      <c r="A118" s="77">
        <v>112</v>
      </c>
      <c r="B118" s="108" t="s">
        <v>2439</v>
      </c>
      <c r="C118" s="108" t="s">
        <v>117</v>
      </c>
      <c r="D118" s="108" t="s">
        <v>117</v>
      </c>
      <c r="E118" s="109" t="s">
        <v>2779</v>
      </c>
      <c r="F118" s="109" t="s">
        <v>2903</v>
      </c>
      <c r="G118" s="109">
        <v>9</v>
      </c>
      <c r="H118" s="109" t="s">
        <v>2910</v>
      </c>
      <c r="I118" s="109"/>
      <c r="J118" s="109"/>
      <c r="K118" s="109" t="s">
        <v>2915</v>
      </c>
      <c r="L118" s="109"/>
      <c r="M118" s="109"/>
      <c r="N118" s="109"/>
      <c r="O118" s="109"/>
      <c r="P118" s="109">
        <v>865</v>
      </c>
      <c r="Q118" s="109">
        <v>310</v>
      </c>
      <c r="R118" s="109"/>
      <c r="S118" s="109">
        <v>0</v>
      </c>
      <c r="T118" s="109">
        <v>0</v>
      </c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</row>
    <row r="119" spans="1:36" x14ac:dyDescent="0.3">
      <c r="A119" s="77">
        <v>113</v>
      </c>
      <c r="B119" s="108" t="s">
        <v>2439</v>
      </c>
      <c r="C119" s="108" t="s">
        <v>117</v>
      </c>
      <c r="D119" s="108" t="s">
        <v>117</v>
      </c>
      <c r="E119" s="109" t="s">
        <v>2779</v>
      </c>
      <c r="F119" s="109" t="s">
        <v>2903</v>
      </c>
      <c r="G119" s="109">
        <v>6</v>
      </c>
      <c r="H119" s="109" t="s">
        <v>2910</v>
      </c>
      <c r="I119" s="109"/>
      <c r="J119" s="109"/>
      <c r="K119" s="109" t="s">
        <v>2916</v>
      </c>
      <c r="L119" s="109"/>
      <c r="M119" s="109"/>
      <c r="N119" s="109"/>
      <c r="O119" s="109"/>
      <c r="P119" s="109">
        <v>990</v>
      </c>
      <c r="Q119" s="109">
        <v>314</v>
      </c>
      <c r="R119" s="109"/>
      <c r="S119" s="109">
        <v>0</v>
      </c>
      <c r="T119" s="109">
        <v>0</v>
      </c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</row>
    <row r="120" spans="1:36" x14ac:dyDescent="0.3">
      <c r="A120" s="77">
        <v>114</v>
      </c>
      <c r="B120" s="108" t="s">
        <v>2439</v>
      </c>
      <c r="C120" s="108" t="s">
        <v>117</v>
      </c>
      <c r="D120" s="108" t="s">
        <v>117</v>
      </c>
      <c r="E120" s="109" t="s">
        <v>2779</v>
      </c>
      <c r="F120" s="109" t="s">
        <v>2903</v>
      </c>
      <c r="G120" s="109">
        <v>9</v>
      </c>
      <c r="H120" s="109" t="s">
        <v>2910</v>
      </c>
      <c r="I120" s="109"/>
      <c r="J120" s="109"/>
      <c r="K120" s="109" t="s">
        <v>2917</v>
      </c>
      <c r="L120" s="109"/>
      <c r="M120" s="109"/>
      <c r="N120" s="109"/>
      <c r="O120" s="109"/>
      <c r="P120" s="109">
        <v>597</v>
      </c>
      <c r="Q120" s="109">
        <v>96</v>
      </c>
      <c r="R120" s="109"/>
      <c r="S120" s="109">
        <v>0</v>
      </c>
      <c r="T120" s="109">
        <v>0</v>
      </c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</row>
    <row r="121" spans="1:36" x14ac:dyDescent="0.3">
      <c r="A121" s="77">
        <v>115</v>
      </c>
      <c r="B121" s="108" t="s">
        <v>2439</v>
      </c>
      <c r="C121" s="108" t="s">
        <v>117</v>
      </c>
      <c r="D121" s="108" t="s">
        <v>117</v>
      </c>
      <c r="E121" s="109" t="s">
        <v>2779</v>
      </c>
      <c r="F121" s="109" t="s">
        <v>2918</v>
      </c>
      <c r="G121" s="109" t="s">
        <v>2617</v>
      </c>
      <c r="H121" s="109" t="s">
        <v>2919</v>
      </c>
      <c r="I121" s="109"/>
      <c r="J121" s="109"/>
      <c r="K121" s="109" t="s">
        <v>2920</v>
      </c>
      <c r="L121" s="109"/>
      <c r="M121" s="109"/>
      <c r="N121" s="109"/>
      <c r="O121" s="109"/>
      <c r="P121" s="109">
        <v>9976</v>
      </c>
      <c r="Q121" s="109">
        <v>3076</v>
      </c>
      <c r="R121" s="109"/>
      <c r="S121" s="109">
        <v>0</v>
      </c>
      <c r="T121" s="109">
        <v>0</v>
      </c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</row>
    <row r="122" spans="1:36" x14ac:dyDescent="0.3">
      <c r="A122" s="77">
        <v>116</v>
      </c>
      <c r="B122" s="108" t="s">
        <v>2439</v>
      </c>
      <c r="C122" s="108" t="s">
        <v>117</v>
      </c>
      <c r="D122" s="108" t="s">
        <v>117</v>
      </c>
      <c r="E122" s="109" t="s">
        <v>2779</v>
      </c>
      <c r="F122" s="109" t="s">
        <v>2918</v>
      </c>
      <c r="G122" s="109">
        <v>3</v>
      </c>
      <c r="H122" s="109" t="s">
        <v>2919</v>
      </c>
      <c r="I122" s="109"/>
      <c r="J122" s="109"/>
      <c r="K122" s="109" t="s">
        <v>2921</v>
      </c>
      <c r="L122" s="109"/>
      <c r="M122" s="109"/>
      <c r="N122" s="109"/>
      <c r="O122" s="109"/>
      <c r="P122" s="109">
        <v>2633</v>
      </c>
      <c r="Q122" s="109">
        <v>990</v>
      </c>
      <c r="R122" s="109"/>
      <c r="S122" s="109">
        <v>0</v>
      </c>
      <c r="T122" s="109">
        <v>0</v>
      </c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</row>
    <row r="123" spans="1:36" x14ac:dyDescent="0.3">
      <c r="A123" s="77">
        <v>117</v>
      </c>
      <c r="B123" s="108" t="s">
        <v>2439</v>
      </c>
      <c r="C123" s="108" t="s">
        <v>117</v>
      </c>
      <c r="D123" s="108" t="s">
        <v>117</v>
      </c>
      <c r="E123" s="109" t="s">
        <v>2779</v>
      </c>
      <c r="F123" s="109" t="s">
        <v>2918</v>
      </c>
      <c r="G123" s="109">
        <v>4</v>
      </c>
      <c r="H123" s="109" t="s">
        <v>2919</v>
      </c>
      <c r="I123" s="109"/>
      <c r="J123" s="109"/>
      <c r="K123" s="109" t="s">
        <v>2922</v>
      </c>
      <c r="L123" s="109"/>
      <c r="M123" s="109"/>
      <c r="N123" s="109"/>
      <c r="O123" s="109"/>
      <c r="P123" s="109">
        <v>2530</v>
      </c>
      <c r="Q123" s="109">
        <v>745</v>
      </c>
      <c r="R123" s="109"/>
      <c r="S123" s="109">
        <v>0</v>
      </c>
      <c r="T123" s="109">
        <v>0</v>
      </c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</row>
    <row r="124" spans="1:36" x14ac:dyDescent="0.3">
      <c r="A124" s="77">
        <v>118</v>
      </c>
      <c r="B124" s="108" t="s">
        <v>2439</v>
      </c>
      <c r="C124" s="108" t="s">
        <v>117</v>
      </c>
      <c r="D124" s="108" t="s">
        <v>117</v>
      </c>
      <c r="E124" s="109" t="s">
        <v>2779</v>
      </c>
      <c r="F124" s="109" t="s">
        <v>2918</v>
      </c>
      <c r="G124" s="109">
        <v>5</v>
      </c>
      <c r="H124" s="109" t="s">
        <v>2919</v>
      </c>
      <c r="I124" s="109"/>
      <c r="J124" s="109"/>
      <c r="K124" s="109" t="s">
        <v>2923</v>
      </c>
      <c r="L124" s="109"/>
      <c r="M124" s="109"/>
      <c r="N124" s="109"/>
      <c r="O124" s="109"/>
      <c r="P124" s="109">
        <v>2725</v>
      </c>
      <c r="Q124" s="109">
        <v>1088</v>
      </c>
      <c r="R124" s="109"/>
      <c r="S124" s="109">
        <v>0</v>
      </c>
      <c r="T124" s="109">
        <v>0</v>
      </c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</row>
    <row r="125" spans="1:36" x14ac:dyDescent="0.3">
      <c r="A125" s="77">
        <v>119</v>
      </c>
      <c r="B125" s="108" t="s">
        <v>2439</v>
      </c>
      <c r="C125" s="108" t="s">
        <v>117</v>
      </c>
      <c r="D125" s="108" t="s">
        <v>117</v>
      </c>
      <c r="E125" s="109" t="s">
        <v>2779</v>
      </c>
      <c r="F125" s="109" t="s">
        <v>2918</v>
      </c>
      <c r="G125" s="109">
        <v>6</v>
      </c>
      <c r="H125" s="109" t="s">
        <v>2919</v>
      </c>
      <c r="I125" s="109"/>
      <c r="J125" s="109"/>
      <c r="K125" s="109" t="s">
        <v>2924</v>
      </c>
      <c r="L125" s="109"/>
      <c r="M125" s="109"/>
      <c r="N125" s="109"/>
      <c r="O125" s="109"/>
      <c r="P125" s="109">
        <v>2800</v>
      </c>
      <c r="Q125" s="109">
        <v>611</v>
      </c>
      <c r="R125" s="109"/>
      <c r="S125" s="109">
        <v>0</v>
      </c>
      <c r="T125" s="109">
        <v>0</v>
      </c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</row>
    <row r="126" spans="1:36" x14ac:dyDescent="0.3">
      <c r="A126" s="77">
        <v>120</v>
      </c>
      <c r="B126" s="108" t="s">
        <v>2439</v>
      </c>
      <c r="C126" s="108" t="s">
        <v>117</v>
      </c>
      <c r="D126" s="108" t="s">
        <v>117</v>
      </c>
      <c r="E126" s="109" t="s">
        <v>2779</v>
      </c>
      <c r="F126" s="109" t="s">
        <v>2918</v>
      </c>
      <c r="G126" s="109">
        <v>7</v>
      </c>
      <c r="H126" s="109" t="s">
        <v>2919</v>
      </c>
      <c r="I126" s="109"/>
      <c r="J126" s="109"/>
      <c r="K126" s="109" t="s">
        <v>2918</v>
      </c>
      <c r="L126" s="109"/>
      <c r="M126" s="109"/>
      <c r="N126" s="109"/>
      <c r="O126" s="109"/>
      <c r="P126" s="109">
        <v>4700</v>
      </c>
      <c r="Q126" s="109">
        <v>1300</v>
      </c>
      <c r="R126" s="109"/>
      <c r="S126" s="109">
        <v>0</v>
      </c>
      <c r="T126" s="109">
        <v>0</v>
      </c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</row>
    <row r="127" spans="1:36" x14ac:dyDescent="0.3">
      <c r="A127" s="77">
        <v>121</v>
      </c>
      <c r="B127" s="108" t="s">
        <v>2439</v>
      </c>
      <c r="C127" s="108" t="s">
        <v>117</v>
      </c>
      <c r="D127" s="108" t="s">
        <v>117</v>
      </c>
      <c r="E127" s="109" t="s">
        <v>2779</v>
      </c>
      <c r="F127" s="109" t="s">
        <v>2918</v>
      </c>
      <c r="G127" s="109">
        <v>8</v>
      </c>
      <c r="H127" s="109" t="s">
        <v>2919</v>
      </c>
      <c r="I127" s="109"/>
      <c r="J127" s="109"/>
      <c r="K127" s="109" t="s">
        <v>2925</v>
      </c>
      <c r="L127" s="109"/>
      <c r="M127" s="109"/>
      <c r="N127" s="109"/>
      <c r="O127" s="109"/>
      <c r="P127" s="109">
        <v>2079</v>
      </c>
      <c r="Q127" s="109">
        <v>762</v>
      </c>
      <c r="R127" s="109"/>
      <c r="S127" s="109">
        <v>0</v>
      </c>
      <c r="T127" s="109">
        <v>0</v>
      </c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</row>
    <row r="128" spans="1:36" x14ac:dyDescent="0.3">
      <c r="A128" s="77">
        <v>122</v>
      </c>
      <c r="B128" s="108" t="s">
        <v>2439</v>
      </c>
      <c r="C128" s="108" t="s">
        <v>117</v>
      </c>
      <c r="D128" s="108" t="s">
        <v>117</v>
      </c>
      <c r="E128" s="109" t="s">
        <v>2779</v>
      </c>
      <c r="F128" s="109" t="s">
        <v>2918</v>
      </c>
      <c r="G128" s="109">
        <v>9</v>
      </c>
      <c r="H128" s="109" t="s">
        <v>2919</v>
      </c>
      <c r="I128" s="109"/>
      <c r="J128" s="109"/>
      <c r="K128" s="109" t="s">
        <v>2926</v>
      </c>
      <c r="L128" s="109"/>
      <c r="M128" s="109"/>
      <c r="N128" s="109"/>
      <c r="O128" s="109"/>
      <c r="P128" s="109">
        <v>2309</v>
      </c>
      <c r="Q128" s="109">
        <v>700</v>
      </c>
      <c r="R128" s="109"/>
      <c r="S128" s="109">
        <v>0</v>
      </c>
      <c r="T128" s="109">
        <v>0</v>
      </c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</row>
    <row r="129" spans="1:36" x14ac:dyDescent="0.3">
      <c r="A129" s="77">
        <v>123</v>
      </c>
      <c r="B129" s="108" t="s">
        <v>2439</v>
      </c>
      <c r="C129" s="108" t="s">
        <v>117</v>
      </c>
      <c r="D129" s="108" t="s">
        <v>117</v>
      </c>
      <c r="E129" s="109" t="s">
        <v>2779</v>
      </c>
      <c r="F129" s="109" t="s">
        <v>2927</v>
      </c>
      <c r="G129" s="109" t="s">
        <v>2928</v>
      </c>
      <c r="H129" s="109" t="s">
        <v>2929</v>
      </c>
      <c r="I129" s="109"/>
      <c r="J129" s="109"/>
      <c r="K129" s="109" t="s">
        <v>2930</v>
      </c>
      <c r="L129" s="109"/>
      <c r="M129" s="109"/>
      <c r="N129" s="109"/>
      <c r="O129" s="109"/>
      <c r="P129" s="109">
        <v>43084</v>
      </c>
      <c r="Q129" s="109">
        <v>13202</v>
      </c>
      <c r="R129" s="109"/>
      <c r="S129" s="109">
        <v>0</v>
      </c>
      <c r="T129" s="109">
        <v>0</v>
      </c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</row>
    <row r="130" spans="1:36" x14ac:dyDescent="0.3">
      <c r="A130" s="77">
        <v>124</v>
      </c>
      <c r="B130" s="108" t="s">
        <v>2439</v>
      </c>
      <c r="C130" s="108" t="s">
        <v>117</v>
      </c>
      <c r="D130" s="108" t="s">
        <v>117</v>
      </c>
      <c r="E130" s="109" t="s">
        <v>2779</v>
      </c>
      <c r="F130" s="109" t="s">
        <v>2927</v>
      </c>
      <c r="G130" s="109" t="s">
        <v>2931</v>
      </c>
      <c r="H130" s="109" t="s">
        <v>2929</v>
      </c>
      <c r="I130" s="109"/>
      <c r="J130" s="109"/>
      <c r="K130" s="109" t="s">
        <v>2927</v>
      </c>
      <c r="L130" s="109"/>
      <c r="M130" s="109"/>
      <c r="N130" s="109"/>
      <c r="O130" s="109"/>
      <c r="P130" s="109">
        <v>29320</v>
      </c>
      <c r="Q130" s="109">
        <v>8023</v>
      </c>
      <c r="R130" s="109"/>
      <c r="S130" s="109">
        <v>0</v>
      </c>
      <c r="T130" s="109">
        <v>0</v>
      </c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</row>
    <row r="131" spans="1:36" x14ac:dyDescent="0.3">
      <c r="A131" s="77">
        <v>125</v>
      </c>
      <c r="B131" s="108" t="s">
        <v>2439</v>
      </c>
      <c r="C131" s="108" t="s">
        <v>117</v>
      </c>
      <c r="D131" s="108" t="s">
        <v>117</v>
      </c>
      <c r="E131" s="109" t="s">
        <v>2779</v>
      </c>
      <c r="F131" s="109" t="s">
        <v>2932</v>
      </c>
      <c r="G131" s="109">
        <v>1</v>
      </c>
      <c r="H131" s="109" t="s">
        <v>2933</v>
      </c>
      <c r="I131" s="109"/>
      <c r="J131" s="109"/>
      <c r="K131" s="109" t="s">
        <v>2934</v>
      </c>
      <c r="L131" s="109"/>
      <c r="M131" s="109"/>
      <c r="N131" s="109"/>
      <c r="O131" s="109"/>
      <c r="P131" s="109">
        <v>3480</v>
      </c>
      <c r="Q131" s="109">
        <v>956</v>
      </c>
      <c r="R131" s="109"/>
      <c r="S131" s="109">
        <v>0</v>
      </c>
      <c r="T131" s="109">
        <v>0</v>
      </c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</row>
    <row r="132" spans="1:36" x14ac:dyDescent="0.3">
      <c r="A132" s="77">
        <v>126</v>
      </c>
      <c r="B132" s="108" t="s">
        <v>2439</v>
      </c>
      <c r="C132" s="108" t="s">
        <v>117</v>
      </c>
      <c r="D132" s="108" t="s">
        <v>117</v>
      </c>
      <c r="E132" s="109" t="s">
        <v>2779</v>
      </c>
      <c r="F132" s="109" t="s">
        <v>2932</v>
      </c>
      <c r="G132" s="109">
        <v>1</v>
      </c>
      <c r="H132" s="109" t="s">
        <v>2933</v>
      </c>
      <c r="I132" s="109"/>
      <c r="J132" s="109"/>
      <c r="K132" s="109" t="s">
        <v>2935</v>
      </c>
      <c r="L132" s="109"/>
      <c r="M132" s="109"/>
      <c r="N132" s="109"/>
      <c r="O132" s="109"/>
      <c r="P132" s="109">
        <v>2488</v>
      </c>
      <c r="Q132" s="109">
        <v>636</v>
      </c>
      <c r="R132" s="109"/>
      <c r="S132" s="109">
        <v>0</v>
      </c>
      <c r="T132" s="109">
        <v>0</v>
      </c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</row>
    <row r="133" spans="1:36" x14ac:dyDescent="0.3">
      <c r="A133" s="77">
        <v>127</v>
      </c>
      <c r="B133" s="108" t="s">
        <v>2439</v>
      </c>
      <c r="C133" s="108" t="s">
        <v>117</v>
      </c>
      <c r="D133" s="108" t="s">
        <v>117</v>
      </c>
      <c r="E133" s="109" t="s">
        <v>2779</v>
      </c>
      <c r="F133" s="109" t="s">
        <v>2932</v>
      </c>
      <c r="G133" s="109">
        <v>2</v>
      </c>
      <c r="H133" s="109" t="s">
        <v>2933</v>
      </c>
      <c r="I133" s="109"/>
      <c r="J133" s="109"/>
      <c r="K133" s="109" t="s">
        <v>2936</v>
      </c>
      <c r="L133" s="109"/>
      <c r="M133" s="109"/>
      <c r="N133" s="109"/>
      <c r="O133" s="109"/>
      <c r="P133" s="109">
        <v>2249</v>
      </c>
      <c r="Q133" s="109">
        <v>761</v>
      </c>
      <c r="R133" s="109"/>
      <c r="S133" s="109">
        <v>0</v>
      </c>
      <c r="T133" s="109">
        <v>0</v>
      </c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</row>
    <row r="134" spans="1:36" x14ac:dyDescent="0.3">
      <c r="A134" s="77">
        <v>128</v>
      </c>
      <c r="B134" s="108" t="s">
        <v>2439</v>
      </c>
      <c r="C134" s="108" t="s">
        <v>117</v>
      </c>
      <c r="D134" s="108" t="s">
        <v>117</v>
      </c>
      <c r="E134" s="109" t="s">
        <v>2779</v>
      </c>
      <c r="F134" s="109" t="s">
        <v>2932</v>
      </c>
      <c r="G134" s="109">
        <v>2</v>
      </c>
      <c r="H134" s="109" t="s">
        <v>2933</v>
      </c>
      <c r="I134" s="109"/>
      <c r="J134" s="109"/>
      <c r="K134" s="109" t="s">
        <v>2937</v>
      </c>
      <c r="L134" s="109"/>
      <c r="M134" s="109"/>
      <c r="N134" s="109"/>
      <c r="O134" s="109"/>
      <c r="P134" s="109">
        <v>2240</v>
      </c>
      <c r="Q134" s="109">
        <v>576</v>
      </c>
      <c r="R134" s="109"/>
      <c r="S134" s="109">
        <v>0</v>
      </c>
      <c r="T134" s="109">
        <v>0</v>
      </c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</row>
    <row r="135" spans="1:36" x14ac:dyDescent="0.3">
      <c r="A135" s="77">
        <v>129</v>
      </c>
      <c r="B135" s="108" t="s">
        <v>2439</v>
      </c>
      <c r="C135" s="108" t="s">
        <v>117</v>
      </c>
      <c r="D135" s="108" t="s">
        <v>117</v>
      </c>
      <c r="E135" s="109" t="s">
        <v>2779</v>
      </c>
      <c r="F135" s="109" t="s">
        <v>2932</v>
      </c>
      <c r="G135" s="109">
        <v>3</v>
      </c>
      <c r="H135" s="109" t="s">
        <v>2933</v>
      </c>
      <c r="I135" s="109"/>
      <c r="J135" s="109"/>
      <c r="K135" s="109" t="s">
        <v>2938</v>
      </c>
      <c r="L135" s="109"/>
      <c r="M135" s="109"/>
      <c r="N135" s="109"/>
      <c r="O135" s="109"/>
      <c r="P135" s="109">
        <v>2453</v>
      </c>
      <c r="Q135" s="109">
        <v>665</v>
      </c>
      <c r="R135" s="109"/>
      <c r="S135" s="109">
        <v>0</v>
      </c>
      <c r="T135" s="109">
        <v>0</v>
      </c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</row>
    <row r="136" spans="1:36" x14ac:dyDescent="0.3">
      <c r="A136" s="77">
        <v>130</v>
      </c>
      <c r="B136" s="108" t="s">
        <v>2439</v>
      </c>
      <c r="C136" s="108" t="s">
        <v>117</v>
      </c>
      <c r="D136" s="108" t="s">
        <v>117</v>
      </c>
      <c r="E136" s="109" t="s">
        <v>2779</v>
      </c>
      <c r="F136" s="109" t="s">
        <v>2932</v>
      </c>
      <c r="G136" s="109">
        <v>3</v>
      </c>
      <c r="H136" s="109" t="s">
        <v>2933</v>
      </c>
      <c r="I136" s="109"/>
      <c r="J136" s="109"/>
      <c r="K136" s="109" t="s">
        <v>2939</v>
      </c>
      <c r="L136" s="109"/>
      <c r="M136" s="109"/>
      <c r="N136" s="109"/>
      <c r="O136" s="109"/>
      <c r="P136" s="109">
        <v>1451</v>
      </c>
      <c r="Q136" s="109">
        <v>410</v>
      </c>
      <c r="R136" s="109"/>
      <c r="S136" s="109">
        <v>0</v>
      </c>
      <c r="T136" s="109">
        <v>0</v>
      </c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</row>
    <row r="137" spans="1:36" x14ac:dyDescent="0.3">
      <c r="A137" s="77">
        <v>131</v>
      </c>
      <c r="B137" s="108" t="s">
        <v>2439</v>
      </c>
      <c r="C137" s="108" t="s">
        <v>117</v>
      </c>
      <c r="D137" s="108" t="s">
        <v>117</v>
      </c>
      <c r="E137" s="109" t="s">
        <v>2779</v>
      </c>
      <c r="F137" s="109" t="s">
        <v>2932</v>
      </c>
      <c r="G137" s="109">
        <v>4</v>
      </c>
      <c r="H137" s="109" t="s">
        <v>2933</v>
      </c>
      <c r="I137" s="109"/>
      <c r="J137" s="109"/>
      <c r="K137" s="109" t="s">
        <v>2940</v>
      </c>
      <c r="L137" s="109"/>
      <c r="M137" s="109"/>
      <c r="N137" s="109"/>
      <c r="O137" s="109"/>
      <c r="P137" s="109">
        <v>1440</v>
      </c>
      <c r="Q137" s="109">
        <v>468</v>
      </c>
      <c r="R137" s="109"/>
      <c r="S137" s="109">
        <v>0</v>
      </c>
      <c r="T137" s="109">
        <v>0</v>
      </c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</row>
    <row r="138" spans="1:36" x14ac:dyDescent="0.3">
      <c r="A138" s="77">
        <v>132</v>
      </c>
      <c r="B138" s="108" t="s">
        <v>2439</v>
      </c>
      <c r="C138" s="108" t="s">
        <v>117</v>
      </c>
      <c r="D138" s="108" t="s">
        <v>117</v>
      </c>
      <c r="E138" s="109" t="s">
        <v>2779</v>
      </c>
      <c r="F138" s="109" t="s">
        <v>2932</v>
      </c>
      <c r="G138" s="109">
        <v>5</v>
      </c>
      <c r="H138" s="109" t="s">
        <v>2933</v>
      </c>
      <c r="I138" s="109"/>
      <c r="J138" s="109"/>
      <c r="K138" s="109" t="s">
        <v>2941</v>
      </c>
      <c r="L138" s="109"/>
      <c r="M138" s="109"/>
      <c r="N138" s="109"/>
      <c r="O138" s="109"/>
      <c r="P138" s="109">
        <v>1374</v>
      </c>
      <c r="Q138" s="109">
        <v>572</v>
      </c>
      <c r="R138" s="109"/>
      <c r="S138" s="109">
        <v>0</v>
      </c>
      <c r="T138" s="109">
        <v>0</v>
      </c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</row>
    <row r="139" spans="1:36" x14ac:dyDescent="0.3">
      <c r="A139" s="77">
        <v>133</v>
      </c>
      <c r="B139" s="108" t="s">
        <v>2439</v>
      </c>
      <c r="C139" s="108" t="s">
        <v>117</v>
      </c>
      <c r="D139" s="108" t="s">
        <v>117</v>
      </c>
      <c r="E139" s="109" t="s">
        <v>2779</v>
      </c>
      <c r="F139" s="109" t="s">
        <v>2932</v>
      </c>
      <c r="G139" s="109">
        <v>5</v>
      </c>
      <c r="H139" s="109" t="s">
        <v>2933</v>
      </c>
      <c r="I139" s="109"/>
      <c r="J139" s="109"/>
      <c r="K139" s="109" t="s">
        <v>2942</v>
      </c>
      <c r="L139" s="109"/>
      <c r="M139" s="109"/>
      <c r="N139" s="109"/>
      <c r="O139" s="109"/>
      <c r="P139" s="109">
        <v>1492</v>
      </c>
      <c r="Q139" s="109">
        <v>565</v>
      </c>
      <c r="R139" s="109"/>
      <c r="S139" s="109">
        <v>0</v>
      </c>
      <c r="T139" s="109">
        <v>0</v>
      </c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</row>
    <row r="140" spans="1:36" x14ac:dyDescent="0.3">
      <c r="A140" s="77">
        <v>134</v>
      </c>
      <c r="B140" s="108" t="s">
        <v>2439</v>
      </c>
      <c r="C140" s="108" t="s">
        <v>117</v>
      </c>
      <c r="D140" s="108" t="s">
        <v>117</v>
      </c>
      <c r="E140" s="109" t="s">
        <v>2779</v>
      </c>
      <c r="F140" s="109" t="s">
        <v>2932</v>
      </c>
      <c r="G140" s="109">
        <v>6</v>
      </c>
      <c r="H140" s="109" t="s">
        <v>2933</v>
      </c>
      <c r="I140" s="109"/>
      <c r="J140" s="109"/>
      <c r="K140" s="109" t="s">
        <v>2943</v>
      </c>
      <c r="L140" s="109"/>
      <c r="M140" s="109"/>
      <c r="N140" s="109"/>
      <c r="O140" s="109"/>
      <c r="P140" s="109">
        <v>3200</v>
      </c>
      <c r="Q140" s="109">
        <v>864</v>
      </c>
      <c r="R140" s="109"/>
      <c r="S140" s="109">
        <v>0</v>
      </c>
      <c r="T140" s="109">
        <v>0</v>
      </c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</row>
    <row r="141" spans="1:36" x14ac:dyDescent="0.3">
      <c r="A141" s="77">
        <v>135</v>
      </c>
      <c r="B141" s="108" t="s">
        <v>2439</v>
      </c>
      <c r="C141" s="108" t="s">
        <v>117</v>
      </c>
      <c r="D141" s="108" t="s">
        <v>117</v>
      </c>
      <c r="E141" s="109" t="s">
        <v>2779</v>
      </c>
      <c r="F141" s="109" t="s">
        <v>2932</v>
      </c>
      <c r="G141" s="109">
        <v>7</v>
      </c>
      <c r="H141" s="109" t="s">
        <v>2933</v>
      </c>
      <c r="I141" s="109"/>
      <c r="J141" s="109"/>
      <c r="K141" s="109" t="s">
        <v>2944</v>
      </c>
      <c r="L141" s="109"/>
      <c r="M141" s="109"/>
      <c r="N141" s="109"/>
      <c r="O141" s="109"/>
      <c r="P141" s="109">
        <v>2516</v>
      </c>
      <c r="Q141" s="109">
        <v>901</v>
      </c>
      <c r="R141" s="109"/>
      <c r="S141" s="109">
        <v>0</v>
      </c>
      <c r="T141" s="109">
        <v>0</v>
      </c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</row>
    <row r="142" spans="1:36" x14ac:dyDescent="0.3">
      <c r="A142" s="77">
        <v>136</v>
      </c>
      <c r="B142" s="108" t="s">
        <v>2439</v>
      </c>
      <c r="C142" s="108" t="s">
        <v>117</v>
      </c>
      <c r="D142" s="108" t="s">
        <v>117</v>
      </c>
      <c r="E142" s="109" t="s">
        <v>2779</v>
      </c>
      <c r="F142" s="109" t="s">
        <v>2932</v>
      </c>
      <c r="G142" s="109">
        <v>8</v>
      </c>
      <c r="H142" s="109" t="s">
        <v>2933</v>
      </c>
      <c r="I142" s="109"/>
      <c r="J142" s="109"/>
      <c r="K142" s="109" t="s">
        <v>2898</v>
      </c>
      <c r="L142" s="109"/>
      <c r="M142" s="109"/>
      <c r="N142" s="109"/>
      <c r="O142" s="109"/>
      <c r="P142" s="109">
        <v>2890</v>
      </c>
      <c r="Q142" s="109">
        <v>890</v>
      </c>
      <c r="R142" s="109"/>
      <c r="S142" s="109">
        <v>0</v>
      </c>
      <c r="T142" s="109">
        <v>0</v>
      </c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</row>
    <row r="143" spans="1:36" x14ac:dyDescent="0.3">
      <c r="A143" s="77">
        <v>137</v>
      </c>
      <c r="B143" s="108" t="s">
        <v>2439</v>
      </c>
      <c r="C143" s="108" t="s">
        <v>117</v>
      </c>
      <c r="D143" s="108" t="s">
        <v>117</v>
      </c>
      <c r="E143" s="109" t="s">
        <v>2779</v>
      </c>
      <c r="F143" s="109" t="s">
        <v>2932</v>
      </c>
      <c r="G143" s="109">
        <v>9</v>
      </c>
      <c r="H143" s="109" t="s">
        <v>2933</v>
      </c>
      <c r="I143" s="109"/>
      <c r="J143" s="109"/>
      <c r="K143" s="109" t="s">
        <v>2941</v>
      </c>
      <c r="L143" s="109"/>
      <c r="M143" s="109"/>
      <c r="N143" s="109"/>
      <c r="O143" s="109"/>
      <c r="P143" s="109">
        <v>3480</v>
      </c>
      <c r="Q143" s="109">
        <v>1290</v>
      </c>
      <c r="R143" s="109"/>
      <c r="S143" s="109">
        <v>0</v>
      </c>
      <c r="T143" s="109">
        <v>0</v>
      </c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</row>
    <row r="144" spans="1:36" x14ac:dyDescent="0.3">
      <c r="A144" s="77">
        <v>138</v>
      </c>
      <c r="B144" s="108" t="s">
        <v>2439</v>
      </c>
      <c r="C144" s="108" t="s">
        <v>117</v>
      </c>
      <c r="D144" s="108" t="s">
        <v>117</v>
      </c>
      <c r="E144" s="109" t="s">
        <v>2779</v>
      </c>
      <c r="F144" s="109" t="s">
        <v>2945</v>
      </c>
      <c r="G144" s="109" t="s">
        <v>2946</v>
      </c>
      <c r="H144" s="109" t="s">
        <v>2947</v>
      </c>
      <c r="I144" s="109"/>
      <c r="J144" s="109"/>
      <c r="K144" s="109" t="s">
        <v>2945</v>
      </c>
      <c r="L144" s="109"/>
      <c r="M144" s="109"/>
      <c r="N144" s="109"/>
      <c r="O144" s="109"/>
      <c r="P144" s="109">
        <v>19863</v>
      </c>
      <c r="Q144" s="109">
        <v>4287</v>
      </c>
      <c r="R144" s="109"/>
      <c r="S144" s="109">
        <v>0</v>
      </c>
      <c r="T144" s="109">
        <v>0</v>
      </c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</row>
    <row r="145" spans="1:36" x14ac:dyDescent="0.3">
      <c r="A145" s="77">
        <v>139</v>
      </c>
      <c r="B145" s="108" t="s">
        <v>2439</v>
      </c>
      <c r="C145" s="108" t="s">
        <v>117</v>
      </c>
      <c r="D145" s="108" t="s">
        <v>117</v>
      </c>
      <c r="E145" s="109" t="s">
        <v>2779</v>
      </c>
      <c r="F145" s="109" t="s">
        <v>2945</v>
      </c>
      <c r="G145" s="109">
        <v>9</v>
      </c>
      <c r="H145" s="109" t="s">
        <v>2947</v>
      </c>
      <c r="I145" s="109"/>
      <c r="J145" s="109"/>
      <c r="K145" s="109" t="s">
        <v>2902</v>
      </c>
      <c r="L145" s="109"/>
      <c r="M145" s="109"/>
      <c r="N145" s="109"/>
      <c r="O145" s="109"/>
      <c r="P145" s="109">
        <v>810</v>
      </c>
      <c r="Q145" s="109">
        <v>268</v>
      </c>
      <c r="R145" s="109"/>
      <c r="S145" s="109">
        <v>0</v>
      </c>
      <c r="T145" s="109">
        <v>0</v>
      </c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</row>
    <row r="146" spans="1:36" x14ac:dyDescent="0.3">
      <c r="A146" s="77">
        <v>140</v>
      </c>
      <c r="B146" s="108" t="s">
        <v>2439</v>
      </c>
      <c r="C146" s="108" t="s">
        <v>117</v>
      </c>
      <c r="D146" s="108" t="s">
        <v>117</v>
      </c>
      <c r="E146" s="109" t="s">
        <v>2779</v>
      </c>
      <c r="F146" s="109" t="s">
        <v>2948</v>
      </c>
      <c r="G146" s="109" t="s">
        <v>2949</v>
      </c>
      <c r="H146" s="109" t="s">
        <v>2868</v>
      </c>
      <c r="I146" s="109"/>
      <c r="J146" s="109"/>
      <c r="K146" s="109" t="s">
        <v>2950</v>
      </c>
      <c r="L146" s="109"/>
      <c r="M146" s="109"/>
      <c r="N146" s="109"/>
      <c r="O146" s="109"/>
      <c r="P146" s="109">
        <v>10097</v>
      </c>
      <c r="Q146" s="109">
        <v>3424</v>
      </c>
      <c r="R146" s="109"/>
      <c r="S146" s="109">
        <v>0</v>
      </c>
      <c r="T146" s="109">
        <v>0</v>
      </c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</row>
    <row r="147" spans="1:36" x14ac:dyDescent="0.3">
      <c r="A147" s="77">
        <v>141</v>
      </c>
      <c r="B147" s="108" t="s">
        <v>2439</v>
      </c>
      <c r="C147" s="108" t="s">
        <v>117</v>
      </c>
      <c r="D147" s="108" t="s">
        <v>117</v>
      </c>
      <c r="E147" s="109" t="s">
        <v>2779</v>
      </c>
      <c r="F147" s="109" t="s">
        <v>2948</v>
      </c>
      <c r="G147" s="109" t="s">
        <v>2951</v>
      </c>
      <c r="H147" s="109" t="s">
        <v>2868</v>
      </c>
      <c r="I147" s="109"/>
      <c r="J147" s="109"/>
      <c r="K147" s="109" t="s">
        <v>2952</v>
      </c>
      <c r="L147" s="109"/>
      <c r="M147" s="109"/>
      <c r="N147" s="109"/>
      <c r="O147" s="109"/>
      <c r="P147" s="109">
        <v>9847</v>
      </c>
      <c r="Q147" s="109">
        <v>1472</v>
      </c>
      <c r="R147" s="109"/>
      <c r="S147" s="109">
        <v>0</v>
      </c>
      <c r="T147" s="109">
        <v>0</v>
      </c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</row>
    <row r="148" spans="1:36" x14ac:dyDescent="0.3">
      <c r="A148" s="77">
        <v>142</v>
      </c>
      <c r="B148" s="108" t="s">
        <v>2439</v>
      </c>
      <c r="C148" s="108" t="s">
        <v>117</v>
      </c>
      <c r="D148" s="108" t="s">
        <v>117</v>
      </c>
      <c r="E148" s="109" t="s">
        <v>2779</v>
      </c>
      <c r="F148" s="109" t="s">
        <v>2953</v>
      </c>
      <c r="G148" s="109">
        <v>1</v>
      </c>
      <c r="H148" s="109" t="s">
        <v>2929</v>
      </c>
      <c r="I148" s="109"/>
      <c r="J148" s="109"/>
      <c r="K148" s="109" t="s">
        <v>2954</v>
      </c>
      <c r="L148" s="109"/>
      <c r="M148" s="109"/>
      <c r="N148" s="109"/>
      <c r="O148" s="109"/>
      <c r="P148" s="109">
        <v>4311</v>
      </c>
      <c r="Q148" s="109">
        <v>877</v>
      </c>
      <c r="R148" s="109"/>
      <c r="S148" s="109">
        <v>0</v>
      </c>
      <c r="T148" s="109">
        <v>0</v>
      </c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</row>
    <row r="149" spans="1:36" x14ac:dyDescent="0.3">
      <c r="A149" s="77">
        <v>143</v>
      </c>
      <c r="B149" s="108" t="s">
        <v>2439</v>
      </c>
      <c r="C149" s="108" t="s">
        <v>117</v>
      </c>
      <c r="D149" s="108" t="s">
        <v>117</v>
      </c>
      <c r="E149" s="109" t="s">
        <v>2779</v>
      </c>
      <c r="F149" s="109" t="s">
        <v>2953</v>
      </c>
      <c r="G149" s="109" t="s">
        <v>2955</v>
      </c>
      <c r="H149" s="109" t="s">
        <v>2929</v>
      </c>
      <c r="I149" s="109"/>
      <c r="J149" s="109"/>
      <c r="K149" s="109" t="s">
        <v>2956</v>
      </c>
      <c r="L149" s="109"/>
      <c r="M149" s="109"/>
      <c r="N149" s="109"/>
      <c r="O149" s="109"/>
      <c r="P149" s="109">
        <v>5466</v>
      </c>
      <c r="Q149" s="109">
        <v>825</v>
      </c>
      <c r="R149" s="109"/>
      <c r="S149" s="109">
        <v>0</v>
      </c>
      <c r="T149" s="109">
        <v>0</v>
      </c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</row>
    <row r="150" spans="1:36" x14ac:dyDescent="0.3">
      <c r="A150" s="77">
        <v>144</v>
      </c>
      <c r="B150" s="108" t="s">
        <v>2439</v>
      </c>
      <c r="C150" s="108" t="s">
        <v>117</v>
      </c>
      <c r="D150" s="108" t="s">
        <v>117</v>
      </c>
      <c r="E150" s="109" t="s">
        <v>2779</v>
      </c>
      <c r="F150" s="109" t="s">
        <v>2953</v>
      </c>
      <c r="G150" s="109" t="s">
        <v>2602</v>
      </c>
      <c r="H150" s="109" t="s">
        <v>2929</v>
      </c>
      <c r="I150" s="109"/>
      <c r="J150" s="109"/>
      <c r="K150" s="109" t="s">
        <v>2885</v>
      </c>
      <c r="L150" s="109"/>
      <c r="M150" s="109"/>
      <c r="N150" s="109"/>
      <c r="O150" s="109"/>
      <c r="P150" s="109">
        <v>3240</v>
      </c>
      <c r="Q150" s="109">
        <v>755</v>
      </c>
      <c r="R150" s="109"/>
      <c r="S150" s="109">
        <v>0</v>
      </c>
      <c r="T150" s="109">
        <v>0</v>
      </c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</row>
    <row r="151" spans="1:36" x14ac:dyDescent="0.3">
      <c r="A151" s="77">
        <v>145</v>
      </c>
      <c r="B151" s="108" t="s">
        <v>2439</v>
      </c>
      <c r="C151" s="108" t="s">
        <v>117</v>
      </c>
      <c r="D151" s="108" t="s">
        <v>117</v>
      </c>
      <c r="E151" s="109" t="s">
        <v>2779</v>
      </c>
      <c r="F151" s="109" t="s">
        <v>2953</v>
      </c>
      <c r="G151" s="109" t="s">
        <v>2664</v>
      </c>
      <c r="H151" s="109" t="s">
        <v>2929</v>
      </c>
      <c r="I151" s="109"/>
      <c r="J151" s="109"/>
      <c r="K151" s="109" t="s">
        <v>2957</v>
      </c>
      <c r="L151" s="109"/>
      <c r="M151" s="109"/>
      <c r="N151" s="109"/>
      <c r="O151" s="109"/>
      <c r="P151" s="109">
        <v>4109</v>
      </c>
      <c r="Q151" s="109">
        <v>869</v>
      </c>
      <c r="R151" s="109"/>
      <c r="S151" s="109">
        <v>0</v>
      </c>
      <c r="T151" s="109">
        <v>0</v>
      </c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</row>
    <row r="152" spans="1:36" x14ac:dyDescent="0.3">
      <c r="A152" s="77">
        <v>146</v>
      </c>
      <c r="B152" s="108" t="s">
        <v>2439</v>
      </c>
      <c r="C152" s="108" t="s">
        <v>117</v>
      </c>
      <c r="D152" s="108" t="s">
        <v>117</v>
      </c>
      <c r="E152" s="109" t="s">
        <v>2779</v>
      </c>
      <c r="F152" s="109" t="s">
        <v>2953</v>
      </c>
      <c r="G152" s="109" t="s">
        <v>2872</v>
      </c>
      <c r="H152" s="109" t="s">
        <v>2929</v>
      </c>
      <c r="I152" s="109"/>
      <c r="J152" s="109"/>
      <c r="K152" s="109" t="s">
        <v>2958</v>
      </c>
      <c r="L152" s="109"/>
      <c r="M152" s="109"/>
      <c r="N152" s="109"/>
      <c r="O152" s="109"/>
      <c r="P152" s="109">
        <v>5522</v>
      </c>
      <c r="Q152" s="109">
        <v>939</v>
      </c>
      <c r="R152" s="109"/>
      <c r="S152" s="109">
        <v>0</v>
      </c>
      <c r="T152" s="109">
        <v>0</v>
      </c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</row>
    <row r="153" spans="1:36" x14ac:dyDescent="0.3">
      <c r="A153" s="77">
        <v>147</v>
      </c>
      <c r="B153" s="108" t="s">
        <v>2439</v>
      </c>
      <c r="C153" s="108" t="s">
        <v>117</v>
      </c>
      <c r="D153" s="108" t="s">
        <v>117</v>
      </c>
      <c r="E153" s="109" t="s">
        <v>2779</v>
      </c>
      <c r="F153" s="109" t="s">
        <v>2959</v>
      </c>
      <c r="G153" s="109" t="s">
        <v>2617</v>
      </c>
      <c r="H153" s="109" t="s">
        <v>2960</v>
      </c>
      <c r="I153" s="109"/>
      <c r="J153" s="109"/>
      <c r="K153" s="109" t="s">
        <v>2961</v>
      </c>
      <c r="L153" s="109"/>
      <c r="M153" s="109"/>
      <c r="N153" s="109"/>
      <c r="O153" s="109"/>
      <c r="P153" s="109">
        <v>2340</v>
      </c>
      <c r="Q153" s="109">
        <v>801</v>
      </c>
      <c r="R153" s="109"/>
      <c r="S153" s="109">
        <v>0</v>
      </c>
      <c r="T153" s="109">
        <v>80</v>
      </c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 spans="1:36" x14ac:dyDescent="0.3">
      <c r="A154" s="77">
        <v>148</v>
      </c>
      <c r="B154" s="108" t="s">
        <v>2439</v>
      </c>
      <c r="C154" s="108" t="s">
        <v>117</v>
      </c>
      <c r="D154" s="108" t="s">
        <v>117</v>
      </c>
      <c r="E154" s="109" t="s">
        <v>2779</v>
      </c>
      <c r="F154" s="109" t="s">
        <v>2959</v>
      </c>
      <c r="G154" s="109" t="s">
        <v>2962</v>
      </c>
      <c r="H154" s="109" t="s">
        <v>2960</v>
      </c>
      <c r="I154" s="109"/>
      <c r="J154" s="109"/>
      <c r="K154" s="109" t="s">
        <v>2963</v>
      </c>
      <c r="L154" s="109"/>
      <c r="M154" s="109"/>
      <c r="N154" s="109"/>
      <c r="O154" s="109"/>
      <c r="P154" s="109">
        <v>5584</v>
      </c>
      <c r="Q154" s="109">
        <v>1330</v>
      </c>
      <c r="R154" s="109"/>
      <c r="S154" s="109">
        <v>1025</v>
      </c>
      <c r="T154" s="109">
        <v>140</v>
      </c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</row>
    <row r="155" spans="1:36" x14ac:dyDescent="0.3">
      <c r="A155" s="77">
        <v>149</v>
      </c>
      <c r="B155" s="108" t="s">
        <v>2439</v>
      </c>
      <c r="C155" s="108" t="s">
        <v>117</v>
      </c>
      <c r="D155" s="108" t="s">
        <v>117</v>
      </c>
      <c r="E155" s="109" t="s">
        <v>2779</v>
      </c>
      <c r="F155" s="109" t="s">
        <v>2959</v>
      </c>
      <c r="G155" s="109" t="s">
        <v>2664</v>
      </c>
      <c r="H155" s="109" t="s">
        <v>2960</v>
      </c>
      <c r="I155" s="109"/>
      <c r="J155" s="109"/>
      <c r="K155" s="109" t="s">
        <v>2964</v>
      </c>
      <c r="L155" s="109"/>
      <c r="M155" s="109"/>
      <c r="N155" s="109"/>
      <c r="O155" s="109"/>
      <c r="P155" s="109">
        <v>5342</v>
      </c>
      <c r="Q155" s="109">
        <v>1045</v>
      </c>
      <c r="R155" s="109"/>
      <c r="S155" s="109">
        <v>0</v>
      </c>
      <c r="T155" s="109">
        <v>0</v>
      </c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</row>
    <row r="156" spans="1:36" x14ac:dyDescent="0.3">
      <c r="A156" s="77">
        <v>150</v>
      </c>
      <c r="B156" s="108" t="s">
        <v>2439</v>
      </c>
      <c r="C156" s="108" t="s">
        <v>117</v>
      </c>
      <c r="D156" s="108" t="s">
        <v>117</v>
      </c>
      <c r="E156" s="109" t="s">
        <v>2779</v>
      </c>
      <c r="F156" s="109" t="s">
        <v>2959</v>
      </c>
      <c r="G156" s="109" t="s">
        <v>2872</v>
      </c>
      <c r="H156" s="109" t="s">
        <v>2960</v>
      </c>
      <c r="I156" s="109"/>
      <c r="J156" s="109"/>
      <c r="K156" s="109" t="s">
        <v>2965</v>
      </c>
      <c r="L156" s="109"/>
      <c r="M156" s="109"/>
      <c r="N156" s="109"/>
      <c r="O156" s="109"/>
      <c r="P156" s="109">
        <v>3811</v>
      </c>
      <c r="Q156" s="109">
        <v>1300</v>
      </c>
      <c r="R156" s="109"/>
      <c r="S156" s="109">
        <v>0</v>
      </c>
      <c r="T156" s="109">
        <v>0</v>
      </c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</row>
    <row r="157" spans="1:36" x14ac:dyDescent="0.3">
      <c r="A157" s="77">
        <v>151</v>
      </c>
      <c r="B157" s="108" t="s">
        <v>2439</v>
      </c>
      <c r="C157" s="108" t="s">
        <v>117</v>
      </c>
      <c r="D157" s="108" t="s">
        <v>117</v>
      </c>
      <c r="E157" s="109" t="s">
        <v>2779</v>
      </c>
      <c r="F157" s="109" t="s">
        <v>2959</v>
      </c>
      <c r="G157" s="109">
        <v>5</v>
      </c>
      <c r="H157" s="109" t="s">
        <v>2960</v>
      </c>
      <c r="I157" s="109"/>
      <c r="J157" s="109"/>
      <c r="K157" s="109" t="s">
        <v>2966</v>
      </c>
      <c r="L157" s="109"/>
      <c r="M157" s="109"/>
      <c r="N157" s="109"/>
      <c r="O157" s="109"/>
      <c r="P157" s="109">
        <v>3672</v>
      </c>
      <c r="Q157" s="109">
        <v>814</v>
      </c>
      <c r="R157" s="109"/>
      <c r="S157" s="109">
        <v>0</v>
      </c>
      <c r="T157" s="109">
        <v>0</v>
      </c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</row>
    <row r="158" spans="1:36" x14ac:dyDescent="0.3">
      <c r="A158" s="77">
        <v>152</v>
      </c>
      <c r="B158" s="108" t="s">
        <v>2439</v>
      </c>
      <c r="C158" s="108" t="s">
        <v>117</v>
      </c>
      <c r="D158" s="108" t="s">
        <v>117</v>
      </c>
      <c r="E158" s="109" t="s">
        <v>2779</v>
      </c>
      <c r="F158" s="109" t="s">
        <v>2967</v>
      </c>
      <c r="G158" s="109" t="s">
        <v>2617</v>
      </c>
      <c r="H158" s="109" t="s">
        <v>2968</v>
      </c>
      <c r="I158" s="109"/>
      <c r="J158" s="109"/>
      <c r="K158" s="109" t="s">
        <v>2969</v>
      </c>
      <c r="L158" s="109"/>
      <c r="M158" s="109"/>
      <c r="N158" s="109"/>
      <c r="O158" s="109"/>
      <c r="P158" s="109">
        <v>7896</v>
      </c>
      <c r="Q158" s="109">
        <v>1427</v>
      </c>
      <c r="R158" s="109"/>
      <c r="S158" s="109">
        <v>0</v>
      </c>
      <c r="T158" s="109">
        <v>100</v>
      </c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</row>
    <row r="159" spans="1:36" x14ac:dyDescent="0.3">
      <c r="A159" s="77">
        <v>153</v>
      </c>
      <c r="B159" s="108" t="s">
        <v>2439</v>
      </c>
      <c r="C159" s="108" t="s">
        <v>117</v>
      </c>
      <c r="D159" s="108" t="s">
        <v>117</v>
      </c>
      <c r="E159" s="109" t="s">
        <v>2779</v>
      </c>
      <c r="F159" s="109" t="s">
        <v>2967</v>
      </c>
      <c r="G159" s="109" t="s">
        <v>2858</v>
      </c>
      <c r="H159" s="109" t="s">
        <v>2968</v>
      </c>
      <c r="I159" s="109"/>
      <c r="J159" s="109"/>
      <c r="K159" s="109" t="s">
        <v>2967</v>
      </c>
      <c r="L159" s="109"/>
      <c r="M159" s="109"/>
      <c r="N159" s="109"/>
      <c r="O159" s="109"/>
      <c r="P159" s="109">
        <v>7592</v>
      </c>
      <c r="Q159" s="109">
        <v>1920</v>
      </c>
      <c r="R159" s="109"/>
      <c r="S159" s="109">
        <v>0</v>
      </c>
      <c r="T159" s="109">
        <v>0</v>
      </c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</row>
    <row r="160" spans="1:36" x14ac:dyDescent="0.3">
      <c r="A160" s="77">
        <v>154</v>
      </c>
      <c r="B160" s="108" t="s">
        <v>2439</v>
      </c>
      <c r="C160" s="108" t="s">
        <v>117</v>
      </c>
      <c r="D160" s="108" t="s">
        <v>117</v>
      </c>
      <c r="E160" s="109" t="s">
        <v>2779</v>
      </c>
      <c r="F160" s="109" t="s">
        <v>2967</v>
      </c>
      <c r="G160" s="109">
        <v>5</v>
      </c>
      <c r="H160" s="109" t="s">
        <v>2968</v>
      </c>
      <c r="I160" s="109"/>
      <c r="J160" s="109"/>
      <c r="K160" s="109" t="s">
        <v>2970</v>
      </c>
      <c r="L160" s="109"/>
      <c r="M160" s="109"/>
      <c r="N160" s="109"/>
      <c r="O160" s="109"/>
      <c r="P160" s="109">
        <v>2170</v>
      </c>
      <c r="Q160" s="109">
        <v>471</v>
      </c>
      <c r="R160" s="109"/>
      <c r="S160" s="109">
        <v>0</v>
      </c>
      <c r="T160" s="109">
        <v>0</v>
      </c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</row>
    <row r="161" spans="1:36" x14ac:dyDescent="0.3">
      <c r="A161" s="77">
        <v>155</v>
      </c>
      <c r="B161" s="108" t="s">
        <v>2439</v>
      </c>
      <c r="C161" s="108" t="s">
        <v>117</v>
      </c>
      <c r="D161" s="108" t="s">
        <v>117</v>
      </c>
      <c r="E161" s="109" t="s">
        <v>2779</v>
      </c>
      <c r="F161" s="109" t="s">
        <v>2967</v>
      </c>
      <c r="G161" s="109">
        <v>5</v>
      </c>
      <c r="H161" s="109" t="s">
        <v>2968</v>
      </c>
      <c r="I161" s="109"/>
      <c r="J161" s="109"/>
      <c r="K161" s="109" t="s">
        <v>2971</v>
      </c>
      <c r="L161" s="109"/>
      <c r="M161" s="109"/>
      <c r="N161" s="109"/>
      <c r="O161" s="109"/>
      <c r="P161" s="109">
        <v>626</v>
      </c>
      <c r="Q161" s="109">
        <v>129</v>
      </c>
      <c r="R161" s="109"/>
      <c r="S161" s="109">
        <v>0</v>
      </c>
      <c r="T161" s="109">
        <v>0</v>
      </c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</row>
    <row r="162" spans="1:36" x14ac:dyDescent="0.3">
      <c r="A162" s="77">
        <v>156</v>
      </c>
      <c r="B162" s="108" t="s">
        <v>2439</v>
      </c>
      <c r="C162" s="108" t="s">
        <v>117</v>
      </c>
      <c r="D162" s="108" t="s">
        <v>117</v>
      </c>
      <c r="E162" s="109" t="s">
        <v>2779</v>
      </c>
      <c r="F162" s="109" t="s">
        <v>2967</v>
      </c>
      <c r="G162" s="109">
        <v>5</v>
      </c>
      <c r="H162" s="109" t="s">
        <v>2968</v>
      </c>
      <c r="I162" s="109"/>
      <c r="J162" s="109"/>
      <c r="K162" s="109" t="s">
        <v>2972</v>
      </c>
      <c r="L162" s="109"/>
      <c r="M162" s="109"/>
      <c r="N162" s="109"/>
      <c r="O162" s="109"/>
      <c r="P162" s="109">
        <v>801</v>
      </c>
      <c r="Q162" s="109">
        <v>131</v>
      </c>
      <c r="R162" s="109"/>
      <c r="S162" s="109">
        <v>0</v>
      </c>
      <c r="T162" s="109">
        <v>0</v>
      </c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</row>
    <row r="163" spans="1:36" x14ac:dyDescent="0.3">
      <c r="A163" s="77">
        <v>157</v>
      </c>
      <c r="B163" s="108" t="s">
        <v>2439</v>
      </c>
      <c r="C163" s="108" t="s">
        <v>117</v>
      </c>
      <c r="D163" s="108" t="s">
        <v>117</v>
      </c>
      <c r="E163" s="109" t="s">
        <v>2779</v>
      </c>
      <c r="F163" s="109" t="s">
        <v>2967</v>
      </c>
      <c r="G163" s="109">
        <v>5</v>
      </c>
      <c r="H163" s="109" t="s">
        <v>2968</v>
      </c>
      <c r="I163" s="109"/>
      <c r="J163" s="109"/>
      <c r="K163" s="109" t="s">
        <v>2973</v>
      </c>
      <c r="L163" s="109"/>
      <c r="M163" s="109"/>
      <c r="N163" s="109"/>
      <c r="O163" s="109"/>
      <c r="P163" s="109">
        <v>703</v>
      </c>
      <c r="Q163" s="109">
        <v>198</v>
      </c>
      <c r="R163" s="109"/>
      <c r="S163" s="109">
        <v>0</v>
      </c>
      <c r="T163" s="109">
        <v>0</v>
      </c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</row>
    <row r="164" spans="1:36" x14ac:dyDescent="0.3">
      <c r="A164" s="77">
        <v>158</v>
      </c>
      <c r="B164" s="108" t="s">
        <v>2439</v>
      </c>
      <c r="C164" s="108" t="s">
        <v>117</v>
      </c>
      <c r="D164" s="108" t="s">
        <v>117</v>
      </c>
      <c r="E164" s="109" t="s">
        <v>2779</v>
      </c>
      <c r="F164" s="109" t="s">
        <v>2967</v>
      </c>
      <c r="G164" s="109">
        <v>6</v>
      </c>
      <c r="H164" s="109" t="s">
        <v>2968</v>
      </c>
      <c r="I164" s="109"/>
      <c r="J164" s="109"/>
      <c r="K164" s="109" t="s">
        <v>2974</v>
      </c>
      <c r="L164" s="109"/>
      <c r="M164" s="109"/>
      <c r="N164" s="109"/>
      <c r="O164" s="109"/>
      <c r="P164" s="109">
        <v>650</v>
      </c>
      <c r="Q164" s="109">
        <v>149</v>
      </c>
      <c r="R164" s="109"/>
      <c r="S164" s="109">
        <v>0</v>
      </c>
      <c r="T164" s="109">
        <v>0</v>
      </c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</row>
    <row r="165" spans="1:36" x14ac:dyDescent="0.3">
      <c r="A165" s="77">
        <v>159</v>
      </c>
      <c r="B165" s="108" t="s">
        <v>2439</v>
      </c>
      <c r="C165" s="108" t="s">
        <v>117</v>
      </c>
      <c r="D165" s="108" t="s">
        <v>117</v>
      </c>
      <c r="E165" s="109" t="s">
        <v>2779</v>
      </c>
      <c r="F165" s="109" t="s">
        <v>2967</v>
      </c>
      <c r="G165" s="109">
        <v>6</v>
      </c>
      <c r="H165" s="109" t="s">
        <v>2968</v>
      </c>
      <c r="I165" s="109"/>
      <c r="J165" s="109"/>
      <c r="K165" s="109" t="s">
        <v>2975</v>
      </c>
      <c r="L165" s="109"/>
      <c r="M165" s="109"/>
      <c r="N165" s="109"/>
      <c r="O165" s="109"/>
      <c r="P165" s="109">
        <v>620</v>
      </c>
      <c r="Q165" s="109">
        <v>144</v>
      </c>
      <c r="R165" s="109"/>
      <c r="S165" s="109">
        <v>0</v>
      </c>
      <c r="T165" s="109">
        <v>0</v>
      </c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</row>
    <row r="166" spans="1:36" x14ac:dyDescent="0.3">
      <c r="A166" s="77">
        <v>160</v>
      </c>
      <c r="B166" s="108" t="s">
        <v>2439</v>
      </c>
      <c r="C166" s="108" t="s">
        <v>117</v>
      </c>
      <c r="D166" s="108" t="s">
        <v>117</v>
      </c>
      <c r="E166" s="109" t="s">
        <v>2779</v>
      </c>
      <c r="F166" s="109" t="s">
        <v>2967</v>
      </c>
      <c r="G166" s="109">
        <v>6</v>
      </c>
      <c r="H166" s="109" t="s">
        <v>2968</v>
      </c>
      <c r="I166" s="109"/>
      <c r="J166" s="109"/>
      <c r="K166" s="109" t="s">
        <v>2976</v>
      </c>
      <c r="L166" s="109"/>
      <c r="M166" s="109"/>
      <c r="N166" s="109"/>
      <c r="O166" s="109"/>
      <c r="P166" s="109">
        <v>535</v>
      </c>
      <c r="Q166" s="109">
        <v>106</v>
      </c>
      <c r="R166" s="109"/>
      <c r="S166" s="109">
        <v>0</v>
      </c>
      <c r="T166" s="109">
        <v>0</v>
      </c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</row>
    <row r="167" spans="1:36" x14ac:dyDescent="0.3">
      <c r="A167" s="77">
        <v>161</v>
      </c>
      <c r="B167" s="108" t="s">
        <v>2439</v>
      </c>
      <c r="C167" s="108" t="s">
        <v>117</v>
      </c>
      <c r="D167" s="108" t="s">
        <v>117</v>
      </c>
      <c r="E167" s="109" t="s">
        <v>2779</v>
      </c>
      <c r="F167" s="109" t="s">
        <v>2967</v>
      </c>
      <c r="G167" s="109">
        <v>6</v>
      </c>
      <c r="H167" s="109" t="s">
        <v>2968</v>
      </c>
      <c r="I167" s="109"/>
      <c r="J167" s="109"/>
      <c r="K167" s="109" t="s">
        <v>2977</v>
      </c>
      <c r="L167" s="109"/>
      <c r="M167" s="109"/>
      <c r="N167" s="109"/>
      <c r="O167" s="109"/>
      <c r="P167" s="109">
        <v>508</v>
      </c>
      <c r="Q167" s="109">
        <v>80</v>
      </c>
      <c r="R167" s="109"/>
      <c r="S167" s="109">
        <v>0</v>
      </c>
      <c r="T167" s="109">
        <v>0</v>
      </c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</row>
    <row r="168" spans="1:36" x14ac:dyDescent="0.3">
      <c r="A168" s="77">
        <v>162</v>
      </c>
      <c r="B168" s="108" t="s">
        <v>2439</v>
      </c>
      <c r="C168" s="108" t="s">
        <v>117</v>
      </c>
      <c r="D168" s="108" t="s">
        <v>117</v>
      </c>
      <c r="E168" s="109" t="s">
        <v>2779</v>
      </c>
      <c r="F168" s="109" t="s">
        <v>2967</v>
      </c>
      <c r="G168" s="109">
        <v>6</v>
      </c>
      <c r="H168" s="109" t="s">
        <v>2968</v>
      </c>
      <c r="I168" s="109"/>
      <c r="J168" s="109"/>
      <c r="K168" s="109" t="s">
        <v>2978</v>
      </c>
      <c r="L168" s="109"/>
      <c r="M168" s="109"/>
      <c r="N168" s="109"/>
      <c r="O168" s="109"/>
      <c r="P168" s="109">
        <v>406</v>
      </c>
      <c r="Q168" s="109">
        <v>73</v>
      </c>
      <c r="R168" s="109"/>
      <c r="S168" s="109">
        <v>0</v>
      </c>
      <c r="T168" s="109">
        <v>0</v>
      </c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</row>
    <row r="169" spans="1:36" x14ac:dyDescent="0.3">
      <c r="A169" s="77">
        <v>163</v>
      </c>
      <c r="B169" s="108" t="s">
        <v>2439</v>
      </c>
      <c r="C169" s="108" t="s">
        <v>117</v>
      </c>
      <c r="D169" s="108" t="s">
        <v>117</v>
      </c>
      <c r="E169" s="109" t="s">
        <v>2779</v>
      </c>
      <c r="F169" s="109" t="s">
        <v>2967</v>
      </c>
      <c r="G169" s="109">
        <v>6</v>
      </c>
      <c r="H169" s="109" t="s">
        <v>2979</v>
      </c>
      <c r="I169" s="109"/>
      <c r="J169" s="109"/>
      <c r="K169" s="109" t="s">
        <v>2980</v>
      </c>
      <c r="L169" s="109"/>
      <c r="M169" s="109"/>
      <c r="N169" s="109"/>
      <c r="O169" s="109"/>
      <c r="P169" s="109">
        <v>421</v>
      </c>
      <c r="Q169" s="109">
        <v>101</v>
      </c>
      <c r="R169" s="109"/>
      <c r="S169" s="109">
        <v>0</v>
      </c>
      <c r="T169" s="109">
        <v>0</v>
      </c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</row>
    <row r="170" spans="1:36" x14ac:dyDescent="0.3">
      <c r="A170" s="77">
        <v>164</v>
      </c>
      <c r="B170" s="108" t="s">
        <v>2439</v>
      </c>
      <c r="C170" s="108" t="s">
        <v>117</v>
      </c>
      <c r="D170" s="108" t="s">
        <v>117</v>
      </c>
      <c r="E170" s="109" t="s">
        <v>2779</v>
      </c>
      <c r="F170" s="109" t="s">
        <v>2967</v>
      </c>
      <c r="G170" s="109">
        <v>7</v>
      </c>
      <c r="H170" s="109" t="s">
        <v>2979</v>
      </c>
      <c r="I170" s="109"/>
      <c r="J170" s="109"/>
      <c r="K170" s="109" t="s">
        <v>2981</v>
      </c>
      <c r="L170" s="109"/>
      <c r="M170" s="109"/>
      <c r="N170" s="109"/>
      <c r="O170" s="109"/>
      <c r="P170" s="109">
        <v>337</v>
      </c>
      <c r="Q170" s="109">
        <v>80</v>
      </c>
      <c r="R170" s="109"/>
      <c r="S170" s="109">
        <v>0</v>
      </c>
      <c r="T170" s="109">
        <v>0</v>
      </c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</row>
    <row r="171" spans="1:36" x14ac:dyDescent="0.3">
      <c r="A171" s="77">
        <v>165</v>
      </c>
      <c r="B171" s="108" t="s">
        <v>2439</v>
      </c>
      <c r="C171" s="108" t="s">
        <v>117</v>
      </c>
      <c r="D171" s="108" t="s">
        <v>117</v>
      </c>
      <c r="E171" s="109" t="s">
        <v>2779</v>
      </c>
      <c r="F171" s="109" t="s">
        <v>2967</v>
      </c>
      <c r="G171" s="109">
        <v>7</v>
      </c>
      <c r="H171" s="109" t="s">
        <v>2979</v>
      </c>
      <c r="I171" s="109"/>
      <c r="J171" s="109"/>
      <c r="K171" s="109" t="s">
        <v>2982</v>
      </c>
      <c r="L171" s="109"/>
      <c r="M171" s="109"/>
      <c r="N171" s="109"/>
      <c r="O171" s="109"/>
      <c r="P171" s="109">
        <v>543</v>
      </c>
      <c r="Q171" s="109">
        <v>112</v>
      </c>
      <c r="R171" s="109"/>
      <c r="S171" s="109">
        <v>0</v>
      </c>
      <c r="T171" s="109">
        <v>0</v>
      </c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</row>
    <row r="172" spans="1:36" x14ac:dyDescent="0.3">
      <c r="A172" s="77">
        <v>166</v>
      </c>
      <c r="B172" s="108" t="s">
        <v>2439</v>
      </c>
      <c r="C172" s="108" t="s">
        <v>117</v>
      </c>
      <c r="D172" s="108" t="s">
        <v>117</v>
      </c>
      <c r="E172" s="109" t="s">
        <v>2779</v>
      </c>
      <c r="F172" s="109" t="s">
        <v>2967</v>
      </c>
      <c r="G172" s="109">
        <v>7</v>
      </c>
      <c r="H172" s="109" t="s">
        <v>2979</v>
      </c>
      <c r="I172" s="109"/>
      <c r="J172" s="109"/>
      <c r="K172" s="109" t="s">
        <v>2983</v>
      </c>
      <c r="L172" s="109"/>
      <c r="M172" s="109"/>
      <c r="N172" s="109"/>
      <c r="O172" s="109"/>
      <c r="P172" s="109">
        <v>502</v>
      </c>
      <c r="Q172" s="109">
        <v>93</v>
      </c>
      <c r="R172" s="109"/>
      <c r="S172" s="109">
        <v>0</v>
      </c>
      <c r="T172" s="109">
        <v>0</v>
      </c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</row>
    <row r="173" spans="1:36" x14ac:dyDescent="0.3">
      <c r="A173" s="77">
        <v>167</v>
      </c>
      <c r="B173" s="108" t="s">
        <v>2439</v>
      </c>
      <c r="C173" s="108" t="s">
        <v>117</v>
      </c>
      <c r="D173" s="108" t="s">
        <v>117</v>
      </c>
      <c r="E173" s="109" t="s">
        <v>2779</v>
      </c>
      <c r="F173" s="109" t="s">
        <v>2967</v>
      </c>
      <c r="G173" s="109">
        <v>7</v>
      </c>
      <c r="H173" s="109" t="s">
        <v>2979</v>
      </c>
      <c r="I173" s="109"/>
      <c r="J173" s="109"/>
      <c r="K173" s="109" t="s">
        <v>2984</v>
      </c>
      <c r="L173" s="109"/>
      <c r="M173" s="109"/>
      <c r="N173" s="109"/>
      <c r="O173" s="109"/>
      <c r="P173" s="109">
        <v>509</v>
      </c>
      <c r="Q173" s="109">
        <v>94</v>
      </c>
      <c r="R173" s="109"/>
      <c r="S173" s="109">
        <v>360</v>
      </c>
      <c r="T173" s="109">
        <v>0</v>
      </c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</row>
    <row r="174" spans="1:36" x14ac:dyDescent="0.3">
      <c r="A174" s="77">
        <v>168</v>
      </c>
      <c r="B174" s="108" t="s">
        <v>2439</v>
      </c>
      <c r="C174" s="108" t="s">
        <v>117</v>
      </c>
      <c r="D174" s="108" t="s">
        <v>117</v>
      </c>
      <c r="E174" s="109" t="s">
        <v>2779</v>
      </c>
      <c r="F174" s="109" t="s">
        <v>2967</v>
      </c>
      <c r="G174" s="109">
        <v>7</v>
      </c>
      <c r="H174" s="109" t="s">
        <v>2979</v>
      </c>
      <c r="I174" s="109"/>
      <c r="J174" s="109"/>
      <c r="K174" s="109" t="s">
        <v>2985</v>
      </c>
      <c r="L174" s="109"/>
      <c r="M174" s="109"/>
      <c r="N174" s="109"/>
      <c r="O174" s="109"/>
      <c r="P174" s="109">
        <v>588</v>
      </c>
      <c r="Q174" s="109">
        <v>101</v>
      </c>
      <c r="R174" s="109"/>
      <c r="S174" s="109">
        <v>0</v>
      </c>
      <c r="T174" s="109">
        <v>0</v>
      </c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</row>
    <row r="175" spans="1:36" x14ac:dyDescent="0.3">
      <c r="A175" s="77">
        <v>169</v>
      </c>
      <c r="B175" s="108" t="s">
        <v>2439</v>
      </c>
      <c r="C175" s="108" t="s">
        <v>117</v>
      </c>
      <c r="D175" s="108" t="s">
        <v>117</v>
      </c>
      <c r="E175" s="109" t="s">
        <v>2779</v>
      </c>
      <c r="F175" s="109" t="s">
        <v>2967</v>
      </c>
      <c r="G175" s="109">
        <v>7</v>
      </c>
      <c r="H175" s="109" t="s">
        <v>2979</v>
      </c>
      <c r="I175" s="109"/>
      <c r="J175" s="109"/>
      <c r="K175" s="109" t="s">
        <v>2986</v>
      </c>
      <c r="L175" s="109"/>
      <c r="M175" s="109"/>
      <c r="N175" s="109"/>
      <c r="O175" s="109"/>
      <c r="P175" s="109">
        <v>428</v>
      </c>
      <c r="Q175" s="109">
        <v>72</v>
      </c>
      <c r="R175" s="109"/>
      <c r="S175" s="109">
        <v>0</v>
      </c>
      <c r="T175" s="109">
        <v>0</v>
      </c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</row>
    <row r="176" spans="1:36" x14ac:dyDescent="0.3">
      <c r="A176" s="77">
        <v>170</v>
      </c>
      <c r="B176" s="108" t="s">
        <v>2439</v>
      </c>
      <c r="C176" s="108" t="s">
        <v>117</v>
      </c>
      <c r="D176" s="108" t="s">
        <v>117</v>
      </c>
      <c r="E176" s="109" t="s">
        <v>2779</v>
      </c>
      <c r="F176" s="109" t="s">
        <v>2967</v>
      </c>
      <c r="G176" s="109">
        <v>7</v>
      </c>
      <c r="H176" s="109" t="s">
        <v>2979</v>
      </c>
      <c r="I176" s="109"/>
      <c r="J176" s="109"/>
      <c r="K176" s="109" t="s">
        <v>2987</v>
      </c>
      <c r="L176" s="109"/>
      <c r="M176" s="109"/>
      <c r="N176" s="109"/>
      <c r="O176" s="109"/>
      <c r="P176" s="109">
        <v>480</v>
      </c>
      <c r="Q176" s="109">
        <v>94</v>
      </c>
      <c r="R176" s="109"/>
      <c r="S176" s="109">
        <v>0</v>
      </c>
      <c r="T176" s="109">
        <v>0</v>
      </c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</row>
    <row r="177" spans="1:36" x14ac:dyDescent="0.3">
      <c r="A177" s="77">
        <v>171</v>
      </c>
      <c r="B177" s="108" t="s">
        <v>2439</v>
      </c>
      <c r="C177" s="108" t="s">
        <v>117</v>
      </c>
      <c r="D177" s="108" t="s">
        <v>117</v>
      </c>
      <c r="E177" s="109" t="s">
        <v>2779</v>
      </c>
      <c r="F177" s="109" t="s">
        <v>2967</v>
      </c>
      <c r="G177" s="109">
        <v>7</v>
      </c>
      <c r="H177" s="109" t="s">
        <v>2979</v>
      </c>
      <c r="I177" s="109"/>
      <c r="J177" s="109"/>
      <c r="K177" s="109" t="s">
        <v>2988</v>
      </c>
      <c r="L177" s="109"/>
      <c r="M177" s="109"/>
      <c r="N177" s="109"/>
      <c r="O177" s="109"/>
      <c r="P177" s="109">
        <v>566</v>
      </c>
      <c r="Q177" s="109">
        <v>113</v>
      </c>
      <c r="R177" s="109"/>
      <c r="S177" s="109">
        <v>0</v>
      </c>
      <c r="T177" s="109">
        <v>0</v>
      </c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</row>
    <row r="178" spans="1:36" x14ac:dyDescent="0.3">
      <c r="A178" s="77">
        <v>172</v>
      </c>
      <c r="B178" s="108" t="s">
        <v>2439</v>
      </c>
      <c r="C178" s="108" t="s">
        <v>117</v>
      </c>
      <c r="D178" s="108" t="s">
        <v>117</v>
      </c>
      <c r="E178" s="109" t="s">
        <v>2779</v>
      </c>
      <c r="F178" s="109" t="s">
        <v>2967</v>
      </c>
      <c r="G178" s="109">
        <v>7</v>
      </c>
      <c r="H178" s="109" t="s">
        <v>2979</v>
      </c>
      <c r="I178" s="109"/>
      <c r="J178" s="109"/>
      <c r="K178" s="109" t="s">
        <v>2989</v>
      </c>
      <c r="L178" s="109"/>
      <c r="M178" s="109"/>
      <c r="N178" s="109"/>
      <c r="O178" s="109"/>
      <c r="P178" s="109">
        <v>826</v>
      </c>
      <c r="Q178" s="109">
        <v>175</v>
      </c>
      <c r="R178" s="109"/>
      <c r="S178" s="109">
        <v>0</v>
      </c>
      <c r="T178" s="109">
        <v>0</v>
      </c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</row>
    <row r="179" spans="1:36" x14ac:dyDescent="0.3">
      <c r="A179" s="77">
        <v>173</v>
      </c>
      <c r="B179" s="108" t="s">
        <v>2439</v>
      </c>
      <c r="C179" s="108" t="s">
        <v>117</v>
      </c>
      <c r="D179" s="108" t="s">
        <v>117</v>
      </c>
      <c r="E179" s="109" t="s">
        <v>2779</v>
      </c>
      <c r="F179" s="109" t="s">
        <v>2967</v>
      </c>
      <c r="G179" s="109">
        <v>8</v>
      </c>
      <c r="H179" s="109" t="s">
        <v>2979</v>
      </c>
      <c r="I179" s="109"/>
      <c r="J179" s="109"/>
      <c r="K179" s="109" t="s">
        <v>2990</v>
      </c>
      <c r="L179" s="109"/>
      <c r="M179" s="109"/>
      <c r="N179" s="109"/>
      <c r="O179" s="109"/>
      <c r="P179" s="109">
        <v>682</v>
      </c>
      <c r="Q179" s="109">
        <v>145</v>
      </c>
      <c r="R179" s="109"/>
      <c r="S179" s="109">
        <v>0</v>
      </c>
      <c r="T179" s="109">
        <v>0</v>
      </c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</row>
    <row r="180" spans="1:36" x14ac:dyDescent="0.3">
      <c r="A180" s="77">
        <v>174</v>
      </c>
      <c r="B180" s="108" t="s">
        <v>2439</v>
      </c>
      <c r="C180" s="108" t="s">
        <v>117</v>
      </c>
      <c r="D180" s="108" t="s">
        <v>117</v>
      </c>
      <c r="E180" s="109" t="s">
        <v>2779</v>
      </c>
      <c r="F180" s="109" t="s">
        <v>2967</v>
      </c>
      <c r="G180" s="109">
        <v>8</v>
      </c>
      <c r="H180" s="109" t="s">
        <v>2979</v>
      </c>
      <c r="I180" s="109"/>
      <c r="J180" s="109"/>
      <c r="K180" s="109" t="s">
        <v>2991</v>
      </c>
      <c r="L180" s="109"/>
      <c r="M180" s="109"/>
      <c r="N180" s="109"/>
      <c r="O180" s="109"/>
      <c r="P180" s="109">
        <v>520</v>
      </c>
      <c r="Q180" s="109">
        <v>101</v>
      </c>
      <c r="R180" s="109"/>
      <c r="S180" s="109">
        <v>0</v>
      </c>
      <c r="T180" s="109">
        <v>0</v>
      </c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</row>
    <row r="181" spans="1:36" x14ac:dyDescent="0.3">
      <c r="A181" s="77">
        <v>175</v>
      </c>
      <c r="B181" s="108" t="s">
        <v>2439</v>
      </c>
      <c r="C181" s="108" t="s">
        <v>117</v>
      </c>
      <c r="D181" s="108" t="s">
        <v>117</v>
      </c>
      <c r="E181" s="109" t="s">
        <v>2779</v>
      </c>
      <c r="F181" s="109" t="s">
        <v>2967</v>
      </c>
      <c r="G181" s="109">
        <v>8</v>
      </c>
      <c r="H181" s="109" t="s">
        <v>2979</v>
      </c>
      <c r="I181" s="109"/>
      <c r="J181" s="109"/>
      <c r="K181" s="109" t="s">
        <v>2992</v>
      </c>
      <c r="L181" s="109"/>
      <c r="M181" s="109"/>
      <c r="N181" s="109"/>
      <c r="O181" s="109"/>
      <c r="P181" s="109">
        <v>480</v>
      </c>
      <c r="Q181" s="109">
        <v>118</v>
      </c>
      <c r="R181" s="109"/>
      <c r="S181" s="109">
        <v>0</v>
      </c>
      <c r="T181" s="109">
        <v>0</v>
      </c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</row>
    <row r="182" spans="1:36" x14ac:dyDescent="0.3">
      <c r="A182" s="77">
        <v>176</v>
      </c>
      <c r="B182" s="108" t="s">
        <v>2439</v>
      </c>
      <c r="C182" s="108" t="s">
        <v>117</v>
      </c>
      <c r="D182" s="108" t="s">
        <v>117</v>
      </c>
      <c r="E182" s="109" t="s">
        <v>2779</v>
      </c>
      <c r="F182" s="109" t="s">
        <v>2967</v>
      </c>
      <c r="G182" s="109">
        <v>8</v>
      </c>
      <c r="H182" s="109" t="s">
        <v>2979</v>
      </c>
      <c r="I182" s="109"/>
      <c r="J182" s="109"/>
      <c r="K182" s="109" t="s">
        <v>2993</v>
      </c>
      <c r="L182" s="109"/>
      <c r="M182" s="109"/>
      <c r="N182" s="109"/>
      <c r="O182" s="109"/>
      <c r="P182" s="109">
        <v>681</v>
      </c>
      <c r="Q182" s="109">
        <v>141</v>
      </c>
      <c r="R182" s="109"/>
      <c r="S182" s="109">
        <v>0</v>
      </c>
      <c r="T182" s="109">
        <v>0</v>
      </c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</row>
    <row r="183" spans="1:36" x14ac:dyDescent="0.3">
      <c r="A183" s="77">
        <v>177</v>
      </c>
      <c r="B183" s="108" t="s">
        <v>2439</v>
      </c>
      <c r="C183" s="108" t="s">
        <v>117</v>
      </c>
      <c r="D183" s="108" t="s">
        <v>117</v>
      </c>
      <c r="E183" s="109" t="s">
        <v>2779</v>
      </c>
      <c r="F183" s="109" t="s">
        <v>2967</v>
      </c>
      <c r="G183" s="109">
        <v>8</v>
      </c>
      <c r="H183" s="109" t="s">
        <v>2979</v>
      </c>
      <c r="I183" s="109"/>
      <c r="J183" s="109"/>
      <c r="K183" s="109" t="s">
        <v>2994</v>
      </c>
      <c r="L183" s="109"/>
      <c r="M183" s="109"/>
      <c r="N183" s="109"/>
      <c r="O183" s="109"/>
      <c r="P183" s="109">
        <v>589</v>
      </c>
      <c r="Q183" s="109">
        <v>98</v>
      </c>
      <c r="R183" s="109"/>
      <c r="S183" s="109">
        <v>0</v>
      </c>
      <c r="T183" s="109">
        <v>0</v>
      </c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</row>
    <row r="184" spans="1:36" x14ac:dyDescent="0.3">
      <c r="A184" s="77">
        <v>178</v>
      </c>
      <c r="B184" s="108" t="s">
        <v>2439</v>
      </c>
      <c r="C184" s="108" t="s">
        <v>117</v>
      </c>
      <c r="D184" s="108" t="s">
        <v>117</v>
      </c>
      <c r="E184" s="109" t="s">
        <v>2779</v>
      </c>
      <c r="F184" s="109" t="s">
        <v>2967</v>
      </c>
      <c r="G184" s="109">
        <v>8</v>
      </c>
      <c r="H184" s="109" t="s">
        <v>2979</v>
      </c>
      <c r="I184" s="109"/>
      <c r="J184" s="109"/>
      <c r="K184" s="109" t="s">
        <v>2995</v>
      </c>
      <c r="L184" s="109"/>
      <c r="M184" s="109"/>
      <c r="N184" s="109"/>
      <c r="O184" s="109"/>
      <c r="P184" s="109">
        <v>5638</v>
      </c>
      <c r="Q184" s="109">
        <v>83</v>
      </c>
      <c r="R184" s="109"/>
      <c r="S184" s="109">
        <v>0</v>
      </c>
      <c r="T184" s="109">
        <v>0</v>
      </c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</row>
    <row r="185" spans="1:36" x14ac:dyDescent="0.3">
      <c r="A185" s="77">
        <v>179</v>
      </c>
      <c r="B185" s="108" t="s">
        <v>2439</v>
      </c>
      <c r="C185" s="108" t="s">
        <v>117</v>
      </c>
      <c r="D185" s="108" t="s">
        <v>117</v>
      </c>
      <c r="E185" s="109" t="s">
        <v>2779</v>
      </c>
      <c r="F185" s="109" t="s">
        <v>2967</v>
      </c>
      <c r="G185" s="109">
        <v>9</v>
      </c>
      <c r="H185" s="109" t="s">
        <v>2979</v>
      </c>
      <c r="I185" s="109"/>
      <c r="J185" s="109"/>
      <c r="K185" s="109" t="s">
        <v>2822</v>
      </c>
      <c r="L185" s="109"/>
      <c r="M185" s="109"/>
      <c r="N185" s="109"/>
      <c r="O185" s="109"/>
      <c r="P185" s="109">
        <v>566</v>
      </c>
      <c r="Q185" s="109">
        <v>104</v>
      </c>
      <c r="R185" s="109"/>
      <c r="S185" s="109">
        <v>0</v>
      </c>
      <c r="T185" s="109">
        <v>0</v>
      </c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</row>
    <row r="186" spans="1:36" x14ac:dyDescent="0.3">
      <c r="A186" s="77">
        <v>180</v>
      </c>
      <c r="B186" s="108" t="s">
        <v>2439</v>
      </c>
      <c r="C186" s="108" t="s">
        <v>117</v>
      </c>
      <c r="D186" s="108" t="s">
        <v>117</v>
      </c>
      <c r="E186" s="109" t="s">
        <v>2779</v>
      </c>
      <c r="F186" s="109" t="s">
        <v>2967</v>
      </c>
      <c r="G186" s="109">
        <v>9</v>
      </c>
      <c r="H186" s="109" t="s">
        <v>2979</v>
      </c>
      <c r="I186" s="109"/>
      <c r="J186" s="109"/>
      <c r="K186" s="109" t="s">
        <v>2996</v>
      </c>
      <c r="L186" s="109"/>
      <c r="M186" s="109"/>
      <c r="N186" s="109"/>
      <c r="O186" s="109"/>
      <c r="P186" s="109">
        <v>277</v>
      </c>
      <c r="Q186" s="109">
        <v>65</v>
      </c>
      <c r="R186" s="109"/>
      <c r="S186" s="109">
        <v>240</v>
      </c>
      <c r="T186" s="109">
        <v>0</v>
      </c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</row>
    <row r="187" spans="1:36" x14ac:dyDescent="0.3">
      <c r="A187" s="77">
        <v>181</v>
      </c>
      <c r="B187" s="108" t="s">
        <v>2439</v>
      </c>
      <c r="C187" s="108" t="s">
        <v>117</v>
      </c>
      <c r="D187" s="108" t="s">
        <v>117</v>
      </c>
      <c r="E187" s="109" t="s">
        <v>2779</v>
      </c>
      <c r="F187" s="109" t="s">
        <v>2967</v>
      </c>
      <c r="G187" s="109">
        <v>9</v>
      </c>
      <c r="H187" s="109" t="s">
        <v>2979</v>
      </c>
      <c r="I187" s="109"/>
      <c r="J187" s="109"/>
      <c r="K187" s="109" t="s">
        <v>2990</v>
      </c>
      <c r="L187" s="109"/>
      <c r="M187" s="109"/>
      <c r="N187" s="109"/>
      <c r="O187" s="109"/>
      <c r="P187" s="109">
        <v>495</v>
      </c>
      <c r="Q187" s="109">
        <v>119</v>
      </c>
      <c r="R187" s="109"/>
      <c r="S187" s="109">
        <v>360</v>
      </c>
      <c r="T187" s="109">
        <v>0</v>
      </c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</row>
    <row r="188" spans="1:36" x14ac:dyDescent="0.3">
      <c r="A188" s="77">
        <v>182</v>
      </c>
      <c r="B188" s="108" t="s">
        <v>2439</v>
      </c>
      <c r="C188" s="108" t="s">
        <v>117</v>
      </c>
      <c r="D188" s="108" t="s">
        <v>117</v>
      </c>
      <c r="E188" s="109" t="s">
        <v>2779</v>
      </c>
      <c r="F188" s="109" t="s">
        <v>2967</v>
      </c>
      <c r="G188" s="109">
        <v>9</v>
      </c>
      <c r="H188" s="109" t="s">
        <v>2979</v>
      </c>
      <c r="I188" s="109"/>
      <c r="J188" s="109"/>
      <c r="K188" s="109" t="s">
        <v>2997</v>
      </c>
      <c r="L188" s="109"/>
      <c r="M188" s="109"/>
      <c r="N188" s="109"/>
      <c r="O188" s="109"/>
      <c r="P188" s="109">
        <v>401</v>
      </c>
      <c r="Q188" s="109">
        <v>96</v>
      </c>
      <c r="R188" s="109"/>
      <c r="S188" s="109">
        <v>410</v>
      </c>
      <c r="T188" s="109">
        <v>0</v>
      </c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</row>
    <row r="189" spans="1:36" x14ac:dyDescent="0.3">
      <c r="A189" s="77">
        <v>183</v>
      </c>
      <c r="B189" s="108" t="s">
        <v>2439</v>
      </c>
      <c r="C189" s="108" t="s">
        <v>117</v>
      </c>
      <c r="D189" s="108" t="s">
        <v>117</v>
      </c>
      <c r="E189" s="109" t="s">
        <v>2779</v>
      </c>
      <c r="F189" s="109" t="s">
        <v>2967</v>
      </c>
      <c r="G189" s="109">
        <v>9</v>
      </c>
      <c r="H189" s="109" t="s">
        <v>2979</v>
      </c>
      <c r="I189" s="109"/>
      <c r="J189" s="109"/>
      <c r="K189" s="109" t="s">
        <v>2998</v>
      </c>
      <c r="L189" s="109"/>
      <c r="M189" s="109"/>
      <c r="N189" s="109"/>
      <c r="O189" s="109"/>
      <c r="P189" s="109">
        <v>381</v>
      </c>
      <c r="Q189" s="109">
        <v>95</v>
      </c>
      <c r="R189" s="109"/>
      <c r="S189" s="109">
        <v>0</v>
      </c>
      <c r="T189" s="109">
        <v>0</v>
      </c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</row>
    <row r="190" spans="1:36" x14ac:dyDescent="0.3">
      <c r="A190" s="77">
        <v>184</v>
      </c>
      <c r="B190" s="108" t="s">
        <v>2439</v>
      </c>
      <c r="C190" s="108" t="s">
        <v>117</v>
      </c>
      <c r="D190" s="108" t="s">
        <v>117</v>
      </c>
      <c r="E190" s="109" t="s">
        <v>2779</v>
      </c>
      <c r="F190" s="109" t="s">
        <v>2967</v>
      </c>
      <c r="G190" s="109">
        <v>9</v>
      </c>
      <c r="H190" s="109" t="s">
        <v>2979</v>
      </c>
      <c r="I190" s="109"/>
      <c r="J190" s="109"/>
      <c r="K190" s="109" t="s">
        <v>2999</v>
      </c>
      <c r="L190" s="109"/>
      <c r="M190" s="109"/>
      <c r="N190" s="109"/>
      <c r="O190" s="109"/>
      <c r="P190" s="109">
        <v>532</v>
      </c>
      <c r="Q190" s="109">
        <v>127</v>
      </c>
      <c r="R190" s="109"/>
      <c r="S190" s="109">
        <v>0</v>
      </c>
      <c r="T190" s="109">
        <v>0</v>
      </c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</row>
    <row r="191" spans="1:36" x14ac:dyDescent="0.3">
      <c r="A191" s="77">
        <v>185</v>
      </c>
      <c r="B191" s="108" t="s">
        <v>2439</v>
      </c>
      <c r="C191" s="108" t="s">
        <v>117</v>
      </c>
      <c r="D191" s="108" t="s">
        <v>117</v>
      </c>
      <c r="E191" s="109" t="s">
        <v>2779</v>
      </c>
      <c r="F191" s="109" t="s">
        <v>2967</v>
      </c>
      <c r="G191" s="109">
        <v>9</v>
      </c>
      <c r="H191" s="109" t="s">
        <v>2979</v>
      </c>
      <c r="I191" s="109"/>
      <c r="J191" s="109"/>
      <c r="K191" s="109" t="s">
        <v>3000</v>
      </c>
      <c r="L191" s="109"/>
      <c r="M191" s="109"/>
      <c r="N191" s="109"/>
      <c r="O191" s="109"/>
      <c r="P191" s="109">
        <v>516</v>
      </c>
      <c r="Q191" s="109">
        <v>125</v>
      </c>
      <c r="R191" s="109"/>
      <c r="S191" s="109">
        <v>0</v>
      </c>
      <c r="T191" s="109">
        <v>0</v>
      </c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</row>
    <row r="192" spans="1:36" x14ac:dyDescent="0.3">
      <c r="A192" s="77">
        <v>186</v>
      </c>
      <c r="B192" s="108" t="s">
        <v>2439</v>
      </c>
      <c r="C192" s="108" t="s">
        <v>117</v>
      </c>
      <c r="D192" s="108" t="s">
        <v>117</v>
      </c>
      <c r="E192" s="109" t="s">
        <v>2779</v>
      </c>
      <c r="F192" s="109" t="s">
        <v>2967</v>
      </c>
      <c r="G192" s="109">
        <v>9</v>
      </c>
      <c r="H192" s="109" t="s">
        <v>2979</v>
      </c>
      <c r="I192" s="109"/>
      <c r="J192" s="109"/>
      <c r="K192" s="109" t="s">
        <v>3001</v>
      </c>
      <c r="L192" s="109"/>
      <c r="M192" s="109"/>
      <c r="N192" s="109"/>
      <c r="O192" s="109"/>
      <c r="P192" s="109">
        <v>507</v>
      </c>
      <c r="Q192" s="109">
        <v>123</v>
      </c>
      <c r="R192" s="109"/>
      <c r="S192" s="109">
        <v>0</v>
      </c>
      <c r="T192" s="109">
        <v>0</v>
      </c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</row>
    <row r="193" spans="1:36" x14ac:dyDescent="0.3">
      <c r="A193" s="77">
        <v>187</v>
      </c>
      <c r="B193" s="108" t="s">
        <v>2439</v>
      </c>
      <c r="C193" s="108" t="s">
        <v>117</v>
      </c>
      <c r="D193" s="108" t="s">
        <v>117</v>
      </c>
      <c r="E193" s="109" t="s">
        <v>2779</v>
      </c>
      <c r="F193" s="109" t="s">
        <v>2967</v>
      </c>
      <c r="G193" s="109">
        <v>9</v>
      </c>
      <c r="H193" s="109" t="s">
        <v>2979</v>
      </c>
      <c r="I193" s="109"/>
      <c r="J193" s="109"/>
      <c r="K193" s="109" t="s">
        <v>3002</v>
      </c>
      <c r="L193" s="109"/>
      <c r="M193" s="109"/>
      <c r="N193" s="109"/>
      <c r="O193" s="109"/>
      <c r="P193" s="109">
        <v>782</v>
      </c>
      <c r="Q193" s="109">
        <v>185</v>
      </c>
      <c r="R193" s="109"/>
      <c r="S193" s="109">
        <v>0</v>
      </c>
      <c r="T193" s="109">
        <v>0</v>
      </c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</row>
    <row r="194" spans="1:36" x14ac:dyDescent="0.3">
      <c r="A194" s="77">
        <v>188</v>
      </c>
      <c r="B194" s="108" t="s">
        <v>2439</v>
      </c>
      <c r="C194" s="108" t="s">
        <v>117</v>
      </c>
      <c r="D194" s="108" t="s">
        <v>117</v>
      </c>
      <c r="E194" s="109" t="s">
        <v>2779</v>
      </c>
      <c r="F194" s="109" t="s">
        <v>2967</v>
      </c>
      <c r="G194" s="109">
        <v>9</v>
      </c>
      <c r="H194" s="109" t="s">
        <v>2979</v>
      </c>
      <c r="I194" s="109"/>
      <c r="J194" s="109"/>
      <c r="K194" s="109" t="s">
        <v>2898</v>
      </c>
      <c r="L194" s="109"/>
      <c r="M194" s="109"/>
      <c r="N194" s="109"/>
      <c r="O194" s="109"/>
      <c r="P194" s="109">
        <v>469</v>
      </c>
      <c r="Q194" s="109">
        <v>114</v>
      </c>
      <c r="R194" s="109"/>
      <c r="S194" s="109">
        <v>0</v>
      </c>
      <c r="T194" s="109">
        <v>0</v>
      </c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</row>
    <row r="195" spans="1:36" x14ac:dyDescent="0.3">
      <c r="A195" s="77">
        <v>189</v>
      </c>
      <c r="B195" s="108" t="s">
        <v>2439</v>
      </c>
      <c r="C195" s="108" t="s">
        <v>117</v>
      </c>
      <c r="D195" s="108" t="s">
        <v>117</v>
      </c>
      <c r="E195" s="109" t="s">
        <v>2779</v>
      </c>
      <c r="F195" s="109" t="s">
        <v>2967</v>
      </c>
      <c r="G195" s="109">
        <v>9</v>
      </c>
      <c r="H195" s="109" t="s">
        <v>2979</v>
      </c>
      <c r="I195" s="109"/>
      <c r="J195" s="109"/>
      <c r="K195" s="109" t="s">
        <v>3003</v>
      </c>
      <c r="L195" s="109"/>
      <c r="M195" s="109"/>
      <c r="N195" s="109"/>
      <c r="O195" s="109"/>
      <c r="P195" s="109">
        <v>466</v>
      </c>
      <c r="Q195" s="109">
        <v>114</v>
      </c>
      <c r="R195" s="109"/>
      <c r="S195" s="109">
        <v>0</v>
      </c>
      <c r="T195" s="109">
        <v>0</v>
      </c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</row>
    <row r="196" spans="1:36" x14ac:dyDescent="0.3">
      <c r="A196" s="77">
        <v>190</v>
      </c>
      <c r="B196" s="108" t="s">
        <v>2439</v>
      </c>
      <c r="C196" s="108" t="s">
        <v>117</v>
      </c>
      <c r="D196" s="108" t="s">
        <v>117</v>
      </c>
      <c r="E196" s="109" t="s">
        <v>2779</v>
      </c>
      <c r="F196" s="109" t="s">
        <v>2967</v>
      </c>
      <c r="G196" s="109">
        <v>9</v>
      </c>
      <c r="H196" s="109" t="s">
        <v>2979</v>
      </c>
      <c r="I196" s="109"/>
      <c r="J196" s="109"/>
      <c r="K196" s="109" t="s">
        <v>3004</v>
      </c>
      <c r="L196" s="109"/>
      <c r="M196" s="109"/>
      <c r="N196" s="109"/>
      <c r="O196" s="109"/>
      <c r="P196" s="109">
        <v>445</v>
      </c>
      <c r="Q196" s="109">
        <v>111</v>
      </c>
      <c r="R196" s="109"/>
      <c r="S196" s="109">
        <v>0</v>
      </c>
      <c r="T196" s="109">
        <v>0</v>
      </c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</row>
    <row r="197" spans="1:36" x14ac:dyDescent="0.3">
      <c r="A197" s="77">
        <v>191</v>
      </c>
      <c r="B197" s="108" t="s">
        <v>2439</v>
      </c>
      <c r="C197" s="108" t="s">
        <v>117</v>
      </c>
      <c r="D197" s="108" t="s">
        <v>117</v>
      </c>
      <c r="E197" s="109" t="s">
        <v>2779</v>
      </c>
      <c r="F197" s="109" t="s">
        <v>2967</v>
      </c>
      <c r="G197" s="109">
        <v>9</v>
      </c>
      <c r="H197" s="109" t="s">
        <v>2979</v>
      </c>
      <c r="I197" s="109"/>
      <c r="J197" s="109"/>
      <c r="K197" s="109" t="s">
        <v>2991</v>
      </c>
      <c r="L197" s="109"/>
      <c r="M197" s="109"/>
      <c r="N197" s="109"/>
      <c r="O197" s="109"/>
      <c r="P197" s="109">
        <v>694</v>
      </c>
      <c r="Q197" s="109">
        <v>163</v>
      </c>
      <c r="R197" s="109"/>
      <c r="S197" s="109">
        <v>0</v>
      </c>
      <c r="T197" s="109">
        <v>0</v>
      </c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</row>
    <row r="198" spans="1:36" x14ac:dyDescent="0.3">
      <c r="A198" s="77">
        <v>192</v>
      </c>
      <c r="B198" s="108" t="s">
        <v>2439</v>
      </c>
      <c r="C198" s="108" t="s">
        <v>117</v>
      </c>
      <c r="D198" s="108" t="s">
        <v>117</v>
      </c>
      <c r="E198" s="109" t="s">
        <v>2779</v>
      </c>
      <c r="F198" s="109" t="s">
        <v>2967</v>
      </c>
      <c r="G198" s="109">
        <v>9</v>
      </c>
      <c r="H198" s="109" t="s">
        <v>2979</v>
      </c>
      <c r="I198" s="109"/>
      <c r="J198" s="109"/>
      <c r="K198" s="109" t="s">
        <v>3005</v>
      </c>
      <c r="L198" s="109"/>
      <c r="M198" s="109"/>
      <c r="N198" s="109"/>
      <c r="O198" s="109"/>
      <c r="P198" s="109">
        <v>453</v>
      </c>
      <c r="Q198" s="109">
        <v>107</v>
      </c>
      <c r="R198" s="109"/>
      <c r="S198" s="109">
        <v>410</v>
      </c>
      <c r="T198" s="109">
        <v>50</v>
      </c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</row>
    <row r="199" spans="1:36" x14ac:dyDescent="0.3">
      <c r="A199" s="77">
        <v>193</v>
      </c>
      <c r="B199" s="108" t="s">
        <v>2439</v>
      </c>
      <c r="C199" s="108" t="s">
        <v>117</v>
      </c>
      <c r="D199" s="108" t="s">
        <v>117</v>
      </c>
      <c r="E199" s="109" t="s">
        <v>2779</v>
      </c>
      <c r="F199" s="109" t="s">
        <v>2967</v>
      </c>
      <c r="G199" s="109">
        <v>9</v>
      </c>
      <c r="H199" s="109" t="s">
        <v>2979</v>
      </c>
      <c r="I199" s="109"/>
      <c r="J199" s="109"/>
      <c r="K199" s="109" t="s">
        <v>2917</v>
      </c>
      <c r="L199" s="109"/>
      <c r="M199" s="109"/>
      <c r="N199" s="109"/>
      <c r="O199" s="109"/>
      <c r="P199" s="109">
        <v>465</v>
      </c>
      <c r="Q199" s="109">
        <v>114</v>
      </c>
      <c r="R199" s="109"/>
      <c r="S199" s="109">
        <v>390</v>
      </c>
      <c r="T199" s="109">
        <v>50</v>
      </c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</row>
    <row r="200" spans="1:36" x14ac:dyDescent="0.3">
      <c r="A200" s="77">
        <v>194</v>
      </c>
      <c r="B200" s="108" t="s">
        <v>2439</v>
      </c>
      <c r="C200" s="108" t="s">
        <v>117</v>
      </c>
      <c r="D200" s="108" t="s">
        <v>117</v>
      </c>
      <c r="E200" s="109" t="s">
        <v>2779</v>
      </c>
      <c r="F200" s="109" t="s">
        <v>2967</v>
      </c>
      <c r="G200" s="109">
        <v>9</v>
      </c>
      <c r="H200" s="109" t="s">
        <v>2979</v>
      </c>
      <c r="I200" s="109"/>
      <c r="J200" s="109"/>
      <c r="K200" s="109" t="s">
        <v>2822</v>
      </c>
      <c r="L200" s="109"/>
      <c r="M200" s="109"/>
      <c r="N200" s="109"/>
      <c r="O200" s="109"/>
      <c r="P200" s="109">
        <v>460</v>
      </c>
      <c r="Q200" s="109">
        <v>112</v>
      </c>
      <c r="R200" s="109"/>
      <c r="S200" s="109">
        <v>0</v>
      </c>
      <c r="T200" s="109">
        <v>0</v>
      </c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</row>
    <row r="201" spans="1:36" x14ac:dyDescent="0.3">
      <c r="A201" s="77">
        <v>195</v>
      </c>
      <c r="B201" s="108" t="s">
        <v>2439</v>
      </c>
      <c r="C201" s="108" t="s">
        <v>117</v>
      </c>
      <c r="D201" s="108" t="s">
        <v>117</v>
      </c>
      <c r="E201" s="109" t="s">
        <v>2779</v>
      </c>
      <c r="F201" s="109" t="s">
        <v>2967</v>
      </c>
      <c r="G201" s="109">
        <v>9</v>
      </c>
      <c r="H201" s="109" t="s">
        <v>2979</v>
      </c>
      <c r="I201" s="109"/>
      <c r="J201" s="109"/>
      <c r="K201" s="109" t="s">
        <v>3006</v>
      </c>
      <c r="L201" s="109"/>
      <c r="M201" s="109"/>
      <c r="N201" s="109"/>
      <c r="O201" s="109"/>
      <c r="P201" s="109">
        <v>433</v>
      </c>
      <c r="Q201" s="109">
        <v>107</v>
      </c>
      <c r="R201" s="109"/>
      <c r="S201" s="109">
        <v>0</v>
      </c>
      <c r="T201" s="109">
        <v>0</v>
      </c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</row>
    <row r="202" spans="1:36" x14ac:dyDescent="0.3">
      <c r="A202" s="77">
        <v>196</v>
      </c>
      <c r="B202" s="108" t="s">
        <v>2439</v>
      </c>
      <c r="C202" s="108" t="s">
        <v>117</v>
      </c>
      <c r="D202" s="108" t="s">
        <v>117</v>
      </c>
      <c r="E202" s="109" t="s">
        <v>2779</v>
      </c>
      <c r="F202" s="109" t="s">
        <v>3007</v>
      </c>
      <c r="G202" s="109" t="s">
        <v>3008</v>
      </c>
      <c r="H202" s="109" t="s">
        <v>3009</v>
      </c>
      <c r="I202" s="109"/>
      <c r="J202" s="109"/>
      <c r="K202" s="109" t="s">
        <v>3010</v>
      </c>
      <c r="L202" s="109"/>
      <c r="M202" s="109"/>
      <c r="N202" s="109"/>
      <c r="O202" s="109"/>
      <c r="P202" s="109">
        <v>7405</v>
      </c>
      <c r="Q202" s="109">
        <v>1533</v>
      </c>
      <c r="R202" s="109"/>
      <c r="S202" s="109">
        <v>0</v>
      </c>
      <c r="T202" s="109">
        <v>0</v>
      </c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</row>
    <row r="203" spans="1:36" x14ac:dyDescent="0.3">
      <c r="A203" s="77">
        <v>197</v>
      </c>
      <c r="B203" s="108" t="s">
        <v>2439</v>
      </c>
      <c r="C203" s="108" t="s">
        <v>117</v>
      </c>
      <c r="D203" s="108" t="s">
        <v>117</v>
      </c>
      <c r="E203" s="109" t="s">
        <v>2779</v>
      </c>
      <c r="F203" s="109" t="s">
        <v>3011</v>
      </c>
      <c r="G203" s="109" t="s">
        <v>3012</v>
      </c>
      <c r="H203" s="109" t="s">
        <v>3009</v>
      </c>
      <c r="I203" s="109"/>
      <c r="J203" s="109"/>
      <c r="K203" s="109" t="s">
        <v>3013</v>
      </c>
      <c r="L203" s="109"/>
      <c r="M203" s="109"/>
      <c r="N203" s="109"/>
      <c r="O203" s="109"/>
      <c r="P203" s="109">
        <v>4973</v>
      </c>
      <c r="Q203" s="109">
        <v>1293</v>
      </c>
      <c r="R203" s="109"/>
      <c r="S203" s="109">
        <v>0</v>
      </c>
      <c r="T203" s="109">
        <v>0</v>
      </c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</row>
    <row r="204" spans="1:36" x14ac:dyDescent="0.3">
      <c r="A204" s="77">
        <v>198</v>
      </c>
      <c r="B204" s="108" t="s">
        <v>2439</v>
      </c>
      <c r="C204" s="108" t="s">
        <v>117</v>
      </c>
      <c r="D204" s="108" t="s">
        <v>117</v>
      </c>
      <c r="E204" s="109" t="s">
        <v>2779</v>
      </c>
      <c r="F204" s="109" t="s">
        <v>3011</v>
      </c>
      <c r="G204" s="109" t="s">
        <v>3014</v>
      </c>
      <c r="H204" s="109" t="s">
        <v>3009</v>
      </c>
      <c r="I204" s="109"/>
      <c r="J204" s="109"/>
      <c r="K204" s="109" t="s">
        <v>3015</v>
      </c>
      <c r="L204" s="109"/>
      <c r="M204" s="109"/>
      <c r="N204" s="109"/>
      <c r="O204" s="109"/>
      <c r="P204" s="109">
        <v>5051</v>
      </c>
      <c r="Q204" s="109">
        <v>1286</v>
      </c>
      <c r="R204" s="109"/>
      <c r="S204" s="109">
        <v>0</v>
      </c>
      <c r="T204" s="109">
        <v>0</v>
      </c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</row>
    <row r="205" spans="1:36" x14ac:dyDescent="0.3">
      <c r="A205" s="77">
        <v>199</v>
      </c>
      <c r="B205" s="108" t="s">
        <v>2439</v>
      </c>
      <c r="C205" s="108" t="s">
        <v>117</v>
      </c>
      <c r="D205" s="108" t="s">
        <v>117</v>
      </c>
      <c r="E205" s="109" t="s">
        <v>2779</v>
      </c>
      <c r="F205" s="109" t="s">
        <v>3011</v>
      </c>
      <c r="G205" s="109">
        <v>1</v>
      </c>
      <c r="H205" s="109" t="s">
        <v>3009</v>
      </c>
      <c r="I205" s="109"/>
      <c r="J205" s="109"/>
      <c r="K205" s="109" t="s">
        <v>3011</v>
      </c>
      <c r="L205" s="109"/>
      <c r="M205" s="109"/>
      <c r="N205" s="109"/>
      <c r="O205" s="109"/>
      <c r="P205" s="109">
        <v>3600</v>
      </c>
      <c r="Q205" s="109">
        <v>910</v>
      </c>
      <c r="R205" s="109"/>
      <c r="S205" s="109">
        <v>0</v>
      </c>
      <c r="T205" s="109">
        <v>0</v>
      </c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</row>
    <row r="206" spans="1:36" x14ac:dyDescent="0.3">
      <c r="A206" s="77">
        <v>200</v>
      </c>
      <c r="B206" s="108" t="s">
        <v>2439</v>
      </c>
      <c r="C206" s="108" t="s">
        <v>117</v>
      </c>
      <c r="D206" s="108" t="s">
        <v>117</v>
      </c>
      <c r="E206" s="109" t="s">
        <v>2779</v>
      </c>
      <c r="F206" s="109" t="s">
        <v>3016</v>
      </c>
      <c r="G206" s="109" t="s">
        <v>2617</v>
      </c>
      <c r="H206" s="109" t="s">
        <v>3009</v>
      </c>
      <c r="I206" s="109"/>
      <c r="J206" s="109"/>
      <c r="K206" s="109" t="s">
        <v>3017</v>
      </c>
      <c r="L206" s="109"/>
      <c r="M206" s="109"/>
      <c r="N206" s="109"/>
      <c r="O206" s="109"/>
      <c r="P206" s="109">
        <v>5769</v>
      </c>
      <c r="Q206" s="109">
        <v>1208</v>
      </c>
      <c r="R206" s="109"/>
      <c r="S206" s="109">
        <v>0</v>
      </c>
      <c r="T206" s="109">
        <v>0</v>
      </c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</row>
    <row r="207" spans="1:36" x14ac:dyDescent="0.3">
      <c r="A207" s="77">
        <v>201</v>
      </c>
      <c r="B207" s="108" t="s">
        <v>2439</v>
      </c>
      <c r="C207" s="108" t="s">
        <v>117</v>
      </c>
      <c r="D207" s="108" t="s">
        <v>117</v>
      </c>
      <c r="E207" s="109" t="s">
        <v>2779</v>
      </c>
      <c r="F207" s="109" t="s">
        <v>3016</v>
      </c>
      <c r="G207" s="109" t="s">
        <v>2858</v>
      </c>
      <c r="H207" s="109" t="s">
        <v>3009</v>
      </c>
      <c r="I207" s="109"/>
      <c r="J207" s="109"/>
      <c r="K207" s="109" t="s">
        <v>3018</v>
      </c>
      <c r="L207" s="109"/>
      <c r="M207" s="109"/>
      <c r="N207" s="109"/>
      <c r="O207" s="109"/>
      <c r="P207" s="109">
        <v>4059</v>
      </c>
      <c r="Q207" s="109">
        <v>1055</v>
      </c>
      <c r="R207" s="109"/>
      <c r="S207" s="109">
        <v>0</v>
      </c>
      <c r="T207" s="109">
        <v>0</v>
      </c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</row>
    <row r="208" spans="1:36" x14ac:dyDescent="0.3">
      <c r="A208" s="77">
        <v>202</v>
      </c>
      <c r="B208" s="108" t="s">
        <v>2439</v>
      </c>
      <c r="C208" s="108" t="s">
        <v>117</v>
      </c>
      <c r="D208" s="108" t="s">
        <v>117</v>
      </c>
      <c r="E208" s="109" t="s">
        <v>2779</v>
      </c>
      <c r="F208" s="109" t="s">
        <v>3016</v>
      </c>
      <c r="G208" s="109">
        <v>5</v>
      </c>
      <c r="H208" s="109" t="s">
        <v>3009</v>
      </c>
      <c r="I208" s="109"/>
      <c r="J208" s="109"/>
      <c r="K208" s="109" t="s">
        <v>3019</v>
      </c>
      <c r="L208" s="109"/>
      <c r="M208" s="109"/>
      <c r="N208" s="109"/>
      <c r="O208" s="109"/>
      <c r="P208" s="109">
        <v>1959</v>
      </c>
      <c r="Q208" s="109">
        <v>673</v>
      </c>
      <c r="R208" s="109"/>
      <c r="S208" s="109">
        <v>0</v>
      </c>
      <c r="T208" s="109">
        <v>0</v>
      </c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</row>
    <row r="209" spans="1:36" x14ac:dyDescent="0.3">
      <c r="A209" s="77">
        <v>203</v>
      </c>
      <c r="B209" s="108" t="s">
        <v>2439</v>
      </c>
      <c r="C209" s="108" t="s">
        <v>117</v>
      </c>
      <c r="D209" s="108" t="s">
        <v>117</v>
      </c>
      <c r="E209" s="109" t="s">
        <v>2779</v>
      </c>
      <c r="F209" s="109" t="s">
        <v>3016</v>
      </c>
      <c r="G209" s="109">
        <v>6</v>
      </c>
      <c r="H209" s="109" t="s">
        <v>3009</v>
      </c>
      <c r="I209" s="109"/>
      <c r="J209" s="109"/>
      <c r="K209" s="109" t="s">
        <v>3020</v>
      </c>
      <c r="L209" s="109"/>
      <c r="M209" s="109"/>
      <c r="N209" s="109"/>
      <c r="O209" s="109"/>
      <c r="P209" s="109">
        <v>3339</v>
      </c>
      <c r="Q209" s="109">
        <v>918</v>
      </c>
      <c r="R209" s="109"/>
      <c r="S209" s="109">
        <v>0</v>
      </c>
      <c r="T209" s="109">
        <v>0</v>
      </c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</row>
    <row r="210" spans="1:36" x14ac:dyDescent="0.3">
      <c r="A210" s="77">
        <v>204</v>
      </c>
      <c r="B210" s="108" t="s">
        <v>2439</v>
      </c>
      <c r="C210" s="108" t="s">
        <v>117</v>
      </c>
      <c r="D210" s="108" t="s">
        <v>117</v>
      </c>
      <c r="E210" s="109" t="s">
        <v>2779</v>
      </c>
      <c r="F210" s="109" t="s">
        <v>3016</v>
      </c>
      <c r="G210" s="109">
        <v>7</v>
      </c>
      <c r="H210" s="109" t="s">
        <v>3009</v>
      </c>
      <c r="I210" s="109"/>
      <c r="J210" s="109"/>
      <c r="K210" s="109" t="s">
        <v>3021</v>
      </c>
      <c r="L210" s="109"/>
      <c r="M210" s="109"/>
      <c r="N210" s="109"/>
      <c r="O210" s="109"/>
      <c r="P210" s="109">
        <v>1473</v>
      </c>
      <c r="Q210" s="109">
        <v>686</v>
      </c>
      <c r="R210" s="109"/>
      <c r="S210" s="109">
        <v>0</v>
      </c>
      <c r="T210" s="109">
        <v>0</v>
      </c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</row>
    <row r="211" spans="1:36" x14ac:dyDescent="0.3">
      <c r="A211" s="77">
        <v>205</v>
      </c>
      <c r="B211" s="108" t="s">
        <v>2439</v>
      </c>
      <c r="C211" s="108" t="s">
        <v>117</v>
      </c>
      <c r="D211" s="108" t="s">
        <v>117</v>
      </c>
      <c r="E211" s="109" t="s">
        <v>2779</v>
      </c>
      <c r="F211" s="109" t="s">
        <v>3016</v>
      </c>
      <c r="G211" s="109">
        <v>8</v>
      </c>
      <c r="H211" s="109" t="s">
        <v>3009</v>
      </c>
      <c r="I211" s="109"/>
      <c r="J211" s="109"/>
      <c r="K211" s="109" t="s">
        <v>3022</v>
      </c>
      <c r="L211" s="109"/>
      <c r="M211" s="109"/>
      <c r="N211" s="109"/>
      <c r="O211" s="109"/>
      <c r="P211" s="109">
        <v>2886</v>
      </c>
      <c r="Q211" s="109">
        <v>906</v>
      </c>
      <c r="R211" s="109"/>
      <c r="S211" s="109">
        <v>0</v>
      </c>
      <c r="T211" s="109">
        <v>0</v>
      </c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</row>
    <row r="212" spans="1:36" x14ac:dyDescent="0.3">
      <c r="A212" s="77">
        <v>206</v>
      </c>
      <c r="B212" s="108" t="s">
        <v>2439</v>
      </c>
      <c r="C212" s="108" t="s">
        <v>117</v>
      </c>
      <c r="D212" s="108" t="s">
        <v>117</v>
      </c>
      <c r="E212" s="109" t="s">
        <v>2779</v>
      </c>
      <c r="F212" s="109" t="s">
        <v>3016</v>
      </c>
      <c r="G212" s="109">
        <v>9</v>
      </c>
      <c r="H212" s="109" t="s">
        <v>3009</v>
      </c>
      <c r="I212" s="109"/>
      <c r="J212" s="109"/>
      <c r="K212" s="109" t="s">
        <v>3023</v>
      </c>
      <c r="L212" s="109"/>
      <c r="M212" s="109"/>
      <c r="N212" s="109"/>
      <c r="O212" s="109"/>
      <c r="P212" s="109">
        <v>3388</v>
      </c>
      <c r="Q212" s="109">
        <v>1014</v>
      </c>
      <c r="R212" s="109"/>
      <c r="S212" s="109">
        <v>0</v>
      </c>
      <c r="T212" s="109">
        <v>0</v>
      </c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</row>
  </sheetData>
  <mergeCells count="3">
    <mergeCell ref="G1:G2"/>
    <mergeCell ref="A5:D5"/>
    <mergeCell ref="U5:AF5"/>
  </mergeCells>
  <conditionalFormatting sqref="M7:M97">
    <cfRule type="duplicateValues" dxfId="9" priority="1"/>
  </conditionalFormatting>
  <dataValidations count="1">
    <dataValidation type="list" allowBlank="1" showInputMessage="1" showErrorMessage="1" sqref="E7:E97">
      <formula1>INDIRECT($B7)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3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2" max="2" width="11.44140625" customWidth="1"/>
    <col min="3" max="3" width="11.88671875" customWidth="1"/>
    <col min="4" max="4" width="13" customWidth="1"/>
    <col min="5" max="5" width="13.44140625" customWidth="1"/>
    <col min="6" max="6" width="18.109375" customWidth="1"/>
    <col min="8" max="8" width="15.6640625" customWidth="1"/>
    <col min="11" max="11" width="24.33203125" customWidth="1"/>
    <col min="12" max="12" width="15.218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COUNTIF(I7:I273,"SK(H)")</f>
        <v>0</v>
      </c>
      <c r="J1" s="50" t="s">
        <v>1</v>
      </c>
      <c r="K1" s="50">
        <f>COUNTA(J7:J289)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COUNTIF(I7:I274,"SHW(H)")</f>
        <v>0</v>
      </c>
      <c r="J2" s="50" t="s">
        <v>5</v>
      </c>
      <c r="K2" s="50">
        <f>COUNTA(K7:K73)</f>
        <v>67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3024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3024</v>
      </c>
      <c r="F7" s="91" t="s">
        <v>3025</v>
      </c>
      <c r="G7" s="92">
        <v>1</v>
      </c>
      <c r="H7" s="91" t="s">
        <v>3026</v>
      </c>
      <c r="I7" s="91"/>
      <c r="J7" s="91"/>
      <c r="K7" s="93" t="s">
        <v>3027</v>
      </c>
      <c r="L7" s="93"/>
      <c r="M7" s="93"/>
      <c r="N7" s="93"/>
      <c r="O7" s="93"/>
      <c r="P7" s="92">
        <v>5577</v>
      </c>
      <c r="Q7" s="92">
        <v>1348</v>
      </c>
      <c r="R7" s="94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3024</v>
      </c>
      <c r="F8" s="91" t="s">
        <v>3025</v>
      </c>
      <c r="G8" s="92">
        <v>1</v>
      </c>
      <c r="H8" s="91" t="s">
        <v>3026</v>
      </c>
      <c r="I8" s="91"/>
      <c r="J8" s="96"/>
      <c r="K8" s="93" t="s">
        <v>3028</v>
      </c>
      <c r="L8" s="93"/>
      <c r="M8" s="93"/>
      <c r="N8" s="93"/>
      <c r="O8" s="93"/>
      <c r="P8" s="92">
        <v>6410</v>
      </c>
      <c r="Q8" s="92">
        <v>1384</v>
      </c>
      <c r="R8" s="92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3024</v>
      </c>
      <c r="F9" s="91" t="s">
        <v>3025</v>
      </c>
      <c r="G9" s="92">
        <v>2</v>
      </c>
      <c r="H9" s="91" t="s">
        <v>3026</v>
      </c>
      <c r="I9" s="91"/>
      <c r="J9" s="96"/>
      <c r="K9" s="93" t="s">
        <v>3029</v>
      </c>
      <c r="L9" s="93"/>
      <c r="M9" s="93"/>
      <c r="N9" s="93"/>
      <c r="O9" s="93"/>
      <c r="P9" s="92">
        <v>5672</v>
      </c>
      <c r="Q9" s="92">
        <v>1275</v>
      </c>
      <c r="R9" s="92"/>
      <c r="S9" s="97">
        <v>70</v>
      </c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3024</v>
      </c>
      <c r="F10" s="91" t="s">
        <v>3025</v>
      </c>
      <c r="G10" s="92">
        <v>2</v>
      </c>
      <c r="H10" s="91" t="s">
        <v>3030</v>
      </c>
      <c r="I10" s="91"/>
      <c r="J10" s="96"/>
      <c r="K10" s="93" t="s">
        <v>3031</v>
      </c>
      <c r="L10" s="93"/>
      <c r="M10" s="93"/>
      <c r="N10" s="93"/>
      <c r="O10" s="93"/>
      <c r="P10" s="92">
        <v>6717</v>
      </c>
      <c r="Q10" s="92">
        <v>1443</v>
      </c>
      <c r="R10" s="92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3024</v>
      </c>
      <c r="F11" s="91" t="s">
        <v>3025</v>
      </c>
      <c r="G11" s="92">
        <v>3</v>
      </c>
      <c r="H11" s="91" t="s">
        <v>3026</v>
      </c>
      <c r="I11" s="91"/>
      <c r="J11" s="96"/>
      <c r="K11" s="93" t="s">
        <v>3032</v>
      </c>
      <c r="L11" s="93"/>
      <c r="M11" s="93"/>
      <c r="N11" s="93"/>
      <c r="O11" s="93"/>
      <c r="P11" s="92">
        <v>6748</v>
      </c>
      <c r="Q11" s="92">
        <v>1450</v>
      </c>
      <c r="R11" s="92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3024</v>
      </c>
      <c r="F12" s="91" t="s">
        <v>3025</v>
      </c>
      <c r="G12" s="92">
        <v>3</v>
      </c>
      <c r="H12" s="96" t="s">
        <v>3026</v>
      </c>
      <c r="I12" s="96"/>
      <c r="J12" s="96"/>
      <c r="K12" s="93" t="s">
        <v>3033</v>
      </c>
      <c r="L12" s="93"/>
      <c r="M12" s="93"/>
      <c r="N12" s="93"/>
      <c r="O12" s="93"/>
      <c r="P12" s="92">
        <v>7804</v>
      </c>
      <c r="Q12" s="92">
        <v>1676</v>
      </c>
      <c r="R12" s="92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3024</v>
      </c>
      <c r="F13" s="91" t="s">
        <v>3025</v>
      </c>
      <c r="G13" s="92">
        <v>4</v>
      </c>
      <c r="H13" s="96" t="s">
        <v>3026</v>
      </c>
      <c r="I13" s="96"/>
      <c r="J13" s="96"/>
      <c r="K13" s="93" t="s">
        <v>3025</v>
      </c>
      <c r="L13" s="93"/>
      <c r="M13" s="93"/>
      <c r="N13" s="93"/>
      <c r="O13" s="93"/>
      <c r="P13" s="92">
        <v>5655</v>
      </c>
      <c r="Q13" s="92">
        <v>1214</v>
      </c>
      <c r="R13" s="92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3024</v>
      </c>
      <c r="F14" s="91" t="s">
        <v>3025</v>
      </c>
      <c r="G14" s="92">
        <v>5</v>
      </c>
      <c r="H14" s="96" t="s">
        <v>3026</v>
      </c>
      <c r="I14" s="96"/>
      <c r="J14" s="96"/>
      <c r="K14" s="93" t="s">
        <v>3034</v>
      </c>
      <c r="L14" s="93"/>
      <c r="M14" s="93"/>
      <c r="N14" s="93"/>
      <c r="O14" s="93"/>
      <c r="P14" s="92">
        <v>4525</v>
      </c>
      <c r="Q14" s="92">
        <v>972</v>
      </c>
      <c r="R14" s="92"/>
      <c r="S14" s="97"/>
      <c r="T14" s="97">
        <v>380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3024</v>
      </c>
      <c r="F15" s="91" t="s">
        <v>3035</v>
      </c>
      <c r="G15" s="92">
        <v>1</v>
      </c>
      <c r="H15" s="96" t="s">
        <v>3036</v>
      </c>
      <c r="I15" s="96"/>
      <c r="J15" s="96"/>
      <c r="K15" s="93" t="s">
        <v>3035</v>
      </c>
      <c r="L15" s="93"/>
      <c r="M15" s="93"/>
      <c r="N15" s="93"/>
      <c r="O15" s="93"/>
      <c r="P15" s="92">
        <v>5680</v>
      </c>
      <c r="Q15" s="92">
        <v>1220</v>
      </c>
      <c r="R15" s="92"/>
      <c r="S15" s="97"/>
      <c r="T15" s="97">
        <v>250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3024</v>
      </c>
      <c r="F16" s="91" t="s">
        <v>3035</v>
      </c>
      <c r="G16" s="92">
        <v>2</v>
      </c>
      <c r="H16" s="96" t="s">
        <v>3036</v>
      </c>
      <c r="I16" s="96"/>
      <c r="J16" s="96"/>
      <c r="K16" s="93" t="s">
        <v>3037</v>
      </c>
      <c r="L16" s="93"/>
      <c r="M16" s="93"/>
      <c r="N16" s="93"/>
      <c r="O16" s="93"/>
      <c r="P16" s="92">
        <v>7126</v>
      </c>
      <c r="Q16" s="92">
        <v>1531</v>
      </c>
      <c r="R16" s="92"/>
      <c r="S16" s="97"/>
      <c r="T16" s="97">
        <v>420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3024</v>
      </c>
      <c r="F17" s="91" t="s">
        <v>3035</v>
      </c>
      <c r="G17" s="92">
        <v>3</v>
      </c>
      <c r="H17" s="96" t="s">
        <v>3036</v>
      </c>
      <c r="I17" s="96"/>
      <c r="J17" s="96"/>
      <c r="K17" s="93" t="s">
        <v>3038</v>
      </c>
      <c r="L17" s="93"/>
      <c r="M17" s="93"/>
      <c r="N17" s="93"/>
      <c r="O17" s="93"/>
      <c r="P17" s="92">
        <v>8052</v>
      </c>
      <c r="Q17" s="92">
        <v>1730</v>
      </c>
      <c r="R17" s="92"/>
      <c r="S17" s="97"/>
      <c r="T17" s="97">
        <v>569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3024</v>
      </c>
      <c r="F18" s="91" t="s">
        <v>3035</v>
      </c>
      <c r="G18" s="92">
        <v>3</v>
      </c>
      <c r="H18" s="96" t="s">
        <v>3039</v>
      </c>
      <c r="I18" s="96"/>
      <c r="J18" s="96"/>
      <c r="K18" s="93" t="s">
        <v>3040</v>
      </c>
      <c r="L18" s="93"/>
      <c r="M18" s="93"/>
      <c r="N18" s="93"/>
      <c r="O18" s="93"/>
      <c r="P18" s="92">
        <v>5081</v>
      </c>
      <c r="Q18" s="92">
        <v>1091</v>
      </c>
      <c r="R18" s="92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3024</v>
      </c>
      <c r="F19" s="91" t="s">
        <v>3035</v>
      </c>
      <c r="G19" s="92">
        <v>4</v>
      </c>
      <c r="H19" s="96" t="s">
        <v>3039</v>
      </c>
      <c r="I19" s="96"/>
      <c r="J19" s="96"/>
      <c r="K19" s="93" t="s">
        <v>3041</v>
      </c>
      <c r="L19" s="93"/>
      <c r="M19" s="93"/>
      <c r="N19" s="93"/>
      <c r="O19" s="93"/>
      <c r="P19" s="92">
        <v>7028</v>
      </c>
      <c r="Q19" s="92">
        <v>1510</v>
      </c>
      <c r="R19" s="92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3024</v>
      </c>
      <c r="F20" s="91" t="s">
        <v>3042</v>
      </c>
      <c r="G20" s="92">
        <v>2</v>
      </c>
      <c r="H20" s="96" t="s">
        <v>3043</v>
      </c>
      <c r="I20" s="96"/>
      <c r="J20" s="96"/>
      <c r="K20" s="93" t="s">
        <v>3044</v>
      </c>
      <c r="L20" s="93"/>
      <c r="M20" s="93"/>
      <c r="N20" s="93"/>
      <c r="O20" s="93"/>
      <c r="P20" s="92">
        <v>5256</v>
      </c>
      <c r="Q20" s="92">
        <v>1130</v>
      </c>
      <c r="R20" s="92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3024</v>
      </c>
      <c r="F21" s="91" t="s">
        <v>3042</v>
      </c>
      <c r="G21" s="97">
        <v>3</v>
      </c>
      <c r="H21" s="96" t="s">
        <v>3043</v>
      </c>
      <c r="I21" s="96"/>
      <c r="J21" s="96"/>
      <c r="K21" s="93" t="s">
        <v>3045</v>
      </c>
      <c r="L21" s="93"/>
      <c r="M21" s="93"/>
      <c r="N21" s="93"/>
      <c r="O21" s="93"/>
      <c r="P21" s="92">
        <v>5992</v>
      </c>
      <c r="Q21" s="92">
        <v>1287</v>
      </c>
      <c r="R21" s="92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3024</v>
      </c>
      <c r="F22" s="91" t="s">
        <v>3042</v>
      </c>
      <c r="G22" s="92">
        <v>3</v>
      </c>
      <c r="H22" s="96" t="s">
        <v>3043</v>
      </c>
      <c r="I22" s="96"/>
      <c r="J22" s="96"/>
      <c r="K22" s="93" t="s">
        <v>3042</v>
      </c>
      <c r="L22" s="93"/>
      <c r="M22" s="93"/>
      <c r="N22" s="93"/>
      <c r="O22" s="93"/>
      <c r="P22" s="92">
        <v>7606</v>
      </c>
      <c r="Q22" s="92">
        <v>1634</v>
      </c>
      <c r="R22" s="92"/>
      <c r="S22" s="97">
        <v>60</v>
      </c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3024</v>
      </c>
      <c r="F23" s="91" t="s">
        <v>3042</v>
      </c>
      <c r="G23" s="92">
        <v>4</v>
      </c>
      <c r="H23" s="96" t="s">
        <v>3043</v>
      </c>
      <c r="I23" s="96"/>
      <c r="J23" s="96"/>
      <c r="K23" s="93" t="s">
        <v>3046</v>
      </c>
      <c r="L23" s="93"/>
      <c r="M23" s="93"/>
      <c r="N23" s="93"/>
      <c r="O23" s="93"/>
      <c r="P23" s="92">
        <v>5449</v>
      </c>
      <c r="Q23" s="92">
        <v>1170</v>
      </c>
      <c r="R23" s="92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3024</v>
      </c>
      <c r="F24" s="91" t="s">
        <v>3042</v>
      </c>
      <c r="G24" s="92">
        <v>4</v>
      </c>
      <c r="H24" s="96" t="s">
        <v>3043</v>
      </c>
      <c r="I24" s="96"/>
      <c r="J24" s="96"/>
      <c r="K24" s="93" t="s">
        <v>3047</v>
      </c>
      <c r="L24" s="93"/>
      <c r="M24" s="93"/>
      <c r="N24" s="93"/>
      <c r="O24" s="93"/>
      <c r="P24" s="92">
        <v>7212</v>
      </c>
      <c r="Q24" s="92">
        <v>1550</v>
      </c>
      <c r="R24" s="92"/>
      <c r="S24" s="97"/>
      <c r="T24" s="97">
        <v>400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3024</v>
      </c>
      <c r="F25" s="91" t="s">
        <v>3042</v>
      </c>
      <c r="G25" s="97">
        <v>5</v>
      </c>
      <c r="H25" s="96" t="s">
        <v>3043</v>
      </c>
      <c r="I25" s="96"/>
      <c r="J25" s="96"/>
      <c r="K25" s="93" t="s">
        <v>3048</v>
      </c>
      <c r="L25" s="93"/>
      <c r="M25" s="93"/>
      <c r="N25" s="93"/>
      <c r="O25" s="93"/>
      <c r="P25" s="92">
        <v>8139</v>
      </c>
      <c r="Q25" s="92">
        <v>1748</v>
      </c>
      <c r="R25" s="92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3024</v>
      </c>
      <c r="F26" s="91" t="s">
        <v>3049</v>
      </c>
      <c r="G26" s="97">
        <v>1</v>
      </c>
      <c r="H26" s="96" t="s">
        <v>3030</v>
      </c>
      <c r="I26" s="96"/>
      <c r="J26" s="96"/>
      <c r="K26" s="93" t="s">
        <v>3050</v>
      </c>
      <c r="L26" s="93"/>
      <c r="M26" s="93"/>
      <c r="N26" s="93"/>
      <c r="O26" s="93"/>
      <c r="P26" s="92">
        <v>5200</v>
      </c>
      <c r="Q26" s="92">
        <v>1118</v>
      </c>
      <c r="R26" s="92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3024</v>
      </c>
      <c r="F27" s="91" t="s">
        <v>3049</v>
      </c>
      <c r="G27" s="97">
        <v>2</v>
      </c>
      <c r="H27" s="96" t="s">
        <v>3030</v>
      </c>
      <c r="I27" s="96"/>
      <c r="J27" s="96"/>
      <c r="K27" s="93" t="s">
        <v>3051</v>
      </c>
      <c r="L27" s="93"/>
      <c r="M27" s="93"/>
      <c r="N27" s="93"/>
      <c r="O27" s="93"/>
      <c r="P27" s="92">
        <v>5058</v>
      </c>
      <c r="Q27" s="92">
        <v>1086</v>
      </c>
      <c r="R27" s="92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3024</v>
      </c>
      <c r="F28" s="91" t="s">
        <v>3049</v>
      </c>
      <c r="G28" s="97">
        <v>2</v>
      </c>
      <c r="H28" s="96" t="s">
        <v>3030</v>
      </c>
      <c r="I28" s="96"/>
      <c r="J28" s="96"/>
      <c r="K28" s="93" t="s">
        <v>3052</v>
      </c>
      <c r="L28" s="93"/>
      <c r="M28" s="93"/>
      <c r="N28" s="93"/>
      <c r="O28" s="93"/>
      <c r="P28" s="92">
        <v>7203</v>
      </c>
      <c r="Q28" s="92">
        <v>1547</v>
      </c>
      <c r="R28" s="92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3024</v>
      </c>
      <c r="F29" s="91" t="s">
        <v>3049</v>
      </c>
      <c r="G29" s="97">
        <v>3</v>
      </c>
      <c r="H29" s="96" t="s">
        <v>3030</v>
      </c>
      <c r="I29" s="96"/>
      <c r="J29" s="96"/>
      <c r="K29" s="93" t="s">
        <v>3053</v>
      </c>
      <c r="L29" s="93"/>
      <c r="M29" s="93"/>
      <c r="N29" s="93"/>
      <c r="O29" s="93"/>
      <c r="P29" s="92">
        <v>7260</v>
      </c>
      <c r="Q29" s="92">
        <v>1560</v>
      </c>
      <c r="R29" s="92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3024</v>
      </c>
      <c r="F30" s="91" t="s">
        <v>3049</v>
      </c>
      <c r="G30" s="97">
        <v>4</v>
      </c>
      <c r="H30" s="96" t="s">
        <v>3030</v>
      </c>
      <c r="I30" s="96"/>
      <c r="J30" s="96"/>
      <c r="K30" s="93" t="s">
        <v>3054</v>
      </c>
      <c r="L30" s="93"/>
      <c r="M30" s="93"/>
      <c r="N30" s="93"/>
      <c r="O30" s="93"/>
      <c r="P30" s="92">
        <v>5054</v>
      </c>
      <c r="Q30" s="92">
        <v>1086</v>
      </c>
      <c r="R30" s="92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3024</v>
      </c>
      <c r="F31" s="91" t="s">
        <v>3049</v>
      </c>
      <c r="G31" s="97">
        <v>5</v>
      </c>
      <c r="H31" s="96" t="s">
        <v>3030</v>
      </c>
      <c r="I31" s="96"/>
      <c r="J31" s="96"/>
      <c r="K31" s="93" t="s">
        <v>3055</v>
      </c>
      <c r="L31" s="93"/>
      <c r="M31" s="93"/>
      <c r="N31" s="93"/>
      <c r="O31" s="93"/>
      <c r="P31" s="92">
        <v>7336</v>
      </c>
      <c r="Q31" s="92">
        <v>1576</v>
      </c>
      <c r="R31" s="92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3024</v>
      </c>
      <c r="F32" s="96" t="s">
        <v>3056</v>
      </c>
      <c r="G32" s="97">
        <v>3</v>
      </c>
      <c r="H32" s="96" t="s">
        <v>3057</v>
      </c>
      <c r="I32" s="96"/>
      <c r="J32" s="96"/>
      <c r="K32" s="93" t="s">
        <v>3056</v>
      </c>
      <c r="L32" s="93"/>
      <c r="M32" s="93"/>
      <c r="N32" s="93"/>
      <c r="O32" s="93"/>
      <c r="P32" s="92">
        <v>23959</v>
      </c>
      <c r="Q32" s="92">
        <v>5147</v>
      </c>
      <c r="R32" s="92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3024</v>
      </c>
      <c r="F33" s="96" t="s">
        <v>3058</v>
      </c>
      <c r="G33" s="97">
        <v>1</v>
      </c>
      <c r="H33" s="96" t="s">
        <v>3059</v>
      </c>
      <c r="I33" s="96"/>
      <c r="J33" s="96"/>
      <c r="K33" s="93" t="s">
        <v>3060</v>
      </c>
      <c r="L33" s="93"/>
      <c r="M33" s="93"/>
      <c r="N33" s="93"/>
      <c r="O33" s="93"/>
      <c r="P33" s="92">
        <v>8941</v>
      </c>
      <c r="Q33" s="92">
        <v>1921</v>
      </c>
      <c r="R33" s="92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3024</v>
      </c>
      <c r="F34" s="96" t="s">
        <v>3058</v>
      </c>
      <c r="G34" s="97">
        <v>2</v>
      </c>
      <c r="H34" s="96" t="s">
        <v>3059</v>
      </c>
      <c r="I34" s="96"/>
      <c r="J34" s="96"/>
      <c r="K34" s="93" t="s">
        <v>3061</v>
      </c>
      <c r="L34" s="93"/>
      <c r="M34" s="93"/>
      <c r="N34" s="93"/>
      <c r="O34" s="93"/>
      <c r="P34" s="92">
        <v>10030</v>
      </c>
      <c r="Q34" s="92">
        <v>2155</v>
      </c>
      <c r="R34" s="92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3024</v>
      </c>
      <c r="F35" s="96" t="s">
        <v>3024</v>
      </c>
      <c r="G35" s="97">
        <v>1</v>
      </c>
      <c r="H35" s="96" t="s">
        <v>3062</v>
      </c>
      <c r="I35" s="96"/>
      <c r="J35" s="96"/>
      <c r="K35" s="93" t="s">
        <v>3063</v>
      </c>
      <c r="L35" s="93"/>
      <c r="M35" s="93"/>
      <c r="N35" s="93"/>
      <c r="O35" s="93"/>
      <c r="P35" s="92">
        <v>3605</v>
      </c>
      <c r="Q35" s="92">
        <v>774</v>
      </c>
      <c r="R35" s="92"/>
      <c r="S35" s="97"/>
      <c r="T35" s="97">
        <v>650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3024</v>
      </c>
      <c r="F36" s="96" t="s">
        <v>3024</v>
      </c>
      <c r="G36" s="97">
        <v>2</v>
      </c>
      <c r="H36" s="96" t="s">
        <v>3062</v>
      </c>
      <c r="I36" s="96"/>
      <c r="J36" s="96"/>
      <c r="K36" s="93" t="s">
        <v>3064</v>
      </c>
      <c r="L36" s="93"/>
      <c r="M36" s="93"/>
      <c r="N36" s="93"/>
      <c r="O36" s="93"/>
      <c r="P36" s="92">
        <v>6505</v>
      </c>
      <c r="Q36" s="92">
        <v>1398</v>
      </c>
      <c r="R36" s="92"/>
      <c r="S36" s="97"/>
      <c r="T36" s="97">
        <v>700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3024</v>
      </c>
      <c r="F37" s="96" t="s">
        <v>3024</v>
      </c>
      <c r="G37" s="97">
        <v>3</v>
      </c>
      <c r="H37" s="96" t="s">
        <v>3062</v>
      </c>
      <c r="I37" s="96"/>
      <c r="J37" s="96"/>
      <c r="K37" s="93" t="s">
        <v>3065</v>
      </c>
      <c r="L37" s="93"/>
      <c r="M37" s="93"/>
      <c r="N37" s="93"/>
      <c r="O37" s="93"/>
      <c r="P37" s="92">
        <v>8947</v>
      </c>
      <c r="Q37" s="92">
        <v>1922</v>
      </c>
      <c r="R37" s="92"/>
      <c r="S37" s="97"/>
      <c r="T37" s="97">
        <v>850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3024</v>
      </c>
      <c r="F38" s="96" t="s">
        <v>3024</v>
      </c>
      <c r="G38" s="97">
        <v>4</v>
      </c>
      <c r="H38" s="96" t="s">
        <v>3062</v>
      </c>
      <c r="I38" s="96"/>
      <c r="J38" s="96"/>
      <c r="K38" s="93" t="s">
        <v>3066</v>
      </c>
      <c r="L38" s="93"/>
      <c r="M38" s="93"/>
      <c r="N38" s="93"/>
      <c r="O38" s="93"/>
      <c r="P38" s="92">
        <v>7505</v>
      </c>
      <c r="Q38" s="92">
        <v>1612</v>
      </c>
      <c r="R38" s="92"/>
      <c r="S38" s="97"/>
      <c r="T38" s="97">
        <v>650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3024</v>
      </c>
      <c r="F39" s="96" t="s">
        <v>3024</v>
      </c>
      <c r="G39" s="97">
        <v>5</v>
      </c>
      <c r="H39" s="96" t="s">
        <v>3062</v>
      </c>
      <c r="I39" s="96"/>
      <c r="J39" s="96"/>
      <c r="K39" s="93" t="s">
        <v>3067</v>
      </c>
      <c r="L39" s="93"/>
      <c r="M39" s="93"/>
      <c r="N39" s="93"/>
      <c r="O39" s="93"/>
      <c r="P39" s="92">
        <v>8460</v>
      </c>
      <c r="Q39" s="92">
        <v>1818</v>
      </c>
      <c r="R39" s="92"/>
      <c r="S39" s="97"/>
      <c r="T39" s="97">
        <v>750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3024</v>
      </c>
      <c r="F40" s="96" t="s">
        <v>3024</v>
      </c>
      <c r="G40" s="97">
        <v>6</v>
      </c>
      <c r="H40" s="96" t="s">
        <v>3062</v>
      </c>
      <c r="I40" s="96"/>
      <c r="J40" s="96"/>
      <c r="K40" s="93" t="s">
        <v>3068</v>
      </c>
      <c r="L40" s="93"/>
      <c r="M40" s="93"/>
      <c r="N40" s="93"/>
      <c r="O40" s="93"/>
      <c r="P40" s="92">
        <v>7482</v>
      </c>
      <c r="Q40" s="92">
        <v>1607</v>
      </c>
      <c r="R40" s="92"/>
      <c r="S40" s="97"/>
      <c r="T40" s="97">
        <v>500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3024</v>
      </c>
      <c r="F41" s="96" t="s">
        <v>3024</v>
      </c>
      <c r="G41" s="97">
        <v>6</v>
      </c>
      <c r="H41" s="96" t="s">
        <v>3062</v>
      </c>
      <c r="I41" s="96"/>
      <c r="J41" s="96"/>
      <c r="K41" s="93" t="s">
        <v>3069</v>
      </c>
      <c r="L41" s="93"/>
      <c r="M41" s="93"/>
      <c r="N41" s="93"/>
      <c r="O41" s="93"/>
      <c r="P41" s="92">
        <v>6290</v>
      </c>
      <c r="Q41" s="92">
        <v>1352</v>
      </c>
      <c r="R41" s="92"/>
      <c r="S41" s="97"/>
      <c r="T41" s="97">
        <v>600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3024</v>
      </c>
      <c r="F42" s="96" t="s">
        <v>3024</v>
      </c>
      <c r="G42" s="97">
        <v>7</v>
      </c>
      <c r="H42" s="96" t="s">
        <v>3062</v>
      </c>
      <c r="I42" s="96"/>
      <c r="J42" s="96"/>
      <c r="K42" s="93" t="s">
        <v>3070</v>
      </c>
      <c r="L42" s="93"/>
      <c r="M42" s="93"/>
      <c r="N42" s="93"/>
      <c r="O42" s="93"/>
      <c r="P42" s="92">
        <v>8463</v>
      </c>
      <c r="Q42" s="92">
        <v>4992</v>
      </c>
      <c r="R42" s="92"/>
      <c r="S42" s="97"/>
      <c r="T42" s="97">
        <v>480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3024</v>
      </c>
      <c r="F43" s="96" t="s">
        <v>3024</v>
      </c>
      <c r="G43" s="97">
        <v>7</v>
      </c>
      <c r="H43" s="96" t="s">
        <v>3062</v>
      </c>
      <c r="I43" s="96"/>
      <c r="J43" s="96"/>
      <c r="K43" s="93" t="s">
        <v>2876</v>
      </c>
      <c r="L43" s="93"/>
      <c r="M43" s="93"/>
      <c r="N43" s="93"/>
      <c r="O43" s="93"/>
      <c r="P43" s="92">
        <v>6289</v>
      </c>
      <c r="Q43" s="92">
        <v>1772</v>
      </c>
      <c r="R43" s="92"/>
      <c r="S43" s="97">
        <v>265</v>
      </c>
      <c r="T43" s="97">
        <v>520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3024</v>
      </c>
      <c r="F44" s="96" t="s">
        <v>3024</v>
      </c>
      <c r="G44" s="97">
        <v>3</v>
      </c>
      <c r="H44" s="96" t="s">
        <v>3071</v>
      </c>
      <c r="I44" s="96"/>
      <c r="J44" s="96"/>
      <c r="K44" s="93" t="s">
        <v>3072</v>
      </c>
      <c r="L44" s="93"/>
      <c r="M44" s="93"/>
      <c r="N44" s="93"/>
      <c r="O44" s="93"/>
      <c r="P44" s="92">
        <v>8248</v>
      </c>
      <c r="Q44" s="92">
        <v>1351</v>
      </c>
      <c r="R44" s="92"/>
      <c r="S44" s="97"/>
      <c r="T44" s="97">
        <v>819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3024</v>
      </c>
      <c r="F45" s="96" t="s">
        <v>3073</v>
      </c>
      <c r="G45" s="97">
        <v>1</v>
      </c>
      <c r="H45" s="96" t="s">
        <v>3071</v>
      </c>
      <c r="I45" s="96"/>
      <c r="J45" s="96"/>
      <c r="K45" s="93" t="s">
        <v>3074</v>
      </c>
      <c r="L45" s="93"/>
      <c r="M45" s="93"/>
      <c r="N45" s="93"/>
      <c r="O45" s="93"/>
      <c r="P45" s="92">
        <v>4152</v>
      </c>
      <c r="Q45" s="92">
        <v>892</v>
      </c>
      <c r="R45" s="92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3024</v>
      </c>
      <c r="F46" s="96" t="s">
        <v>3073</v>
      </c>
      <c r="G46" s="97">
        <v>2</v>
      </c>
      <c r="H46" s="96" t="s">
        <v>3071</v>
      </c>
      <c r="I46" s="96"/>
      <c r="J46" s="96"/>
      <c r="K46" s="93" t="s">
        <v>3075</v>
      </c>
      <c r="L46" s="93"/>
      <c r="M46" s="93"/>
      <c r="N46" s="93"/>
      <c r="O46" s="93"/>
      <c r="P46" s="92">
        <v>7650</v>
      </c>
      <c r="Q46" s="92">
        <v>1643</v>
      </c>
      <c r="R46" s="92"/>
      <c r="S46" s="97"/>
      <c r="T46" s="97">
        <v>800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3024</v>
      </c>
      <c r="F47" s="96" t="s">
        <v>3073</v>
      </c>
      <c r="G47" s="97">
        <v>3</v>
      </c>
      <c r="H47" s="96" t="s">
        <v>3071</v>
      </c>
      <c r="I47" s="96"/>
      <c r="J47" s="96"/>
      <c r="K47" s="93" t="s">
        <v>3076</v>
      </c>
      <c r="L47" s="93"/>
      <c r="M47" s="93"/>
      <c r="N47" s="93"/>
      <c r="O47" s="93"/>
      <c r="P47" s="92">
        <v>5274</v>
      </c>
      <c r="Q47" s="92">
        <v>1133</v>
      </c>
      <c r="R47" s="92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3024</v>
      </c>
      <c r="F48" s="96" t="s">
        <v>3073</v>
      </c>
      <c r="G48" s="97">
        <v>3</v>
      </c>
      <c r="H48" s="96" t="s">
        <v>3071</v>
      </c>
      <c r="I48" s="96"/>
      <c r="J48" s="96"/>
      <c r="K48" s="93" t="s">
        <v>3077</v>
      </c>
      <c r="L48" s="93"/>
      <c r="M48" s="93"/>
      <c r="N48" s="93"/>
      <c r="O48" s="93"/>
      <c r="P48" s="92">
        <v>6367</v>
      </c>
      <c r="Q48" s="92">
        <v>1368</v>
      </c>
      <c r="R48" s="92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3024</v>
      </c>
      <c r="F49" s="96" t="s">
        <v>3073</v>
      </c>
      <c r="G49" s="97">
        <v>8</v>
      </c>
      <c r="H49" s="96" t="s">
        <v>3071</v>
      </c>
      <c r="I49" s="96"/>
      <c r="J49" s="96"/>
      <c r="K49" s="93" t="s">
        <v>3078</v>
      </c>
      <c r="L49" s="93"/>
      <c r="M49" s="93"/>
      <c r="N49" s="93"/>
      <c r="O49" s="93"/>
      <c r="P49" s="92">
        <v>9163</v>
      </c>
      <c r="Q49" s="92">
        <v>1968</v>
      </c>
      <c r="R49" s="92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3024</v>
      </c>
      <c r="F50" s="96" t="s">
        <v>3079</v>
      </c>
      <c r="G50" s="97">
        <v>2</v>
      </c>
      <c r="H50" s="96" t="s">
        <v>3059</v>
      </c>
      <c r="I50" s="96"/>
      <c r="J50" s="96"/>
      <c r="K50" s="93" t="s">
        <v>3079</v>
      </c>
      <c r="L50" s="93"/>
      <c r="M50" s="93"/>
      <c r="N50" s="93"/>
      <c r="O50" s="93"/>
      <c r="P50" s="92">
        <v>23309</v>
      </c>
      <c r="Q50" s="92">
        <v>5008</v>
      </c>
      <c r="R50" s="92"/>
      <c r="S50" s="97"/>
      <c r="T50" s="97">
        <v>1050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3024</v>
      </c>
      <c r="F51" s="96" t="s">
        <v>3080</v>
      </c>
      <c r="G51" s="97">
        <v>1</v>
      </c>
      <c r="H51" s="96" t="s">
        <v>3081</v>
      </c>
      <c r="I51" s="96"/>
      <c r="J51" s="96"/>
      <c r="K51" s="93" t="s">
        <v>3082</v>
      </c>
      <c r="L51" s="93"/>
      <c r="M51" s="93"/>
      <c r="N51" s="93"/>
      <c r="O51" s="93"/>
      <c r="P51" s="92">
        <v>7656</v>
      </c>
      <c r="Q51" s="92">
        <v>1645</v>
      </c>
      <c r="R51" s="92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3024</v>
      </c>
      <c r="F52" s="96" t="s">
        <v>3080</v>
      </c>
      <c r="G52" s="97">
        <v>2</v>
      </c>
      <c r="H52" s="96" t="s">
        <v>3081</v>
      </c>
      <c r="I52" s="96"/>
      <c r="J52" s="96"/>
      <c r="K52" s="93" t="s">
        <v>3083</v>
      </c>
      <c r="L52" s="93"/>
      <c r="M52" s="93"/>
      <c r="N52" s="93"/>
      <c r="O52" s="93"/>
      <c r="P52" s="92">
        <v>9906</v>
      </c>
      <c r="Q52" s="92">
        <v>2128</v>
      </c>
      <c r="R52" s="92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3024</v>
      </c>
      <c r="F53" s="96" t="s">
        <v>3080</v>
      </c>
      <c r="G53" s="97">
        <v>3</v>
      </c>
      <c r="H53" s="96" t="s">
        <v>3081</v>
      </c>
      <c r="I53" s="96"/>
      <c r="J53" s="96"/>
      <c r="K53" s="93" t="s">
        <v>3084</v>
      </c>
      <c r="L53" s="93"/>
      <c r="M53" s="93"/>
      <c r="N53" s="93"/>
      <c r="O53" s="93"/>
      <c r="P53" s="92">
        <v>8549</v>
      </c>
      <c r="Q53" s="92">
        <v>1836</v>
      </c>
      <c r="R53" s="92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3024</v>
      </c>
      <c r="F54" s="96" t="s">
        <v>3085</v>
      </c>
      <c r="G54" s="97">
        <v>1</v>
      </c>
      <c r="H54" s="96" t="s">
        <v>3086</v>
      </c>
      <c r="I54" s="96"/>
      <c r="J54" s="96"/>
      <c r="K54" s="93" t="s">
        <v>3087</v>
      </c>
      <c r="L54" s="93"/>
      <c r="M54" s="93"/>
      <c r="N54" s="93"/>
      <c r="O54" s="93"/>
      <c r="P54" s="92">
        <v>6965</v>
      </c>
      <c r="Q54" s="92">
        <v>1496</v>
      </c>
      <c r="R54" s="92"/>
      <c r="S54" s="97">
        <v>95</v>
      </c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3024</v>
      </c>
      <c r="F55" s="96" t="s">
        <v>3085</v>
      </c>
      <c r="G55" s="97">
        <v>2</v>
      </c>
      <c r="H55" s="96" t="s">
        <v>3086</v>
      </c>
      <c r="I55" s="96"/>
      <c r="J55" s="96"/>
      <c r="K55" s="93" t="s">
        <v>3088</v>
      </c>
      <c r="L55" s="93"/>
      <c r="M55" s="93"/>
      <c r="N55" s="93"/>
      <c r="O55" s="93"/>
      <c r="P55" s="92">
        <v>7437</v>
      </c>
      <c r="Q55" s="92">
        <v>1598</v>
      </c>
      <c r="R55" s="92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3024</v>
      </c>
      <c r="F56" s="96" t="s">
        <v>3085</v>
      </c>
      <c r="G56" s="97">
        <v>4</v>
      </c>
      <c r="H56" s="96" t="s">
        <v>3086</v>
      </c>
      <c r="I56" s="96"/>
      <c r="J56" s="96"/>
      <c r="K56" s="93" t="s">
        <v>3089</v>
      </c>
      <c r="L56" s="93"/>
      <c r="M56" s="93"/>
      <c r="N56" s="93"/>
      <c r="O56" s="93"/>
      <c r="P56" s="92">
        <v>5257</v>
      </c>
      <c r="Q56" s="92">
        <v>1130</v>
      </c>
      <c r="R56" s="92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3024</v>
      </c>
      <c r="F57" s="96" t="s">
        <v>3085</v>
      </c>
      <c r="G57" s="97">
        <v>5</v>
      </c>
      <c r="H57" s="96" t="s">
        <v>3086</v>
      </c>
      <c r="I57" s="96"/>
      <c r="J57" s="96"/>
      <c r="K57" s="93" t="s">
        <v>3090</v>
      </c>
      <c r="L57" s="93"/>
      <c r="M57" s="93"/>
      <c r="N57" s="93"/>
      <c r="O57" s="93"/>
      <c r="P57" s="92">
        <v>5539</v>
      </c>
      <c r="Q57" s="92">
        <v>1190</v>
      </c>
      <c r="R57" s="92"/>
      <c r="S57" s="97">
        <v>10</v>
      </c>
      <c r="T57" s="97">
        <v>550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3024</v>
      </c>
      <c r="F58" s="96" t="s">
        <v>3085</v>
      </c>
      <c r="G58" s="97">
        <v>6</v>
      </c>
      <c r="H58" s="96" t="s">
        <v>3086</v>
      </c>
      <c r="I58" s="96"/>
      <c r="J58" s="96"/>
      <c r="K58" s="93" t="s">
        <v>3091</v>
      </c>
      <c r="L58" s="93"/>
      <c r="M58" s="93"/>
      <c r="N58" s="93"/>
      <c r="O58" s="93"/>
      <c r="P58" s="92">
        <v>5368</v>
      </c>
      <c r="Q58" s="92">
        <v>1153</v>
      </c>
      <c r="R58" s="92"/>
      <c r="S58" s="97"/>
      <c r="T58" s="97">
        <v>480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3024</v>
      </c>
      <c r="F59" s="96" t="s">
        <v>3085</v>
      </c>
      <c r="G59" s="97">
        <v>7</v>
      </c>
      <c r="H59" s="96" t="s">
        <v>3086</v>
      </c>
      <c r="I59" s="96"/>
      <c r="J59" s="96"/>
      <c r="K59" s="93" t="s">
        <v>3092</v>
      </c>
      <c r="L59" s="93"/>
      <c r="M59" s="93"/>
      <c r="N59" s="93"/>
      <c r="O59" s="93"/>
      <c r="P59" s="92">
        <v>7325</v>
      </c>
      <c r="Q59" s="92">
        <v>1573</v>
      </c>
      <c r="R59" s="92"/>
      <c r="S59" s="97"/>
      <c r="T59" s="97">
        <v>720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3024</v>
      </c>
      <c r="F60" s="96" t="s">
        <v>3085</v>
      </c>
      <c r="G60" s="97">
        <v>8</v>
      </c>
      <c r="H60" s="96" t="s">
        <v>3086</v>
      </c>
      <c r="I60" s="96"/>
      <c r="J60" s="96"/>
      <c r="K60" s="93" t="s">
        <v>3093</v>
      </c>
      <c r="L60" s="93"/>
      <c r="M60" s="93"/>
      <c r="N60" s="93"/>
      <c r="O60" s="93"/>
      <c r="P60" s="92">
        <v>5313</v>
      </c>
      <c r="Q60" s="92">
        <v>1141</v>
      </c>
      <c r="R60" s="92"/>
      <c r="S60" s="97"/>
      <c r="T60" s="97">
        <v>800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3024</v>
      </c>
      <c r="F61" s="96" t="s">
        <v>3094</v>
      </c>
      <c r="G61" s="97">
        <v>1</v>
      </c>
      <c r="H61" s="96" t="s">
        <v>3095</v>
      </c>
      <c r="I61" s="96"/>
      <c r="J61" s="96"/>
      <c r="K61" s="93" t="s">
        <v>3096</v>
      </c>
      <c r="L61" s="93"/>
      <c r="M61" s="93"/>
      <c r="N61" s="93"/>
      <c r="O61" s="93"/>
      <c r="P61" s="92">
        <v>15954</v>
      </c>
      <c r="Q61" s="92">
        <v>1684</v>
      </c>
      <c r="R61" s="92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3024</v>
      </c>
      <c r="F62" s="96" t="s">
        <v>3094</v>
      </c>
      <c r="G62" s="97">
        <v>2</v>
      </c>
      <c r="H62" s="96" t="s">
        <v>3095</v>
      </c>
      <c r="I62" s="96"/>
      <c r="J62" s="96"/>
      <c r="K62" s="93" t="s">
        <v>3097</v>
      </c>
      <c r="L62" s="93"/>
      <c r="M62" s="93"/>
      <c r="N62" s="93"/>
      <c r="O62" s="93"/>
      <c r="P62" s="92">
        <v>8288</v>
      </c>
      <c r="Q62" s="92">
        <v>1780</v>
      </c>
      <c r="R62" s="92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3024</v>
      </c>
      <c r="F63" s="96" t="s">
        <v>3094</v>
      </c>
      <c r="G63" s="97">
        <v>3</v>
      </c>
      <c r="H63" s="96" t="s">
        <v>3095</v>
      </c>
      <c r="I63" s="96"/>
      <c r="J63" s="96"/>
      <c r="K63" s="93" t="s">
        <v>3094</v>
      </c>
      <c r="L63" s="93"/>
      <c r="M63" s="93"/>
      <c r="N63" s="93"/>
      <c r="O63" s="93"/>
      <c r="P63" s="92">
        <v>9510</v>
      </c>
      <c r="Q63" s="92">
        <v>2043</v>
      </c>
      <c r="R63" s="92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3024</v>
      </c>
      <c r="F64" s="96" t="s">
        <v>3098</v>
      </c>
      <c r="G64" s="97">
        <v>1</v>
      </c>
      <c r="H64" s="96" t="s">
        <v>3095</v>
      </c>
      <c r="I64" s="96"/>
      <c r="J64" s="96"/>
      <c r="K64" s="93" t="s">
        <v>2467</v>
      </c>
      <c r="L64" s="93"/>
      <c r="M64" s="93"/>
      <c r="N64" s="93"/>
      <c r="O64" s="93"/>
      <c r="P64" s="92">
        <v>7323</v>
      </c>
      <c r="Q64" s="92">
        <v>1782</v>
      </c>
      <c r="R64" s="92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3024</v>
      </c>
      <c r="F65" s="96" t="s">
        <v>3098</v>
      </c>
      <c r="G65" s="97">
        <v>2</v>
      </c>
      <c r="H65" s="96" t="s">
        <v>3095</v>
      </c>
      <c r="I65" s="96"/>
      <c r="J65" s="96"/>
      <c r="K65" s="93" t="s">
        <v>3099</v>
      </c>
      <c r="L65" s="93"/>
      <c r="M65" s="93"/>
      <c r="N65" s="93"/>
      <c r="O65" s="93"/>
      <c r="P65" s="92">
        <v>9177</v>
      </c>
      <c r="Q65" s="92">
        <v>1972</v>
      </c>
      <c r="R65" s="92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3024</v>
      </c>
      <c r="F66" s="96" t="s">
        <v>3098</v>
      </c>
      <c r="G66" s="97">
        <v>3</v>
      </c>
      <c r="H66" s="96" t="s">
        <v>3095</v>
      </c>
      <c r="I66" s="96"/>
      <c r="J66" s="96"/>
      <c r="K66" s="93" t="s">
        <v>3100</v>
      </c>
      <c r="L66" s="93"/>
      <c r="M66" s="93"/>
      <c r="N66" s="93"/>
      <c r="O66" s="93"/>
      <c r="P66" s="92">
        <v>7328</v>
      </c>
      <c r="Q66" s="92">
        <v>1574</v>
      </c>
      <c r="R66" s="92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3024</v>
      </c>
      <c r="F67" s="96" t="s">
        <v>3098</v>
      </c>
      <c r="G67" s="97">
        <v>3</v>
      </c>
      <c r="H67" s="96" t="s">
        <v>3095</v>
      </c>
      <c r="I67" s="96"/>
      <c r="J67" s="96"/>
      <c r="K67" s="93" t="s">
        <v>3101</v>
      </c>
      <c r="L67" s="93"/>
      <c r="M67" s="93"/>
      <c r="N67" s="93"/>
      <c r="O67" s="93"/>
      <c r="P67" s="92">
        <v>7210</v>
      </c>
      <c r="Q67" s="92">
        <v>1549</v>
      </c>
      <c r="R67" s="92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3024</v>
      </c>
      <c r="F68" s="96" t="s">
        <v>3102</v>
      </c>
      <c r="G68" s="97">
        <v>1</v>
      </c>
      <c r="H68" s="96" t="s">
        <v>3103</v>
      </c>
      <c r="I68" s="96"/>
      <c r="J68" s="96"/>
      <c r="K68" s="93" t="s">
        <v>3102</v>
      </c>
      <c r="L68" s="93"/>
      <c r="M68" s="93"/>
      <c r="N68" s="93"/>
      <c r="O68" s="93"/>
      <c r="P68" s="92">
        <v>9129</v>
      </c>
      <c r="Q68" s="92">
        <v>1961</v>
      </c>
      <c r="R68" s="92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3024</v>
      </c>
      <c r="F69" s="96" t="s">
        <v>3102</v>
      </c>
      <c r="G69" s="97">
        <v>2</v>
      </c>
      <c r="H69" s="96" t="s">
        <v>3103</v>
      </c>
      <c r="I69" s="96"/>
      <c r="J69" s="96"/>
      <c r="K69" s="93" t="s">
        <v>3104</v>
      </c>
      <c r="L69" s="93"/>
      <c r="M69" s="93"/>
      <c r="N69" s="93"/>
      <c r="O69" s="93"/>
      <c r="P69" s="92">
        <v>8226</v>
      </c>
      <c r="Q69" s="92">
        <v>1767</v>
      </c>
      <c r="R69" s="92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3024</v>
      </c>
      <c r="F70" s="96" t="s">
        <v>3102</v>
      </c>
      <c r="G70" s="97">
        <v>3</v>
      </c>
      <c r="H70" s="96" t="s">
        <v>3103</v>
      </c>
      <c r="I70" s="96"/>
      <c r="J70" s="96"/>
      <c r="K70" s="93" t="s">
        <v>3105</v>
      </c>
      <c r="L70" s="93"/>
      <c r="M70" s="93"/>
      <c r="N70" s="93"/>
      <c r="O70" s="93"/>
      <c r="P70" s="92">
        <v>8060</v>
      </c>
      <c r="Q70" s="92">
        <v>1731</v>
      </c>
      <c r="R70" s="92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3024</v>
      </c>
      <c r="F71" s="96" t="s">
        <v>3106</v>
      </c>
      <c r="G71" s="97">
        <v>4</v>
      </c>
      <c r="H71" s="96" t="s">
        <v>3103</v>
      </c>
      <c r="I71" s="96"/>
      <c r="J71" s="96"/>
      <c r="K71" s="93" t="s">
        <v>3107</v>
      </c>
      <c r="L71" s="93"/>
      <c r="M71" s="93"/>
      <c r="N71" s="93"/>
      <c r="O71" s="93"/>
      <c r="P71" s="92">
        <v>9981</v>
      </c>
      <c r="Q71" s="92">
        <v>2148</v>
      </c>
      <c r="R71" s="92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3024</v>
      </c>
      <c r="F72" s="96" t="s">
        <v>3106</v>
      </c>
      <c r="G72" s="97">
        <v>4</v>
      </c>
      <c r="H72" s="96" t="s">
        <v>3103</v>
      </c>
      <c r="I72" s="96"/>
      <c r="J72" s="96"/>
      <c r="K72" s="93" t="s">
        <v>3108</v>
      </c>
      <c r="L72" s="93"/>
      <c r="M72" s="93"/>
      <c r="N72" s="93"/>
      <c r="O72" s="93"/>
      <c r="P72" s="92">
        <v>9307</v>
      </c>
      <c r="Q72" s="92">
        <v>1858</v>
      </c>
      <c r="R72" s="92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3024</v>
      </c>
      <c r="F73" s="96" t="s">
        <v>3106</v>
      </c>
      <c r="G73" s="97">
        <v>5</v>
      </c>
      <c r="H73" s="96" t="s">
        <v>3103</v>
      </c>
      <c r="I73" s="96"/>
      <c r="J73" s="96"/>
      <c r="K73" s="93" t="s">
        <v>3109</v>
      </c>
      <c r="L73" s="93"/>
      <c r="M73" s="93"/>
      <c r="N73" s="93"/>
      <c r="O73" s="93"/>
      <c r="P73" s="92">
        <v>10949</v>
      </c>
      <c r="Q73" s="92">
        <v>2352</v>
      </c>
      <c r="R73" s="92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</sheetData>
  <mergeCells count="3">
    <mergeCell ref="G1:G2"/>
    <mergeCell ref="A5:D5"/>
    <mergeCell ref="U5:AF5"/>
  </mergeCells>
  <conditionalFormatting sqref="M7:M73">
    <cfRule type="duplicateValues" dxfId="8" priority="5"/>
  </conditionalFormatting>
  <dataValidations count="1">
    <dataValidation type="list" allowBlank="1" showInputMessage="1" showErrorMessage="1" sqref="E7:E73">
      <formula1>INDIRECT($B7)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3"/>
  <sheetViews>
    <sheetView zoomScale="96" zoomScaleNormal="96"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2" max="2" width="11.44140625" customWidth="1"/>
    <col min="3" max="3" width="11.88671875" customWidth="1"/>
    <col min="4" max="4" width="13" customWidth="1"/>
    <col min="5" max="5" width="13.44140625" customWidth="1"/>
    <col min="6" max="6" width="17.5546875" customWidth="1"/>
    <col min="8" max="8" width="16.33203125" customWidth="1"/>
    <col min="11" max="11" width="24.33203125" customWidth="1"/>
    <col min="12" max="12" width="15.218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COUNTIF(I7:I283,"SK(H)")</f>
        <v>0</v>
      </c>
      <c r="J1" s="50" t="s">
        <v>1</v>
      </c>
      <c r="K1" s="50">
        <f>COUNTA(J7:J299)</f>
        <v>13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COUNTIF(I7:I284,"SHW(H)")</f>
        <v>0</v>
      </c>
      <c r="J2" s="50" t="s">
        <v>5</v>
      </c>
      <c r="K2" s="50">
        <f>COUNTA(K7:K83)</f>
        <v>77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3110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3110</v>
      </c>
      <c r="F7" s="91" t="s">
        <v>3111</v>
      </c>
      <c r="G7" s="92">
        <v>1</v>
      </c>
      <c r="H7" s="91" t="s">
        <v>3112</v>
      </c>
      <c r="I7" s="91"/>
      <c r="J7" s="91"/>
      <c r="K7" s="93" t="s">
        <v>3113</v>
      </c>
      <c r="L7" s="93"/>
      <c r="M7" s="93"/>
      <c r="N7" s="93"/>
      <c r="O7" s="93"/>
      <c r="P7" s="92">
        <v>1135</v>
      </c>
      <c r="Q7" s="92">
        <v>218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3110</v>
      </c>
      <c r="F8" s="91" t="s">
        <v>3111</v>
      </c>
      <c r="G8" s="92">
        <v>1</v>
      </c>
      <c r="H8" s="91" t="s">
        <v>3112</v>
      </c>
      <c r="I8" s="91"/>
      <c r="J8" s="96"/>
      <c r="K8" s="93" t="s">
        <v>3114</v>
      </c>
      <c r="L8" s="93"/>
      <c r="M8" s="93"/>
      <c r="N8" s="93"/>
      <c r="O8" s="93"/>
      <c r="P8" s="92">
        <v>785</v>
      </c>
      <c r="Q8" s="92">
        <v>137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3110</v>
      </c>
      <c r="F9" s="91" t="s">
        <v>3111</v>
      </c>
      <c r="G9" s="92">
        <v>1</v>
      </c>
      <c r="H9" s="91" t="s">
        <v>3112</v>
      </c>
      <c r="I9" s="91"/>
      <c r="J9" s="96"/>
      <c r="K9" s="93" t="s">
        <v>3115</v>
      </c>
      <c r="L9" s="93"/>
      <c r="M9" s="93"/>
      <c r="N9" s="93"/>
      <c r="O9" s="93"/>
      <c r="P9" s="92">
        <v>1043</v>
      </c>
      <c r="Q9" s="92">
        <v>221</v>
      </c>
      <c r="R9" s="92"/>
      <c r="S9" s="97">
        <v>0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3110</v>
      </c>
      <c r="F10" s="91" t="s">
        <v>3111</v>
      </c>
      <c r="G10" s="92">
        <v>1</v>
      </c>
      <c r="H10" s="91" t="s">
        <v>3112</v>
      </c>
      <c r="I10" s="91"/>
      <c r="J10" s="96"/>
      <c r="K10" s="93" t="s">
        <v>3116</v>
      </c>
      <c r="L10" s="93"/>
      <c r="M10" s="93"/>
      <c r="N10" s="93"/>
      <c r="O10" s="93"/>
      <c r="P10" s="92">
        <v>685</v>
      </c>
      <c r="Q10" s="92">
        <v>95</v>
      </c>
      <c r="R10" s="92"/>
      <c r="S10" s="97">
        <v>0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3110</v>
      </c>
      <c r="F11" s="91" t="s">
        <v>3111</v>
      </c>
      <c r="G11" s="92">
        <v>1</v>
      </c>
      <c r="H11" s="91" t="s">
        <v>3112</v>
      </c>
      <c r="I11" s="91"/>
      <c r="J11" s="96"/>
      <c r="K11" s="93" t="s">
        <v>3117</v>
      </c>
      <c r="L11" s="93"/>
      <c r="M11" s="93"/>
      <c r="N11" s="93"/>
      <c r="O11" s="93"/>
      <c r="P11" s="92">
        <v>562</v>
      </c>
      <c r="Q11" s="92">
        <v>89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3110</v>
      </c>
      <c r="F12" s="91" t="s">
        <v>3111</v>
      </c>
      <c r="G12" s="92">
        <v>2</v>
      </c>
      <c r="H12" s="96" t="s">
        <v>3112</v>
      </c>
      <c r="I12" s="96"/>
      <c r="J12" s="96"/>
      <c r="K12" s="93" t="s">
        <v>3118</v>
      </c>
      <c r="L12" s="93"/>
      <c r="M12" s="93"/>
      <c r="N12" s="93"/>
      <c r="O12" s="93"/>
      <c r="P12" s="92">
        <v>717</v>
      </c>
      <c r="Q12" s="92">
        <v>92</v>
      </c>
      <c r="R12" s="92"/>
      <c r="S12" s="97">
        <v>0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3110</v>
      </c>
      <c r="F13" s="91" t="s">
        <v>3111</v>
      </c>
      <c r="G13" s="92">
        <v>2</v>
      </c>
      <c r="H13" s="96" t="s">
        <v>3112</v>
      </c>
      <c r="I13" s="96"/>
      <c r="J13" s="96"/>
      <c r="K13" s="93" t="s">
        <v>3119</v>
      </c>
      <c r="L13" s="93"/>
      <c r="M13" s="93"/>
      <c r="N13" s="93"/>
      <c r="O13" s="93"/>
      <c r="P13" s="92">
        <v>592</v>
      </c>
      <c r="Q13" s="92">
        <v>95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3110</v>
      </c>
      <c r="F14" s="91" t="s">
        <v>3111</v>
      </c>
      <c r="G14" s="92">
        <v>2</v>
      </c>
      <c r="H14" s="96" t="s">
        <v>3112</v>
      </c>
      <c r="I14" s="96"/>
      <c r="J14" s="96"/>
      <c r="K14" s="93" t="s">
        <v>3120</v>
      </c>
      <c r="L14" s="93"/>
      <c r="M14" s="93"/>
      <c r="N14" s="93"/>
      <c r="O14" s="93"/>
      <c r="P14" s="92">
        <v>1126</v>
      </c>
      <c r="Q14" s="92">
        <v>172</v>
      </c>
      <c r="R14" s="92"/>
      <c r="S14" s="97">
        <v>0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3110</v>
      </c>
      <c r="F15" s="91" t="s">
        <v>3111</v>
      </c>
      <c r="G15" s="92">
        <v>1</v>
      </c>
      <c r="H15" s="96" t="s">
        <v>3112</v>
      </c>
      <c r="I15" s="96"/>
      <c r="J15" s="96"/>
      <c r="K15" s="93" t="s">
        <v>3121</v>
      </c>
      <c r="L15" s="93"/>
      <c r="M15" s="93"/>
      <c r="N15" s="93"/>
      <c r="O15" s="93"/>
      <c r="P15" s="92">
        <v>720</v>
      </c>
      <c r="Q15" s="92">
        <v>118</v>
      </c>
      <c r="R15" s="92"/>
      <c r="S15" s="97">
        <v>0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3110</v>
      </c>
      <c r="F16" s="91" t="s">
        <v>3111</v>
      </c>
      <c r="G16" s="92">
        <v>2</v>
      </c>
      <c r="H16" s="96" t="s">
        <v>3112</v>
      </c>
      <c r="I16" s="96"/>
      <c r="J16" s="96"/>
      <c r="K16" s="93" t="s">
        <v>3122</v>
      </c>
      <c r="L16" s="93"/>
      <c r="M16" s="93"/>
      <c r="N16" s="93"/>
      <c r="O16" s="93"/>
      <c r="P16" s="92">
        <v>472</v>
      </c>
      <c r="Q16" s="92">
        <v>87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3110</v>
      </c>
      <c r="F17" s="91" t="s">
        <v>3111</v>
      </c>
      <c r="G17" s="92">
        <v>1</v>
      </c>
      <c r="H17" s="96" t="s">
        <v>3112</v>
      </c>
      <c r="I17" s="96"/>
      <c r="J17" s="96"/>
      <c r="K17" s="93" t="s">
        <v>3123</v>
      </c>
      <c r="L17" s="93"/>
      <c r="M17" s="93"/>
      <c r="N17" s="93"/>
      <c r="O17" s="93"/>
      <c r="P17" s="92">
        <v>1576</v>
      </c>
      <c r="Q17" s="92">
        <v>281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3110</v>
      </c>
      <c r="F18" s="91" t="s">
        <v>3111</v>
      </c>
      <c r="G18" s="92">
        <v>2</v>
      </c>
      <c r="H18" s="96" t="s">
        <v>3112</v>
      </c>
      <c r="I18" s="96"/>
      <c r="J18" s="96"/>
      <c r="K18" s="93" t="s">
        <v>3124</v>
      </c>
      <c r="L18" s="93"/>
      <c r="M18" s="93"/>
      <c r="N18" s="93"/>
      <c r="O18" s="93"/>
      <c r="P18" s="92">
        <v>1195</v>
      </c>
      <c r="Q18" s="92">
        <v>177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3110</v>
      </c>
      <c r="F19" s="91" t="s">
        <v>3111</v>
      </c>
      <c r="G19" s="92">
        <v>2</v>
      </c>
      <c r="H19" s="96" t="s">
        <v>3112</v>
      </c>
      <c r="I19" s="96"/>
      <c r="J19" s="96"/>
      <c r="K19" s="93" t="s">
        <v>3125</v>
      </c>
      <c r="L19" s="93"/>
      <c r="M19" s="93"/>
      <c r="N19" s="93"/>
      <c r="O19" s="93"/>
      <c r="P19" s="92">
        <v>1257</v>
      </c>
      <c r="Q19" s="92">
        <v>264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3110</v>
      </c>
      <c r="F20" s="91" t="s">
        <v>3111</v>
      </c>
      <c r="G20" s="92">
        <v>2</v>
      </c>
      <c r="H20" s="96" t="s">
        <v>3112</v>
      </c>
      <c r="I20" s="96"/>
      <c r="J20" s="96"/>
      <c r="K20" s="93" t="s">
        <v>3126</v>
      </c>
      <c r="L20" s="93"/>
      <c r="M20" s="93"/>
      <c r="N20" s="93"/>
      <c r="O20" s="93"/>
      <c r="P20" s="92">
        <v>591</v>
      </c>
      <c r="Q20" s="92">
        <v>105</v>
      </c>
      <c r="R20" s="92"/>
      <c r="S20" s="97">
        <v>0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3110</v>
      </c>
      <c r="F21" s="91" t="s">
        <v>3111</v>
      </c>
      <c r="G21" s="97">
        <v>2</v>
      </c>
      <c r="H21" s="96" t="s">
        <v>3112</v>
      </c>
      <c r="I21" s="96"/>
      <c r="J21" s="96"/>
      <c r="K21" s="93" t="s">
        <v>3127</v>
      </c>
      <c r="L21" s="93"/>
      <c r="M21" s="93"/>
      <c r="N21" s="93"/>
      <c r="O21" s="93"/>
      <c r="P21" s="92">
        <v>640</v>
      </c>
      <c r="Q21" s="92">
        <v>112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3110</v>
      </c>
      <c r="F22" s="91" t="s">
        <v>3111</v>
      </c>
      <c r="G22" s="92">
        <v>1</v>
      </c>
      <c r="H22" s="96" t="s">
        <v>3112</v>
      </c>
      <c r="I22" s="96"/>
      <c r="J22" s="96"/>
      <c r="K22" s="93" t="s">
        <v>3128</v>
      </c>
      <c r="L22" s="93"/>
      <c r="M22" s="93"/>
      <c r="N22" s="93"/>
      <c r="O22" s="93"/>
      <c r="P22" s="92">
        <v>982</v>
      </c>
      <c r="Q22" s="92">
        <v>140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3110</v>
      </c>
      <c r="F23" s="91" t="s">
        <v>3111</v>
      </c>
      <c r="G23" s="92">
        <v>3</v>
      </c>
      <c r="H23" s="96" t="s">
        <v>3112</v>
      </c>
      <c r="I23" s="96"/>
      <c r="J23" s="96"/>
      <c r="K23" s="93" t="s">
        <v>3129</v>
      </c>
      <c r="L23" s="93"/>
      <c r="M23" s="93"/>
      <c r="N23" s="93"/>
      <c r="O23" s="93"/>
      <c r="P23" s="92">
        <v>3704</v>
      </c>
      <c r="Q23" s="92">
        <v>662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3110</v>
      </c>
      <c r="F24" s="91" t="s">
        <v>3111</v>
      </c>
      <c r="G24" s="92">
        <v>4</v>
      </c>
      <c r="H24" s="96" t="s">
        <v>3112</v>
      </c>
      <c r="I24" s="96"/>
      <c r="J24" s="96"/>
      <c r="K24" s="93" t="s">
        <v>3130</v>
      </c>
      <c r="L24" s="93"/>
      <c r="M24" s="93"/>
      <c r="N24" s="93"/>
      <c r="O24" s="93"/>
      <c r="P24" s="92">
        <v>3927</v>
      </c>
      <c r="Q24" s="92">
        <v>695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3110</v>
      </c>
      <c r="F25" s="91" t="s">
        <v>3111</v>
      </c>
      <c r="G25" s="97">
        <v>5</v>
      </c>
      <c r="H25" s="96" t="s">
        <v>3112</v>
      </c>
      <c r="I25" s="96"/>
      <c r="J25" s="96"/>
      <c r="K25" s="93" t="s">
        <v>3131</v>
      </c>
      <c r="L25" s="93"/>
      <c r="M25" s="93"/>
      <c r="N25" s="93"/>
      <c r="O25" s="93"/>
      <c r="P25" s="92">
        <v>3570</v>
      </c>
      <c r="Q25" s="92">
        <v>612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3110</v>
      </c>
      <c r="F26" s="91" t="s">
        <v>3111</v>
      </c>
      <c r="G26" s="97">
        <v>5</v>
      </c>
      <c r="H26" s="96" t="s">
        <v>3112</v>
      </c>
      <c r="I26" s="96"/>
      <c r="J26" s="96"/>
      <c r="K26" s="93" t="s">
        <v>3132</v>
      </c>
      <c r="L26" s="93"/>
      <c r="M26" s="93"/>
      <c r="N26" s="93"/>
      <c r="O26" s="93"/>
      <c r="P26" s="92">
        <v>4103</v>
      </c>
      <c r="Q26" s="92">
        <v>725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3110</v>
      </c>
      <c r="F27" s="91" t="s">
        <v>3111</v>
      </c>
      <c r="G27" s="97">
        <v>6</v>
      </c>
      <c r="H27" s="96" t="s">
        <v>3133</v>
      </c>
      <c r="I27" s="96"/>
      <c r="J27" s="96"/>
      <c r="K27" s="93" t="s">
        <v>3134</v>
      </c>
      <c r="L27" s="93"/>
      <c r="M27" s="93"/>
      <c r="N27" s="93"/>
      <c r="O27" s="93"/>
      <c r="P27" s="92">
        <v>1147</v>
      </c>
      <c r="Q27" s="92">
        <v>191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3110</v>
      </c>
      <c r="F28" s="91" t="s">
        <v>3111</v>
      </c>
      <c r="G28" s="97">
        <v>6</v>
      </c>
      <c r="H28" s="96" t="s">
        <v>3133</v>
      </c>
      <c r="I28" s="96"/>
      <c r="J28" s="96"/>
      <c r="K28" s="93" t="s">
        <v>3135</v>
      </c>
      <c r="L28" s="93"/>
      <c r="M28" s="93"/>
      <c r="N28" s="93"/>
      <c r="O28" s="93"/>
      <c r="P28" s="92">
        <v>1698</v>
      </c>
      <c r="Q28" s="92">
        <v>287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3110</v>
      </c>
      <c r="F29" s="91" t="s">
        <v>3111</v>
      </c>
      <c r="G29" s="97">
        <v>7</v>
      </c>
      <c r="H29" s="96" t="s">
        <v>3133</v>
      </c>
      <c r="I29" s="96"/>
      <c r="J29" s="96"/>
      <c r="K29" s="93" t="s">
        <v>3136</v>
      </c>
      <c r="L29" s="93"/>
      <c r="M29" s="93"/>
      <c r="N29" s="93"/>
      <c r="O29" s="93"/>
      <c r="P29" s="92">
        <v>2751</v>
      </c>
      <c r="Q29" s="92">
        <v>467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3110</v>
      </c>
      <c r="F30" s="91" t="s">
        <v>3111</v>
      </c>
      <c r="G30" s="97">
        <v>7</v>
      </c>
      <c r="H30" s="96" t="s">
        <v>3133</v>
      </c>
      <c r="I30" s="96"/>
      <c r="J30" s="96"/>
      <c r="K30" s="93" t="s">
        <v>3137</v>
      </c>
      <c r="L30" s="93"/>
      <c r="M30" s="93"/>
      <c r="N30" s="93"/>
      <c r="O30" s="93"/>
      <c r="P30" s="92">
        <v>905</v>
      </c>
      <c r="Q30" s="92">
        <v>154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3110</v>
      </c>
      <c r="F31" s="91" t="s">
        <v>3111</v>
      </c>
      <c r="G31" s="97">
        <v>7</v>
      </c>
      <c r="H31" s="96" t="s">
        <v>3133</v>
      </c>
      <c r="I31" s="96"/>
      <c r="J31" s="96"/>
      <c r="K31" s="93" t="s">
        <v>3138</v>
      </c>
      <c r="L31" s="93"/>
      <c r="M31" s="93"/>
      <c r="N31" s="93"/>
      <c r="O31" s="93"/>
      <c r="P31" s="92">
        <v>1844</v>
      </c>
      <c r="Q31" s="92">
        <v>312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3110</v>
      </c>
      <c r="F32" s="96" t="s">
        <v>3111</v>
      </c>
      <c r="G32" s="97">
        <v>8</v>
      </c>
      <c r="H32" s="96" t="s">
        <v>3133</v>
      </c>
      <c r="I32" s="96"/>
      <c r="J32" s="96"/>
      <c r="K32" s="93" t="s">
        <v>3137</v>
      </c>
      <c r="L32" s="93"/>
      <c r="M32" s="93"/>
      <c r="N32" s="93"/>
      <c r="O32" s="93"/>
      <c r="P32" s="92">
        <v>986</v>
      </c>
      <c r="Q32" s="92">
        <v>171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3110</v>
      </c>
      <c r="F33" s="96" t="s">
        <v>3111</v>
      </c>
      <c r="G33" s="97">
        <v>8</v>
      </c>
      <c r="H33" s="96" t="s">
        <v>3133</v>
      </c>
      <c r="I33" s="96"/>
      <c r="J33" s="96"/>
      <c r="K33" s="93" t="s">
        <v>3139</v>
      </c>
      <c r="L33" s="93"/>
      <c r="M33" s="93"/>
      <c r="N33" s="93"/>
      <c r="O33" s="93"/>
      <c r="P33" s="92">
        <v>3095</v>
      </c>
      <c r="Q33" s="92">
        <v>537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3110</v>
      </c>
      <c r="F34" s="96" t="s">
        <v>3111</v>
      </c>
      <c r="G34" s="97">
        <v>9</v>
      </c>
      <c r="H34" s="96" t="s">
        <v>3133</v>
      </c>
      <c r="I34" s="96"/>
      <c r="J34" s="96"/>
      <c r="K34" s="93" t="s">
        <v>1405</v>
      </c>
      <c r="L34" s="93"/>
      <c r="M34" s="93"/>
      <c r="N34" s="93"/>
      <c r="O34" s="93"/>
      <c r="P34" s="92">
        <v>3439</v>
      </c>
      <c r="Q34" s="92">
        <v>642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3110</v>
      </c>
      <c r="F35" s="96" t="s">
        <v>3111</v>
      </c>
      <c r="G35" s="97">
        <v>9</v>
      </c>
      <c r="H35" s="96" t="s">
        <v>3133</v>
      </c>
      <c r="I35" s="96"/>
      <c r="J35" s="96"/>
      <c r="K35" s="93" t="s">
        <v>3140</v>
      </c>
      <c r="L35" s="93"/>
      <c r="M35" s="93"/>
      <c r="N35" s="93"/>
      <c r="O35" s="93"/>
      <c r="P35" s="92">
        <v>3947</v>
      </c>
      <c r="Q35" s="92">
        <v>687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3110</v>
      </c>
      <c r="F36" s="96" t="s">
        <v>3111</v>
      </c>
      <c r="G36" s="97">
        <v>9</v>
      </c>
      <c r="H36" s="96" t="s">
        <v>3133</v>
      </c>
      <c r="I36" s="96"/>
      <c r="J36" s="96"/>
      <c r="K36" s="93" t="s">
        <v>3141</v>
      </c>
      <c r="L36" s="93"/>
      <c r="M36" s="93"/>
      <c r="N36" s="93"/>
      <c r="O36" s="93"/>
      <c r="P36" s="92">
        <v>3693</v>
      </c>
      <c r="Q36" s="92">
        <v>684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3110</v>
      </c>
      <c r="F37" s="96" t="s">
        <v>3142</v>
      </c>
      <c r="G37" s="97">
        <v>1</v>
      </c>
      <c r="H37" s="96" t="s">
        <v>3143</v>
      </c>
      <c r="I37" s="96"/>
      <c r="J37" s="96"/>
      <c r="K37" s="93" t="s">
        <v>3144</v>
      </c>
      <c r="L37" s="93"/>
      <c r="M37" s="93"/>
      <c r="N37" s="93"/>
      <c r="O37" s="93"/>
      <c r="P37" s="92">
        <v>902</v>
      </c>
      <c r="Q37" s="92">
        <v>164</v>
      </c>
      <c r="R37" s="92"/>
      <c r="S37" s="97">
        <v>0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3110</v>
      </c>
      <c r="F38" s="96" t="s">
        <v>3142</v>
      </c>
      <c r="G38" s="97">
        <v>1</v>
      </c>
      <c r="H38" s="96" t="s">
        <v>3143</v>
      </c>
      <c r="I38" s="96"/>
      <c r="J38" s="96"/>
      <c r="K38" s="93" t="s">
        <v>439</v>
      </c>
      <c r="L38" s="93"/>
      <c r="M38" s="93"/>
      <c r="N38" s="93"/>
      <c r="O38" s="93"/>
      <c r="P38" s="92">
        <v>2915</v>
      </c>
      <c r="Q38" s="92">
        <v>523</v>
      </c>
      <c r="R38" s="92"/>
      <c r="S38" s="97">
        <v>0</v>
      </c>
      <c r="T38" s="97">
        <v>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3110</v>
      </c>
      <c r="F39" s="96" t="s">
        <v>3142</v>
      </c>
      <c r="G39" s="97">
        <v>1</v>
      </c>
      <c r="H39" s="96" t="s">
        <v>3143</v>
      </c>
      <c r="I39" s="96"/>
      <c r="J39" s="96"/>
      <c r="K39" s="93" t="s">
        <v>3145</v>
      </c>
      <c r="L39" s="93"/>
      <c r="M39" s="93"/>
      <c r="N39" s="93"/>
      <c r="O39" s="93"/>
      <c r="P39" s="92">
        <v>970</v>
      </c>
      <c r="Q39" s="92">
        <v>164</v>
      </c>
      <c r="R39" s="92"/>
      <c r="S39" s="97">
        <v>0</v>
      </c>
      <c r="T39" s="97">
        <v>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3110</v>
      </c>
      <c r="F40" s="96" t="s">
        <v>3142</v>
      </c>
      <c r="G40" s="97">
        <v>2</v>
      </c>
      <c r="H40" s="96" t="s">
        <v>3143</v>
      </c>
      <c r="I40" s="96"/>
      <c r="J40" s="96"/>
      <c r="K40" s="93" t="s">
        <v>3124</v>
      </c>
      <c r="L40" s="93"/>
      <c r="M40" s="93"/>
      <c r="N40" s="93"/>
      <c r="O40" s="93"/>
      <c r="P40" s="92">
        <v>1948</v>
      </c>
      <c r="Q40" s="92">
        <v>357</v>
      </c>
      <c r="R40" s="92"/>
      <c r="S40" s="97">
        <v>0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3110</v>
      </c>
      <c r="F41" s="96" t="s">
        <v>3142</v>
      </c>
      <c r="G41" s="97">
        <v>2</v>
      </c>
      <c r="H41" s="96" t="s">
        <v>3143</v>
      </c>
      <c r="I41" s="96"/>
      <c r="J41" s="96"/>
      <c r="K41" s="93" t="s">
        <v>3146</v>
      </c>
      <c r="L41" s="93"/>
      <c r="M41" s="93"/>
      <c r="N41" s="93"/>
      <c r="O41" s="93"/>
      <c r="P41" s="92">
        <v>3149</v>
      </c>
      <c r="Q41" s="92">
        <v>574</v>
      </c>
      <c r="R41" s="92"/>
      <c r="S41" s="97">
        <v>0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3110</v>
      </c>
      <c r="F42" s="96" t="s">
        <v>3142</v>
      </c>
      <c r="G42" s="97">
        <v>3</v>
      </c>
      <c r="H42" s="96" t="s">
        <v>3143</v>
      </c>
      <c r="I42" s="96"/>
      <c r="J42" s="96"/>
      <c r="K42" s="93" t="s">
        <v>3136</v>
      </c>
      <c r="L42" s="93"/>
      <c r="M42" s="93"/>
      <c r="N42" s="93"/>
      <c r="O42" s="93"/>
      <c r="P42" s="92">
        <v>2142</v>
      </c>
      <c r="Q42" s="92">
        <v>384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3110</v>
      </c>
      <c r="F43" s="96" t="s">
        <v>3142</v>
      </c>
      <c r="G43" s="97">
        <v>3</v>
      </c>
      <c r="H43" s="96" t="s">
        <v>3143</v>
      </c>
      <c r="I43" s="96"/>
      <c r="J43" s="96"/>
      <c r="K43" s="93" t="s">
        <v>3147</v>
      </c>
      <c r="L43" s="93"/>
      <c r="M43" s="93"/>
      <c r="N43" s="93"/>
      <c r="O43" s="93"/>
      <c r="P43" s="92">
        <v>1677</v>
      </c>
      <c r="Q43" s="92">
        <v>321</v>
      </c>
      <c r="R43" s="92"/>
      <c r="S43" s="97">
        <v>0</v>
      </c>
      <c r="T43" s="97">
        <v>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3110</v>
      </c>
      <c r="F44" s="96" t="s">
        <v>3142</v>
      </c>
      <c r="G44" s="97">
        <v>3</v>
      </c>
      <c r="H44" s="96" t="s">
        <v>3143</v>
      </c>
      <c r="I44" s="96"/>
      <c r="J44" s="96"/>
      <c r="K44" s="93" t="s">
        <v>3148</v>
      </c>
      <c r="L44" s="93"/>
      <c r="M44" s="93"/>
      <c r="N44" s="93"/>
      <c r="O44" s="93"/>
      <c r="P44" s="92">
        <v>1215</v>
      </c>
      <c r="Q44" s="92">
        <v>221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3110</v>
      </c>
      <c r="F45" s="96" t="s">
        <v>3142</v>
      </c>
      <c r="G45" s="97">
        <v>3</v>
      </c>
      <c r="H45" s="96" t="s">
        <v>3143</v>
      </c>
      <c r="I45" s="96"/>
      <c r="J45" s="96"/>
      <c r="K45" s="93" t="s">
        <v>3149</v>
      </c>
      <c r="L45" s="93"/>
      <c r="M45" s="93"/>
      <c r="N45" s="93"/>
      <c r="O45" s="93"/>
      <c r="P45" s="92">
        <v>2897</v>
      </c>
      <c r="Q45" s="92">
        <v>564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3110</v>
      </c>
      <c r="F46" s="96" t="s">
        <v>3142</v>
      </c>
      <c r="G46" s="97">
        <v>4</v>
      </c>
      <c r="H46" s="96" t="s">
        <v>3143</v>
      </c>
      <c r="I46" s="96"/>
      <c r="J46" s="96"/>
      <c r="K46" s="93" t="s">
        <v>3150</v>
      </c>
      <c r="L46" s="93"/>
      <c r="M46" s="93"/>
      <c r="N46" s="93"/>
      <c r="O46" s="93"/>
      <c r="P46" s="92">
        <v>2018</v>
      </c>
      <c r="Q46" s="92">
        <v>364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3110</v>
      </c>
      <c r="F47" s="96" t="s">
        <v>3142</v>
      </c>
      <c r="G47" s="97">
        <v>4</v>
      </c>
      <c r="H47" s="96" t="s">
        <v>3143</v>
      </c>
      <c r="I47" s="96"/>
      <c r="J47" s="96"/>
      <c r="K47" s="93" t="s">
        <v>3151</v>
      </c>
      <c r="L47" s="93"/>
      <c r="M47" s="93"/>
      <c r="N47" s="93"/>
      <c r="O47" s="93"/>
      <c r="P47" s="92">
        <v>1609</v>
      </c>
      <c r="Q47" s="92">
        <v>295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3110</v>
      </c>
      <c r="F48" s="96" t="s">
        <v>3142</v>
      </c>
      <c r="G48" s="97">
        <v>5</v>
      </c>
      <c r="H48" s="96" t="s">
        <v>3143</v>
      </c>
      <c r="I48" s="96"/>
      <c r="J48" s="96"/>
      <c r="K48" s="93" t="s">
        <v>3141</v>
      </c>
      <c r="L48" s="93"/>
      <c r="M48" s="93"/>
      <c r="N48" s="93"/>
      <c r="O48" s="93"/>
      <c r="P48" s="92">
        <v>3144</v>
      </c>
      <c r="Q48" s="92">
        <v>561</v>
      </c>
      <c r="R48" s="92"/>
      <c r="S48" s="97">
        <v>0</v>
      </c>
      <c r="T48" s="97">
        <v>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3110</v>
      </c>
      <c r="F49" s="96" t="s">
        <v>3142</v>
      </c>
      <c r="G49" s="97">
        <v>5</v>
      </c>
      <c r="H49" s="96" t="s">
        <v>3143</v>
      </c>
      <c r="I49" s="96"/>
      <c r="J49" s="96"/>
      <c r="K49" s="93" t="s">
        <v>3122</v>
      </c>
      <c r="L49" s="93"/>
      <c r="M49" s="93"/>
      <c r="N49" s="93"/>
      <c r="O49" s="93"/>
      <c r="P49" s="92">
        <v>2692</v>
      </c>
      <c r="Q49" s="92">
        <v>497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3110</v>
      </c>
      <c r="F50" s="96" t="s">
        <v>3142</v>
      </c>
      <c r="G50" s="97">
        <v>6</v>
      </c>
      <c r="H50" s="96" t="s">
        <v>3143</v>
      </c>
      <c r="I50" s="96"/>
      <c r="J50" s="96" t="s">
        <v>3152</v>
      </c>
      <c r="K50" s="93" t="s">
        <v>3153</v>
      </c>
      <c r="L50" s="93"/>
      <c r="M50" s="93"/>
      <c r="N50" s="93"/>
      <c r="O50" s="93"/>
      <c r="P50" s="92">
        <v>6084</v>
      </c>
      <c r="Q50" s="92">
        <v>1112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3110</v>
      </c>
      <c r="F51" s="96" t="s">
        <v>3142</v>
      </c>
      <c r="G51" s="97">
        <v>7</v>
      </c>
      <c r="H51" s="96" t="s">
        <v>3143</v>
      </c>
      <c r="I51" s="96"/>
      <c r="J51" s="96" t="s">
        <v>3154</v>
      </c>
      <c r="K51" s="93" t="s">
        <v>3155</v>
      </c>
      <c r="L51" s="93"/>
      <c r="M51" s="93"/>
      <c r="N51" s="93"/>
      <c r="O51" s="93"/>
      <c r="P51" s="92">
        <v>1902</v>
      </c>
      <c r="Q51" s="92">
        <v>341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3110</v>
      </c>
      <c r="F52" s="96" t="s">
        <v>3142</v>
      </c>
      <c r="G52" s="97">
        <v>7</v>
      </c>
      <c r="H52" s="96" t="s">
        <v>3143</v>
      </c>
      <c r="I52" s="96"/>
      <c r="J52" s="96" t="s">
        <v>3156</v>
      </c>
      <c r="K52" s="93" t="s">
        <v>3146</v>
      </c>
      <c r="L52" s="93"/>
      <c r="M52" s="93"/>
      <c r="N52" s="93"/>
      <c r="O52" s="93"/>
      <c r="P52" s="92">
        <v>1534</v>
      </c>
      <c r="Q52" s="92">
        <v>278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3110</v>
      </c>
      <c r="F53" s="96" t="s">
        <v>3142</v>
      </c>
      <c r="G53" s="97">
        <v>8</v>
      </c>
      <c r="H53" s="96" t="s">
        <v>3143</v>
      </c>
      <c r="I53" s="96"/>
      <c r="J53" s="96" t="s">
        <v>3157</v>
      </c>
      <c r="K53" s="93" t="s">
        <v>3158</v>
      </c>
      <c r="L53" s="93"/>
      <c r="M53" s="93"/>
      <c r="N53" s="93"/>
      <c r="O53" s="93"/>
      <c r="P53" s="92">
        <v>1145</v>
      </c>
      <c r="Q53" s="92">
        <v>210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3110</v>
      </c>
      <c r="F54" s="96" t="s">
        <v>3142</v>
      </c>
      <c r="G54" s="97">
        <v>8</v>
      </c>
      <c r="H54" s="96" t="s">
        <v>3143</v>
      </c>
      <c r="I54" s="96"/>
      <c r="J54" s="96" t="s">
        <v>3159</v>
      </c>
      <c r="K54" s="93" t="s">
        <v>3160</v>
      </c>
      <c r="L54" s="93"/>
      <c r="M54" s="93"/>
      <c r="N54" s="93"/>
      <c r="O54" s="93"/>
      <c r="P54" s="92">
        <v>2227</v>
      </c>
      <c r="Q54" s="92">
        <v>406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3110</v>
      </c>
      <c r="F55" s="96" t="s">
        <v>3142</v>
      </c>
      <c r="G55" s="97">
        <v>9</v>
      </c>
      <c r="H55" s="96" t="s">
        <v>3143</v>
      </c>
      <c r="I55" s="96"/>
      <c r="J55" s="96" t="s">
        <v>3161</v>
      </c>
      <c r="K55" s="93" t="s">
        <v>3162</v>
      </c>
      <c r="L55" s="93"/>
      <c r="M55" s="93"/>
      <c r="N55" s="93"/>
      <c r="O55" s="93"/>
      <c r="P55" s="92">
        <v>1008</v>
      </c>
      <c r="Q55" s="92">
        <v>194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3110</v>
      </c>
      <c r="F56" s="96" t="s">
        <v>3142</v>
      </c>
      <c r="G56" s="97">
        <v>9</v>
      </c>
      <c r="H56" s="96" t="s">
        <v>3143</v>
      </c>
      <c r="I56" s="96"/>
      <c r="J56" s="96" t="s">
        <v>3036</v>
      </c>
      <c r="K56" s="93" t="s">
        <v>3124</v>
      </c>
      <c r="L56" s="93"/>
      <c r="M56" s="93"/>
      <c r="N56" s="93"/>
      <c r="O56" s="93"/>
      <c r="P56" s="92">
        <v>3732</v>
      </c>
      <c r="Q56" s="92">
        <v>662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3110</v>
      </c>
      <c r="F57" s="96" t="s">
        <v>3163</v>
      </c>
      <c r="G57" s="97">
        <v>1</v>
      </c>
      <c r="H57" s="96" t="s">
        <v>3143</v>
      </c>
      <c r="I57" s="96"/>
      <c r="J57" s="96" t="s">
        <v>3164</v>
      </c>
      <c r="K57" s="93" t="s">
        <v>3165</v>
      </c>
      <c r="L57" s="93"/>
      <c r="M57" s="93"/>
      <c r="N57" s="93"/>
      <c r="O57" s="93"/>
      <c r="P57" s="92">
        <v>3447</v>
      </c>
      <c r="Q57" s="92">
        <v>614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3110</v>
      </c>
      <c r="F58" s="96" t="s">
        <v>3163</v>
      </c>
      <c r="G58" s="97">
        <v>2</v>
      </c>
      <c r="H58" s="96" t="s">
        <v>3143</v>
      </c>
      <c r="I58" s="96"/>
      <c r="J58" s="96" t="s">
        <v>3166</v>
      </c>
      <c r="K58" s="93" t="s">
        <v>3167</v>
      </c>
      <c r="L58" s="93"/>
      <c r="M58" s="93"/>
      <c r="N58" s="93"/>
      <c r="O58" s="93"/>
      <c r="P58" s="92">
        <v>6042</v>
      </c>
      <c r="Q58" s="92">
        <v>937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3110</v>
      </c>
      <c r="F59" s="96" t="s">
        <v>3163</v>
      </c>
      <c r="G59" s="97">
        <v>3</v>
      </c>
      <c r="H59" s="96" t="s">
        <v>3143</v>
      </c>
      <c r="I59" s="96"/>
      <c r="J59" s="96" t="s">
        <v>3168</v>
      </c>
      <c r="K59" s="93" t="s">
        <v>3169</v>
      </c>
      <c r="L59" s="93"/>
      <c r="M59" s="93"/>
      <c r="N59" s="93"/>
      <c r="O59" s="93"/>
      <c r="P59" s="92">
        <v>5852</v>
      </c>
      <c r="Q59" s="92">
        <v>1152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3110</v>
      </c>
      <c r="F60" s="96" t="s">
        <v>3163</v>
      </c>
      <c r="G60" s="97">
        <v>4</v>
      </c>
      <c r="H60" s="96" t="s">
        <v>3143</v>
      </c>
      <c r="I60" s="96"/>
      <c r="J60" s="96" t="s">
        <v>3170</v>
      </c>
      <c r="K60" s="93" t="s">
        <v>3171</v>
      </c>
      <c r="L60" s="93"/>
      <c r="M60" s="93"/>
      <c r="N60" s="93"/>
      <c r="O60" s="93"/>
      <c r="P60" s="92">
        <v>5341</v>
      </c>
      <c r="Q60" s="92">
        <v>941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3110</v>
      </c>
      <c r="F61" s="96" t="s">
        <v>3163</v>
      </c>
      <c r="G61" s="97">
        <v>5</v>
      </c>
      <c r="H61" s="96" t="s">
        <v>3143</v>
      </c>
      <c r="I61" s="96"/>
      <c r="J61" s="96" t="s">
        <v>3172</v>
      </c>
      <c r="K61" s="93" t="s">
        <v>3173</v>
      </c>
      <c r="L61" s="93"/>
      <c r="M61" s="93"/>
      <c r="N61" s="93"/>
      <c r="O61" s="93"/>
      <c r="P61" s="92">
        <v>3142</v>
      </c>
      <c r="Q61" s="92">
        <v>559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3110</v>
      </c>
      <c r="F62" s="96" t="s">
        <v>3163</v>
      </c>
      <c r="G62" s="97">
        <v>6</v>
      </c>
      <c r="H62" s="96" t="s">
        <v>3143</v>
      </c>
      <c r="I62" s="96"/>
      <c r="J62" s="96" t="s">
        <v>3174</v>
      </c>
      <c r="K62" s="93" t="s">
        <v>3175</v>
      </c>
      <c r="L62" s="93"/>
      <c r="M62" s="93"/>
      <c r="N62" s="93"/>
      <c r="O62" s="93"/>
      <c r="P62" s="92">
        <v>3373</v>
      </c>
      <c r="Q62" s="92">
        <v>604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3110</v>
      </c>
      <c r="F63" s="96" t="s">
        <v>3163</v>
      </c>
      <c r="G63" s="97">
        <v>7</v>
      </c>
      <c r="H63" s="96" t="s">
        <v>3143</v>
      </c>
      <c r="I63" s="96"/>
      <c r="J63" s="96"/>
      <c r="K63" s="93" t="s">
        <v>3176</v>
      </c>
      <c r="L63" s="93"/>
      <c r="M63" s="93"/>
      <c r="N63" s="93"/>
      <c r="O63" s="93"/>
      <c r="P63" s="92">
        <v>3647</v>
      </c>
      <c r="Q63" s="92">
        <v>659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3110</v>
      </c>
      <c r="F64" s="96" t="s">
        <v>3163</v>
      </c>
      <c r="G64" s="97">
        <v>8</v>
      </c>
      <c r="H64" s="96" t="s">
        <v>3143</v>
      </c>
      <c r="I64" s="96"/>
      <c r="J64" s="96"/>
      <c r="K64" s="93" t="s">
        <v>3177</v>
      </c>
      <c r="L64" s="93"/>
      <c r="M64" s="93"/>
      <c r="N64" s="93"/>
      <c r="O64" s="93"/>
      <c r="P64" s="92">
        <v>3351</v>
      </c>
      <c r="Q64" s="92">
        <v>602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3110</v>
      </c>
      <c r="F65" s="96" t="s">
        <v>3163</v>
      </c>
      <c r="G65" s="97">
        <v>9</v>
      </c>
      <c r="H65" s="96" t="s">
        <v>3143</v>
      </c>
      <c r="I65" s="96"/>
      <c r="J65" s="96"/>
      <c r="K65" s="93" t="s">
        <v>3178</v>
      </c>
      <c r="L65" s="93"/>
      <c r="M65" s="93"/>
      <c r="N65" s="93"/>
      <c r="O65" s="93"/>
      <c r="P65" s="92">
        <v>3095</v>
      </c>
      <c r="Q65" s="92">
        <v>558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3110</v>
      </c>
      <c r="F66" s="96" t="s">
        <v>3179</v>
      </c>
      <c r="G66" s="97">
        <v>1</v>
      </c>
      <c r="H66" s="96" t="s">
        <v>3180</v>
      </c>
      <c r="I66" s="96"/>
      <c r="J66" s="96"/>
      <c r="K66" s="93" t="s">
        <v>3181</v>
      </c>
      <c r="L66" s="93"/>
      <c r="M66" s="93"/>
      <c r="N66" s="93"/>
      <c r="O66" s="93"/>
      <c r="P66" s="92">
        <v>2052</v>
      </c>
      <c r="Q66" s="92">
        <v>374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3110</v>
      </c>
      <c r="F67" s="96" t="s">
        <v>3179</v>
      </c>
      <c r="G67" s="97">
        <v>2</v>
      </c>
      <c r="H67" s="96" t="s">
        <v>3180</v>
      </c>
      <c r="I67" s="96"/>
      <c r="J67" s="96"/>
      <c r="K67" s="93" t="s">
        <v>3182</v>
      </c>
      <c r="L67" s="93"/>
      <c r="M67" s="93"/>
      <c r="N67" s="93"/>
      <c r="O67" s="93"/>
      <c r="P67" s="92">
        <v>2126</v>
      </c>
      <c r="Q67" s="92">
        <v>396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3110</v>
      </c>
      <c r="F68" s="96" t="s">
        <v>3179</v>
      </c>
      <c r="G68" s="97">
        <v>3</v>
      </c>
      <c r="H68" s="96" t="s">
        <v>3180</v>
      </c>
      <c r="I68" s="96"/>
      <c r="J68" s="96"/>
      <c r="K68" s="93" t="s">
        <v>3183</v>
      </c>
      <c r="L68" s="93"/>
      <c r="M68" s="93"/>
      <c r="N68" s="93"/>
      <c r="O68" s="93"/>
      <c r="P68" s="92">
        <v>1942</v>
      </c>
      <c r="Q68" s="92">
        <v>338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3110</v>
      </c>
      <c r="F69" s="96" t="s">
        <v>3179</v>
      </c>
      <c r="G69" s="97">
        <v>4</v>
      </c>
      <c r="H69" s="96" t="s">
        <v>3180</v>
      </c>
      <c r="I69" s="96"/>
      <c r="J69" s="96"/>
      <c r="K69" s="93" t="s">
        <v>3184</v>
      </c>
      <c r="L69" s="93"/>
      <c r="M69" s="93"/>
      <c r="N69" s="93"/>
      <c r="O69" s="93"/>
      <c r="P69" s="92">
        <v>2412</v>
      </c>
      <c r="Q69" s="92">
        <v>421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3110</v>
      </c>
      <c r="F70" s="96" t="s">
        <v>3179</v>
      </c>
      <c r="G70" s="97">
        <v>5</v>
      </c>
      <c r="H70" s="96" t="s">
        <v>3180</v>
      </c>
      <c r="I70" s="96"/>
      <c r="J70" s="96"/>
      <c r="K70" s="93" t="s">
        <v>3185</v>
      </c>
      <c r="L70" s="93"/>
      <c r="M70" s="93"/>
      <c r="N70" s="93"/>
      <c r="O70" s="93"/>
      <c r="P70" s="92">
        <v>2860</v>
      </c>
      <c r="Q70" s="92">
        <v>493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3110</v>
      </c>
      <c r="F71" s="96" t="s">
        <v>3179</v>
      </c>
      <c r="G71" s="97">
        <v>6</v>
      </c>
      <c r="H71" s="96" t="s">
        <v>3180</v>
      </c>
      <c r="I71" s="96"/>
      <c r="J71" s="96"/>
      <c r="K71" s="93" t="s">
        <v>3186</v>
      </c>
      <c r="L71" s="93"/>
      <c r="M71" s="93"/>
      <c r="N71" s="93"/>
      <c r="O71" s="93"/>
      <c r="P71" s="92">
        <v>3585</v>
      </c>
      <c r="Q71" s="92">
        <v>618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3110</v>
      </c>
      <c r="F72" s="96" t="s">
        <v>3179</v>
      </c>
      <c r="G72" s="97">
        <v>7</v>
      </c>
      <c r="H72" s="96" t="s">
        <v>3180</v>
      </c>
      <c r="I72" s="96"/>
      <c r="J72" s="96"/>
      <c r="K72" s="93" t="s">
        <v>3187</v>
      </c>
      <c r="L72" s="93"/>
      <c r="M72" s="93"/>
      <c r="N72" s="93"/>
      <c r="O72" s="93"/>
      <c r="P72" s="92">
        <v>3183</v>
      </c>
      <c r="Q72" s="92">
        <v>554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3110</v>
      </c>
      <c r="F73" s="96" t="s">
        <v>3179</v>
      </c>
      <c r="G73" s="97">
        <v>8</v>
      </c>
      <c r="H73" s="96" t="s">
        <v>3180</v>
      </c>
      <c r="I73" s="96"/>
      <c r="J73" s="96"/>
      <c r="K73" s="93" t="s">
        <v>3188</v>
      </c>
      <c r="L73" s="93"/>
      <c r="M73" s="93"/>
      <c r="N73" s="93"/>
      <c r="O73" s="93"/>
      <c r="P73" s="92">
        <v>2897</v>
      </c>
      <c r="Q73" s="92">
        <v>517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3110</v>
      </c>
      <c r="F74" s="96" t="s">
        <v>3179</v>
      </c>
      <c r="G74" s="97">
        <v>9</v>
      </c>
      <c r="H74" s="96" t="s">
        <v>3180</v>
      </c>
      <c r="I74" s="96"/>
      <c r="J74" s="96"/>
      <c r="K74" s="93" t="s">
        <v>3189</v>
      </c>
      <c r="L74" s="93"/>
      <c r="M74" s="93"/>
      <c r="N74" s="93"/>
      <c r="O74" s="93"/>
      <c r="P74" s="92">
        <v>3677</v>
      </c>
      <c r="Q74" s="92">
        <v>691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3110</v>
      </c>
      <c r="F75" s="96" t="s">
        <v>3190</v>
      </c>
      <c r="G75" s="97">
        <v>1</v>
      </c>
      <c r="H75" s="96" t="s">
        <v>3191</v>
      </c>
      <c r="I75" s="96"/>
      <c r="J75" s="96"/>
      <c r="K75" s="93" t="s">
        <v>3192</v>
      </c>
      <c r="L75" s="93"/>
      <c r="M75" s="93"/>
      <c r="N75" s="93"/>
      <c r="O75" s="93"/>
      <c r="P75" s="92">
        <v>4592</v>
      </c>
      <c r="Q75" s="92">
        <v>846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3110</v>
      </c>
      <c r="F76" s="96" t="s">
        <v>3190</v>
      </c>
      <c r="G76" s="97">
        <v>2</v>
      </c>
      <c r="H76" s="96" t="s">
        <v>3191</v>
      </c>
      <c r="I76" s="96"/>
      <c r="J76" s="96"/>
      <c r="K76" s="93" t="s">
        <v>3193</v>
      </c>
      <c r="L76" s="93"/>
      <c r="M76" s="93"/>
      <c r="N76" s="93"/>
      <c r="O76" s="93"/>
      <c r="P76" s="92">
        <v>5213</v>
      </c>
      <c r="Q76" s="92">
        <v>963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3110</v>
      </c>
      <c r="F77" s="96" t="s">
        <v>3190</v>
      </c>
      <c r="G77" s="97">
        <v>3</v>
      </c>
      <c r="H77" s="96" t="s">
        <v>3191</v>
      </c>
      <c r="I77" s="96"/>
      <c r="J77" s="96"/>
      <c r="K77" s="93" t="s">
        <v>2927</v>
      </c>
      <c r="L77" s="93"/>
      <c r="M77" s="93"/>
      <c r="N77" s="93"/>
      <c r="O77" s="93"/>
      <c r="P77" s="92">
        <v>4421</v>
      </c>
      <c r="Q77" s="92">
        <v>778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3110</v>
      </c>
      <c r="F78" s="96" t="s">
        <v>3190</v>
      </c>
      <c r="G78" s="97">
        <v>4</v>
      </c>
      <c r="H78" s="96" t="s">
        <v>3191</v>
      </c>
      <c r="I78" s="96"/>
      <c r="J78" s="96"/>
      <c r="K78" s="93" t="s">
        <v>3194</v>
      </c>
      <c r="L78" s="93"/>
      <c r="M78" s="93"/>
      <c r="N78" s="93"/>
      <c r="O78" s="93"/>
      <c r="P78" s="92">
        <v>5093</v>
      </c>
      <c r="Q78" s="92">
        <v>913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3110</v>
      </c>
      <c r="F79" s="96" t="s">
        <v>3190</v>
      </c>
      <c r="G79" s="97">
        <v>5</v>
      </c>
      <c r="H79" s="96" t="s">
        <v>3191</v>
      </c>
      <c r="I79" s="96"/>
      <c r="J79" s="96"/>
      <c r="K79" s="93" t="s">
        <v>3195</v>
      </c>
      <c r="L79" s="93"/>
      <c r="M79" s="93"/>
      <c r="N79" s="93"/>
      <c r="O79" s="93"/>
      <c r="P79" s="92">
        <v>6148</v>
      </c>
      <c r="Q79" s="92">
        <v>1087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3110</v>
      </c>
      <c r="F80" s="96" t="s">
        <v>3190</v>
      </c>
      <c r="G80" s="97">
        <v>6</v>
      </c>
      <c r="H80" s="96" t="s">
        <v>3191</v>
      </c>
      <c r="I80" s="96"/>
      <c r="J80" s="96"/>
      <c r="K80" s="93" t="s">
        <v>3196</v>
      </c>
      <c r="L80" s="93"/>
      <c r="M80" s="93"/>
      <c r="N80" s="93"/>
      <c r="O80" s="93"/>
      <c r="P80" s="92">
        <v>5873</v>
      </c>
      <c r="Q80" s="92">
        <v>1054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3110</v>
      </c>
      <c r="F81" s="96" t="s">
        <v>3190</v>
      </c>
      <c r="G81" s="97">
        <v>7</v>
      </c>
      <c r="H81" s="96" t="s">
        <v>3191</v>
      </c>
      <c r="I81" s="96"/>
      <c r="J81" s="96"/>
      <c r="K81" s="93" t="s">
        <v>3197</v>
      </c>
      <c r="L81" s="93"/>
      <c r="M81" s="93"/>
      <c r="N81" s="93"/>
      <c r="O81" s="93"/>
      <c r="P81" s="92">
        <v>4384</v>
      </c>
      <c r="Q81" s="92">
        <v>773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3110</v>
      </c>
      <c r="F82" s="96" t="s">
        <v>3190</v>
      </c>
      <c r="G82" s="97">
        <v>8</v>
      </c>
      <c r="H82" s="96" t="s">
        <v>3191</v>
      </c>
      <c r="I82" s="96"/>
      <c r="J82" s="96"/>
      <c r="K82" s="93" t="s">
        <v>3198</v>
      </c>
      <c r="L82" s="93"/>
      <c r="M82" s="93"/>
      <c r="N82" s="93"/>
      <c r="O82" s="93"/>
      <c r="P82" s="92">
        <v>5378</v>
      </c>
      <c r="Q82" s="92">
        <v>951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3110</v>
      </c>
      <c r="F83" s="96" t="s">
        <v>3190</v>
      </c>
      <c r="G83" s="97">
        <v>9</v>
      </c>
      <c r="H83" s="96" t="s">
        <v>3191</v>
      </c>
      <c r="I83" s="96"/>
      <c r="J83" s="96"/>
      <c r="K83" s="93" t="s">
        <v>3199</v>
      </c>
      <c r="L83" s="93"/>
      <c r="M83" s="93"/>
      <c r="N83" s="93"/>
      <c r="O83" s="93"/>
      <c r="P83" s="92">
        <v>4752</v>
      </c>
      <c r="Q83" s="92">
        <v>871</v>
      </c>
      <c r="R83" s="92"/>
      <c r="S83" s="97">
        <v>0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</sheetData>
  <mergeCells count="3">
    <mergeCell ref="G1:G2"/>
    <mergeCell ref="A5:D5"/>
    <mergeCell ref="U5:AF5"/>
  </mergeCells>
  <conditionalFormatting sqref="M7:M83">
    <cfRule type="duplicateValues" dxfId="7" priority="6"/>
  </conditionalFormatting>
  <dataValidations count="1">
    <dataValidation type="list" allowBlank="1" showInputMessage="1" showErrorMessage="1" sqref="E7:E83">
      <formula1>INDIRECT($B7)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"/>
  <sheetViews>
    <sheetView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Y17" sqref="Y17"/>
    </sheetView>
  </sheetViews>
  <sheetFormatPr defaultRowHeight="14.4" x14ac:dyDescent="0.3"/>
  <cols>
    <col min="3" max="3" width="13.44140625" customWidth="1"/>
    <col min="4" max="4" width="14.21875" customWidth="1"/>
    <col min="5" max="5" width="13.33203125" customWidth="1"/>
    <col min="6" max="6" width="15.33203125" customWidth="1"/>
    <col min="8" max="8" width="22" customWidth="1"/>
    <col min="11" max="11" width="20.5546875" customWidth="1"/>
    <col min="21" max="32" width="4.77734375" customWidth="1"/>
  </cols>
  <sheetData>
    <row r="1" spans="1:36" ht="14.4" customHeight="1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COUNTIF(I7:I417,"SK(H)")</f>
        <v>0</v>
      </c>
      <c r="J1" s="50" t="s">
        <v>1</v>
      </c>
      <c r="K1" s="50">
        <f>COUNTA(J7:J433)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COUNTIF(I7:I418,"SHW(H)")</f>
        <v>0</v>
      </c>
      <c r="J2" s="50" t="s">
        <v>5</v>
      </c>
      <c r="K2" s="50">
        <f>COUNTA(K7:K102)</f>
        <v>96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3200</v>
      </c>
      <c r="F5" s="80"/>
      <c r="G5" s="114"/>
      <c r="H5" s="114"/>
      <c r="I5" s="114"/>
      <c r="J5" s="114"/>
      <c r="K5" s="80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3200</v>
      </c>
      <c r="F7" s="91" t="s">
        <v>3201</v>
      </c>
      <c r="G7" s="92">
        <v>1</v>
      </c>
      <c r="H7" s="91" t="s">
        <v>3202</v>
      </c>
      <c r="I7" s="91"/>
      <c r="J7" s="91"/>
      <c r="K7" s="93" t="s">
        <v>3203</v>
      </c>
      <c r="L7" s="93"/>
      <c r="M7" s="93"/>
      <c r="N7" s="93"/>
      <c r="O7" s="93"/>
      <c r="P7" s="92">
        <v>3897</v>
      </c>
      <c r="Q7" s="92">
        <v>725</v>
      </c>
      <c r="R7" s="94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3200</v>
      </c>
      <c r="F8" s="91" t="s">
        <v>3201</v>
      </c>
      <c r="G8" s="92">
        <v>1</v>
      </c>
      <c r="H8" s="91" t="s">
        <v>3202</v>
      </c>
      <c r="I8" s="91"/>
      <c r="J8" s="96"/>
      <c r="K8" s="93" t="s">
        <v>3204</v>
      </c>
      <c r="L8" s="93"/>
      <c r="M8" s="93"/>
      <c r="N8" s="93"/>
      <c r="O8" s="93"/>
      <c r="P8" s="92">
        <v>3789</v>
      </c>
      <c r="Q8" s="92">
        <v>689</v>
      </c>
      <c r="R8" s="92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3200</v>
      </c>
      <c r="F9" s="91" t="s">
        <v>3201</v>
      </c>
      <c r="G9" s="92">
        <v>2</v>
      </c>
      <c r="H9" s="91" t="s">
        <v>3202</v>
      </c>
      <c r="I9" s="91"/>
      <c r="J9" s="96"/>
      <c r="K9" s="93" t="s">
        <v>3205</v>
      </c>
      <c r="L9" s="93"/>
      <c r="M9" s="93"/>
      <c r="N9" s="93"/>
      <c r="O9" s="93"/>
      <c r="P9" s="92">
        <v>3916</v>
      </c>
      <c r="Q9" s="92">
        <v>712</v>
      </c>
      <c r="R9" s="92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3200</v>
      </c>
      <c r="F10" s="91" t="s">
        <v>3201</v>
      </c>
      <c r="G10" s="92">
        <v>3</v>
      </c>
      <c r="H10" s="91" t="s">
        <v>3202</v>
      </c>
      <c r="I10" s="91"/>
      <c r="J10" s="96"/>
      <c r="K10" s="93" t="s">
        <v>3206</v>
      </c>
      <c r="L10" s="93"/>
      <c r="M10" s="93"/>
      <c r="N10" s="93"/>
      <c r="O10" s="93"/>
      <c r="P10" s="92">
        <v>3988</v>
      </c>
      <c r="Q10" s="92">
        <v>699</v>
      </c>
      <c r="R10" s="92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3200</v>
      </c>
      <c r="F11" s="91" t="s">
        <v>3201</v>
      </c>
      <c r="G11" s="92">
        <v>4</v>
      </c>
      <c r="H11" s="91" t="s">
        <v>3202</v>
      </c>
      <c r="I11" s="91"/>
      <c r="J11" s="96"/>
      <c r="K11" s="93" t="s">
        <v>3201</v>
      </c>
      <c r="L11" s="93"/>
      <c r="M11" s="93"/>
      <c r="N11" s="93"/>
      <c r="O11" s="93"/>
      <c r="P11" s="92">
        <v>4421</v>
      </c>
      <c r="Q11" s="92">
        <v>786</v>
      </c>
      <c r="R11" s="92"/>
      <c r="S11" s="97"/>
      <c r="T11" s="97">
        <v>200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3200</v>
      </c>
      <c r="F12" s="91" t="s">
        <v>3201</v>
      </c>
      <c r="G12" s="92">
        <v>4</v>
      </c>
      <c r="H12" s="96" t="s">
        <v>3202</v>
      </c>
      <c r="I12" s="96"/>
      <c r="J12" s="96"/>
      <c r="K12" s="93" t="s">
        <v>3207</v>
      </c>
      <c r="L12" s="93"/>
      <c r="M12" s="93"/>
      <c r="N12" s="93"/>
      <c r="O12" s="93"/>
      <c r="P12" s="92">
        <v>4475</v>
      </c>
      <c r="Q12" s="92">
        <v>796</v>
      </c>
      <c r="R12" s="92"/>
      <c r="S12" s="97"/>
      <c r="T12" s="97">
        <v>350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3200</v>
      </c>
      <c r="F13" s="91" t="s">
        <v>3201</v>
      </c>
      <c r="G13" s="92">
        <v>7</v>
      </c>
      <c r="H13" s="96" t="s">
        <v>3208</v>
      </c>
      <c r="I13" s="96"/>
      <c r="J13" s="96"/>
      <c r="K13" s="93" t="s">
        <v>3209</v>
      </c>
      <c r="L13" s="93"/>
      <c r="M13" s="93"/>
      <c r="N13" s="93"/>
      <c r="O13" s="93"/>
      <c r="P13" s="92">
        <v>4822</v>
      </c>
      <c r="Q13" s="92">
        <v>823</v>
      </c>
      <c r="R13" s="92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3200</v>
      </c>
      <c r="F14" s="91" t="s">
        <v>3201</v>
      </c>
      <c r="G14" s="92">
        <v>6</v>
      </c>
      <c r="H14" s="96" t="s">
        <v>3208</v>
      </c>
      <c r="I14" s="96"/>
      <c r="J14" s="96"/>
      <c r="K14" s="93" t="s">
        <v>3210</v>
      </c>
      <c r="L14" s="93"/>
      <c r="M14" s="93"/>
      <c r="N14" s="93"/>
      <c r="O14" s="93"/>
      <c r="P14" s="92">
        <v>3421</v>
      </c>
      <c r="Q14" s="92">
        <v>622</v>
      </c>
      <c r="R14" s="92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3200</v>
      </c>
      <c r="F15" s="91" t="s">
        <v>3201</v>
      </c>
      <c r="G15" s="92">
        <v>5</v>
      </c>
      <c r="H15" s="96" t="s">
        <v>3208</v>
      </c>
      <c r="I15" s="96"/>
      <c r="J15" s="96"/>
      <c r="K15" s="93" t="s">
        <v>3211</v>
      </c>
      <c r="L15" s="93"/>
      <c r="M15" s="93"/>
      <c r="N15" s="93"/>
      <c r="O15" s="93"/>
      <c r="P15" s="92">
        <v>2832</v>
      </c>
      <c r="Q15" s="92">
        <v>523</v>
      </c>
      <c r="R15" s="92"/>
      <c r="S15" s="97"/>
      <c r="T15" s="97">
        <v>200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3200</v>
      </c>
      <c r="F16" s="91" t="s">
        <v>3201</v>
      </c>
      <c r="G16" s="92">
        <v>9</v>
      </c>
      <c r="H16" s="96" t="s">
        <v>3208</v>
      </c>
      <c r="I16" s="96"/>
      <c r="J16" s="96"/>
      <c r="K16" s="93" t="s">
        <v>3212</v>
      </c>
      <c r="L16" s="93"/>
      <c r="M16" s="93"/>
      <c r="N16" s="93"/>
      <c r="O16" s="93"/>
      <c r="P16" s="92">
        <v>4122</v>
      </c>
      <c r="Q16" s="92">
        <v>742</v>
      </c>
      <c r="R16" s="92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3200</v>
      </c>
      <c r="F17" s="91" t="s">
        <v>3201</v>
      </c>
      <c r="G17" s="92">
        <v>8</v>
      </c>
      <c r="H17" s="96" t="s">
        <v>3208</v>
      </c>
      <c r="I17" s="96"/>
      <c r="J17" s="96"/>
      <c r="K17" s="93" t="s">
        <v>3213</v>
      </c>
      <c r="L17" s="93"/>
      <c r="M17" s="93"/>
      <c r="N17" s="93"/>
      <c r="O17" s="93"/>
      <c r="P17" s="92">
        <v>4869</v>
      </c>
      <c r="Q17" s="92">
        <v>805</v>
      </c>
      <c r="R17" s="92"/>
      <c r="S17" s="97">
        <v>100</v>
      </c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3200</v>
      </c>
      <c r="F18" s="91" t="s">
        <v>3214</v>
      </c>
      <c r="G18" s="92">
        <v>1</v>
      </c>
      <c r="H18" s="96" t="s">
        <v>3215</v>
      </c>
      <c r="I18" s="96"/>
      <c r="J18" s="96"/>
      <c r="K18" s="93" t="s">
        <v>3216</v>
      </c>
      <c r="L18" s="93"/>
      <c r="M18" s="93"/>
      <c r="N18" s="93"/>
      <c r="O18" s="93"/>
      <c r="P18" s="92">
        <v>4234</v>
      </c>
      <c r="Q18" s="92">
        <v>766</v>
      </c>
      <c r="R18" s="92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3200</v>
      </c>
      <c r="F19" s="91" t="s">
        <v>3214</v>
      </c>
      <c r="G19" s="92">
        <v>2</v>
      </c>
      <c r="H19" s="96" t="s">
        <v>3215</v>
      </c>
      <c r="I19" s="96"/>
      <c r="J19" s="96"/>
      <c r="K19" s="93" t="s">
        <v>3217</v>
      </c>
      <c r="L19" s="93"/>
      <c r="M19" s="93"/>
      <c r="N19" s="93"/>
      <c r="O19" s="93"/>
      <c r="P19" s="92">
        <v>3685</v>
      </c>
      <c r="Q19" s="92">
        <v>650</v>
      </c>
      <c r="R19" s="92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3200</v>
      </c>
      <c r="F20" s="91" t="s">
        <v>3214</v>
      </c>
      <c r="G20" s="92">
        <v>3</v>
      </c>
      <c r="H20" s="96" t="s">
        <v>3215</v>
      </c>
      <c r="I20" s="96"/>
      <c r="J20" s="96"/>
      <c r="K20" s="93" t="s">
        <v>3218</v>
      </c>
      <c r="L20" s="93"/>
      <c r="M20" s="93"/>
      <c r="N20" s="93"/>
      <c r="O20" s="93"/>
      <c r="P20" s="92">
        <v>4125</v>
      </c>
      <c r="Q20" s="92">
        <v>798</v>
      </c>
      <c r="R20" s="92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3200</v>
      </c>
      <c r="F21" s="91" t="s">
        <v>3214</v>
      </c>
      <c r="G21" s="97">
        <v>4</v>
      </c>
      <c r="H21" s="96" t="s">
        <v>3219</v>
      </c>
      <c r="I21" s="96"/>
      <c r="J21" s="96"/>
      <c r="K21" s="93" t="s">
        <v>3220</v>
      </c>
      <c r="L21" s="93"/>
      <c r="M21" s="93"/>
      <c r="N21" s="93"/>
      <c r="O21" s="93"/>
      <c r="P21" s="92">
        <v>2168</v>
      </c>
      <c r="Q21" s="92">
        <v>370</v>
      </c>
      <c r="R21" s="92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3200</v>
      </c>
      <c r="F22" s="91" t="s">
        <v>3214</v>
      </c>
      <c r="G22" s="92">
        <v>5</v>
      </c>
      <c r="H22" s="96" t="s">
        <v>3219</v>
      </c>
      <c r="I22" s="96"/>
      <c r="J22" s="96"/>
      <c r="K22" s="93" t="s">
        <v>3221</v>
      </c>
      <c r="L22" s="93"/>
      <c r="M22" s="93"/>
      <c r="N22" s="93"/>
      <c r="O22" s="93"/>
      <c r="P22" s="92">
        <v>1155</v>
      </c>
      <c r="Q22" s="92">
        <v>210</v>
      </c>
      <c r="R22" s="92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3200</v>
      </c>
      <c r="F23" s="91" t="s">
        <v>3214</v>
      </c>
      <c r="G23" s="92">
        <v>5</v>
      </c>
      <c r="H23" s="96" t="s">
        <v>3219</v>
      </c>
      <c r="I23" s="96"/>
      <c r="J23" s="96"/>
      <c r="K23" s="93" t="s">
        <v>3222</v>
      </c>
      <c r="L23" s="93"/>
      <c r="M23" s="93"/>
      <c r="N23" s="93"/>
      <c r="O23" s="93"/>
      <c r="P23" s="92">
        <v>4722</v>
      </c>
      <c r="Q23" s="92">
        <v>823</v>
      </c>
      <c r="R23" s="92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3200</v>
      </c>
      <c r="F24" s="91" t="s">
        <v>3214</v>
      </c>
      <c r="G24" s="92">
        <v>7</v>
      </c>
      <c r="H24" s="96" t="s">
        <v>3219</v>
      </c>
      <c r="I24" s="96"/>
      <c r="J24" s="96"/>
      <c r="K24" s="93" t="s">
        <v>3223</v>
      </c>
      <c r="L24" s="93"/>
      <c r="M24" s="93"/>
      <c r="N24" s="93"/>
      <c r="O24" s="93"/>
      <c r="P24" s="92">
        <v>4675</v>
      </c>
      <c r="Q24" s="92">
        <v>850</v>
      </c>
      <c r="R24" s="92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3200</v>
      </c>
      <c r="F25" s="91" t="s">
        <v>3214</v>
      </c>
      <c r="G25" s="97">
        <v>6</v>
      </c>
      <c r="H25" s="96" t="s">
        <v>3224</v>
      </c>
      <c r="I25" s="96"/>
      <c r="J25" s="96"/>
      <c r="K25" s="93" t="s">
        <v>3225</v>
      </c>
      <c r="L25" s="93"/>
      <c r="M25" s="93"/>
      <c r="N25" s="93"/>
      <c r="O25" s="93"/>
      <c r="P25" s="92">
        <v>4895</v>
      </c>
      <c r="Q25" s="92">
        <v>826</v>
      </c>
      <c r="R25" s="92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3200</v>
      </c>
      <c r="F26" s="91" t="s">
        <v>3214</v>
      </c>
      <c r="G26" s="97">
        <v>6</v>
      </c>
      <c r="H26" s="96" t="s">
        <v>3224</v>
      </c>
      <c r="I26" s="96"/>
      <c r="J26" s="96"/>
      <c r="K26" s="93" t="s">
        <v>3226</v>
      </c>
      <c r="L26" s="93"/>
      <c r="M26" s="93"/>
      <c r="N26" s="93"/>
      <c r="O26" s="93"/>
      <c r="P26" s="92">
        <v>5487</v>
      </c>
      <c r="Q26" s="92">
        <v>898</v>
      </c>
      <c r="R26" s="92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3200</v>
      </c>
      <c r="F27" s="91" t="s">
        <v>3214</v>
      </c>
      <c r="G27" s="97">
        <v>8</v>
      </c>
      <c r="H27" s="96" t="s">
        <v>3224</v>
      </c>
      <c r="I27" s="96"/>
      <c r="J27" s="96"/>
      <c r="K27" s="93" t="s">
        <v>3227</v>
      </c>
      <c r="L27" s="93"/>
      <c r="M27" s="93"/>
      <c r="N27" s="93"/>
      <c r="O27" s="93"/>
      <c r="P27" s="92">
        <v>4944</v>
      </c>
      <c r="Q27" s="92">
        <v>899</v>
      </c>
      <c r="R27" s="92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3200</v>
      </c>
      <c r="F28" s="91" t="s">
        <v>3214</v>
      </c>
      <c r="G28" s="97">
        <v>9</v>
      </c>
      <c r="H28" s="96" t="s">
        <v>3224</v>
      </c>
      <c r="I28" s="96"/>
      <c r="J28" s="96"/>
      <c r="K28" s="93" t="s">
        <v>3228</v>
      </c>
      <c r="L28" s="93"/>
      <c r="M28" s="93"/>
      <c r="N28" s="93"/>
      <c r="O28" s="93"/>
      <c r="P28" s="92">
        <v>4465</v>
      </c>
      <c r="Q28" s="92">
        <v>805</v>
      </c>
      <c r="R28" s="92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3200</v>
      </c>
      <c r="F29" s="91" t="s">
        <v>3214</v>
      </c>
      <c r="G29" s="97">
        <v>9</v>
      </c>
      <c r="H29" s="96" t="s">
        <v>3224</v>
      </c>
      <c r="I29" s="96"/>
      <c r="J29" s="96"/>
      <c r="K29" s="93" t="s">
        <v>3229</v>
      </c>
      <c r="L29" s="93"/>
      <c r="M29" s="93"/>
      <c r="N29" s="93"/>
      <c r="O29" s="93"/>
      <c r="P29" s="92">
        <v>4631</v>
      </c>
      <c r="Q29" s="92">
        <v>842</v>
      </c>
      <c r="R29" s="92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3200</v>
      </c>
      <c r="F30" s="91" t="s">
        <v>3230</v>
      </c>
      <c r="G30" s="97">
        <v>1</v>
      </c>
      <c r="H30" s="96" t="s">
        <v>3231</v>
      </c>
      <c r="I30" s="96"/>
      <c r="J30" s="96"/>
      <c r="K30" s="93" t="s">
        <v>3232</v>
      </c>
      <c r="L30" s="93"/>
      <c r="M30" s="93"/>
      <c r="N30" s="93"/>
      <c r="O30" s="93"/>
      <c r="P30" s="92">
        <v>3585</v>
      </c>
      <c r="Q30" s="92">
        <v>647</v>
      </c>
      <c r="R30" s="92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3200</v>
      </c>
      <c r="F31" s="91" t="s">
        <v>3230</v>
      </c>
      <c r="G31" s="97">
        <v>1</v>
      </c>
      <c r="H31" s="96" t="s">
        <v>3231</v>
      </c>
      <c r="I31" s="96"/>
      <c r="J31" s="96"/>
      <c r="K31" s="93" t="s">
        <v>3233</v>
      </c>
      <c r="L31" s="93"/>
      <c r="M31" s="93"/>
      <c r="N31" s="93"/>
      <c r="O31" s="93"/>
      <c r="P31" s="92">
        <v>3842</v>
      </c>
      <c r="Q31" s="92">
        <v>700</v>
      </c>
      <c r="R31" s="92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3200</v>
      </c>
      <c r="F32" s="96" t="s">
        <v>3230</v>
      </c>
      <c r="G32" s="97">
        <v>2</v>
      </c>
      <c r="H32" s="96" t="s">
        <v>3231</v>
      </c>
      <c r="I32" s="96"/>
      <c r="J32" s="96"/>
      <c r="K32" s="93" t="s">
        <v>3234</v>
      </c>
      <c r="L32" s="93"/>
      <c r="M32" s="93"/>
      <c r="N32" s="93"/>
      <c r="O32" s="93"/>
      <c r="P32" s="92">
        <v>2648</v>
      </c>
      <c r="Q32" s="92">
        <v>480</v>
      </c>
      <c r="R32" s="92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3200</v>
      </c>
      <c r="F33" s="96" t="s">
        <v>3230</v>
      </c>
      <c r="G33" s="97">
        <v>2</v>
      </c>
      <c r="H33" s="96" t="s">
        <v>3231</v>
      </c>
      <c r="I33" s="96"/>
      <c r="J33" s="96"/>
      <c r="K33" s="93" t="s">
        <v>118</v>
      </c>
      <c r="L33" s="93"/>
      <c r="M33" s="93"/>
      <c r="N33" s="93"/>
      <c r="O33" s="93"/>
      <c r="P33" s="92">
        <v>3815</v>
      </c>
      <c r="Q33" s="92">
        <v>688</v>
      </c>
      <c r="R33" s="92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3200</v>
      </c>
      <c r="F34" s="96" t="s">
        <v>3230</v>
      </c>
      <c r="G34" s="97">
        <v>4</v>
      </c>
      <c r="H34" s="96" t="s">
        <v>3231</v>
      </c>
      <c r="I34" s="96"/>
      <c r="J34" s="96"/>
      <c r="K34" s="93" t="s">
        <v>3235</v>
      </c>
      <c r="L34" s="93"/>
      <c r="M34" s="93"/>
      <c r="N34" s="93"/>
      <c r="O34" s="93"/>
      <c r="P34" s="92">
        <v>3146</v>
      </c>
      <c r="Q34" s="92">
        <v>572</v>
      </c>
      <c r="R34" s="92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3200</v>
      </c>
      <c r="F35" s="96" t="s">
        <v>3230</v>
      </c>
      <c r="G35" s="97">
        <v>4</v>
      </c>
      <c r="H35" s="96" t="s">
        <v>3231</v>
      </c>
      <c r="I35" s="96"/>
      <c r="J35" s="96"/>
      <c r="K35" s="93" t="s">
        <v>2335</v>
      </c>
      <c r="L35" s="93"/>
      <c r="M35" s="93"/>
      <c r="N35" s="93"/>
      <c r="O35" s="93"/>
      <c r="P35" s="92">
        <v>4141</v>
      </c>
      <c r="Q35" s="92">
        <v>753</v>
      </c>
      <c r="R35" s="92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3200</v>
      </c>
      <c r="F36" s="96" t="s">
        <v>3230</v>
      </c>
      <c r="G36" s="97">
        <v>3</v>
      </c>
      <c r="H36" s="96" t="s">
        <v>3231</v>
      </c>
      <c r="I36" s="96"/>
      <c r="J36" s="96"/>
      <c r="K36" s="93" t="s">
        <v>3236</v>
      </c>
      <c r="L36" s="93"/>
      <c r="M36" s="93"/>
      <c r="N36" s="93"/>
      <c r="O36" s="93"/>
      <c r="P36" s="92">
        <v>4355</v>
      </c>
      <c r="Q36" s="92">
        <v>791</v>
      </c>
      <c r="R36" s="92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3200</v>
      </c>
      <c r="F37" s="96" t="s">
        <v>3230</v>
      </c>
      <c r="G37" s="97">
        <v>3</v>
      </c>
      <c r="H37" s="96" t="s">
        <v>3231</v>
      </c>
      <c r="I37" s="96"/>
      <c r="J37" s="96"/>
      <c r="K37" s="93" t="s">
        <v>3237</v>
      </c>
      <c r="L37" s="93"/>
      <c r="M37" s="93"/>
      <c r="N37" s="93"/>
      <c r="O37" s="93"/>
      <c r="P37" s="92">
        <v>1652</v>
      </c>
      <c r="Q37" s="92">
        <v>293</v>
      </c>
      <c r="R37" s="92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3200</v>
      </c>
      <c r="F38" s="96" t="s">
        <v>3230</v>
      </c>
      <c r="G38" s="97">
        <v>8</v>
      </c>
      <c r="H38" s="96" t="s">
        <v>3238</v>
      </c>
      <c r="I38" s="96"/>
      <c r="J38" s="96"/>
      <c r="K38" s="93" t="s">
        <v>3239</v>
      </c>
      <c r="L38" s="93"/>
      <c r="M38" s="93"/>
      <c r="N38" s="93"/>
      <c r="O38" s="93"/>
      <c r="P38" s="92">
        <v>2175</v>
      </c>
      <c r="Q38" s="92">
        <v>415</v>
      </c>
      <c r="R38" s="92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3200</v>
      </c>
      <c r="F39" s="96" t="s">
        <v>3230</v>
      </c>
      <c r="G39" s="97">
        <v>8</v>
      </c>
      <c r="H39" s="96" t="s">
        <v>3238</v>
      </c>
      <c r="I39" s="96"/>
      <c r="J39" s="96"/>
      <c r="K39" s="93" t="s">
        <v>3240</v>
      </c>
      <c r="L39" s="93"/>
      <c r="M39" s="93"/>
      <c r="N39" s="93"/>
      <c r="O39" s="93"/>
      <c r="P39" s="92">
        <v>1250</v>
      </c>
      <c r="Q39" s="92">
        <v>235</v>
      </c>
      <c r="R39" s="92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3200</v>
      </c>
      <c r="F40" s="96" t="s">
        <v>3230</v>
      </c>
      <c r="G40" s="97">
        <v>5</v>
      </c>
      <c r="H40" s="96" t="s">
        <v>3238</v>
      </c>
      <c r="I40" s="96"/>
      <c r="J40" s="96"/>
      <c r="K40" s="93" t="s">
        <v>3241</v>
      </c>
      <c r="L40" s="93"/>
      <c r="M40" s="93"/>
      <c r="N40" s="93"/>
      <c r="O40" s="93"/>
      <c r="P40" s="92">
        <v>3385</v>
      </c>
      <c r="Q40" s="92">
        <v>635</v>
      </c>
      <c r="R40" s="92"/>
      <c r="S40" s="97">
        <v>130</v>
      </c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3200</v>
      </c>
      <c r="F41" s="96" t="s">
        <v>3230</v>
      </c>
      <c r="G41" s="97">
        <v>6</v>
      </c>
      <c r="H41" s="96" t="s">
        <v>3238</v>
      </c>
      <c r="I41" s="96"/>
      <c r="J41" s="96"/>
      <c r="K41" s="93" t="s">
        <v>3242</v>
      </c>
      <c r="L41" s="93"/>
      <c r="M41" s="93"/>
      <c r="N41" s="93"/>
      <c r="O41" s="93"/>
      <c r="P41" s="92">
        <v>2431</v>
      </c>
      <c r="Q41" s="92">
        <v>442</v>
      </c>
      <c r="R41" s="92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3200</v>
      </c>
      <c r="F42" s="96" t="s">
        <v>3230</v>
      </c>
      <c r="G42" s="97">
        <v>7</v>
      </c>
      <c r="H42" s="96" t="s">
        <v>3238</v>
      </c>
      <c r="I42" s="96"/>
      <c r="J42" s="96"/>
      <c r="K42" s="93" t="s">
        <v>3243</v>
      </c>
      <c r="L42" s="93"/>
      <c r="M42" s="93"/>
      <c r="N42" s="93"/>
      <c r="O42" s="93"/>
      <c r="P42" s="92">
        <v>3752</v>
      </c>
      <c r="Q42" s="92">
        <v>687</v>
      </c>
      <c r="R42" s="92"/>
      <c r="S42" s="97"/>
      <c r="T42" s="97">
        <v>71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3200</v>
      </c>
      <c r="F43" s="96" t="s">
        <v>3230</v>
      </c>
      <c r="G43" s="97">
        <v>9</v>
      </c>
      <c r="H43" s="96" t="s">
        <v>3238</v>
      </c>
      <c r="I43" s="96"/>
      <c r="J43" s="96"/>
      <c r="K43" s="93" t="s">
        <v>3244</v>
      </c>
      <c r="L43" s="93"/>
      <c r="M43" s="93"/>
      <c r="N43" s="93"/>
      <c r="O43" s="93"/>
      <c r="P43" s="92">
        <v>4757</v>
      </c>
      <c r="Q43" s="92">
        <v>865</v>
      </c>
      <c r="R43" s="92"/>
      <c r="S43" s="97"/>
      <c r="T43" s="97">
        <v>100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3200</v>
      </c>
      <c r="F44" s="96" t="s">
        <v>3245</v>
      </c>
      <c r="G44" s="97">
        <v>1</v>
      </c>
      <c r="H44" s="96" t="s">
        <v>3246</v>
      </c>
      <c r="I44" s="96"/>
      <c r="J44" s="96"/>
      <c r="K44" s="93" t="s">
        <v>3247</v>
      </c>
      <c r="L44" s="93"/>
      <c r="M44" s="93"/>
      <c r="N44" s="93"/>
      <c r="O44" s="93"/>
      <c r="P44" s="92">
        <v>2972</v>
      </c>
      <c r="Q44" s="92">
        <v>540</v>
      </c>
      <c r="R44" s="92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3200</v>
      </c>
      <c r="F45" s="96" t="s">
        <v>3245</v>
      </c>
      <c r="G45" s="97">
        <v>2</v>
      </c>
      <c r="H45" s="96" t="s">
        <v>3246</v>
      </c>
      <c r="I45" s="96"/>
      <c r="J45" s="96"/>
      <c r="K45" s="93" t="s">
        <v>3248</v>
      </c>
      <c r="L45" s="93"/>
      <c r="M45" s="93"/>
      <c r="N45" s="93"/>
      <c r="O45" s="93"/>
      <c r="P45" s="92">
        <v>2496</v>
      </c>
      <c r="Q45" s="92">
        <v>472</v>
      </c>
      <c r="R45" s="92"/>
      <c r="S45" s="97"/>
      <c r="T45" s="97">
        <v>440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3200</v>
      </c>
      <c r="F46" s="96" t="s">
        <v>3245</v>
      </c>
      <c r="G46" s="97">
        <v>4</v>
      </c>
      <c r="H46" s="96" t="s">
        <v>3246</v>
      </c>
      <c r="I46" s="96"/>
      <c r="J46" s="96"/>
      <c r="K46" s="93" t="s">
        <v>3249</v>
      </c>
      <c r="L46" s="93"/>
      <c r="M46" s="93"/>
      <c r="N46" s="93"/>
      <c r="O46" s="93"/>
      <c r="P46" s="92">
        <v>4165</v>
      </c>
      <c r="Q46" s="92">
        <v>759</v>
      </c>
      <c r="R46" s="92"/>
      <c r="S46" s="97"/>
      <c r="T46" s="97">
        <v>721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3200</v>
      </c>
      <c r="F47" s="96" t="s">
        <v>3245</v>
      </c>
      <c r="G47" s="97">
        <v>3</v>
      </c>
      <c r="H47" s="96" t="s">
        <v>3246</v>
      </c>
      <c r="I47" s="96"/>
      <c r="J47" s="96"/>
      <c r="K47" s="93" t="s">
        <v>3250</v>
      </c>
      <c r="L47" s="93"/>
      <c r="M47" s="93"/>
      <c r="N47" s="93"/>
      <c r="O47" s="93"/>
      <c r="P47" s="92">
        <v>3788</v>
      </c>
      <c r="Q47" s="92">
        <v>692</v>
      </c>
      <c r="R47" s="92"/>
      <c r="S47" s="97"/>
      <c r="T47" s="97">
        <v>193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3200</v>
      </c>
      <c r="F48" s="96" t="s">
        <v>3245</v>
      </c>
      <c r="G48" s="97">
        <v>5</v>
      </c>
      <c r="H48" s="96" t="s">
        <v>3246</v>
      </c>
      <c r="I48" s="96"/>
      <c r="J48" s="96"/>
      <c r="K48" s="93" t="s">
        <v>3251</v>
      </c>
      <c r="L48" s="93"/>
      <c r="M48" s="93"/>
      <c r="N48" s="93"/>
      <c r="O48" s="93"/>
      <c r="P48" s="92">
        <v>3156</v>
      </c>
      <c r="Q48" s="92">
        <v>582</v>
      </c>
      <c r="R48" s="92"/>
      <c r="S48" s="97">
        <v>200</v>
      </c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3200</v>
      </c>
      <c r="F49" s="96" t="s">
        <v>3245</v>
      </c>
      <c r="G49" s="97">
        <v>7</v>
      </c>
      <c r="H49" s="96" t="s">
        <v>3252</v>
      </c>
      <c r="I49" s="96"/>
      <c r="J49" s="96"/>
      <c r="K49" s="93" t="s">
        <v>3253</v>
      </c>
      <c r="L49" s="93"/>
      <c r="M49" s="93"/>
      <c r="N49" s="93"/>
      <c r="O49" s="93"/>
      <c r="P49" s="92">
        <v>4722</v>
      </c>
      <c r="Q49" s="92">
        <v>843</v>
      </c>
      <c r="R49" s="92"/>
      <c r="S49" s="97"/>
      <c r="T49" s="97">
        <v>202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3200</v>
      </c>
      <c r="F50" s="96" t="s">
        <v>3245</v>
      </c>
      <c r="G50" s="97">
        <v>8</v>
      </c>
      <c r="H50" s="96" t="s">
        <v>3252</v>
      </c>
      <c r="I50" s="96"/>
      <c r="J50" s="96"/>
      <c r="K50" s="93" t="s">
        <v>3254</v>
      </c>
      <c r="L50" s="93"/>
      <c r="M50" s="93"/>
      <c r="N50" s="93"/>
      <c r="O50" s="93"/>
      <c r="P50" s="92">
        <v>3982</v>
      </c>
      <c r="Q50" s="92">
        <v>724</v>
      </c>
      <c r="R50" s="92"/>
      <c r="S50" s="97"/>
      <c r="T50" s="97">
        <v>300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3200</v>
      </c>
      <c r="F51" s="96" t="s">
        <v>3245</v>
      </c>
      <c r="G51" s="97">
        <v>6</v>
      </c>
      <c r="H51" s="96" t="s">
        <v>3252</v>
      </c>
      <c r="I51" s="96"/>
      <c r="J51" s="96"/>
      <c r="K51" s="93" t="s">
        <v>3255</v>
      </c>
      <c r="L51" s="93"/>
      <c r="M51" s="93"/>
      <c r="N51" s="93"/>
      <c r="O51" s="93"/>
      <c r="P51" s="92">
        <v>4129</v>
      </c>
      <c r="Q51" s="92">
        <v>769</v>
      </c>
      <c r="R51" s="92"/>
      <c r="S51" s="97">
        <v>400</v>
      </c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3200</v>
      </c>
      <c r="F52" s="96" t="s">
        <v>3245</v>
      </c>
      <c r="G52" s="97">
        <v>9</v>
      </c>
      <c r="H52" s="96" t="s">
        <v>3252</v>
      </c>
      <c r="I52" s="96"/>
      <c r="J52" s="96"/>
      <c r="K52" s="93" t="s">
        <v>3256</v>
      </c>
      <c r="L52" s="93"/>
      <c r="M52" s="93"/>
      <c r="N52" s="93"/>
      <c r="O52" s="93"/>
      <c r="P52" s="92">
        <v>4456</v>
      </c>
      <c r="Q52" s="92">
        <v>823</v>
      </c>
      <c r="R52" s="92"/>
      <c r="S52" s="97">
        <v>120</v>
      </c>
      <c r="T52" s="97">
        <v>150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3200</v>
      </c>
      <c r="F53" s="96" t="s">
        <v>3257</v>
      </c>
      <c r="G53" s="97">
        <v>2</v>
      </c>
      <c r="H53" s="96" t="s">
        <v>3258</v>
      </c>
      <c r="I53" s="96"/>
      <c r="J53" s="96"/>
      <c r="K53" s="93" t="s">
        <v>3259</v>
      </c>
      <c r="L53" s="93"/>
      <c r="M53" s="93"/>
      <c r="N53" s="93"/>
      <c r="O53" s="93"/>
      <c r="P53" s="92">
        <v>4677</v>
      </c>
      <c r="Q53" s="92">
        <v>832</v>
      </c>
      <c r="R53" s="92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3200</v>
      </c>
      <c r="F54" s="96" t="s">
        <v>3257</v>
      </c>
      <c r="G54" s="97">
        <v>2</v>
      </c>
      <c r="H54" s="96" t="s">
        <v>3258</v>
      </c>
      <c r="I54" s="96"/>
      <c r="J54" s="96"/>
      <c r="K54" s="93" t="s">
        <v>3260</v>
      </c>
      <c r="L54" s="93"/>
      <c r="M54" s="93"/>
      <c r="N54" s="93"/>
      <c r="O54" s="93"/>
      <c r="P54" s="92">
        <v>4037</v>
      </c>
      <c r="Q54" s="92">
        <v>734</v>
      </c>
      <c r="R54" s="92"/>
      <c r="S54" s="97">
        <v>100</v>
      </c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3200</v>
      </c>
      <c r="F55" s="96" t="s">
        <v>3257</v>
      </c>
      <c r="G55" s="97">
        <v>1</v>
      </c>
      <c r="H55" s="96" t="s">
        <v>3258</v>
      </c>
      <c r="I55" s="96"/>
      <c r="J55" s="96"/>
      <c r="K55" s="93" t="s">
        <v>3261</v>
      </c>
      <c r="L55" s="93"/>
      <c r="M55" s="93"/>
      <c r="N55" s="93"/>
      <c r="O55" s="93"/>
      <c r="P55" s="92">
        <v>4158</v>
      </c>
      <c r="Q55" s="92">
        <v>756</v>
      </c>
      <c r="R55" s="92"/>
      <c r="S55" s="97"/>
      <c r="T55" s="97">
        <v>200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3200</v>
      </c>
      <c r="F56" s="96" t="s">
        <v>3257</v>
      </c>
      <c r="G56" s="97">
        <v>3</v>
      </c>
      <c r="H56" s="96" t="s">
        <v>3262</v>
      </c>
      <c r="I56" s="96"/>
      <c r="J56" s="96"/>
      <c r="K56" s="93" t="s">
        <v>3263</v>
      </c>
      <c r="L56" s="93"/>
      <c r="M56" s="93"/>
      <c r="N56" s="93"/>
      <c r="O56" s="93"/>
      <c r="P56" s="92">
        <v>4339</v>
      </c>
      <c r="Q56" s="92">
        <v>789</v>
      </c>
      <c r="R56" s="92"/>
      <c r="S56" s="97">
        <v>350</v>
      </c>
      <c r="T56" s="97">
        <v>400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3200</v>
      </c>
      <c r="F57" s="96" t="s">
        <v>3257</v>
      </c>
      <c r="G57" s="97">
        <v>4</v>
      </c>
      <c r="H57" s="96" t="s">
        <v>3262</v>
      </c>
      <c r="I57" s="96"/>
      <c r="J57" s="96"/>
      <c r="K57" s="93" t="s">
        <v>3264</v>
      </c>
      <c r="L57" s="93"/>
      <c r="M57" s="93"/>
      <c r="N57" s="93"/>
      <c r="O57" s="93"/>
      <c r="P57" s="92">
        <v>3519</v>
      </c>
      <c r="Q57" s="92">
        <v>658</v>
      </c>
      <c r="R57" s="92"/>
      <c r="S57" s="97"/>
      <c r="T57" s="97">
        <v>372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3200</v>
      </c>
      <c r="F58" s="96" t="s">
        <v>3257</v>
      </c>
      <c r="G58" s="97">
        <v>4</v>
      </c>
      <c r="H58" s="96" t="s">
        <v>3265</v>
      </c>
      <c r="I58" s="96"/>
      <c r="J58" s="96"/>
      <c r="K58" s="93" t="s">
        <v>3266</v>
      </c>
      <c r="L58" s="93"/>
      <c r="M58" s="93"/>
      <c r="N58" s="93"/>
      <c r="O58" s="93"/>
      <c r="P58" s="92">
        <v>3987</v>
      </c>
      <c r="Q58" s="92">
        <v>725</v>
      </c>
      <c r="R58" s="92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3200</v>
      </c>
      <c r="F59" s="96" t="s">
        <v>3257</v>
      </c>
      <c r="G59" s="97">
        <v>9</v>
      </c>
      <c r="H59" s="96" t="s">
        <v>3265</v>
      </c>
      <c r="I59" s="96"/>
      <c r="J59" s="96"/>
      <c r="K59" s="93" t="s">
        <v>3267</v>
      </c>
      <c r="L59" s="93"/>
      <c r="M59" s="93"/>
      <c r="N59" s="93"/>
      <c r="O59" s="93"/>
      <c r="P59" s="92">
        <v>3502</v>
      </c>
      <c r="Q59" s="92">
        <v>655</v>
      </c>
      <c r="R59" s="92"/>
      <c r="S59" s="97">
        <v>100</v>
      </c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3200</v>
      </c>
      <c r="F60" s="96" t="s">
        <v>3257</v>
      </c>
      <c r="G60" s="97">
        <v>5</v>
      </c>
      <c r="H60" s="96" t="s">
        <v>3265</v>
      </c>
      <c r="I60" s="96"/>
      <c r="J60" s="96"/>
      <c r="K60" s="93" t="s">
        <v>3268</v>
      </c>
      <c r="L60" s="93"/>
      <c r="M60" s="93"/>
      <c r="N60" s="93"/>
      <c r="O60" s="93"/>
      <c r="P60" s="92">
        <v>4394</v>
      </c>
      <c r="Q60" s="92">
        <v>799</v>
      </c>
      <c r="R60" s="92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3200</v>
      </c>
      <c r="F61" s="96" t="s">
        <v>3257</v>
      </c>
      <c r="G61" s="97">
        <v>7</v>
      </c>
      <c r="H61" s="96" t="s">
        <v>3265</v>
      </c>
      <c r="I61" s="96"/>
      <c r="J61" s="96"/>
      <c r="K61" s="93" t="s">
        <v>3269</v>
      </c>
      <c r="L61" s="93"/>
      <c r="M61" s="93"/>
      <c r="N61" s="93"/>
      <c r="O61" s="93"/>
      <c r="P61" s="92">
        <v>2685</v>
      </c>
      <c r="Q61" s="92">
        <v>537</v>
      </c>
      <c r="R61" s="92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3200</v>
      </c>
      <c r="F62" s="96" t="s">
        <v>3257</v>
      </c>
      <c r="G62" s="97">
        <v>8</v>
      </c>
      <c r="H62" s="96" t="s">
        <v>3265</v>
      </c>
      <c r="I62" s="96"/>
      <c r="J62" s="96"/>
      <c r="K62" s="93" t="s">
        <v>3270</v>
      </c>
      <c r="L62" s="93"/>
      <c r="M62" s="93"/>
      <c r="N62" s="93"/>
      <c r="O62" s="93"/>
      <c r="P62" s="92">
        <v>2761</v>
      </c>
      <c r="Q62" s="92">
        <v>502</v>
      </c>
      <c r="R62" s="92"/>
      <c r="S62" s="97"/>
      <c r="T62" s="97">
        <v>305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3200</v>
      </c>
      <c r="F63" s="96" t="s">
        <v>3271</v>
      </c>
      <c r="G63" s="97">
        <v>9</v>
      </c>
      <c r="H63" s="96" t="s">
        <v>3272</v>
      </c>
      <c r="I63" s="96"/>
      <c r="J63" s="96"/>
      <c r="K63" s="93" t="s">
        <v>3273</v>
      </c>
      <c r="L63" s="93"/>
      <c r="M63" s="93"/>
      <c r="N63" s="93"/>
      <c r="O63" s="93"/>
      <c r="P63" s="92">
        <v>4867</v>
      </c>
      <c r="Q63" s="92">
        <v>885</v>
      </c>
      <c r="R63" s="92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3200</v>
      </c>
      <c r="F64" s="96" t="s">
        <v>3271</v>
      </c>
      <c r="G64" s="97">
        <v>9</v>
      </c>
      <c r="H64" s="96" t="s">
        <v>3272</v>
      </c>
      <c r="I64" s="96"/>
      <c r="J64" s="96"/>
      <c r="K64" s="93" t="s">
        <v>3274</v>
      </c>
      <c r="L64" s="93"/>
      <c r="M64" s="93"/>
      <c r="N64" s="93"/>
      <c r="O64" s="93"/>
      <c r="P64" s="92">
        <v>3696</v>
      </c>
      <c r="Q64" s="92">
        <v>672</v>
      </c>
      <c r="R64" s="92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3200</v>
      </c>
      <c r="F65" s="96" t="s">
        <v>3271</v>
      </c>
      <c r="G65" s="97">
        <v>8</v>
      </c>
      <c r="H65" s="96" t="s">
        <v>3272</v>
      </c>
      <c r="I65" s="96"/>
      <c r="J65" s="96"/>
      <c r="K65" s="93" t="s">
        <v>3275</v>
      </c>
      <c r="L65" s="93"/>
      <c r="M65" s="93"/>
      <c r="N65" s="93"/>
      <c r="O65" s="93"/>
      <c r="P65" s="92">
        <v>3454</v>
      </c>
      <c r="Q65" s="92">
        <v>628</v>
      </c>
      <c r="R65" s="92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3200</v>
      </c>
      <c r="F66" s="96" t="s">
        <v>3271</v>
      </c>
      <c r="G66" s="97">
        <v>2</v>
      </c>
      <c r="H66" s="96" t="s">
        <v>3272</v>
      </c>
      <c r="I66" s="96"/>
      <c r="J66" s="96"/>
      <c r="K66" s="93" t="s">
        <v>3200</v>
      </c>
      <c r="L66" s="93"/>
      <c r="M66" s="93"/>
      <c r="N66" s="93"/>
      <c r="O66" s="93"/>
      <c r="P66" s="92">
        <v>3492</v>
      </c>
      <c r="Q66" s="92">
        <v>635</v>
      </c>
      <c r="R66" s="92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3200</v>
      </c>
      <c r="F67" s="96" t="s">
        <v>3271</v>
      </c>
      <c r="G67" s="97">
        <v>4</v>
      </c>
      <c r="H67" s="96" t="s">
        <v>3272</v>
      </c>
      <c r="I67" s="96"/>
      <c r="J67" s="96"/>
      <c r="K67" s="93" t="s">
        <v>3276</v>
      </c>
      <c r="L67" s="93"/>
      <c r="M67" s="93"/>
      <c r="N67" s="93"/>
      <c r="O67" s="93"/>
      <c r="P67" s="92">
        <v>1182</v>
      </c>
      <c r="Q67" s="92">
        <v>215</v>
      </c>
      <c r="R67" s="92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3200</v>
      </c>
      <c r="F68" s="96" t="s">
        <v>3271</v>
      </c>
      <c r="G68" s="97">
        <v>4</v>
      </c>
      <c r="H68" s="96" t="s">
        <v>3272</v>
      </c>
      <c r="I68" s="96"/>
      <c r="J68" s="96"/>
      <c r="K68" s="93" t="s">
        <v>3255</v>
      </c>
      <c r="L68" s="93"/>
      <c r="M68" s="93"/>
      <c r="N68" s="93"/>
      <c r="O68" s="93"/>
      <c r="P68" s="92">
        <v>620</v>
      </c>
      <c r="Q68" s="92">
        <v>120</v>
      </c>
      <c r="R68" s="92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3200</v>
      </c>
      <c r="F69" s="96" t="s">
        <v>3271</v>
      </c>
      <c r="G69" s="97">
        <v>5</v>
      </c>
      <c r="H69" s="96" t="s">
        <v>3272</v>
      </c>
      <c r="I69" s="96"/>
      <c r="J69" s="96"/>
      <c r="K69" s="93" t="s">
        <v>3277</v>
      </c>
      <c r="L69" s="93"/>
      <c r="M69" s="93"/>
      <c r="N69" s="93"/>
      <c r="O69" s="93"/>
      <c r="P69" s="92">
        <v>1035</v>
      </c>
      <c r="Q69" s="92">
        <v>198</v>
      </c>
      <c r="R69" s="92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3200</v>
      </c>
      <c r="F70" s="96" t="s">
        <v>3271</v>
      </c>
      <c r="G70" s="97">
        <v>5</v>
      </c>
      <c r="H70" s="96" t="s">
        <v>3272</v>
      </c>
      <c r="I70" s="96"/>
      <c r="J70" s="96"/>
      <c r="K70" s="93" t="s">
        <v>3278</v>
      </c>
      <c r="L70" s="93"/>
      <c r="M70" s="93"/>
      <c r="N70" s="93"/>
      <c r="O70" s="93"/>
      <c r="P70" s="92">
        <v>2810</v>
      </c>
      <c r="Q70" s="92">
        <v>542</v>
      </c>
      <c r="R70" s="92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3200</v>
      </c>
      <c r="F71" s="96" t="s">
        <v>3271</v>
      </c>
      <c r="G71" s="97">
        <v>6</v>
      </c>
      <c r="H71" s="96" t="s">
        <v>3272</v>
      </c>
      <c r="I71" s="96"/>
      <c r="J71" s="96"/>
      <c r="K71" s="93" t="s">
        <v>3279</v>
      </c>
      <c r="L71" s="93"/>
      <c r="M71" s="93"/>
      <c r="N71" s="93"/>
      <c r="O71" s="93"/>
      <c r="P71" s="92">
        <v>3641</v>
      </c>
      <c r="Q71" s="92">
        <v>662</v>
      </c>
      <c r="R71" s="92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3200</v>
      </c>
      <c r="F72" s="96" t="s">
        <v>3271</v>
      </c>
      <c r="G72" s="97">
        <v>6</v>
      </c>
      <c r="H72" s="96" t="s">
        <v>3272</v>
      </c>
      <c r="I72" s="96"/>
      <c r="J72" s="96"/>
      <c r="K72" s="93" t="s">
        <v>3229</v>
      </c>
      <c r="L72" s="93"/>
      <c r="M72" s="93"/>
      <c r="N72" s="93"/>
      <c r="O72" s="93"/>
      <c r="P72" s="92">
        <v>908</v>
      </c>
      <c r="Q72" s="92">
        <v>165</v>
      </c>
      <c r="R72" s="92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3200</v>
      </c>
      <c r="F73" s="96" t="s">
        <v>3271</v>
      </c>
      <c r="G73" s="97">
        <v>3</v>
      </c>
      <c r="H73" s="96" t="s">
        <v>3272</v>
      </c>
      <c r="I73" s="96"/>
      <c r="J73" s="96"/>
      <c r="K73" s="93" t="s">
        <v>3280</v>
      </c>
      <c r="L73" s="93"/>
      <c r="M73" s="93"/>
      <c r="N73" s="93"/>
      <c r="O73" s="93"/>
      <c r="P73" s="92">
        <v>3822</v>
      </c>
      <c r="Q73" s="92">
        <v>699</v>
      </c>
      <c r="R73" s="92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3200</v>
      </c>
      <c r="F74" s="96" t="s">
        <v>3271</v>
      </c>
      <c r="G74" s="97">
        <v>1</v>
      </c>
      <c r="H74" s="96" t="s">
        <v>3272</v>
      </c>
      <c r="I74" s="96"/>
      <c r="J74" s="96"/>
      <c r="K74" s="93" t="s">
        <v>3281</v>
      </c>
      <c r="L74" s="93"/>
      <c r="M74" s="93"/>
      <c r="N74" s="93"/>
      <c r="O74" s="93"/>
      <c r="P74" s="92">
        <v>3520</v>
      </c>
      <c r="Q74" s="92">
        <v>640</v>
      </c>
      <c r="R74" s="92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3200</v>
      </c>
      <c r="F75" s="96" t="s">
        <v>3271</v>
      </c>
      <c r="G75" s="97">
        <v>7</v>
      </c>
      <c r="H75" s="96" t="s">
        <v>3272</v>
      </c>
      <c r="I75" s="96"/>
      <c r="J75" s="96"/>
      <c r="K75" s="93" t="s">
        <v>60</v>
      </c>
      <c r="L75" s="93"/>
      <c r="M75" s="93"/>
      <c r="N75" s="93"/>
      <c r="O75" s="93"/>
      <c r="P75" s="92">
        <v>4465</v>
      </c>
      <c r="Q75" s="92">
        <v>824</v>
      </c>
      <c r="R75" s="92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3200</v>
      </c>
      <c r="F76" s="96" t="s">
        <v>3282</v>
      </c>
      <c r="G76" s="97">
        <v>1</v>
      </c>
      <c r="H76" s="96" t="s">
        <v>3283</v>
      </c>
      <c r="I76" s="96"/>
      <c r="J76" s="96"/>
      <c r="K76" s="93" t="s">
        <v>3282</v>
      </c>
      <c r="L76" s="93"/>
      <c r="M76" s="93"/>
      <c r="N76" s="93"/>
      <c r="O76" s="93"/>
      <c r="P76" s="92">
        <v>2785</v>
      </c>
      <c r="Q76" s="92">
        <v>510</v>
      </c>
      <c r="R76" s="92"/>
      <c r="S76" s="97"/>
      <c r="T76" s="97">
        <v>60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3200</v>
      </c>
      <c r="F77" s="96" t="s">
        <v>3282</v>
      </c>
      <c r="G77" s="97">
        <v>1</v>
      </c>
      <c r="H77" s="96" t="s">
        <v>3283</v>
      </c>
      <c r="I77" s="96"/>
      <c r="J77" s="96"/>
      <c r="K77" s="93" t="s">
        <v>3284</v>
      </c>
      <c r="L77" s="93"/>
      <c r="M77" s="93"/>
      <c r="N77" s="93"/>
      <c r="O77" s="93"/>
      <c r="P77" s="92">
        <v>3916</v>
      </c>
      <c r="Q77" s="92">
        <v>712</v>
      </c>
      <c r="R77" s="92"/>
      <c r="S77" s="97"/>
      <c r="T77" s="97">
        <v>225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3200</v>
      </c>
      <c r="F78" s="96" t="s">
        <v>3282</v>
      </c>
      <c r="G78" s="97">
        <v>2</v>
      </c>
      <c r="H78" s="96" t="s">
        <v>3283</v>
      </c>
      <c r="I78" s="96"/>
      <c r="J78" s="96"/>
      <c r="K78" s="93" t="s">
        <v>3285</v>
      </c>
      <c r="L78" s="93"/>
      <c r="M78" s="93"/>
      <c r="N78" s="93"/>
      <c r="O78" s="93"/>
      <c r="P78" s="92">
        <v>3622</v>
      </c>
      <c r="Q78" s="92">
        <v>655</v>
      </c>
      <c r="R78" s="92"/>
      <c r="S78" s="97"/>
      <c r="T78" s="97">
        <v>250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3200</v>
      </c>
      <c r="F79" s="96" t="s">
        <v>3282</v>
      </c>
      <c r="G79" s="97">
        <v>3</v>
      </c>
      <c r="H79" s="96" t="s">
        <v>3283</v>
      </c>
      <c r="I79" s="96"/>
      <c r="J79" s="96"/>
      <c r="K79" s="93" t="s">
        <v>3286</v>
      </c>
      <c r="L79" s="93"/>
      <c r="M79" s="93"/>
      <c r="N79" s="93"/>
      <c r="O79" s="93"/>
      <c r="P79" s="92">
        <v>4064</v>
      </c>
      <c r="Q79" s="92">
        <v>739</v>
      </c>
      <c r="R79" s="92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3200</v>
      </c>
      <c r="F80" s="96" t="s">
        <v>3282</v>
      </c>
      <c r="G80" s="97">
        <v>4</v>
      </c>
      <c r="H80" s="96" t="s">
        <v>3287</v>
      </c>
      <c r="I80" s="96"/>
      <c r="J80" s="96"/>
      <c r="K80" s="93" t="s">
        <v>3288</v>
      </c>
      <c r="L80" s="93"/>
      <c r="M80" s="93"/>
      <c r="N80" s="93"/>
      <c r="O80" s="93"/>
      <c r="P80" s="92">
        <v>3602</v>
      </c>
      <c r="Q80" s="92">
        <v>655</v>
      </c>
      <c r="R80" s="92"/>
      <c r="S80" s="97"/>
      <c r="T80" s="97">
        <v>215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3200</v>
      </c>
      <c r="F81" s="96" t="s">
        <v>3282</v>
      </c>
      <c r="G81" s="97">
        <v>5</v>
      </c>
      <c r="H81" s="96" t="s">
        <v>3287</v>
      </c>
      <c r="I81" s="96"/>
      <c r="J81" s="96"/>
      <c r="K81" s="93" t="s">
        <v>3289</v>
      </c>
      <c r="L81" s="93"/>
      <c r="M81" s="93"/>
      <c r="N81" s="93"/>
      <c r="O81" s="93"/>
      <c r="P81" s="92">
        <v>3410</v>
      </c>
      <c r="Q81" s="92">
        <v>620</v>
      </c>
      <c r="R81" s="92"/>
      <c r="S81" s="97">
        <v>300</v>
      </c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3200</v>
      </c>
      <c r="F82" s="96" t="s">
        <v>3282</v>
      </c>
      <c r="G82" s="97">
        <v>6</v>
      </c>
      <c r="H82" s="96" t="s">
        <v>3287</v>
      </c>
      <c r="I82" s="96"/>
      <c r="J82" s="96"/>
      <c r="K82" s="93" t="s">
        <v>3290</v>
      </c>
      <c r="L82" s="93"/>
      <c r="M82" s="93"/>
      <c r="N82" s="93"/>
      <c r="O82" s="93"/>
      <c r="P82" s="92">
        <v>3349</v>
      </c>
      <c r="Q82" s="92">
        <v>609</v>
      </c>
      <c r="R82" s="92"/>
      <c r="S82" s="97">
        <v>200</v>
      </c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3200</v>
      </c>
      <c r="F83" s="96" t="s">
        <v>3282</v>
      </c>
      <c r="G83" s="97">
        <v>7</v>
      </c>
      <c r="H83" s="96" t="s">
        <v>3291</v>
      </c>
      <c r="I83" s="96"/>
      <c r="J83" s="96"/>
      <c r="K83" s="93" t="s">
        <v>3292</v>
      </c>
      <c r="L83" s="93"/>
      <c r="M83" s="93"/>
      <c r="N83" s="93"/>
      <c r="O83" s="93"/>
      <c r="P83" s="92">
        <v>3575</v>
      </c>
      <c r="Q83" s="92">
        <v>650</v>
      </c>
      <c r="R83" s="92"/>
      <c r="S83" s="97">
        <v>350</v>
      </c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3200</v>
      </c>
      <c r="F84" s="96" t="s">
        <v>3282</v>
      </c>
      <c r="G84" s="97">
        <v>9</v>
      </c>
      <c r="H84" s="96" t="s">
        <v>3291</v>
      </c>
      <c r="I84" s="96"/>
      <c r="J84" s="96"/>
      <c r="K84" s="93" t="s">
        <v>3293</v>
      </c>
      <c r="L84" s="93"/>
      <c r="M84" s="93"/>
      <c r="N84" s="93"/>
      <c r="O84" s="93"/>
      <c r="P84" s="92">
        <v>3591</v>
      </c>
      <c r="Q84" s="92">
        <v>653</v>
      </c>
      <c r="R84" s="92"/>
      <c r="S84" s="97">
        <v>150</v>
      </c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3200</v>
      </c>
      <c r="F85" s="96" t="s">
        <v>3282</v>
      </c>
      <c r="G85" s="97">
        <v>8</v>
      </c>
      <c r="H85" s="96" t="s">
        <v>3291</v>
      </c>
      <c r="I85" s="96"/>
      <c r="J85" s="96"/>
      <c r="K85" s="93" t="s">
        <v>1306</v>
      </c>
      <c r="L85" s="93"/>
      <c r="M85" s="93"/>
      <c r="N85" s="93"/>
      <c r="O85" s="93"/>
      <c r="P85" s="92">
        <v>2816</v>
      </c>
      <c r="Q85" s="92">
        <v>512</v>
      </c>
      <c r="R85" s="92"/>
      <c r="S85" s="97">
        <v>150</v>
      </c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3200</v>
      </c>
      <c r="F86" s="96" t="s">
        <v>3294</v>
      </c>
      <c r="G86" s="97">
        <v>8</v>
      </c>
      <c r="H86" s="96" t="s">
        <v>3295</v>
      </c>
      <c r="I86" s="96"/>
      <c r="J86" s="96"/>
      <c r="K86" s="93" t="s">
        <v>3296</v>
      </c>
      <c r="L86" s="93"/>
      <c r="M86" s="93"/>
      <c r="N86" s="93"/>
      <c r="O86" s="93"/>
      <c r="P86" s="92">
        <v>4988</v>
      </c>
      <c r="Q86" s="92">
        <v>869</v>
      </c>
      <c r="R86" s="92"/>
      <c r="S86" s="97"/>
      <c r="T86" s="97">
        <v>610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3200</v>
      </c>
      <c r="F87" s="96" t="s">
        <v>3294</v>
      </c>
      <c r="G87" s="97">
        <v>9</v>
      </c>
      <c r="H87" s="96" t="s">
        <v>3295</v>
      </c>
      <c r="I87" s="96"/>
      <c r="J87" s="96"/>
      <c r="K87" s="93" t="s">
        <v>3297</v>
      </c>
      <c r="L87" s="93"/>
      <c r="M87" s="93"/>
      <c r="N87" s="93"/>
      <c r="O87" s="93"/>
      <c r="P87" s="92">
        <v>5251</v>
      </c>
      <c r="Q87" s="92">
        <v>973</v>
      </c>
      <c r="R87" s="92"/>
      <c r="S87" s="97">
        <v>300</v>
      </c>
      <c r="T87" s="97">
        <v>170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3200</v>
      </c>
      <c r="F88" s="96" t="s">
        <v>3294</v>
      </c>
      <c r="G88" s="97">
        <v>7</v>
      </c>
      <c r="H88" s="96" t="s">
        <v>3295</v>
      </c>
      <c r="I88" s="96"/>
      <c r="J88" s="96"/>
      <c r="K88" s="93" t="s">
        <v>3298</v>
      </c>
      <c r="L88" s="93"/>
      <c r="M88" s="93"/>
      <c r="N88" s="93"/>
      <c r="O88" s="93"/>
      <c r="P88" s="92">
        <v>4217</v>
      </c>
      <c r="Q88" s="92">
        <v>785</v>
      </c>
      <c r="R88" s="92"/>
      <c r="S88" s="97"/>
      <c r="T88" s="97">
        <v>600</v>
      </c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3200</v>
      </c>
      <c r="F89" s="96" t="s">
        <v>3294</v>
      </c>
      <c r="G89" s="97">
        <v>6</v>
      </c>
      <c r="H89" s="96" t="s">
        <v>3295</v>
      </c>
      <c r="I89" s="96"/>
      <c r="J89" s="96"/>
      <c r="K89" s="93" t="s">
        <v>3299</v>
      </c>
      <c r="L89" s="93"/>
      <c r="M89" s="93"/>
      <c r="N89" s="93"/>
      <c r="O89" s="93"/>
      <c r="P89" s="92">
        <v>4708</v>
      </c>
      <c r="Q89" s="92">
        <v>856</v>
      </c>
      <c r="R89" s="92"/>
      <c r="S89" s="97">
        <v>250</v>
      </c>
      <c r="T89" s="97">
        <v>70</v>
      </c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3200</v>
      </c>
      <c r="F90" s="96" t="s">
        <v>3294</v>
      </c>
      <c r="G90" s="97">
        <v>5</v>
      </c>
      <c r="H90" s="96" t="s">
        <v>3300</v>
      </c>
      <c r="I90" s="96"/>
      <c r="J90" s="96"/>
      <c r="K90" s="93" t="s">
        <v>3301</v>
      </c>
      <c r="L90" s="93"/>
      <c r="M90" s="93"/>
      <c r="N90" s="93"/>
      <c r="O90" s="93"/>
      <c r="P90" s="92">
        <v>725</v>
      </c>
      <c r="Q90" s="92">
        <v>145</v>
      </c>
      <c r="R90" s="92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3200</v>
      </c>
      <c r="F91" s="96" t="s">
        <v>3294</v>
      </c>
      <c r="G91" s="97">
        <v>5</v>
      </c>
      <c r="H91" s="96" t="s">
        <v>3300</v>
      </c>
      <c r="I91" s="96"/>
      <c r="J91" s="96"/>
      <c r="K91" s="93" t="s">
        <v>3302</v>
      </c>
      <c r="L91" s="93"/>
      <c r="M91" s="93"/>
      <c r="N91" s="93"/>
      <c r="O91" s="93"/>
      <c r="P91" s="92">
        <v>1171</v>
      </c>
      <c r="Q91" s="92">
        <v>213</v>
      </c>
      <c r="R91" s="92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3200</v>
      </c>
      <c r="F92" s="96" t="s">
        <v>3294</v>
      </c>
      <c r="G92" s="97">
        <v>4</v>
      </c>
      <c r="H92" s="96" t="s">
        <v>3300</v>
      </c>
      <c r="I92" s="96"/>
      <c r="J92" s="96"/>
      <c r="K92" s="93" t="s">
        <v>3303</v>
      </c>
      <c r="L92" s="93"/>
      <c r="M92" s="93"/>
      <c r="N92" s="93"/>
      <c r="O92" s="93"/>
      <c r="P92" s="92">
        <v>4655</v>
      </c>
      <c r="Q92" s="92">
        <v>758</v>
      </c>
      <c r="R92" s="92"/>
      <c r="S92" s="97"/>
      <c r="T92" s="97">
        <v>150</v>
      </c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3200</v>
      </c>
      <c r="F93" s="96" t="s">
        <v>3294</v>
      </c>
      <c r="G93" s="97">
        <v>3</v>
      </c>
      <c r="H93" s="96" t="s">
        <v>3300</v>
      </c>
      <c r="I93" s="96"/>
      <c r="J93" s="96"/>
      <c r="K93" s="93" t="s">
        <v>3294</v>
      </c>
      <c r="L93" s="93"/>
      <c r="M93" s="93"/>
      <c r="N93" s="93"/>
      <c r="O93" s="93"/>
      <c r="P93" s="92">
        <v>3553</v>
      </c>
      <c r="Q93" s="92">
        <v>646</v>
      </c>
      <c r="R93" s="92"/>
      <c r="S93" s="97"/>
      <c r="T93" s="97">
        <v>150</v>
      </c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3200</v>
      </c>
      <c r="F94" s="96" t="s">
        <v>3294</v>
      </c>
      <c r="G94" s="97" t="s">
        <v>3304</v>
      </c>
      <c r="H94" s="96" t="s">
        <v>3300</v>
      </c>
      <c r="I94" s="96"/>
      <c r="J94" s="96"/>
      <c r="K94" s="93" t="s">
        <v>3305</v>
      </c>
      <c r="L94" s="93"/>
      <c r="M94" s="93"/>
      <c r="N94" s="93"/>
      <c r="O94" s="93"/>
      <c r="P94" s="92">
        <v>5102</v>
      </c>
      <c r="Q94" s="92">
        <v>869</v>
      </c>
      <c r="R94" s="92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3200</v>
      </c>
      <c r="F95" s="96" t="s">
        <v>3306</v>
      </c>
      <c r="G95" s="97">
        <v>1</v>
      </c>
      <c r="H95" s="96" t="s">
        <v>3307</v>
      </c>
      <c r="I95" s="96"/>
      <c r="J95" s="96"/>
      <c r="K95" s="93" t="s">
        <v>3308</v>
      </c>
      <c r="L95" s="93"/>
      <c r="M95" s="93"/>
      <c r="N95" s="93"/>
      <c r="O95" s="93"/>
      <c r="P95" s="92">
        <v>4510</v>
      </c>
      <c r="Q95" s="92">
        <v>820</v>
      </c>
      <c r="R95" s="92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3200</v>
      </c>
      <c r="F96" s="96" t="s">
        <v>3306</v>
      </c>
      <c r="G96" s="97">
        <v>2</v>
      </c>
      <c r="H96" s="96" t="s">
        <v>3307</v>
      </c>
      <c r="I96" s="96"/>
      <c r="J96" s="96"/>
      <c r="K96" s="93" t="s">
        <v>3309</v>
      </c>
      <c r="L96" s="93"/>
      <c r="M96" s="93"/>
      <c r="N96" s="93"/>
      <c r="O96" s="93"/>
      <c r="P96" s="92">
        <v>1105</v>
      </c>
      <c r="Q96" s="92">
        <v>201</v>
      </c>
      <c r="R96" s="92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0">
        <v>91</v>
      </c>
      <c r="B97" s="79" t="s">
        <v>2439</v>
      </c>
      <c r="C97" s="79" t="s">
        <v>117</v>
      </c>
      <c r="D97" s="79" t="s">
        <v>117</v>
      </c>
      <c r="E97" s="91" t="s">
        <v>3200</v>
      </c>
      <c r="F97" s="96" t="s">
        <v>3306</v>
      </c>
      <c r="G97" s="97">
        <v>3</v>
      </c>
      <c r="H97" s="96" t="s">
        <v>3307</v>
      </c>
      <c r="I97" s="96"/>
      <c r="J97" s="96"/>
      <c r="K97" s="93" t="s">
        <v>3310</v>
      </c>
      <c r="L97" s="93"/>
      <c r="M97" s="93"/>
      <c r="N97" s="93"/>
      <c r="O97" s="93"/>
      <c r="P97" s="92">
        <v>607</v>
      </c>
      <c r="Q97" s="92">
        <v>110</v>
      </c>
      <c r="R97" s="92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7"/>
      <c r="AH97" s="24"/>
      <c r="AI97" s="25"/>
      <c r="AJ97" s="25"/>
    </row>
    <row r="98" spans="1:36" x14ac:dyDescent="0.3">
      <c r="A98" s="90">
        <v>92</v>
      </c>
      <c r="B98" s="79" t="s">
        <v>2439</v>
      </c>
      <c r="C98" s="79" t="s">
        <v>117</v>
      </c>
      <c r="D98" s="79" t="s">
        <v>117</v>
      </c>
      <c r="E98" s="91" t="s">
        <v>3200</v>
      </c>
      <c r="F98" s="96" t="s">
        <v>3306</v>
      </c>
      <c r="G98" s="97">
        <v>4</v>
      </c>
      <c r="H98" s="96" t="s">
        <v>3311</v>
      </c>
      <c r="I98" s="96"/>
      <c r="J98" s="96"/>
      <c r="K98" s="93" t="s">
        <v>3312</v>
      </c>
      <c r="L98" s="93"/>
      <c r="M98" s="93"/>
      <c r="N98" s="93"/>
      <c r="O98" s="93"/>
      <c r="P98" s="92">
        <v>3034</v>
      </c>
      <c r="Q98" s="92">
        <v>551</v>
      </c>
      <c r="R98" s="92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17"/>
      <c r="AH98" s="24"/>
      <c r="AI98" s="25"/>
      <c r="AJ98" s="25"/>
    </row>
    <row r="99" spans="1:36" x14ac:dyDescent="0.3">
      <c r="A99" s="90">
        <v>93</v>
      </c>
      <c r="B99" s="79" t="s">
        <v>2439</v>
      </c>
      <c r="C99" s="79" t="s">
        <v>117</v>
      </c>
      <c r="D99" s="79" t="s">
        <v>117</v>
      </c>
      <c r="E99" s="91" t="s">
        <v>3200</v>
      </c>
      <c r="F99" s="96" t="s">
        <v>3306</v>
      </c>
      <c r="G99" s="97">
        <v>5</v>
      </c>
      <c r="H99" s="96" t="s">
        <v>3311</v>
      </c>
      <c r="I99" s="96"/>
      <c r="J99" s="96"/>
      <c r="K99" s="93" t="s">
        <v>3313</v>
      </c>
      <c r="L99" s="93"/>
      <c r="M99" s="93"/>
      <c r="N99" s="93"/>
      <c r="O99" s="93"/>
      <c r="P99" s="92">
        <v>4955</v>
      </c>
      <c r="Q99" s="92">
        <v>856</v>
      </c>
      <c r="R99" s="92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17"/>
      <c r="AH99" s="24"/>
      <c r="AI99" s="25"/>
      <c r="AJ99" s="25"/>
    </row>
    <row r="100" spans="1:36" x14ac:dyDescent="0.3">
      <c r="A100" s="90">
        <v>94</v>
      </c>
      <c r="B100" s="79" t="s">
        <v>2439</v>
      </c>
      <c r="C100" s="79" t="s">
        <v>117</v>
      </c>
      <c r="D100" s="79" t="s">
        <v>117</v>
      </c>
      <c r="E100" s="91" t="s">
        <v>3200</v>
      </c>
      <c r="F100" s="96" t="s">
        <v>3306</v>
      </c>
      <c r="G100" s="97">
        <v>6</v>
      </c>
      <c r="H100" s="96" t="s">
        <v>3311</v>
      </c>
      <c r="I100" s="96"/>
      <c r="J100" s="96"/>
      <c r="K100" s="93" t="s">
        <v>3314</v>
      </c>
      <c r="L100" s="93"/>
      <c r="M100" s="93"/>
      <c r="N100" s="93"/>
      <c r="O100" s="93"/>
      <c r="P100" s="92">
        <v>3466</v>
      </c>
      <c r="Q100" s="92">
        <v>628</v>
      </c>
      <c r="R100" s="92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17"/>
      <c r="AH100" s="24"/>
      <c r="AI100" s="25"/>
      <c r="AJ100" s="25"/>
    </row>
    <row r="101" spans="1:36" x14ac:dyDescent="0.3">
      <c r="A101" s="90">
        <v>95</v>
      </c>
      <c r="B101" s="79" t="s">
        <v>2439</v>
      </c>
      <c r="C101" s="79" t="s">
        <v>117</v>
      </c>
      <c r="D101" s="79" t="s">
        <v>117</v>
      </c>
      <c r="E101" s="91" t="s">
        <v>3200</v>
      </c>
      <c r="F101" s="96" t="s">
        <v>3306</v>
      </c>
      <c r="G101" s="97">
        <v>7</v>
      </c>
      <c r="H101" s="96" t="s">
        <v>3311</v>
      </c>
      <c r="I101" s="96"/>
      <c r="J101" s="96"/>
      <c r="K101" s="93" t="s">
        <v>3315</v>
      </c>
      <c r="L101" s="93"/>
      <c r="M101" s="93"/>
      <c r="N101" s="93"/>
      <c r="O101" s="93"/>
      <c r="P101" s="92">
        <v>3142</v>
      </c>
      <c r="Q101" s="92">
        <v>538</v>
      </c>
      <c r="R101" s="92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17"/>
      <c r="AH101" s="24"/>
      <c r="AI101" s="25"/>
      <c r="AJ101" s="25"/>
    </row>
    <row r="102" spans="1:36" x14ac:dyDescent="0.3">
      <c r="A102" s="90">
        <v>96</v>
      </c>
      <c r="B102" s="79" t="s">
        <v>2439</v>
      </c>
      <c r="C102" s="79" t="s">
        <v>117</v>
      </c>
      <c r="D102" s="79" t="s">
        <v>117</v>
      </c>
      <c r="E102" s="91" t="s">
        <v>3200</v>
      </c>
      <c r="F102" s="96" t="s">
        <v>3306</v>
      </c>
      <c r="G102" s="97" t="s">
        <v>2872</v>
      </c>
      <c r="H102" s="96" t="s">
        <v>3311</v>
      </c>
      <c r="I102" s="96"/>
      <c r="J102" s="96"/>
      <c r="K102" s="93" t="s">
        <v>3306</v>
      </c>
      <c r="L102" s="93"/>
      <c r="M102" s="93"/>
      <c r="N102" s="93"/>
      <c r="O102" s="93"/>
      <c r="P102" s="92">
        <v>4081</v>
      </c>
      <c r="Q102" s="92">
        <v>688</v>
      </c>
      <c r="R102" s="92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17"/>
      <c r="AH102" s="24"/>
      <c r="AI102" s="25"/>
      <c r="AJ102" s="25"/>
    </row>
  </sheetData>
  <mergeCells count="4">
    <mergeCell ref="G1:G2"/>
    <mergeCell ref="A5:D5"/>
    <mergeCell ref="G5:J5"/>
    <mergeCell ref="U5:AF5"/>
  </mergeCells>
  <conditionalFormatting sqref="M7:M102">
    <cfRule type="duplicateValues" dxfId="6" priority="7"/>
  </conditionalFormatting>
  <dataValidations count="1">
    <dataValidation type="list" allowBlank="1" showInputMessage="1" showErrorMessage="1" sqref="E7:E102">
      <formula1>INDIRECT($B7)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15"/>
  <sheetViews>
    <sheetView workbookViewId="0">
      <selection activeCell="AE17" sqref="AE17"/>
    </sheetView>
  </sheetViews>
  <sheetFormatPr defaultRowHeight="14.4" x14ac:dyDescent="0.3"/>
  <cols>
    <col min="2" max="2" width="11.44140625" customWidth="1"/>
    <col min="3" max="3" width="11.88671875" customWidth="1"/>
    <col min="4" max="4" width="13" customWidth="1"/>
    <col min="5" max="5" width="13.44140625" customWidth="1"/>
    <col min="6" max="6" width="12.88671875" customWidth="1"/>
    <col min="8" max="8" width="16.33203125" customWidth="1"/>
    <col min="11" max="11" width="24.33203125" customWidth="1"/>
    <col min="12" max="12" width="15.218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COUNTIF(I7:I412,"SK(H)")</f>
        <v>0</v>
      </c>
      <c r="J1" s="50" t="s">
        <v>1</v>
      </c>
      <c r="K1" s="50">
        <f>COUNTA(J7:J428)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COUNTIF(I7:I413,"SHW(H)")</f>
        <v>0</v>
      </c>
      <c r="J2" s="50" t="s">
        <v>5</v>
      </c>
      <c r="K2" s="50">
        <f>COUNTA(K7:K215)</f>
        <v>209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3316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3316</v>
      </c>
      <c r="F7" s="91" t="s">
        <v>3317</v>
      </c>
      <c r="G7" s="92">
        <v>1</v>
      </c>
      <c r="H7" s="91" t="s">
        <v>3318</v>
      </c>
      <c r="I7" s="91"/>
      <c r="J7" s="91"/>
      <c r="K7" s="93" t="s">
        <v>3319</v>
      </c>
      <c r="L7" s="93"/>
      <c r="M7" s="93"/>
      <c r="N7" s="93"/>
      <c r="O7" s="93"/>
      <c r="P7" s="92">
        <v>659</v>
      </c>
      <c r="Q7" s="92">
        <v>264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3316</v>
      </c>
      <c r="F8" s="91" t="s">
        <v>3317</v>
      </c>
      <c r="G8" s="92">
        <v>2</v>
      </c>
      <c r="H8" s="91" t="s">
        <v>3318</v>
      </c>
      <c r="I8" s="91"/>
      <c r="J8" s="96"/>
      <c r="K8" s="93" t="s">
        <v>3320</v>
      </c>
      <c r="L8" s="93"/>
      <c r="M8" s="93"/>
      <c r="N8" s="93"/>
      <c r="O8" s="93"/>
      <c r="P8" s="92">
        <v>998</v>
      </c>
      <c r="Q8" s="92">
        <v>247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3316</v>
      </c>
      <c r="F9" s="91" t="s">
        <v>3317</v>
      </c>
      <c r="G9" s="92">
        <v>3</v>
      </c>
      <c r="H9" s="91" t="s">
        <v>3318</v>
      </c>
      <c r="I9" s="91"/>
      <c r="J9" s="96"/>
      <c r="K9" s="93" t="s">
        <v>3321</v>
      </c>
      <c r="L9" s="93"/>
      <c r="M9" s="93"/>
      <c r="N9" s="93"/>
      <c r="O9" s="93"/>
      <c r="P9" s="92">
        <v>1554</v>
      </c>
      <c r="Q9" s="92">
        <v>351</v>
      </c>
      <c r="R9" s="92"/>
      <c r="S9" s="97">
        <v>750</v>
      </c>
      <c r="T9" s="97">
        <v>750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3316</v>
      </c>
      <c r="F10" s="91" t="s">
        <v>3317</v>
      </c>
      <c r="G10" s="92">
        <v>3</v>
      </c>
      <c r="H10" s="91" t="s">
        <v>3318</v>
      </c>
      <c r="I10" s="91"/>
      <c r="J10" s="96"/>
      <c r="K10" s="93" t="s">
        <v>3322</v>
      </c>
      <c r="L10" s="93"/>
      <c r="M10" s="93"/>
      <c r="N10" s="93"/>
      <c r="O10" s="93"/>
      <c r="P10" s="92">
        <v>993</v>
      </c>
      <c r="Q10" s="92">
        <v>233</v>
      </c>
      <c r="R10" s="92"/>
      <c r="S10" s="97">
        <v>0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3316</v>
      </c>
      <c r="F11" s="91" t="s">
        <v>3317</v>
      </c>
      <c r="G11" s="92">
        <v>4</v>
      </c>
      <c r="H11" s="91" t="s">
        <v>3323</v>
      </c>
      <c r="I11" s="91"/>
      <c r="J11" s="96"/>
      <c r="K11" s="93" t="s">
        <v>3324</v>
      </c>
      <c r="L11" s="93"/>
      <c r="M11" s="93"/>
      <c r="N11" s="93"/>
      <c r="O11" s="93"/>
      <c r="P11" s="92">
        <v>1693</v>
      </c>
      <c r="Q11" s="92">
        <v>376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3316</v>
      </c>
      <c r="F12" s="91" t="s">
        <v>3317</v>
      </c>
      <c r="G12" s="92">
        <v>4</v>
      </c>
      <c r="H12" s="96" t="s">
        <v>3323</v>
      </c>
      <c r="I12" s="96"/>
      <c r="J12" s="96"/>
      <c r="K12" s="93" t="s">
        <v>3325</v>
      </c>
      <c r="L12" s="93"/>
      <c r="M12" s="93"/>
      <c r="N12" s="93"/>
      <c r="O12" s="93"/>
      <c r="P12" s="92">
        <v>910</v>
      </c>
      <c r="Q12" s="92">
        <v>214</v>
      </c>
      <c r="R12" s="92"/>
      <c r="S12" s="97">
        <v>0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3316</v>
      </c>
      <c r="F13" s="91" t="s">
        <v>3317</v>
      </c>
      <c r="G13" s="92">
        <v>5</v>
      </c>
      <c r="H13" s="96" t="s">
        <v>3323</v>
      </c>
      <c r="I13" s="96"/>
      <c r="J13" s="96"/>
      <c r="K13" s="93" t="s">
        <v>3326</v>
      </c>
      <c r="L13" s="93"/>
      <c r="M13" s="93"/>
      <c r="N13" s="93"/>
      <c r="O13" s="93"/>
      <c r="P13" s="92">
        <v>2300</v>
      </c>
      <c r="Q13" s="92">
        <v>437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3316</v>
      </c>
      <c r="F14" s="91" t="s">
        <v>3317</v>
      </c>
      <c r="G14" s="92">
        <v>6</v>
      </c>
      <c r="H14" s="96" t="s">
        <v>3327</v>
      </c>
      <c r="I14" s="96"/>
      <c r="J14" s="96"/>
      <c r="K14" s="93" t="s">
        <v>3328</v>
      </c>
      <c r="L14" s="93"/>
      <c r="M14" s="93"/>
      <c r="N14" s="93"/>
      <c r="O14" s="93"/>
      <c r="P14" s="92">
        <v>1244</v>
      </c>
      <c r="Q14" s="92">
        <v>215</v>
      </c>
      <c r="R14" s="92"/>
      <c r="S14" s="97">
        <v>0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3316</v>
      </c>
      <c r="F15" s="91" t="s">
        <v>3317</v>
      </c>
      <c r="G15" s="92">
        <v>6</v>
      </c>
      <c r="H15" s="96" t="s">
        <v>3327</v>
      </c>
      <c r="I15" s="96"/>
      <c r="J15" s="96"/>
      <c r="K15" s="93" t="s">
        <v>3329</v>
      </c>
      <c r="L15" s="93"/>
      <c r="M15" s="93"/>
      <c r="N15" s="93"/>
      <c r="O15" s="93"/>
      <c r="P15" s="92">
        <v>737</v>
      </c>
      <c r="Q15" s="92">
        <v>168</v>
      </c>
      <c r="R15" s="92"/>
      <c r="S15" s="97">
        <v>0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3316</v>
      </c>
      <c r="F16" s="91" t="s">
        <v>3317</v>
      </c>
      <c r="G16" s="92">
        <v>6</v>
      </c>
      <c r="H16" s="96" t="s">
        <v>3330</v>
      </c>
      <c r="I16" s="96"/>
      <c r="J16" s="96"/>
      <c r="K16" s="93" t="s">
        <v>3331</v>
      </c>
      <c r="L16" s="93"/>
      <c r="M16" s="93"/>
      <c r="N16" s="93"/>
      <c r="O16" s="93"/>
      <c r="P16" s="92">
        <v>2588</v>
      </c>
      <c r="Q16" s="92">
        <v>1293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3316</v>
      </c>
      <c r="F17" s="91" t="s">
        <v>3317</v>
      </c>
      <c r="G17" s="92">
        <v>6</v>
      </c>
      <c r="H17" s="96" t="s">
        <v>3330</v>
      </c>
      <c r="I17" s="96"/>
      <c r="J17" s="96"/>
      <c r="K17" s="93" t="s">
        <v>3332</v>
      </c>
      <c r="L17" s="93"/>
      <c r="M17" s="93"/>
      <c r="N17" s="93"/>
      <c r="O17" s="93"/>
      <c r="P17" s="92">
        <v>1123</v>
      </c>
      <c r="Q17" s="92">
        <v>213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3316</v>
      </c>
      <c r="F18" s="91" t="s">
        <v>3317</v>
      </c>
      <c r="G18" s="92">
        <v>6</v>
      </c>
      <c r="H18" s="96" t="s">
        <v>3330</v>
      </c>
      <c r="I18" s="96"/>
      <c r="J18" s="96"/>
      <c r="K18" s="93" t="s">
        <v>2811</v>
      </c>
      <c r="L18" s="93"/>
      <c r="M18" s="93"/>
      <c r="N18" s="93"/>
      <c r="O18" s="93"/>
      <c r="P18" s="92">
        <v>1044</v>
      </c>
      <c r="Q18" s="92">
        <v>222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3316</v>
      </c>
      <c r="F19" s="91" t="s">
        <v>3317</v>
      </c>
      <c r="G19" s="92">
        <v>6</v>
      </c>
      <c r="H19" s="96" t="s">
        <v>3327</v>
      </c>
      <c r="I19" s="96"/>
      <c r="J19" s="96"/>
      <c r="K19" s="93" t="s">
        <v>3333</v>
      </c>
      <c r="L19" s="93"/>
      <c r="M19" s="93"/>
      <c r="N19" s="93"/>
      <c r="O19" s="93"/>
      <c r="P19" s="92">
        <v>368</v>
      </c>
      <c r="Q19" s="92">
        <v>136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3316</v>
      </c>
      <c r="F20" s="91" t="s">
        <v>3317</v>
      </c>
      <c r="G20" s="92">
        <v>6</v>
      </c>
      <c r="H20" s="96"/>
      <c r="I20" s="96"/>
      <c r="J20" s="96"/>
      <c r="K20" s="93" t="s">
        <v>3334</v>
      </c>
      <c r="L20" s="93"/>
      <c r="M20" s="93"/>
      <c r="N20" s="93"/>
      <c r="O20" s="93"/>
      <c r="P20" s="92">
        <v>552</v>
      </c>
      <c r="Q20" s="92">
        <v>166</v>
      </c>
      <c r="R20" s="92"/>
      <c r="S20" s="97">
        <v>0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3316</v>
      </c>
      <c r="F21" s="91" t="s">
        <v>3317</v>
      </c>
      <c r="G21" s="97">
        <v>6</v>
      </c>
      <c r="H21" s="96" t="s">
        <v>3327</v>
      </c>
      <c r="I21" s="96"/>
      <c r="J21" s="96"/>
      <c r="K21" s="93" t="s">
        <v>3335</v>
      </c>
      <c r="L21" s="93"/>
      <c r="M21" s="93"/>
      <c r="N21" s="93"/>
      <c r="O21" s="93"/>
      <c r="P21" s="92">
        <v>468</v>
      </c>
      <c r="Q21" s="92">
        <v>176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3316</v>
      </c>
      <c r="F22" s="91" t="s">
        <v>3317</v>
      </c>
      <c r="G22" s="92">
        <v>6</v>
      </c>
      <c r="H22" s="96" t="s">
        <v>3327</v>
      </c>
      <c r="I22" s="96"/>
      <c r="J22" s="96"/>
      <c r="K22" s="93" t="s">
        <v>3336</v>
      </c>
      <c r="L22" s="93"/>
      <c r="M22" s="93"/>
      <c r="N22" s="93"/>
      <c r="O22" s="93"/>
      <c r="P22" s="92">
        <v>577</v>
      </c>
      <c r="Q22" s="92">
        <v>176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3316</v>
      </c>
      <c r="F23" s="91" t="s">
        <v>3317</v>
      </c>
      <c r="G23" s="92">
        <v>6</v>
      </c>
      <c r="H23" s="96" t="s">
        <v>3330</v>
      </c>
      <c r="I23" s="96"/>
      <c r="J23" s="96"/>
      <c r="K23" s="93" t="s">
        <v>3337</v>
      </c>
      <c r="L23" s="93"/>
      <c r="M23" s="93"/>
      <c r="N23" s="93"/>
      <c r="O23" s="93"/>
      <c r="P23" s="92">
        <v>1595</v>
      </c>
      <c r="Q23" s="92">
        <v>316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3316</v>
      </c>
      <c r="F24" s="91" t="s">
        <v>3317</v>
      </c>
      <c r="G24" s="92">
        <v>6</v>
      </c>
      <c r="H24" s="96" t="s">
        <v>3330</v>
      </c>
      <c r="I24" s="96"/>
      <c r="J24" s="96"/>
      <c r="K24" s="93" t="s">
        <v>3338</v>
      </c>
      <c r="L24" s="93"/>
      <c r="M24" s="93"/>
      <c r="N24" s="93"/>
      <c r="O24" s="93"/>
      <c r="P24" s="92">
        <v>2441</v>
      </c>
      <c r="Q24" s="92">
        <v>476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3316</v>
      </c>
      <c r="F25" s="91" t="s">
        <v>3317</v>
      </c>
      <c r="G25" s="97">
        <v>6</v>
      </c>
      <c r="H25" s="96" t="s">
        <v>3330</v>
      </c>
      <c r="I25" s="96"/>
      <c r="J25" s="96"/>
      <c r="K25" s="93" t="s">
        <v>3339</v>
      </c>
      <c r="L25" s="93"/>
      <c r="M25" s="93"/>
      <c r="N25" s="93"/>
      <c r="O25" s="93"/>
      <c r="P25" s="92">
        <v>446</v>
      </c>
      <c r="Q25" s="92">
        <v>136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3316</v>
      </c>
      <c r="F26" s="91" t="s">
        <v>3317</v>
      </c>
      <c r="G26" s="97">
        <v>6</v>
      </c>
      <c r="H26" s="96" t="s">
        <v>3330</v>
      </c>
      <c r="I26" s="96"/>
      <c r="J26" s="96"/>
      <c r="K26" s="93" t="s">
        <v>3340</v>
      </c>
      <c r="L26" s="93"/>
      <c r="M26" s="93"/>
      <c r="N26" s="93"/>
      <c r="O26" s="93"/>
      <c r="P26" s="92">
        <v>1123</v>
      </c>
      <c r="Q26" s="92">
        <v>321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3316</v>
      </c>
      <c r="F27" s="91" t="s">
        <v>3317</v>
      </c>
      <c r="G27" s="97">
        <v>7</v>
      </c>
      <c r="H27" s="96" t="s">
        <v>3341</v>
      </c>
      <c r="I27" s="96"/>
      <c r="J27" s="96"/>
      <c r="K27" s="93" t="s">
        <v>3342</v>
      </c>
      <c r="L27" s="93"/>
      <c r="M27" s="93"/>
      <c r="N27" s="93"/>
      <c r="O27" s="93"/>
      <c r="P27" s="92">
        <v>1017</v>
      </c>
      <c r="Q27" s="92">
        <v>217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3316</v>
      </c>
      <c r="F28" s="91" t="s">
        <v>3317</v>
      </c>
      <c r="G28" s="97">
        <v>7</v>
      </c>
      <c r="H28" s="96"/>
      <c r="I28" s="96"/>
      <c r="J28" s="96"/>
      <c r="K28" s="93" t="s">
        <v>3343</v>
      </c>
      <c r="L28" s="93"/>
      <c r="M28" s="93"/>
      <c r="N28" s="93"/>
      <c r="O28" s="93"/>
      <c r="P28" s="92">
        <v>746</v>
      </c>
      <c r="Q28" s="92">
        <v>212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3316</v>
      </c>
      <c r="F29" s="91" t="s">
        <v>3317</v>
      </c>
      <c r="G29" s="97">
        <v>8</v>
      </c>
      <c r="H29" s="96" t="s">
        <v>3323</v>
      </c>
      <c r="I29" s="96"/>
      <c r="J29" s="96"/>
      <c r="K29" s="93" t="s">
        <v>3344</v>
      </c>
      <c r="L29" s="93"/>
      <c r="M29" s="93"/>
      <c r="N29" s="93"/>
      <c r="O29" s="93"/>
      <c r="P29" s="92">
        <v>432</v>
      </c>
      <c r="Q29" s="92">
        <v>211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3316</v>
      </c>
      <c r="F30" s="91" t="s">
        <v>3317</v>
      </c>
      <c r="G30" s="97">
        <v>9</v>
      </c>
      <c r="H30" s="96" t="s">
        <v>3323</v>
      </c>
      <c r="I30" s="96"/>
      <c r="J30" s="96"/>
      <c r="K30" s="93" t="s">
        <v>3345</v>
      </c>
      <c r="L30" s="93"/>
      <c r="M30" s="93"/>
      <c r="N30" s="93"/>
      <c r="O30" s="93"/>
      <c r="P30" s="92">
        <v>840</v>
      </c>
      <c r="Q30" s="92">
        <v>183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3316</v>
      </c>
      <c r="F31" s="91" t="s">
        <v>3317</v>
      </c>
      <c r="G31" s="97">
        <v>9</v>
      </c>
      <c r="H31" s="96" t="s">
        <v>3323</v>
      </c>
      <c r="I31" s="96"/>
      <c r="J31" s="96"/>
      <c r="K31" s="93" t="s">
        <v>3346</v>
      </c>
      <c r="L31" s="93"/>
      <c r="M31" s="93"/>
      <c r="N31" s="93"/>
      <c r="O31" s="93"/>
      <c r="P31" s="92">
        <v>483</v>
      </c>
      <c r="Q31" s="92">
        <v>122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3316</v>
      </c>
      <c r="F32" s="96" t="s">
        <v>3317</v>
      </c>
      <c r="G32" s="97">
        <v>9</v>
      </c>
      <c r="H32" s="96" t="s">
        <v>3323</v>
      </c>
      <c r="I32" s="96"/>
      <c r="J32" s="96"/>
      <c r="K32" s="93" t="s">
        <v>3347</v>
      </c>
      <c r="L32" s="93"/>
      <c r="M32" s="93"/>
      <c r="N32" s="93"/>
      <c r="O32" s="93"/>
      <c r="P32" s="92">
        <v>940</v>
      </c>
      <c r="Q32" s="92">
        <v>199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3316</v>
      </c>
      <c r="F33" s="96" t="s">
        <v>3317</v>
      </c>
      <c r="G33" s="97">
        <v>9</v>
      </c>
      <c r="H33" s="96" t="s">
        <v>3323</v>
      </c>
      <c r="I33" s="96"/>
      <c r="J33" s="96"/>
      <c r="K33" s="93" t="s">
        <v>3348</v>
      </c>
      <c r="L33" s="93"/>
      <c r="M33" s="93"/>
      <c r="N33" s="93"/>
      <c r="O33" s="93"/>
      <c r="P33" s="92">
        <v>1805</v>
      </c>
      <c r="Q33" s="92">
        <v>356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3316</v>
      </c>
      <c r="F34" s="96" t="s">
        <v>3317</v>
      </c>
      <c r="G34" s="97">
        <v>9</v>
      </c>
      <c r="H34" s="96" t="s">
        <v>3318</v>
      </c>
      <c r="I34" s="96"/>
      <c r="J34" s="96"/>
      <c r="K34" s="93" t="s">
        <v>3349</v>
      </c>
      <c r="L34" s="93"/>
      <c r="M34" s="93"/>
      <c r="N34" s="93"/>
      <c r="O34" s="93"/>
      <c r="P34" s="92">
        <v>294</v>
      </c>
      <c r="Q34" s="92">
        <v>88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3316</v>
      </c>
      <c r="F35" s="96" t="s">
        <v>3317</v>
      </c>
      <c r="G35" s="97">
        <v>9</v>
      </c>
      <c r="H35" s="96" t="s">
        <v>3318</v>
      </c>
      <c r="I35" s="96"/>
      <c r="J35" s="96"/>
      <c r="K35" s="93" t="s">
        <v>3350</v>
      </c>
      <c r="L35" s="93"/>
      <c r="M35" s="93"/>
      <c r="N35" s="93"/>
      <c r="O35" s="93"/>
      <c r="P35" s="92">
        <v>662</v>
      </c>
      <c r="Q35" s="92">
        <v>150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3316</v>
      </c>
      <c r="F36" s="96" t="s">
        <v>3317</v>
      </c>
      <c r="G36" s="97">
        <v>9</v>
      </c>
      <c r="H36" s="96" t="s">
        <v>3318</v>
      </c>
      <c r="I36" s="96"/>
      <c r="J36" s="96"/>
      <c r="K36" s="93" t="s">
        <v>3351</v>
      </c>
      <c r="L36" s="93"/>
      <c r="M36" s="93"/>
      <c r="N36" s="93"/>
      <c r="O36" s="93"/>
      <c r="P36" s="92">
        <v>691</v>
      </c>
      <c r="Q36" s="92">
        <v>162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3316</v>
      </c>
      <c r="F37" s="96" t="s">
        <v>3317</v>
      </c>
      <c r="G37" s="97">
        <v>9</v>
      </c>
      <c r="H37" s="96" t="s">
        <v>3318</v>
      </c>
      <c r="I37" s="96"/>
      <c r="J37" s="96"/>
      <c r="K37" s="93" t="s">
        <v>3352</v>
      </c>
      <c r="L37" s="93"/>
      <c r="M37" s="93"/>
      <c r="N37" s="93"/>
      <c r="O37" s="93"/>
      <c r="P37" s="92">
        <v>677</v>
      </c>
      <c r="Q37" s="92">
        <v>195</v>
      </c>
      <c r="R37" s="92"/>
      <c r="S37" s="97">
        <v>0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3316</v>
      </c>
      <c r="F38" s="96" t="s">
        <v>3317</v>
      </c>
      <c r="G38" s="97">
        <v>9</v>
      </c>
      <c r="H38" s="96" t="s">
        <v>3318</v>
      </c>
      <c r="I38" s="96"/>
      <c r="J38" s="96"/>
      <c r="K38" s="93" t="s">
        <v>3353</v>
      </c>
      <c r="L38" s="93"/>
      <c r="M38" s="93"/>
      <c r="N38" s="93"/>
      <c r="O38" s="93"/>
      <c r="P38" s="92">
        <v>501</v>
      </c>
      <c r="Q38" s="92">
        <v>138</v>
      </c>
      <c r="R38" s="92"/>
      <c r="S38" s="97">
        <v>0</v>
      </c>
      <c r="T38" s="97">
        <v>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3316</v>
      </c>
      <c r="F39" s="96" t="s">
        <v>3317</v>
      </c>
      <c r="G39" s="97">
        <v>9</v>
      </c>
      <c r="H39" s="96" t="s">
        <v>3318</v>
      </c>
      <c r="I39" s="96"/>
      <c r="J39" s="96"/>
      <c r="K39" s="93" t="s">
        <v>3354</v>
      </c>
      <c r="L39" s="93"/>
      <c r="M39" s="93"/>
      <c r="N39" s="93"/>
      <c r="O39" s="93"/>
      <c r="P39" s="92">
        <v>802</v>
      </c>
      <c r="Q39" s="92">
        <v>194</v>
      </c>
      <c r="R39" s="92"/>
      <c r="S39" s="97">
        <v>0</v>
      </c>
      <c r="T39" s="97">
        <v>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3316</v>
      </c>
      <c r="F40" s="96" t="s">
        <v>3317</v>
      </c>
      <c r="G40" s="97">
        <v>9</v>
      </c>
      <c r="H40" s="96" t="s">
        <v>3318</v>
      </c>
      <c r="I40" s="96"/>
      <c r="J40" s="96"/>
      <c r="K40" s="93" t="s">
        <v>3355</v>
      </c>
      <c r="L40" s="93"/>
      <c r="M40" s="93"/>
      <c r="N40" s="93"/>
      <c r="O40" s="93"/>
      <c r="P40" s="92">
        <v>645</v>
      </c>
      <c r="Q40" s="92">
        <v>152</v>
      </c>
      <c r="R40" s="92"/>
      <c r="S40" s="97">
        <v>0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3316</v>
      </c>
      <c r="F41" s="96" t="s">
        <v>3317</v>
      </c>
      <c r="G41" s="97">
        <v>9</v>
      </c>
      <c r="H41" s="96" t="s">
        <v>3318</v>
      </c>
      <c r="I41" s="96"/>
      <c r="J41" s="96"/>
      <c r="K41" s="93" t="s">
        <v>3356</v>
      </c>
      <c r="L41" s="93"/>
      <c r="M41" s="93"/>
      <c r="N41" s="93"/>
      <c r="O41" s="93"/>
      <c r="P41" s="92">
        <v>1238</v>
      </c>
      <c r="Q41" s="92">
        <v>316</v>
      </c>
      <c r="R41" s="92"/>
      <c r="S41" s="97">
        <v>0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3316</v>
      </c>
      <c r="F42" s="96" t="s">
        <v>3357</v>
      </c>
      <c r="G42" s="97">
        <v>1</v>
      </c>
      <c r="H42" s="96" t="s">
        <v>3358</v>
      </c>
      <c r="I42" s="96"/>
      <c r="J42" s="96"/>
      <c r="K42" s="93" t="s">
        <v>3359</v>
      </c>
      <c r="L42" s="93"/>
      <c r="M42" s="93"/>
      <c r="N42" s="93"/>
      <c r="O42" s="93"/>
      <c r="P42" s="92">
        <v>2687</v>
      </c>
      <c r="Q42" s="92">
        <v>723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3316</v>
      </c>
      <c r="F43" s="96" t="s">
        <v>3357</v>
      </c>
      <c r="G43" s="97">
        <v>2</v>
      </c>
      <c r="H43" s="96" t="s">
        <v>3358</v>
      </c>
      <c r="I43" s="96"/>
      <c r="J43" s="96"/>
      <c r="K43" s="93" t="s">
        <v>3360</v>
      </c>
      <c r="L43" s="93"/>
      <c r="M43" s="93"/>
      <c r="N43" s="93"/>
      <c r="O43" s="93"/>
      <c r="P43" s="92">
        <v>1261</v>
      </c>
      <c r="Q43" s="92">
        <v>354</v>
      </c>
      <c r="R43" s="92"/>
      <c r="S43" s="97">
        <v>800</v>
      </c>
      <c r="T43" s="97">
        <v>800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3316</v>
      </c>
      <c r="F44" s="96" t="s">
        <v>3357</v>
      </c>
      <c r="G44" s="97">
        <v>3</v>
      </c>
      <c r="H44" s="96" t="s">
        <v>3358</v>
      </c>
      <c r="I44" s="96"/>
      <c r="J44" s="96"/>
      <c r="K44" s="93" t="s">
        <v>3357</v>
      </c>
      <c r="L44" s="93"/>
      <c r="M44" s="93"/>
      <c r="N44" s="93"/>
      <c r="O44" s="93"/>
      <c r="P44" s="92">
        <v>1928</v>
      </c>
      <c r="Q44" s="92">
        <v>501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3316</v>
      </c>
      <c r="F45" s="96" t="s">
        <v>3357</v>
      </c>
      <c r="G45" s="97">
        <v>4</v>
      </c>
      <c r="H45" s="96"/>
      <c r="I45" s="96"/>
      <c r="J45" s="96"/>
      <c r="K45" s="93" t="s">
        <v>3361</v>
      </c>
      <c r="L45" s="93"/>
      <c r="M45" s="93"/>
      <c r="N45" s="93"/>
      <c r="O45" s="93"/>
      <c r="P45" s="92">
        <v>1830</v>
      </c>
      <c r="Q45" s="92">
        <v>218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3316</v>
      </c>
      <c r="F46" s="96" t="s">
        <v>3357</v>
      </c>
      <c r="G46" s="97">
        <v>6</v>
      </c>
      <c r="H46" s="96" t="s">
        <v>3358</v>
      </c>
      <c r="I46" s="96"/>
      <c r="J46" s="96"/>
      <c r="K46" s="93" t="s">
        <v>3362</v>
      </c>
      <c r="L46" s="93"/>
      <c r="M46" s="93"/>
      <c r="N46" s="93"/>
      <c r="O46" s="93"/>
      <c r="P46" s="92">
        <v>1784</v>
      </c>
      <c r="Q46" s="92">
        <v>479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3316</v>
      </c>
      <c r="F47" s="96" t="s">
        <v>3357</v>
      </c>
      <c r="G47" s="97">
        <v>7</v>
      </c>
      <c r="H47" s="96"/>
      <c r="I47" s="96"/>
      <c r="J47" s="96"/>
      <c r="K47" s="93" t="s">
        <v>3363</v>
      </c>
      <c r="L47" s="93"/>
      <c r="M47" s="93"/>
      <c r="N47" s="93"/>
      <c r="O47" s="93"/>
      <c r="P47" s="92">
        <v>1134</v>
      </c>
      <c r="Q47" s="92">
        <v>469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3316</v>
      </c>
      <c r="F48" s="96" t="s">
        <v>3357</v>
      </c>
      <c r="G48" s="97">
        <v>8</v>
      </c>
      <c r="H48" s="96"/>
      <c r="I48" s="96"/>
      <c r="J48" s="96"/>
      <c r="K48" s="93" t="s">
        <v>3364</v>
      </c>
      <c r="L48" s="93"/>
      <c r="M48" s="93"/>
      <c r="N48" s="93"/>
      <c r="O48" s="93"/>
      <c r="P48" s="92">
        <v>788</v>
      </c>
      <c r="Q48" s="92">
        <v>223</v>
      </c>
      <c r="R48" s="92"/>
      <c r="S48" s="97">
        <v>0</v>
      </c>
      <c r="T48" s="97">
        <v>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3316</v>
      </c>
      <c r="F49" s="96" t="s">
        <v>3357</v>
      </c>
      <c r="G49" s="97">
        <v>8</v>
      </c>
      <c r="H49" s="96"/>
      <c r="I49" s="96"/>
      <c r="J49" s="96"/>
      <c r="K49" s="93" t="s">
        <v>3365</v>
      </c>
      <c r="L49" s="93"/>
      <c r="M49" s="93"/>
      <c r="N49" s="93"/>
      <c r="O49" s="93"/>
      <c r="P49" s="92">
        <v>1019</v>
      </c>
      <c r="Q49" s="92">
        <v>192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3316</v>
      </c>
      <c r="F50" s="96" t="s">
        <v>3357</v>
      </c>
      <c r="G50" s="97">
        <v>8</v>
      </c>
      <c r="H50" s="96"/>
      <c r="I50" s="96"/>
      <c r="J50" s="96"/>
      <c r="K50" s="93" t="s">
        <v>3366</v>
      </c>
      <c r="L50" s="93"/>
      <c r="M50" s="93"/>
      <c r="N50" s="93"/>
      <c r="O50" s="93"/>
      <c r="P50" s="92">
        <v>699</v>
      </c>
      <c r="Q50" s="92">
        <v>163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3316</v>
      </c>
      <c r="F51" s="96" t="s">
        <v>3357</v>
      </c>
      <c r="G51" s="97">
        <v>8</v>
      </c>
      <c r="H51" s="96"/>
      <c r="I51" s="96"/>
      <c r="J51" s="96"/>
      <c r="K51" s="93" t="s">
        <v>3367</v>
      </c>
      <c r="L51" s="93"/>
      <c r="M51" s="93"/>
      <c r="N51" s="93"/>
      <c r="O51" s="93"/>
      <c r="P51" s="92">
        <v>2664</v>
      </c>
      <c r="Q51" s="92">
        <v>476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3316</v>
      </c>
      <c r="F52" s="96" t="s">
        <v>3357</v>
      </c>
      <c r="G52" s="97">
        <v>8</v>
      </c>
      <c r="H52" s="96"/>
      <c r="I52" s="96"/>
      <c r="J52" s="96"/>
      <c r="K52" s="93" t="s">
        <v>3368</v>
      </c>
      <c r="L52" s="93"/>
      <c r="M52" s="93"/>
      <c r="N52" s="93"/>
      <c r="O52" s="93"/>
      <c r="P52" s="92">
        <v>388</v>
      </c>
      <c r="Q52" s="92">
        <v>101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3316</v>
      </c>
      <c r="F53" s="96" t="s">
        <v>3357</v>
      </c>
      <c r="G53" s="97">
        <v>9</v>
      </c>
      <c r="H53" s="96" t="s">
        <v>3358</v>
      </c>
      <c r="I53" s="96"/>
      <c r="J53" s="96"/>
      <c r="K53" s="93" t="s">
        <v>2798</v>
      </c>
      <c r="L53" s="93"/>
      <c r="M53" s="93"/>
      <c r="N53" s="93"/>
      <c r="O53" s="93"/>
      <c r="P53" s="92">
        <v>7607</v>
      </c>
      <c r="Q53" s="92">
        <v>1476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3316</v>
      </c>
      <c r="F54" s="96" t="s">
        <v>3357</v>
      </c>
      <c r="G54" s="97">
        <v>9</v>
      </c>
      <c r="H54" s="96" t="s">
        <v>3358</v>
      </c>
      <c r="I54" s="96"/>
      <c r="J54" s="96"/>
      <c r="K54" s="93" t="s">
        <v>3369</v>
      </c>
      <c r="L54" s="93"/>
      <c r="M54" s="93"/>
      <c r="N54" s="93"/>
      <c r="O54" s="93"/>
      <c r="P54" s="92">
        <v>3205</v>
      </c>
      <c r="Q54" s="92">
        <v>736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3316</v>
      </c>
      <c r="F55" s="96" t="s">
        <v>3370</v>
      </c>
      <c r="G55" s="97">
        <v>1</v>
      </c>
      <c r="H55" s="96" t="s">
        <v>3371</v>
      </c>
      <c r="I55" s="96"/>
      <c r="J55" s="96"/>
      <c r="K55" s="93" t="s">
        <v>3372</v>
      </c>
      <c r="L55" s="93"/>
      <c r="M55" s="93"/>
      <c r="N55" s="93"/>
      <c r="O55" s="93"/>
      <c r="P55" s="92">
        <v>2545</v>
      </c>
      <c r="Q55" s="92">
        <v>477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3316</v>
      </c>
      <c r="F56" s="96" t="s">
        <v>3370</v>
      </c>
      <c r="G56" s="97">
        <v>2</v>
      </c>
      <c r="H56" s="96" t="s">
        <v>3371</v>
      </c>
      <c r="I56" s="96"/>
      <c r="J56" s="96"/>
      <c r="K56" s="93" t="s">
        <v>3373</v>
      </c>
      <c r="L56" s="93"/>
      <c r="M56" s="93"/>
      <c r="N56" s="93"/>
      <c r="O56" s="93"/>
      <c r="P56" s="92">
        <v>3348</v>
      </c>
      <c r="Q56" s="92">
        <v>776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3316</v>
      </c>
      <c r="F57" s="96" t="s">
        <v>3370</v>
      </c>
      <c r="G57" s="97">
        <v>3</v>
      </c>
      <c r="H57" s="96" t="s">
        <v>3371</v>
      </c>
      <c r="I57" s="96"/>
      <c r="J57" s="96"/>
      <c r="K57" s="93" t="s">
        <v>3374</v>
      </c>
      <c r="L57" s="93"/>
      <c r="M57" s="93"/>
      <c r="N57" s="93"/>
      <c r="O57" s="93"/>
      <c r="P57" s="92">
        <v>1642</v>
      </c>
      <c r="Q57" s="92">
        <v>353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3316</v>
      </c>
      <c r="F58" s="96" t="s">
        <v>3370</v>
      </c>
      <c r="G58" s="97">
        <v>4</v>
      </c>
      <c r="H58" s="96" t="s">
        <v>3371</v>
      </c>
      <c r="I58" s="96"/>
      <c r="J58" s="96"/>
      <c r="K58" s="93" t="s">
        <v>3375</v>
      </c>
      <c r="L58" s="93"/>
      <c r="M58" s="93"/>
      <c r="N58" s="93"/>
      <c r="O58" s="93"/>
      <c r="P58" s="92">
        <v>5814</v>
      </c>
      <c r="Q58" s="92">
        <v>1223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3316</v>
      </c>
      <c r="F59" s="96" t="s">
        <v>3370</v>
      </c>
      <c r="G59" s="97">
        <v>5</v>
      </c>
      <c r="H59" s="96" t="s">
        <v>3371</v>
      </c>
      <c r="I59" s="96"/>
      <c r="J59" s="96"/>
      <c r="K59" s="93" t="s">
        <v>3376</v>
      </c>
      <c r="L59" s="93"/>
      <c r="M59" s="93"/>
      <c r="N59" s="93"/>
      <c r="O59" s="93"/>
      <c r="P59" s="92">
        <v>3743</v>
      </c>
      <c r="Q59" s="92">
        <v>739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3316</v>
      </c>
      <c r="F60" s="96" t="s">
        <v>3370</v>
      </c>
      <c r="G60" s="97">
        <v>6</v>
      </c>
      <c r="H60" s="96" t="s">
        <v>3371</v>
      </c>
      <c r="I60" s="96"/>
      <c r="J60" s="96"/>
      <c r="K60" s="93" t="s">
        <v>3377</v>
      </c>
      <c r="L60" s="93"/>
      <c r="M60" s="93"/>
      <c r="N60" s="93"/>
      <c r="O60" s="93"/>
      <c r="P60" s="92">
        <v>1179</v>
      </c>
      <c r="Q60" s="92">
        <v>256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3316</v>
      </c>
      <c r="F61" s="96" t="s">
        <v>3370</v>
      </c>
      <c r="G61" s="97">
        <v>7</v>
      </c>
      <c r="H61" s="96" t="s">
        <v>3371</v>
      </c>
      <c r="I61" s="96"/>
      <c r="J61" s="96"/>
      <c r="K61" s="93" t="s">
        <v>3378</v>
      </c>
      <c r="L61" s="93"/>
      <c r="M61" s="93"/>
      <c r="N61" s="93"/>
      <c r="O61" s="93"/>
      <c r="P61" s="92">
        <v>2810</v>
      </c>
      <c r="Q61" s="92">
        <v>576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3316</v>
      </c>
      <c r="F62" s="96" t="s">
        <v>3370</v>
      </c>
      <c r="G62" s="97">
        <v>8</v>
      </c>
      <c r="H62" s="96" t="s">
        <v>3371</v>
      </c>
      <c r="I62" s="96"/>
      <c r="J62" s="96"/>
      <c r="K62" s="93" t="s">
        <v>3378</v>
      </c>
      <c r="L62" s="93"/>
      <c r="M62" s="93"/>
      <c r="N62" s="93"/>
      <c r="O62" s="93"/>
      <c r="P62" s="92">
        <v>2298</v>
      </c>
      <c r="Q62" s="92">
        <v>436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3316</v>
      </c>
      <c r="F63" s="96" t="s">
        <v>3370</v>
      </c>
      <c r="G63" s="97">
        <v>9</v>
      </c>
      <c r="H63" s="96" t="s">
        <v>3371</v>
      </c>
      <c r="I63" s="96"/>
      <c r="J63" s="96"/>
      <c r="K63" s="93" t="s">
        <v>3379</v>
      </c>
      <c r="L63" s="93"/>
      <c r="M63" s="93"/>
      <c r="N63" s="93"/>
      <c r="O63" s="93"/>
      <c r="P63" s="92">
        <v>2004</v>
      </c>
      <c r="Q63" s="92">
        <v>414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3316</v>
      </c>
      <c r="F64" s="96" t="s">
        <v>3380</v>
      </c>
      <c r="G64" s="97">
        <v>1</v>
      </c>
      <c r="H64" s="96" t="s">
        <v>3381</v>
      </c>
      <c r="I64" s="96"/>
      <c r="J64" s="96"/>
      <c r="K64" s="93" t="s">
        <v>3382</v>
      </c>
      <c r="L64" s="93"/>
      <c r="M64" s="93"/>
      <c r="N64" s="93"/>
      <c r="O64" s="93"/>
      <c r="P64" s="92">
        <v>1903</v>
      </c>
      <c r="Q64" s="92">
        <v>450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3316</v>
      </c>
      <c r="F65" s="96" t="s">
        <v>3380</v>
      </c>
      <c r="G65" s="97">
        <v>2</v>
      </c>
      <c r="H65" s="96"/>
      <c r="I65" s="96"/>
      <c r="J65" s="96"/>
      <c r="K65" s="93" t="s">
        <v>3383</v>
      </c>
      <c r="L65" s="93"/>
      <c r="M65" s="93"/>
      <c r="N65" s="93"/>
      <c r="O65" s="93"/>
      <c r="P65" s="92">
        <v>2983</v>
      </c>
      <c r="Q65" s="92">
        <v>615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3316</v>
      </c>
      <c r="F66" s="96" t="s">
        <v>3380</v>
      </c>
      <c r="G66" s="97">
        <v>3</v>
      </c>
      <c r="H66" s="96"/>
      <c r="I66" s="96"/>
      <c r="J66" s="96"/>
      <c r="K66" s="93" t="s">
        <v>2876</v>
      </c>
      <c r="L66" s="93"/>
      <c r="M66" s="93"/>
      <c r="N66" s="93"/>
      <c r="O66" s="93"/>
      <c r="P66" s="92">
        <v>2522</v>
      </c>
      <c r="Q66" s="92">
        <v>527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3316</v>
      </c>
      <c r="F67" s="96" t="s">
        <v>3380</v>
      </c>
      <c r="G67" s="97">
        <v>4</v>
      </c>
      <c r="H67" s="96" t="s">
        <v>3381</v>
      </c>
      <c r="I67" s="96"/>
      <c r="J67" s="96"/>
      <c r="K67" s="93" t="s">
        <v>3384</v>
      </c>
      <c r="L67" s="93"/>
      <c r="M67" s="93"/>
      <c r="N67" s="93"/>
      <c r="O67" s="93"/>
      <c r="P67" s="92">
        <v>1790</v>
      </c>
      <c r="Q67" s="92">
        <v>364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3316</v>
      </c>
      <c r="F68" s="96" t="s">
        <v>3380</v>
      </c>
      <c r="G68" s="97">
        <v>5</v>
      </c>
      <c r="H68" s="96" t="s">
        <v>3381</v>
      </c>
      <c r="I68" s="96"/>
      <c r="J68" s="96"/>
      <c r="K68" s="93" t="s">
        <v>3385</v>
      </c>
      <c r="L68" s="93"/>
      <c r="M68" s="93"/>
      <c r="N68" s="93"/>
      <c r="O68" s="93"/>
      <c r="P68" s="92">
        <v>2277</v>
      </c>
      <c r="Q68" s="92">
        <v>459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3316</v>
      </c>
      <c r="F69" s="96" t="s">
        <v>3380</v>
      </c>
      <c r="G69" s="97">
        <v>6</v>
      </c>
      <c r="H69" s="96" t="s">
        <v>3381</v>
      </c>
      <c r="I69" s="96"/>
      <c r="J69" s="96"/>
      <c r="K69" s="93" t="s">
        <v>3386</v>
      </c>
      <c r="L69" s="93"/>
      <c r="M69" s="93"/>
      <c r="N69" s="93"/>
      <c r="O69" s="93"/>
      <c r="P69" s="92">
        <v>1794</v>
      </c>
      <c r="Q69" s="92">
        <v>364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3316</v>
      </c>
      <c r="F70" s="96" t="s">
        <v>3380</v>
      </c>
      <c r="G70" s="97">
        <v>7</v>
      </c>
      <c r="H70" s="96"/>
      <c r="I70" s="96"/>
      <c r="J70" s="96"/>
      <c r="K70" s="93" t="s">
        <v>3387</v>
      </c>
      <c r="L70" s="93"/>
      <c r="M70" s="93"/>
      <c r="N70" s="93"/>
      <c r="O70" s="93"/>
      <c r="P70" s="92">
        <v>2140</v>
      </c>
      <c r="Q70" s="92">
        <v>424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3316</v>
      </c>
      <c r="F71" s="96" t="s">
        <v>3380</v>
      </c>
      <c r="G71" s="97">
        <v>8</v>
      </c>
      <c r="H71" s="96" t="s">
        <v>3381</v>
      </c>
      <c r="I71" s="96"/>
      <c r="J71" s="96"/>
      <c r="K71" s="93" t="s">
        <v>3388</v>
      </c>
      <c r="L71" s="93"/>
      <c r="M71" s="93"/>
      <c r="N71" s="93"/>
      <c r="O71" s="93"/>
      <c r="P71" s="92">
        <v>7923</v>
      </c>
      <c r="Q71" s="92">
        <v>1616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3316</v>
      </c>
      <c r="F72" s="96" t="s">
        <v>3380</v>
      </c>
      <c r="G72" s="97">
        <v>9</v>
      </c>
      <c r="H72" s="96"/>
      <c r="I72" s="96"/>
      <c r="J72" s="96"/>
      <c r="K72" s="93" t="s">
        <v>3389</v>
      </c>
      <c r="L72" s="93"/>
      <c r="M72" s="93"/>
      <c r="N72" s="93"/>
      <c r="O72" s="93"/>
      <c r="P72" s="92">
        <v>1990</v>
      </c>
      <c r="Q72" s="92">
        <v>401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3316</v>
      </c>
      <c r="F73" s="96" t="s">
        <v>3390</v>
      </c>
      <c r="G73" s="97">
        <v>1</v>
      </c>
      <c r="H73" s="96"/>
      <c r="I73" s="96"/>
      <c r="J73" s="96"/>
      <c r="K73" s="93" t="s">
        <v>3391</v>
      </c>
      <c r="L73" s="93"/>
      <c r="M73" s="93"/>
      <c r="N73" s="93"/>
      <c r="O73" s="93"/>
      <c r="P73" s="92">
        <v>3067</v>
      </c>
      <c r="Q73" s="92">
        <v>594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3316</v>
      </c>
      <c r="F74" s="96" t="s">
        <v>3390</v>
      </c>
      <c r="G74" s="97">
        <v>2</v>
      </c>
      <c r="H74" s="96"/>
      <c r="I74" s="96"/>
      <c r="J74" s="96"/>
      <c r="K74" s="93" t="s">
        <v>3392</v>
      </c>
      <c r="L74" s="93"/>
      <c r="M74" s="93"/>
      <c r="N74" s="93"/>
      <c r="O74" s="93"/>
      <c r="P74" s="92">
        <v>2245</v>
      </c>
      <c r="Q74" s="92">
        <v>469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3316</v>
      </c>
      <c r="F75" s="96" t="s">
        <v>3390</v>
      </c>
      <c r="G75" s="97">
        <v>3</v>
      </c>
      <c r="H75" s="96"/>
      <c r="I75" s="96"/>
      <c r="J75" s="96"/>
      <c r="K75" s="93" t="s">
        <v>3393</v>
      </c>
      <c r="L75" s="93"/>
      <c r="M75" s="93"/>
      <c r="N75" s="93"/>
      <c r="O75" s="93"/>
      <c r="P75" s="92">
        <v>3227</v>
      </c>
      <c r="Q75" s="92">
        <v>654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3316</v>
      </c>
      <c r="F76" s="96" t="s">
        <v>3390</v>
      </c>
      <c r="G76" s="97">
        <v>4</v>
      </c>
      <c r="H76" s="96"/>
      <c r="I76" s="96"/>
      <c r="J76" s="96"/>
      <c r="K76" s="93" t="s">
        <v>3394</v>
      </c>
      <c r="L76" s="93"/>
      <c r="M76" s="93"/>
      <c r="N76" s="93"/>
      <c r="O76" s="93"/>
      <c r="P76" s="92">
        <v>1992</v>
      </c>
      <c r="Q76" s="92">
        <v>384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3316</v>
      </c>
      <c r="F77" s="96" t="s">
        <v>3390</v>
      </c>
      <c r="G77" s="97">
        <v>5</v>
      </c>
      <c r="H77" s="96"/>
      <c r="I77" s="96"/>
      <c r="J77" s="96"/>
      <c r="K77" s="93" t="s">
        <v>3395</v>
      </c>
      <c r="L77" s="93"/>
      <c r="M77" s="93"/>
      <c r="N77" s="93"/>
      <c r="O77" s="93"/>
      <c r="P77" s="92">
        <v>2617</v>
      </c>
      <c r="Q77" s="92">
        <v>535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3316</v>
      </c>
      <c r="F78" s="96" t="s">
        <v>3390</v>
      </c>
      <c r="G78" s="97">
        <v>6</v>
      </c>
      <c r="H78" s="96"/>
      <c r="I78" s="96"/>
      <c r="J78" s="96"/>
      <c r="K78" s="93" t="s">
        <v>3396</v>
      </c>
      <c r="L78" s="93"/>
      <c r="M78" s="93"/>
      <c r="N78" s="93"/>
      <c r="O78" s="93"/>
      <c r="P78" s="92">
        <v>2726</v>
      </c>
      <c r="Q78" s="92">
        <v>563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3316</v>
      </c>
      <c r="F79" s="96" t="s">
        <v>3390</v>
      </c>
      <c r="G79" s="97">
        <v>7</v>
      </c>
      <c r="H79" s="96"/>
      <c r="I79" s="96"/>
      <c r="J79" s="96"/>
      <c r="K79" s="93" t="s">
        <v>100</v>
      </c>
      <c r="L79" s="93"/>
      <c r="M79" s="93"/>
      <c r="N79" s="93"/>
      <c r="O79" s="93"/>
      <c r="P79" s="92">
        <v>4684</v>
      </c>
      <c r="Q79" s="92">
        <v>952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3316</v>
      </c>
      <c r="F80" s="96" t="s">
        <v>3390</v>
      </c>
      <c r="G80" s="97">
        <v>8</v>
      </c>
      <c r="H80" s="96"/>
      <c r="I80" s="96"/>
      <c r="J80" s="96"/>
      <c r="K80" s="93" t="s">
        <v>3397</v>
      </c>
      <c r="L80" s="93"/>
      <c r="M80" s="93"/>
      <c r="N80" s="93"/>
      <c r="O80" s="93"/>
      <c r="P80" s="92">
        <v>2484</v>
      </c>
      <c r="Q80" s="92">
        <v>550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3316</v>
      </c>
      <c r="F81" s="96" t="s">
        <v>3390</v>
      </c>
      <c r="G81" s="97">
        <v>9</v>
      </c>
      <c r="H81" s="96"/>
      <c r="I81" s="96"/>
      <c r="J81" s="96"/>
      <c r="K81" s="93" t="s">
        <v>3398</v>
      </c>
      <c r="L81" s="93"/>
      <c r="M81" s="93"/>
      <c r="N81" s="93"/>
      <c r="O81" s="93"/>
      <c r="P81" s="92">
        <v>2522</v>
      </c>
      <c r="Q81" s="92">
        <v>534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3316</v>
      </c>
      <c r="F82" s="96" t="s">
        <v>3399</v>
      </c>
      <c r="G82" s="97">
        <v>1</v>
      </c>
      <c r="H82" s="96"/>
      <c r="I82" s="96"/>
      <c r="J82" s="96"/>
      <c r="K82" s="93" t="s">
        <v>3400</v>
      </c>
      <c r="L82" s="93"/>
      <c r="M82" s="93"/>
      <c r="N82" s="93"/>
      <c r="O82" s="93"/>
      <c r="P82" s="92">
        <v>3379</v>
      </c>
      <c r="Q82" s="92">
        <v>710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3316</v>
      </c>
      <c r="F83" s="96" t="s">
        <v>3399</v>
      </c>
      <c r="G83" s="97">
        <v>2</v>
      </c>
      <c r="H83" s="96"/>
      <c r="I83" s="96"/>
      <c r="J83" s="96"/>
      <c r="K83" s="93" t="s">
        <v>3401</v>
      </c>
      <c r="L83" s="93"/>
      <c r="M83" s="93"/>
      <c r="N83" s="93"/>
      <c r="O83" s="93"/>
      <c r="P83" s="92">
        <v>5013</v>
      </c>
      <c r="Q83" s="92">
        <v>925</v>
      </c>
      <c r="R83" s="92"/>
      <c r="S83" s="97">
        <v>0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3316</v>
      </c>
      <c r="F84" s="96" t="s">
        <v>3399</v>
      </c>
      <c r="G84" s="97">
        <v>3</v>
      </c>
      <c r="H84" s="96"/>
      <c r="I84" s="96"/>
      <c r="J84" s="96"/>
      <c r="K84" s="93" t="s">
        <v>3402</v>
      </c>
      <c r="L84" s="93"/>
      <c r="M84" s="93"/>
      <c r="N84" s="93"/>
      <c r="O84" s="93"/>
      <c r="P84" s="92">
        <v>3052</v>
      </c>
      <c r="Q84" s="92">
        <v>659</v>
      </c>
      <c r="R84" s="92"/>
      <c r="S84" s="97">
        <v>0</v>
      </c>
      <c r="T84" s="97">
        <v>0</v>
      </c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3316</v>
      </c>
      <c r="F85" s="96" t="s">
        <v>3399</v>
      </c>
      <c r="G85" s="97">
        <v>4</v>
      </c>
      <c r="H85" s="96"/>
      <c r="I85" s="96"/>
      <c r="J85" s="96"/>
      <c r="K85" s="93" t="s">
        <v>3403</v>
      </c>
      <c r="L85" s="93"/>
      <c r="M85" s="93"/>
      <c r="N85" s="93"/>
      <c r="O85" s="93"/>
      <c r="P85" s="92">
        <v>6196</v>
      </c>
      <c r="Q85" s="92">
        <v>1288</v>
      </c>
      <c r="R85" s="92"/>
      <c r="S85" s="97">
        <v>0</v>
      </c>
      <c r="T85" s="97">
        <v>0</v>
      </c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3316</v>
      </c>
      <c r="F86" s="96" t="s">
        <v>3399</v>
      </c>
      <c r="G86" s="97">
        <v>5</v>
      </c>
      <c r="H86" s="96"/>
      <c r="I86" s="96"/>
      <c r="J86" s="96"/>
      <c r="K86" s="93" t="s">
        <v>3404</v>
      </c>
      <c r="L86" s="93"/>
      <c r="M86" s="93"/>
      <c r="N86" s="93"/>
      <c r="O86" s="93"/>
      <c r="P86" s="92">
        <v>3057</v>
      </c>
      <c r="Q86" s="92">
        <v>638</v>
      </c>
      <c r="R86" s="92"/>
      <c r="S86" s="97">
        <v>0</v>
      </c>
      <c r="T86" s="97">
        <v>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3316</v>
      </c>
      <c r="F87" s="96" t="s">
        <v>3399</v>
      </c>
      <c r="G87" s="97">
        <v>6</v>
      </c>
      <c r="H87" s="96"/>
      <c r="I87" s="96"/>
      <c r="J87" s="96"/>
      <c r="K87" s="93" t="s">
        <v>3405</v>
      </c>
      <c r="L87" s="93"/>
      <c r="M87" s="93"/>
      <c r="N87" s="93"/>
      <c r="O87" s="93"/>
      <c r="P87" s="92">
        <v>4418</v>
      </c>
      <c r="Q87" s="92">
        <v>789</v>
      </c>
      <c r="R87" s="92"/>
      <c r="S87" s="97">
        <v>0</v>
      </c>
      <c r="T87" s="97">
        <v>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3316</v>
      </c>
      <c r="F88" s="96" t="s">
        <v>3399</v>
      </c>
      <c r="G88" s="97">
        <v>7</v>
      </c>
      <c r="H88" s="96"/>
      <c r="I88" s="96"/>
      <c r="J88" s="96"/>
      <c r="K88" s="93" t="s">
        <v>3406</v>
      </c>
      <c r="L88" s="93"/>
      <c r="M88" s="93"/>
      <c r="N88" s="93"/>
      <c r="O88" s="93"/>
      <c r="P88" s="92">
        <v>4886</v>
      </c>
      <c r="Q88" s="92">
        <v>848</v>
      </c>
      <c r="R88" s="92"/>
      <c r="S88" s="97">
        <v>0</v>
      </c>
      <c r="T88" s="97">
        <v>0</v>
      </c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3316</v>
      </c>
      <c r="F89" s="96" t="s">
        <v>3399</v>
      </c>
      <c r="G89" s="97">
        <v>8</v>
      </c>
      <c r="H89" s="96"/>
      <c r="I89" s="96"/>
      <c r="J89" s="96"/>
      <c r="K89" s="93" t="s">
        <v>3407</v>
      </c>
      <c r="L89" s="93"/>
      <c r="M89" s="93"/>
      <c r="N89" s="93"/>
      <c r="O89" s="93"/>
      <c r="P89" s="92">
        <v>3092</v>
      </c>
      <c r="Q89" s="92">
        <v>641</v>
      </c>
      <c r="R89" s="92"/>
      <c r="S89" s="97">
        <v>0</v>
      </c>
      <c r="T89" s="97">
        <v>0</v>
      </c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3316</v>
      </c>
      <c r="F90" s="96" t="s">
        <v>3399</v>
      </c>
      <c r="G90" s="97">
        <v>9</v>
      </c>
      <c r="H90" s="96"/>
      <c r="I90" s="96"/>
      <c r="J90" s="96"/>
      <c r="K90" s="93" t="s">
        <v>3408</v>
      </c>
      <c r="L90" s="93"/>
      <c r="M90" s="93"/>
      <c r="N90" s="93"/>
      <c r="O90" s="93"/>
      <c r="P90" s="92">
        <v>4650</v>
      </c>
      <c r="Q90" s="92">
        <v>962</v>
      </c>
      <c r="R90" s="92"/>
      <c r="S90" s="97">
        <v>0</v>
      </c>
      <c r="T90" s="97">
        <v>0</v>
      </c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3316</v>
      </c>
      <c r="F91" s="96" t="s">
        <v>3409</v>
      </c>
      <c r="G91" s="97">
        <v>1</v>
      </c>
      <c r="H91" s="96" t="s">
        <v>3410</v>
      </c>
      <c r="I91" s="96"/>
      <c r="J91" s="96"/>
      <c r="K91" s="93" t="s">
        <v>3411</v>
      </c>
      <c r="L91" s="93"/>
      <c r="M91" s="93"/>
      <c r="N91" s="93"/>
      <c r="O91" s="93"/>
      <c r="P91" s="92">
        <v>2579</v>
      </c>
      <c r="Q91" s="92">
        <v>538</v>
      </c>
      <c r="R91" s="92"/>
      <c r="S91" s="97">
        <v>0</v>
      </c>
      <c r="T91" s="97">
        <v>0</v>
      </c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3316</v>
      </c>
      <c r="F92" s="96" t="s">
        <v>3409</v>
      </c>
      <c r="G92" s="97">
        <v>2</v>
      </c>
      <c r="H92" s="96" t="s">
        <v>3410</v>
      </c>
      <c r="I92" s="96"/>
      <c r="J92" s="96"/>
      <c r="K92" s="93" t="s">
        <v>3412</v>
      </c>
      <c r="L92" s="93"/>
      <c r="M92" s="93"/>
      <c r="N92" s="93"/>
      <c r="O92" s="93"/>
      <c r="P92" s="92">
        <v>4342</v>
      </c>
      <c r="Q92" s="92">
        <v>848</v>
      </c>
      <c r="R92" s="92"/>
      <c r="S92" s="97">
        <v>0</v>
      </c>
      <c r="T92" s="97">
        <v>0</v>
      </c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3316</v>
      </c>
      <c r="F93" s="96" t="s">
        <v>3409</v>
      </c>
      <c r="G93" s="97">
        <v>3</v>
      </c>
      <c r="H93" s="96" t="s">
        <v>3410</v>
      </c>
      <c r="I93" s="96"/>
      <c r="J93" s="96"/>
      <c r="K93" s="93" t="s">
        <v>3413</v>
      </c>
      <c r="L93" s="93"/>
      <c r="M93" s="93"/>
      <c r="N93" s="93"/>
      <c r="O93" s="93"/>
      <c r="P93" s="92">
        <v>2909</v>
      </c>
      <c r="Q93" s="92">
        <v>599</v>
      </c>
      <c r="R93" s="92"/>
      <c r="S93" s="97">
        <v>0</v>
      </c>
      <c r="T93" s="97">
        <v>0</v>
      </c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3316</v>
      </c>
      <c r="F94" s="96" t="s">
        <v>3409</v>
      </c>
      <c r="G94" s="97">
        <v>4</v>
      </c>
      <c r="H94" s="96" t="s">
        <v>3410</v>
      </c>
      <c r="I94" s="96"/>
      <c r="J94" s="96"/>
      <c r="K94" s="93" t="s">
        <v>3414</v>
      </c>
      <c r="L94" s="93"/>
      <c r="M94" s="93"/>
      <c r="N94" s="93"/>
      <c r="O94" s="93"/>
      <c r="P94" s="92">
        <v>5354</v>
      </c>
      <c r="Q94" s="92">
        <v>948</v>
      </c>
      <c r="R94" s="92"/>
      <c r="S94" s="97">
        <v>0</v>
      </c>
      <c r="T94" s="97">
        <v>0</v>
      </c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3316</v>
      </c>
      <c r="F95" s="96" t="s">
        <v>3409</v>
      </c>
      <c r="G95" s="97">
        <v>5</v>
      </c>
      <c r="H95" s="96" t="s">
        <v>3410</v>
      </c>
      <c r="I95" s="96"/>
      <c r="J95" s="96"/>
      <c r="K95" s="93" t="s">
        <v>3415</v>
      </c>
      <c r="L95" s="93"/>
      <c r="M95" s="93"/>
      <c r="N95" s="93"/>
      <c r="O95" s="93"/>
      <c r="P95" s="92">
        <v>6192</v>
      </c>
      <c r="Q95" s="92">
        <v>1361</v>
      </c>
      <c r="R95" s="92"/>
      <c r="S95" s="97">
        <v>0</v>
      </c>
      <c r="T95" s="97">
        <v>0</v>
      </c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3316</v>
      </c>
      <c r="F96" s="96" t="s">
        <v>3409</v>
      </c>
      <c r="G96" s="97">
        <v>6</v>
      </c>
      <c r="H96" s="96" t="s">
        <v>3410</v>
      </c>
      <c r="I96" s="96"/>
      <c r="J96" s="96"/>
      <c r="K96" s="93" t="s">
        <v>3416</v>
      </c>
      <c r="L96" s="93"/>
      <c r="M96" s="93"/>
      <c r="N96" s="93"/>
      <c r="O96" s="93"/>
      <c r="P96" s="92">
        <v>3089</v>
      </c>
      <c r="Q96" s="92">
        <v>649</v>
      </c>
      <c r="R96" s="92"/>
      <c r="S96" s="97">
        <v>0</v>
      </c>
      <c r="T96" s="97">
        <v>0</v>
      </c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8">
        <v>91</v>
      </c>
      <c r="B97" s="99" t="s">
        <v>2439</v>
      </c>
      <c r="C97" s="99" t="s">
        <v>117</v>
      </c>
      <c r="D97" s="99" t="s">
        <v>117</v>
      </c>
      <c r="E97" s="100" t="s">
        <v>3316</v>
      </c>
      <c r="F97" s="101" t="s">
        <v>3409</v>
      </c>
      <c r="G97" s="102">
        <v>7</v>
      </c>
      <c r="H97" s="101" t="s">
        <v>3410</v>
      </c>
      <c r="I97" s="101"/>
      <c r="J97" s="101"/>
      <c r="K97" s="103" t="s">
        <v>3409</v>
      </c>
      <c r="L97" s="103"/>
      <c r="M97" s="103"/>
      <c r="N97" s="103"/>
      <c r="O97" s="103"/>
      <c r="P97" s="104">
        <v>5974</v>
      </c>
      <c r="Q97" s="104">
        <v>1221</v>
      </c>
      <c r="R97" s="104"/>
      <c r="S97" s="102">
        <v>0</v>
      </c>
      <c r="T97" s="102">
        <v>0</v>
      </c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5"/>
      <c r="AH97" s="106"/>
      <c r="AI97" s="107"/>
      <c r="AJ97" s="107"/>
    </row>
    <row r="98" spans="1:36" x14ac:dyDescent="0.3">
      <c r="A98" s="77">
        <v>92</v>
      </c>
      <c r="B98" s="108" t="s">
        <v>2439</v>
      </c>
      <c r="C98" s="108" t="s">
        <v>117</v>
      </c>
      <c r="D98" s="108" t="s">
        <v>117</v>
      </c>
      <c r="E98" s="109" t="s">
        <v>3316</v>
      </c>
      <c r="F98" s="109" t="s">
        <v>3409</v>
      </c>
      <c r="G98" s="109">
        <v>8</v>
      </c>
      <c r="H98" s="109" t="s">
        <v>3410</v>
      </c>
      <c r="I98" s="109"/>
      <c r="J98" s="109"/>
      <c r="K98" s="109" t="s">
        <v>3417</v>
      </c>
      <c r="L98" s="109"/>
      <c r="M98" s="109"/>
      <c r="N98" s="109"/>
      <c r="O98" s="109"/>
      <c r="P98" s="109">
        <v>4138</v>
      </c>
      <c r="Q98" s="109">
        <v>849</v>
      </c>
      <c r="R98" s="109"/>
      <c r="S98" s="109">
        <v>0</v>
      </c>
      <c r="T98" s="109">
        <v>0</v>
      </c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</row>
    <row r="99" spans="1:36" x14ac:dyDescent="0.3">
      <c r="A99" s="77">
        <v>93</v>
      </c>
      <c r="B99" s="108" t="s">
        <v>2439</v>
      </c>
      <c r="C99" s="108" t="s">
        <v>117</v>
      </c>
      <c r="D99" s="108" t="s">
        <v>117</v>
      </c>
      <c r="E99" s="109" t="s">
        <v>3316</v>
      </c>
      <c r="F99" s="109" t="s">
        <v>3409</v>
      </c>
      <c r="G99" s="109">
        <v>9</v>
      </c>
      <c r="H99" s="109" t="s">
        <v>3410</v>
      </c>
      <c r="I99" s="109"/>
      <c r="J99" s="109"/>
      <c r="K99" s="109" t="s">
        <v>3418</v>
      </c>
      <c r="L99" s="109"/>
      <c r="M99" s="109"/>
      <c r="N99" s="109"/>
      <c r="O99" s="109"/>
      <c r="P99" s="109">
        <v>2928</v>
      </c>
      <c r="Q99" s="109">
        <v>602</v>
      </c>
      <c r="R99" s="109"/>
      <c r="S99" s="109">
        <v>0</v>
      </c>
      <c r="T99" s="109">
        <v>0</v>
      </c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</row>
    <row r="100" spans="1:36" x14ac:dyDescent="0.3">
      <c r="A100" s="77">
        <v>94</v>
      </c>
      <c r="B100" s="108" t="s">
        <v>2439</v>
      </c>
      <c r="C100" s="108" t="s">
        <v>117</v>
      </c>
      <c r="D100" s="108" t="s">
        <v>117</v>
      </c>
      <c r="E100" s="109" t="s">
        <v>3316</v>
      </c>
      <c r="F100" s="109" t="s">
        <v>3419</v>
      </c>
      <c r="G100" s="109">
        <v>1</v>
      </c>
      <c r="H100" s="109" t="s">
        <v>3420</v>
      </c>
      <c r="I100" s="109"/>
      <c r="J100" s="109"/>
      <c r="K100" s="109" t="s">
        <v>3421</v>
      </c>
      <c r="L100" s="109"/>
      <c r="M100" s="109"/>
      <c r="N100" s="109"/>
      <c r="O100" s="109"/>
      <c r="P100" s="109">
        <v>3069</v>
      </c>
      <c r="Q100" s="109">
        <v>708</v>
      </c>
      <c r="R100" s="109"/>
      <c r="S100" s="109">
        <v>0</v>
      </c>
      <c r="T100" s="109">
        <v>0</v>
      </c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</row>
    <row r="101" spans="1:36" x14ac:dyDescent="0.3">
      <c r="A101" s="77">
        <v>95</v>
      </c>
      <c r="B101" s="108" t="s">
        <v>2439</v>
      </c>
      <c r="C101" s="108" t="s">
        <v>117</v>
      </c>
      <c r="D101" s="108" t="s">
        <v>117</v>
      </c>
      <c r="E101" s="109" t="s">
        <v>3316</v>
      </c>
      <c r="F101" s="109" t="s">
        <v>3419</v>
      </c>
      <c r="G101" s="109">
        <v>2</v>
      </c>
      <c r="H101" s="109"/>
      <c r="I101" s="109"/>
      <c r="J101" s="109"/>
      <c r="K101" s="109" t="s">
        <v>3373</v>
      </c>
      <c r="L101" s="109"/>
      <c r="M101" s="109"/>
      <c r="N101" s="109"/>
      <c r="O101" s="109"/>
      <c r="P101" s="109">
        <v>2773</v>
      </c>
      <c r="Q101" s="109">
        <v>776</v>
      </c>
      <c r="R101" s="109"/>
      <c r="S101" s="109">
        <v>0</v>
      </c>
      <c r="T101" s="109">
        <v>0</v>
      </c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</row>
    <row r="102" spans="1:36" x14ac:dyDescent="0.3">
      <c r="A102" s="77">
        <v>96</v>
      </c>
      <c r="B102" s="108" t="s">
        <v>2439</v>
      </c>
      <c r="C102" s="108" t="s">
        <v>117</v>
      </c>
      <c r="D102" s="108" t="s">
        <v>117</v>
      </c>
      <c r="E102" s="109" t="s">
        <v>3316</v>
      </c>
      <c r="F102" s="109" t="s">
        <v>3419</v>
      </c>
      <c r="G102" s="109">
        <v>2</v>
      </c>
      <c r="H102" s="109"/>
      <c r="I102" s="109"/>
      <c r="J102" s="109"/>
      <c r="K102" s="109" t="s">
        <v>3422</v>
      </c>
      <c r="L102" s="109"/>
      <c r="M102" s="109"/>
      <c r="N102" s="109"/>
      <c r="O102" s="109"/>
      <c r="P102" s="109">
        <v>2518</v>
      </c>
      <c r="Q102" s="109">
        <v>437</v>
      </c>
      <c r="R102" s="109"/>
      <c r="S102" s="109">
        <v>0</v>
      </c>
      <c r="T102" s="109">
        <v>0</v>
      </c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</row>
    <row r="103" spans="1:36" x14ac:dyDescent="0.3">
      <c r="A103" s="77">
        <v>97</v>
      </c>
      <c r="B103" s="108" t="s">
        <v>2439</v>
      </c>
      <c r="C103" s="108" t="s">
        <v>117</v>
      </c>
      <c r="D103" s="108" t="s">
        <v>117</v>
      </c>
      <c r="E103" s="109" t="s">
        <v>3316</v>
      </c>
      <c r="F103" s="109" t="s">
        <v>3419</v>
      </c>
      <c r="G103" s="109">
        <v>3</v>
      </c>
      <c r="H103" s="109" t="s">
        <v>3420</v>
      </c>
      <c r="I103" s="109"/>
      <c r="J103" s="109"/>
      <c r="K103" s="109" t="s">
        <v>3423</v>
      </c>
      <c r="L103" s="109"/>
      <c r="M103" s="109"/>
      <c r="N103" s="109"/>
      <c r="O103" s="109"/>
      <c r="P103" s="109">
        <v>2005</v>
      </c>
      <c r="Q103" s="109">
        <v>410</v>
      </c>
      <c r="R103" s="109"/>
      <c r="S103" s="109">
        <v>0</v>
      </c>
      <c r="T103" s="109">
        <v>0</v>
      </c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</row>
    <row r="104" spans="1:36" x14ac:dyDescent="0.3">
      <c r="A104" s="77">
        <v>98</v>
      </c>
      <c r="B104" s="108" t="s">
        <v>2439</v>
      </c>
      <c r="C104" s="108" t="s">
        <v>117</v>
      </c>
      <c r="D104" s="108" t="s">
        <v>117</v>
      </c>
      <c r="E104" s="109" t="s">
        <v>3316</v>
      </c>
      <c r="F104" s="109" t="s">
        <v>3419</v>
      </c>
      <c r="G104" s="109">
        <v>3</v>
      </c>
      <c r="H104" s="109"/>
      <c r="I104" s="109"/>
      <c r="J104" s="109"/>
      <c r="K104" s="109" t="s">
        <v>3374</v>
      </c>
      <c r="L104" s="109"/>
      <c r="M104" s="109"/>
      <c r="N104" s="109"/>
      <c r="O104" s="109"/>
      <c r="P104" s="109">
        <v>1033</v>
      </c>
      <c r="Q104" s="109">
        <v>353</v>
      </c>
      <c r="R104" s="109"/>
      <c r="S104" s="109">
        <v>0</v>
      </c>
      <c r="T104" s="109">
        <v>0</v>
      </c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</row>
    <row r="105" spans="1:36" x14ac:dyDescent="0.3">
      <c r="A105" s="77">
        <v>99</v>
      </c>
      <c r="B105" s="108" t="s">
        <v>2439</v>
      </c>
      <c r="C105" s="108" t="s">
        <v>117</v>
      </c>
      <c r="D105" s="108" t="s">
        <v>117</v>
      </c>
      <c r="E105" s="109" t="s">
        <v>3316</v>
      </c>
      <c r="F105" s="109" t="s">
        <v>3419</v>
      </c>
      <c r="G105" s="109">
        <v>3</v>
      </c>
      <c r="H105" s="109"/>
      <c r="I105" s="109"/>
      <c r="J105" s="109"/>
      <c r="K105" s="109" t="s">
        <v>3424</v>
      </c>
      <c r="L105" s="109"/>
      <c r="M105" s="109"/>
      <c r="N105" s="109"/>
      <c r="O105" s="109"/>
      <c r="P105" s="109">
        <v>2168</v>
      </c>
      <c r="Q105" s="109">
        <v>516</v>
      </c>
      <c r="R105" s="109"/>
      <c r="S105" s="109">
        <v>0</v>
      </c>
      <c r="T105" s="109">
        <v>0</v>
      </c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</row>
    <row r="106" spans="1:36" x14ac:dyDescent="0.3">
      <c r="A106" s="77">
        <v>100</v>
      </c>
      <c r="B106" s="108" t="s">
        <v>2439</v>
      </c>
      <c r="C106" s="108" t="s">
        <v>117</v>
      </c>
      <c r="D106" s="108" t="s">
        <v>117</v>
      </c>
      <c r="E106" s="109" t="s">
        <v>3316</v>
      </c>
      <c r="F106" s="109" t="s">
        <v>3419</v>
      </c>
      <c r="G106" s="109">
        <v>3</v>
      </c>
      <c r="H106" s="109"/>
      <c r="I106" s="109"/>
      <c r="J106" s="109"/>
      <c r="K106" s="109" t="s">
        <v>3425</v>
      </c>
      <c r="L106" s="109"/>
      <c r="M106" s="109"/>
      <c r="N106" s="109"/>
      <c r="O106" s="109"/>
      <c r="P106" s="109">
        <v>514</v>
      </c>
      <c r="Q106" s="109">
        <v>136</v>
      </c>
      <c r="R106" s="109"/>
      <c r="S106" s="109">
        <v>0</v>
      </c>
      <c r="T106" s="109">
        <v>0</v>
      </c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</row>
    <row r="107" spans="1:36" x14ac:dyDescent="0.3">
      <c r="A107" s="77">
        <v>101</v>
      </c>
      <c r="B107" s="108" t="s">
        <v>2439</v>
      </c>
      <c r="C107" s="108" t="s">
        <v>117</v>
      </c>
      <c r="D107" s="108" t="s">
        <v>117</v>
      </c>
      <c r="E107" s="109" t="s">
        <v>3316</v>
      </c>
      <c r="F107" s="109" t="s">
        <v>3419</v>
      </c>
      <c r="G107" s="109">
        <v>4</v>
      </c>
      <c r="H107" s="109" t="s">
        <v>3420</v>
      </c>
      <c r="I107" s="109"/>
      <c r="J107" s="109"/>
      <c r="K107" s="109" t="s">
        <v>3426</v>
      </c>
      <c r="L107" s="109"/>
      <c r="M107" s="109"/>
      <c r="N107" s="109"/>
      <c r="O107" s="109"/>
      <c r="P107" s="109">
        <v>3040</v>
      </c>
      <c r="Q107" s="109">
        <v>638</v>
      </c>
      <c r="R107" s="109"/>
      <c r="S107" s="109">
        <v>0</v>
      </c>
      <c r="T107" s="109">
        <v>0</v>
      </c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x14ac:dyDescent="0.3">
      <c r="A108" s="77">
        <v>102</v>
      </c>
      <c r="B108" s="108" t="s">
        <v>2439</v>
      </c>
      <c r="C108" s="108" t="s">
        <v>117</v>
      </c>
      <c r="D108" s="108" t="s">
        <v>117</v>
      </c>
      <c r="E108" s="109" t="s">
        <v>3316</v>
      </c>
      <c r="F108" s="109" t="s">
        <v>3419</v>
      </c>
      <c r="G108" s="109">
        <v>4</v>
      </c>
      <c r="H108" s="109" t="s">
        <v>3420</v>
      </c>
      <c r="I108" s="109"/>
      <c r="J108" s="109"/>
      <c r="K108" s="109" t="s">
        <v>3427</v>
      </c>
      <c r="L108" s="109"/>
      <c r="M108" s="109"/>
      <c r="N108" s="109"/>
      <c r="O108" s="109"/>
      <c r="P108" s="109">
        <v>4610</v>
      </c>
      <c r="Q108" s="109">
        <v>916</v>
      </c>
      <c r="R108" s="109"/>
      <c r="S108" s="109">
        <v>0</v>
      </c>
      <c r="T108" s="109">
        <v>0</v>
      </c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x14ac:dyDescent="0.3">
      <c r="A109" s="77">
        <v>103</v>
      </c>
      <c r="B109" s="108" t="s">
        <v>2439</v>
      </c>
      <c r="C109" s="108" t="s">
        <v>117</v>
      </c>
      <c r="D109" s="108" t="s">
        <v>117</v>
      </c>
      <c r="E109" s="109" t="s">
        <v>3316</v>
      </c>
      <c r="F109" s="109" t="s">
        <v>3419</v>
      </c>
      <c r="G109" s="109">
        <v>4</v>
      </c>
      <c r="H109" s="109" t="s">
        <v>3420</v>
      </c>
      <c r="I109" s="109"/>
      <c r="J109" s="109"/>
      <c r="K109" s="109" t="s">
        <v>2446</v>
      </c>
      <c r="L109" s="109"/>
      <c r="M109" s="109"/>
      <c r="N109" s="109"/>
      <c r="O109" s="109"/>
      <c r="P109" s="109">
        <v>1136</v>
      </c>
      <c r="Q109" s="109">
        <v>256</v>
      </c>
      <c r="R109" s="109"/>
      <c r="S109" s="109">
        <v>0</v>
      </c>
      <c r="T109" s="109">
        <v>0</v>
      </c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 spans="1:36" x14ac:dyDescent="0.3">
      <c r="A110" s="77">
        <v>104</v>
      </c>
      <c r="B110" s="108" t="s">
        <v>2439</v>
      </c>
      <c r="C110" s="108" t="s">
        <v>117</v>
      </c>
      <c r="D110" s="108" t="s">
        <v>117</v>
      </c>
      <c r="E110" s="109" t="s">
        <v>3316</v>
      </c>
      <c r="F110" s="109" t="s">
        <v>3419</v>
      </c>
      <c r="G110" s="109">
        <v>4</v>
      </c>
      <c r="H110" s="109" t="s">
        <v>3420</v>
      </c>
      <c r="I110" s="109"/>
      <c r="J110" s="109"/>
      <c r="K110" s="109" t="s">
        <v>3428</v>
      </c>
      <c r="L110" s="109"/>
      <c r="M110" s="109"/>
      <c r="N110" s="109"/>
      <c r="O110" s="109"/>
      <c r="P110" s="109">
        <v>2703</v>
      </c>
      <c r="Q110" s="109">
        <v>556</v>
      </c>
      <c r="R110" s="109"/>
      <c r="S110" s="109">
        <v>0</v>
      </c>
      <c r="T110" s="109">
        <v>0</v>
      </c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</row>
    <row r="111" spans="1:36" x14ac:dyDescent="0.3">
      <c r="A111" s="77">
        <v>105</v>
      </c>
      <c r="B111" s="108" t="s">
        <v>2439</v>
      </c>
      <c r="C111" s="108" t="s">
        <v>117</v>
      </c>
      <c r="D111" s="108" t="s">
        <v>117</v>
      </c>
      <c r="E111" s="109" t="s">
        <v>3316</v>
      </c>
      <c r="F111" s="109" t="s">
        <v>3419</v>
      </c>
      <c r="G111" s="109">
        <v>5</v>
      </c>
      <c r="H111" s="109" t="s">
        <v>3420</v>
      </c>
      <c r="I111" s="109"/>
      <c r="J111" s="109"/>
      <c r="K111" s="109" t="s">
        <v>3429</v>
      </c>
      <c r="L111" s="109"/>
      <c r="M111" s="109"/>
      <c r="N111" s="109"/>
      <c r="O111" s="109"/>
      <c r="P111" s="109">
        <v>957</v>
      </c>
      <c r="Q111" s="109">
        <v>243</v>
      </c>
      <c r="R111" s="109"/>
      <c r="S111" s="109">
        <v>0</v>
      </c>
      <c r="T111" s="109">
        <v>0</v>
      </c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</row>
    <row r="112" spans="1:36" x14ac:dyDescent="0.3">
      <c r="A112" s="77">
        <v>106</v>
      </c>
      <c r="B112" s="108" t="s">
        <v>2439</v>
      </c>
      <c r="C112" s="108" t="s">
        <v>117</v>
      </c>
      <c r="D112" s="108" t="s">
        <v>117</v>
      </c>
      <c r="E112" s="109" t="s">
        <v>3316</v>
      </c>
      <c r="F112" s="109" t="s">
        <v>3419</v>
      </c>
      <c r="G112" s="109">
        <v>4</v>
      </c>
      <c r="H112" s="109" t="s">
        <v>3420</v>
      </c>
      <c r="I112" s="109"/>
      <c r="J112" s="109"/>
      <c r="K112" s="109" t="s">
        <v>3430</v>
      </c>
      <c r="L112" s="109"/>
      <c r="M112" s="109"/>
      <c r="N112" s="109"/>
      <c r="O112" s="109"/>
      <c r="P112" s="109">
        <v>2590</v>
      </c>
      <c r="Q112" s="109">
        <v>647</v>
      </c>
      <c r="R112" s="109"/>
      <c r="S112" s="109">
        <v>0</v>
      </c>
      <c r="T112" s="109">
        <v>0</v>
      </c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6" x14ac:dyDescent="0.3">
      <c r="A113" s="77">
        <v>107</v>
      </c>
      <c r="B113" s="108" t="s">
        <v>2439</v>
      </c>
      <c r="C113" s="108" t="s">
        <v>117</v>
      </c>
      <c r="D113" s="108" t="s">
        <v>117</v>
      </c>
      <c r="E113" s="109" t="s">
        <v>3316</v>
      </c>
      <c r="F113" s="109" t="s">
        <v>3419</v>
      </c>
      <c r="G113" s="109">
        <v>6</v>
      </c>
      <c r="H113" s="109" t="s">
        <v>3420</v>
      </c>
      <c r="I113" s="109"/>
      <c r="J113" s="109"/>
      <c r="K113" s="109" t="s">
        <v>3377</v>
      </c>
      <c r="L113" s="109"/>
      <c r="M113" s="109"/>
      <c r="N113" s="109"/>
      <c r="O113" s="109"/>
      <c r="P113" s="109">
        <v>1179</v>
      </c>
      <c r="Q113" s="109">
        <v>256</v>
      </c>
      <c r="R113" s="109"/>
      <c r="S113" s="109">
        <v>0</v>
      </c>
      <c r="T113" s="109">
        <v>0</v>
      </c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6" x14ac:dyDescent="0.3">
      <c r="A114" s="77">
        <v>108</v>
      </c>
      <c r="B114" s="108" t="s">
        <v>2439</v>
      </c>
      <c r="C114" s="108" t="s">
        <v>117</v>
      </c>
      <c r="D114" s="108" t="s">
        <v>117</v>
      </c>
      <c r="E114" s="109" t="s">
        <v>3316</v>
      </c>
      <c r="F114" s="109" t="s">
        <v>3419</v>
      </c>
      <c r="G114" s="109">
        <v>6</v>
      </c>
      <c r="H114" s="109" t="s">
        <v>3420</v>
      </c>
      <c r="I114" s="109"/>
      <c r="J114" s="109"/>
      <c r="K114" s="109" t="s">
        <v>3431</v>
      </c>
      <c r="L114" s="109"/>
      <c r="M114" s="109"/>
      <c r="N114" s="109"/>
      <c r="O114" s="109"/>
      <c r="P114" s="109">
        <v>2185</v>
      </c>
      <c r="Q114" s="109">
        <v>438</v>
      </c>
      <c r="R114" s="109"/>
      <c r="S114" s="109">
        <v>0</v>
      </c>
      <c r="T114" s="109">
        <v>0</v>
      </c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</row>
    <row r="115" spans="1:36" x14ac:dyDescent="0.3">
      <c r="A115" s="77">
        <v>109</v>
      </c>
      <c r="B115" s="108" t="s">
        <v>2439</v>
      </c>
      <c r="C115" s="108" t="s">
        <v>117</v>
      </c>
      <c r="D115" s="108" t="s">
        <v>117</v>
      </c>
      <c r="E115" s="109" t="s">
        <v>3316</v>
      </c>
      <c r="F115" s="109" t="s">
        <v>3419</v>
      </c>
      <c r="G115" s="109">
        <v>7</v>
      </c>
      <c r="H115" s="109" t="s">
        <v>3420</v>
      </c>
      <c r="I115" s="109"/>
      <c r="J115" s="109"/>
      <c r="K115" s="109" t="s">
        <v>3432</v>
      </c>
      <c r="L115" s="109"/>
      <c r="M115" s="109"/>
      <c r="N115" s="109"/>
      <c r="O115" s="109"/>
      <c r="P115" s="109">
        <v>1745</v>
      </c>
      <c r="Q115" s="109">
        <v>384</v>
      </c>
      <c r="R115" s="109"/>
      <c r="S115" s="109">
        <v>0</v>
      </c>
      <c r="T115" s="109">
        <v>0</v>
      </c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</row>
    <row r="116" spans="1:36" x14ac:dyDescent="0.3">
      <c r="A116" s="77">
        <v>110</v>
      </c>
      <c r="B116" s="108" t="s">
        <v>2439</v>
      </c>
      <c r="C116" s="108" t="s">
        <v>117</v>
      </c>
      <c r="D116" s="108" t="s">
        <v>117</v>
      </c>
      <c r="E116" s="109" t="s">
        <v>3316</v>
      </c>
      <c r="F116" s="109" t="s">
        <v>3419</v>
      </c>
      <c r="G116" s="109">
        <v>8</v>
      </c>
      <c r="H116" s="109"/>
      <c r="I116" s="109"/>
      <c r="J116" s="109"/>
      <c r="K116" s="109" t="s">
        <v>3433</v>
      </c>
      <c r="L116" s="109"/>
      <c r="M116" s="109"/>
      <c r="N116" s="109"/>
      <c r="O116" s="109"/>
      <c r="P116" s="109">
        <v>2008</v>
      </c>
      <c r="Q116" s="109">
        <v>428</v>
      </c>
      <c r="R116" s="109"/>
      <c r="S116" s="109">
        <v>0</v>
      </c>
      <c r="T116" s="109">
        <v>0</v>
      </c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</row>
    <row r="117" spans="1:36" x14ac:dyDescent="0.3">
      <c r="A117" s="77">
        <v>111</v>
      </c>
      <c r="B117" s="108" t="s">
        <v>2439</v>
      </c>
      <c r="C117" s="108" t="s">
        <v>117</v>
      </c>
      <c r="D117" s="108" t="s">
        <v>117</v>
      </c>
      <c r="E117" s="109" t="s">
        <v>3316</v>
      </c>
      <c r="F117" s="109" t="s">
        <v>3419</v>
      </c>
      <c r="G117" s="109">
        <v>9</v>
      </c>
      <c r="H117" s="109"/>
      <c r="I117" s="109"/>
      <c r="J117" s="109"/>
      <c r="K117" s="109" t="s">
        <v>3434</v>
      </c>
      <c r="L117" s="109"/>
      <c r="M117" s="109"/>
      <c r="N117" s="109"/>
      <c r="O117" s="109"/>
      <c r="P117" s="109">
        <v>2833</v>
      </c>
      <c r="Q117" s="109">
        <v>534</v>
      </c>
      <c r="R117" s="109"/>
      <c r="S117" s="109">
        <v>0</v>
      </c>
      <c r="T117" s="109">
        <v>0</v>
      </c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</row>
    <row r="118" spans="1:36" x14ac:dyDescent="0.3">
      <c r="A118" s="77">
        <v>112</v>
      </c>
      <c r="B118" s="108" t="s">
        <v>2439</v>
      </c>
      <c r="C118" s="108" t="s">
        <v>117</v>
      </c>
      <c r="D118" s="108" t="s">
        <v>117</v>
      </c>
      <c r="E118" s="109" t="s">
        <v>3316</v>
      </c>
      <c r="F118" s="109" t="s">
        <v>3435</v>
      </c>
      <c r="G118" s="109">
        <v>1</v>
      </c>
      <c r="H118" s="109" t="s">
        <v>3436</v>
      </c>
      <c r="I118" s="109"/>
      <c r="J118" s="109"/>
      <c r="K118" s="109" t="s">
        <v>3437</v>
      </c>
      <c r="L118" s="109"/>
      <c r="M118" s="109"/>
      <c r="N118" s="109"/>
      <c r="O118" s="109"/>
      <c r="P118" s="109">
        <v>2037</v>
      </c>
      <c r="Q118" s="109">
        <v>562</v>
      </c>
      <c r="R118" s="109"/>
      <c r="S118" s="109">
        <v>0</v>
      </c>
      <c r="T118" s="109">
        <v>0</v>
      </c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</row>
    <row r="119" spans="1:36" x14ac:dyDescent="0.3">
      <c r="A119" s="77">
        <v>113</v>
      </c>
      <c r="B119" s="108" t="s">
        <v>2439</v>
      </c>
      <c r="C119" s="108" t="s">
        <v>117</v>
      </c>
      <c r="D119" s="108" t="s">
        <v>117</v>
      </c>
      <c r="E119" s="109" t="s">
        <v>3316</v>
      </c>
      <c r="F119" s="109" t="s">
        <v>3435</v>
      </c>
      <c r="G119" s="109">
        <v>2</v>
      </c>
      <c r="H119" s="109"/>
      <c r="I119" s="109"/>
      <c r="J119" s="109"/>
      <c r="K119" s="109" t="s">
        <v>3438</v>
      </c>
      <c r="L119" s="109"/>
      <c r="M119" s="109"/>
      <c r="N119" s="109"/>
      <c r="O119" s="109"/>
      <c r="P119" s="109">
        <v>1897</v>
      </c>
      <c r="Q119" s="109">
        <v>476</v>
      </c>
      <c r="R119" s="109"/>
      <c r="S119" s="109">
        <v>0</v>
      </c>
      <c r="T119" s="109">
        <v>0</v>
      </c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</row>
    <row r="120" spans="1:36" x14ac:dyDescent="0.3">
      <c r="A120" s="77">
        <v>114</v>
      </c>
      <c r="B120" s="108" t="s">
        <v>2439</v>
      </c>
      <c r="C120" s="108" t="s">
        <v>117</v>
      </c>
      <c r="D120" s="108" t="s">
        <v>117</v>
      </c>
      <c r="E120" s="109" t="s">
        <v>3316</v>
      </c>
      <c r="F120" s="109" t="s">
        <v>3435</v>
      </c>
      <c r="G120" s="109">
        <v>2</v>
      </c>
      <c r="H120" s="109"/>
      <c r="I120" s="109"/>
      <c r="J120" s="109"/>
      <c r="K120" s="109" t="s">
        <v>3439</v>
      </c>
      <c r="L120" s="109"/>
      <c r="M120" s="109"/>
      <c r="N120" s="109"/>
      <c r="O120" s="109"/>
      <c r="P120" s="109">
        <v>736</v>
      </c>
      <c r="Q120" s="109">
        <v>196</v>
      </c>
      <c r="R120" s="109"/>
      <c r="S120" s="109">
        <v>0</v>
      </c>
      <c r="T120" s="109">
        <v>0</v>
      </c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</row>
    <row r="121" spans="1:36" x14ac:dyDescent="0.3">
      <c r="A121" s="77">
        <v>115</v>
      </c>
      <c r="B121" s="108" t="s">
        <v>2439</v>
      </c>
      <c r="C121" s="108" t="s">
        <v>117</v>
      </c>
      <c r="D121" s="108" t="s">
        <v>117</v>
      </c>
      <c r="E121" s="109" t="s">
        <v>3316</v>
      </c>
      <c r="F121" s="109" t="s">
        <v>3435</v>
      </c>
      <c r="G121" s="109">
        <v>2</v>
      </c>
      <c r="H121" s="109" t="s">
        <v>3436</v>
      </c>
      <c r="I121" s="109"/>
      <c r="J121" s="109"/>
      <c r="K121" s="109" t="s">
        <v>3440</v>
      </c>
      <c r="L121" s="109"/>
      <c r="M121" s="109"/>
      <c r="N121" s="109"/>
      <c r="O121" s="109"/>
      <c r="P121" s="109">
        <v>569</v>
      </c>
      <c r="Q121" s="109">
        <v>136</v>
      </c>
      <c r="R121" s="109"/>
      <c r="S121" s="109">
        <v>0</v>
      </c>
      <c r="T121" s="109">
        <v>0</v>
      </c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</row>
    <row r="122" spans="1:36" x14ac:dyDescent="0.3">
      <c r="A122" s="77">
        <v>116</v>
      </c>
      <c r="B122" s="108" t="s">
        <v>2439</v>
      </c>
      <c r="C122" s="108" t="s">
        <v>117</v>
      </c>
      <c r="D122" s="108" t="s">
        <v>117</v>
      </c>
      <c r="E122" s="109" t="s">
        <v>3316</v>
      </c>
      <c r="F122" s="109" t="s">
        <v>3435</v>
      </c>
      <c r="G122" s="109">
        <v>3</v>
      </c>
      <c r="H122" s="109" t="s">
        <v>3436</v>
      </c>
      <c r="I122" s="109"/>
      <c r="J122" s="109"/>
      <c r="K122" s="109" t="s">
        <v>3441</v>
      </c>
      <c r="L122" s="109"/>
      <c r="M122" s="109"/>
      <c r="N122" s="109"/>
      <c r="O122" s="109"/>
      <c r="P122" s="109">
        <v>2626</v>
      </c>
      <c r="Q122" s="109">
        <v>496</v>
      </c>
      <c r="R122" s="109"/>
      <c r="S122" s="109">
        <v>0</v>
      </c>
      <c r="T122" s="109">
        <v>0</v>
      </c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</row>
    <row r="123" spans="1:36" x14ac:dyDescent="0.3">
      <c r="A123" s="77">
        <v>117</v>
      </c>
      <c r="B123" s="108" t="s">
        <v>2439</v>
      </c>
      <c r="C123" s="108" t="s">
        <v>117</v>
      </c>
      <c r="D123" s="108" t="s">
        <v>117</v>
      </c>
      <c r="E123" s="109" t="s">
        <v>3316</v>
      </c>
      <c r="F123" s="109" t="s">
        <v>3435</v>
      </c>
      <c r="G123" s="109">
        <v>3</v>
      </c>
      <c r="H123" s="109" t="s">
        <v>3436</v>
      </c>
      <c r="I123" s="109"/>
      <c r="J123" s="109"/>
      <c r="K123" s="109" t="s">
        <v>3442</v>
      </c>
      <c r="L123" s="109"/>
      <c r="M123" s="109"/>
      <c r="N123" s="109"/>
      <c r="O123" s="109"/>
      <c r="P123" s="109">
        <v>718</v>
      </c>
      <c r="Q123" s="109">
        <v>196</v>
      </c>
      <c r="R123" s="109"/>
      <c r="S123" s="109">
        <v>0</v>
      </c>
      <c r="T123" s="109">
        <v>0</v>
      </c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</row>
    <row r="124" spans="1:36" x14ac:dyDescent="0.3">
      <c r="A124" s="77">
        <v>118</v>
      </c>
      <c r="B124" s="108" t="s">
        <v>2439</v>
      </c>
      <c r="C124" s="108" t="s">
        <v>117</v>
      </c>
      <c r="D124" s="108" t="s">
        <v>117</v>
      </c>
      <c r="E124" s="109" t="s">
        <v>3316</v>
      </c>
      <c r="F124" s="109" t="s">
        <v>3435</v>
      </c>
      <c r="G124" s="109">
        <v>4</v>
      </c>
      <c r="H124" s="109" t="s">
        <v>3436</v>
      </c>
      <c r="I124" s="109"/>
      <c r="J124" s="109"/>
      <c r="K124" s="109" t="s">
        <v>3443</v>
      </c>
      <c r="L124" s="109"/>
      <c r="M124" s="109"/>
      <c r="N124" s="109"/>
      <c r="O124" s="109"/>
      <c r="P124" s="109">
        <v>2689</v>
      </c>
      <c r="Q124" s="109">
        <v>613</v>
      </c>
      <c r="R124" s="109"/>
      <c r="S124" s="109">
        <v>0</v>
      </c>
      <c r="T124" s="109">
        <v>0</v>
      </c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</row>
    <row r="125" spans="1:36" x14ac:dyDescent="0.3">
      <c r="A125" s="77">
        <v>119</v>
      </c>
      <c r="B125" s="108" t="s">
        <v>2439</v>
      </c>
      <c r="C125" s="108" t="s">
        <v>117</v>
      </c>
      <c r="D125" s="108" t="s">
        <v>117</v>
      </c>
      <c r="E125" s="109" t="s">
        <v>3316</v>
      </c>
      <c r="F125" s="109" t="s">
        <v>3435</v>
      </c>
      <c r="G125" s="109">
        <v>4</v>
      </c>
      <c r="H125" s="109"/>
      <c r="I125" s="109"/>
      <c r="J125" s="109"/>
      <c r="K125" s="109" t="s">
        <v>3444</v>
      </c>
      <c r="L125" s="109"/>
      <c r="M125" s="109"/>
      <c r="N125" s="109"/>
      <c r="O125" s="109"/>
      <c r="P125" s="109">
        <v>639</v>
      </c>
      <c r="Q125" s="109">
        <v>133</v>
      </c>
      <c r="R125" s="109"/>
      <c r="S125" s="109">
        <v>0</v>
      </c>
      <c r="T125" s="109">
        <v>0</v>
      </c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</row>
    <row r="126" spans="1:36" x14ac:dyDescent="0.3">
      <c r="A126" s="77">
        <v>120</v>
      </c>
      <c r="B126" s="108" t="s">
        <v>2439</v>
      </c>
      <c r="C126" s="108" t="s">
        <v>117</v>
      </c>
      <c r="D126" s="108" t="s">
        <v>117</v>
      </c>
      <c r="E126" s="109" t="s">
        <v>3316</v>
      </c>
      <c r="F126" s="109" t="s">
        <v>3435</v>
      </c>
      <c r="G126" s="109">
        <v>5</v>
      </c>
      <c r="H126" s="109" t="s">
        <v>3436</v>
      </c>
      <c r="I126" s="109"/>
      <c r="J126" s="109"/>
      <c r="K126" s="109" t="s">
        <v>3445</v>
      </c>
      <c r="L126" s="109"/>
      <c r="M126" s="109"/>
      <c r="N126" s="109"/>
      <c r="O126" s="109"/>
      <c r="P126" s="109">
        <v>2873</v>
      </c>
      <c r="Q126" s="109">
        <v>518</v>
      </c>
      <c r="R126" s="109"/>
      <c r="S126" s="109">
        <v>0</v>
      </c>
      <c r="T126" s="109">
        <v>0</v>
      </c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</row>
    <row r="127" spans="1:36" x14ac:dyDescent="0.3">
      <c r="A127" s="77">
        <v>121</v>
      </c>
      <c r="B127" s="108" t="s">
        <v>2439</v>
      </c>
      <c r="C127" s="108" t="s">
        <v>117</v>
      </c>
      <c r="D127" s="108" t="s">
        <v>117</v>
      </c>
      <c r="E127" s="109" t="s">
        <v>3316</v>
      </c>
      <c r="F127" s="109" t="s">
        <v>3435</v>
      </c>
      <c r="G127" s="109">
        <v>5</v>
      </c>
      <c r="H127" s="109"/>
      <c r="I127" s="109"/>
      <c r="J127" s="109"/>
      <c r="K127" s="109" t="s">
        <v>3329</v>
      </c>
      <c r="L127" s="109"/>
      <c r="M127" s="109"/>
      <c r="N127" s="109"/>
      <c r="O127" s="109"/>
      <c r="P127" s="109">
        <v>476</v>
      </c>
      <c r="Q127" s="109">
        <v>184</v>
      </c>
      <c r="R127" s="109"/>
      <c r="S127" s="109">
        <v>0</v>
      </c>
      <c r="T127" s="109">
        <v>0</v>
      </c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</row>
    <row r="128" spans="1:36" x14ac:dyDescent="0.3">
      <c r="A128" s="77">
        <v>122</v>
      </c>
      <c r="B128" s="108" t="s">
        <v>2439</v>
      </c>
      <c r="C128" s="108" t="s">
        <v>117</v>
      </c>
      <c r="D128" s="108" t="s">
        <v>117</v>
      </c>
      <c r="E128" s="109" t="s">
        <v>3316</v>
      </c>
      <c r="F128" s="109" t="s">
        <v>3435</v>
      </c>
      <c r="G128" s="109">
        <v>5</v>
      </c>
      <c r="H128" s="109" t="s">
        <v>3436</v>
      </c>
      <c r="I128" s="109"/>
      <c r="J128" s="109"/>
      <c r="K128" s="109" t="s">
        <v>3446</v>
      </c>
      <c r="L128" s="109"/>
      <c r="M128" s="109"/>
      <c r="N128" s="109"/>
      <c r="O128" s="109"/>
      <c r="P128" s="109">
        <v>2487</v>
      </c>
      <c r="Q128" s="109">
        <v>322</v>
      </c>
      <c r="R128" s="109"/>
      <c r="S128" s="109">
        <v>0</v>
      </c>
      <c r="T128" s="109">
        <v>0</v>
      </c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</row>
    <row r="129" spans="1:36" x14ac:dyDescent="0.3">
      <c r="A129" s="77">
        <v>123</v>
      </c>
      <c r="B129" s="108" t="s">
        <v>2439</v>
      </c>
      <c r="C129" s="108" t="s">
        <v>117</v>
      </c>
      <c r="D129" s="108" t="s">
        <v>117</v>
      </c>
      <c r="E129" s="109" t="s">
        <v>3316</v>
      </c>
      <c r="F129" s="109" t="s">
        <v>3435</v>
      </c>
      <c r="G129" s="109">
        <v>6</v>
      </c>
      <c r="H129" s="109" t="s">
        <v>3436</v>
      </c>
      <c r="I129" s="109"/>
      <c r="J129" s="109"/>
      <c r="K129" s="109" t="s">
        <v>3447</v>
      </c>
      <c r="L129" s="109"/>
      <c r="M129" s="109"/>
      <c r="N129" s="109"/>
      <c r="O129" s="109"/>
      <c r="P129" s="109">
        <v>1647</v>
      </c>
      <c r="Q129" s="109">
        <v>456</v>
      </c>
      <c r="R129" s="109"/>
      <c r="S129" s="109">
        <v>0</v>
      </c>
      <c r="T129" s="109">
        <v>0</v>
      </c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</row>
    <row r="130" spans="1:36" x14ac:dyDescent="0.3">
      <c r="A130" s="77">
        <v>124</v>
      </c>
      <c r="B130" s="108" t="s">
        <v>2439</v>
      </c>
      <c r="C130" s="108" t="s">
        <v>117</v>
      </c>
      <c r="D130" s="108" t="s">
        <v>117</v>
      </c>
      <c r="E130" s="109" t="s">
        <v>3316</v>
      </c>
      <c r="F130" s="109" t="s">
        <v>3435</v>
      </c>
      <c r="G130" s="109">
        <v>6</v>
      </c>
      <c r="H130" s="109" t="s">
        <v>3436</v>
      </c>
      <c r="I130" s="109"/>
      <c r="J130" s="109"/>
      <c r="K130" s="109" t="s">
        <v>3448</v>
      </c>
      <c r="L130" s="109"/>
      <c r="M130" s="109"/>
      <c r="N130" s="109"/>
      <c r="O130" s="109"/>
      <c r="P130" s="109">
        <v>2626</v>
      </c>
      <c r="Q130" s="109">
        <v>536</v>
      </c>
      <c r="R130" s="109"/>
      <c r="S130" s="109">
        <v>0</v>
      </c>
      <c r="T130" s="109">
        <v>0</v>
      </c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</row>
    <row r="131" spans="1:36" x14ac:dyDescent="0.3">
      <c r="A131" s="77">
        <v>125</v>
      </c>
      <c r="B131" s="108" t="s">
        <v>2439</v>
      </c>
      <c r="C131" s="108" t="s">
        <v>117</v>
      </c>
      <c r="D131" s="108" t="s">
        <v>117</v>
      </c>
      <c r="E131" s="109" t="s">
        <v>3316</v>
      </c>
      <c r="F131" s="109" t="s">
        <v>3435</v>
      </c>
      <c r="G131" s="109">
        <v>7</v>
      </c>
      <c r="H131" s="109" t="s">
        <v>3436</v>
      </c>
      <c r="I131" s="109"/>
      <c r="J131" s="109"/>
      <c r="K131" s="109" t="s">
        <v>3449</v>
      </c>
      <c r="L131" s="109"/>
      <c r="M131" s="109"/>
      <c r="N131" s="109"/>
      <c r="O131" s="109"/>
      <c r="P131" s="109">
        <v>1047</v>
      </c>
      <c r="Q131" s="109">
        <v>258</v>
      </c>
      <c r="R131" s="109"/>
      <c r="S131" s="109">
        <v>0</v>
      </c>
      <c r="T131" s="109">
        <v>0</v>
      </c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</row>
    <row r="132" spans="1:36" x14ac:dyDescent="0.3">
      <c r="A132" s="77">
        <v>126</v>
      </c>
      <c r="B132" s="108" t="s">
        <v>2439</v>
      </c>
      <c r="C132" s="108" t="s">
        <v>117</v>
      </c>
      <c r="D132" s="108" t="s">
        <v>117</v>
      </c>
      <c r="E132" s="109" t="s">
        <v>3316</v>
      </c>
      <c r="F132" s="109" t="s">
        <v>3435</v>
      </c>
      <c r="G132" s="109">
        <v>8</v>
      </c>
      <c r="H132" s="109"/>
      <c r="I132" s="109"/>
      <c r="J132" s="109"/>
      <c r="K132" s="109" t="s">
        <v>3450</v>
      </c>
      <c r="L132" s="109"/>
      <c r="M132" s="109"/>
      <c r="N132" s="109"/>
      <c r="O132" s="109"/>
      <c r="P132" s="109">
        <v>396</v>
      </c>
      <c r="Q132" s="109">
        <v>171</v>
      </c>
      <c r="R132" s="109"/>
      <c r="S132" s="109">
        <v>0</v>
      </c>
      <c r="T132" s="109">
        <v>0</v>
      </c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</row>
    <row r="133" spans="1:36" x14ac:dyDescent="0.3">
      <c r="A133" s="77">
        <v>127</v>
      </c>
      <c r="B133" s="108" t="s">
        <v>2439</v>
      </c>
      <c r="C133" s="108" t="s">
        <v>117</v>
      </c>
      <c r="D133" s="108" t="s">
        <v>117</v>
      </c>
      <c r="E133" s="109" t="s">
        <v>3316</v>
      </c>
      <c r="F133" s="109" t="s">
        <v>3435</v>
      </c>
      <c r="G133" s="109">
        <v>9</v>
      </c>
      <c r="H133" s="109"/>
      <c r="I133" s="109"/>
      <c r="J133" s="109"/>
      <c r="K133" s="109" t="s">
        <v>3451</v>
      </c>
      <c r="L133" s="109"/>
      <c r="M133" s="109"/>
      <c r="N133" s="109"/>
      <c r="O133" s="109"/>
      <c r="P133" s="109">
        <v>2516</v>
      </c>
      <c r="Q133" s="109">
        <v>534</v>
      </c>
      <c r="R133" s="109"/>
      <c r="S133" s="109">
        <v>0</v>
      </c>
      <c r="T133" s="109">
        <v>0</v>
      </c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</row>
    <row r="134" spans="1:36" x14ac:dyDescent="0.3">
      <c r="A134" s="77">
        <v>128</v>
      </c>
      <c r="B134" s="108" t="s">
        <v>2439</v>
      </c>
      <c r="C134" s="108" t="s">
        <v>117</v>
      </c>
      <c r="D134" s="108" t="s">
        <v>117</v>
      </c>
      <c r="E134" s="109" t="s">
        <v>3316</v>
      </c>
      <c r="F134" s="109" t="s">
        <v>3435</v>
      </c>
      <c r="G134" s="109">
        <v>9</v>
      </c>
      <c r="H134" s="109" t="s">
        <v>3436</v>
      </c>
      <c r="I134" s="109"/>
      <c r="J134" s="109"/>
      <c r="K134" s="109" t="s">
        <v>3452</v>
      </c>
      <c r="L134" s="109"/>
      <c r="M134" s="109"/>
      <c r="N134" s="109"/>
      <c r="O134" s="109"/>
      <c r="P134" s="109">
        <v>2684</v>
      </c>
      <c r="Q134" s="109">
        <v>521</v>
      </c>
      <c r="R134" s="109"/>
      <c r="S134" s="109">
        <v>0</v>
      </c>
      <c r="T134" s="109">
        <v>0</v>
      </c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</row>
    <row r="135" spans="1:36" x14ac:dyDescent="0.3">
      <c r="A135" s="77">
        <v>129</v>
      </c>
      <c r="B135" s="108" t="s">
        <v>2439</v>
      </c>
      <c r="C135" s="108" t="s">
        <v>117</v>
      </c>
      <c r="D135" s="108" t="s">
        <v>117</v>
      </c>
      <c r="E135" s="109" t="s">
        <v>3316</v>
      </c>
      <c r="F135" s="109" t="s">
        <v>3435</v>
      </c>
      <c r="G135" s="109">
        <v>9</v>
      </c>
      <c r="H135" s="109"/>
      <c r="I135" s="109"/>
      <c r="J135" s="109"/>
      <c r="K135" s="109" t="s">
        <v>3453</v>
      </c>
      <c r="L135" s="109"/>
      <c r="M135" s="109"/>
      <c r="N135" s="109"/>
      <c r="O135" s="109"/>
      <c r="P135" s="109">
        <v>1171</v>
      </c>
      <c r="Q135" s="109">
        <v>234</v>
      </c>
      <c r="R135" s="109"/>
      <c r="S135" s="109">
        <v>0</v>
      </c>
      <c r="T135" s="109">
        <v>0</v>
      </c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</row>
    <row r="136" spans="1:36" x14ac:dyDescent="0.3">
      <c r="A136" s="77">
        <v>130</v>
      </c>
      <c r="B136" s="108" t="s">
        <v>2439</v>
      </c>
      <c r="C136" s="108" t="s">
        <v>117</v>
      </c>
      <c r="D136" s="108" t="s">
        <v>117</v>
      </c>
      <c r="E136" s="109" t="s">
        <v>3316</v>
      </c>
      <c r="F136" s="109" t="s">
        <v>3435</v>
      </c>
      <c r="G136" s="109">
        <v>9</v>
      </c>
      <c r="H136" s="109"/>
      <c r="I136" s="109"/>
      <c r="J136" s="109"/>
      <c r="K136" s="109" t="s">
        <v>3454</v>
      </c>
      <c r="L136" s="109"/>
      <c r="M136" s="109"/>
      <c r="N136" s="109"/>
      <c r="O136" s="109"/>
      <c r="P136" s="109">
        <v>1972</v>
      </c>
      <c r="Q136" s="109">
        <v>411</v>
      </c>
      <c r="R136" s="109"/>
      <c r="S136" s="109">
        <v>0</v>
      </c>
      <c r="T136" s="109">
        <v>0</v>
      </c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</row>
    <row r="137" spans="1:36" x14ac:dyDescent="0.3">
      <c r="A137" s="77">
        <v>131</v>
      </c>
      <c r="B137" s="108" t="s">
        <v>2439</v>
      </c>
      <c r="C137" s="108" t="s">
        <v>117</v>
      </c>
      <c r="D137" s="108" t="s">
        <v>117</v>
      </c>
      <c r="E137" s="109" t="s">
        <v>3316</v>
      </c>
      <c r="F137" s="109" t="s">
        <v>3455</v>
      </c>
      <c r="G137" s="109">
        <v>1</v>
      </c>
      <c r="H137" s="109"/>
      <c r="I137" s="109"/>
      <c r="J137" s="109"/>
      <c r="K137" s="109" t="s">
        <v>3456</v>
      </c>
      <c r="L137" s="109"/>
      <c r="M137" s="109"/>
      <c r="N137" s="109"/>
      <c r="O137" s="109"/>
      <c r="P137" s="109">
        <v>5394</v>
      </c>
      <c r="Q137" s="109">
        <v>1132</v>
      </c>
      <c r="R137" s="109"/>
      <c r="S137" s="109">
        <v>0</v>
      </c>
      <c r="T137" s="109">
        <v>0</v>
      </c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</row>
    <row r="138" spans="1:36" x14ac:dyDescent="0.3">
      <c r="A138" s="77">
        <v>132</v>
      </c>
      <c r="B138" s="108" t="s">
        <v>2439</v>
      </c>
      <c r="C138" s="108" t="s">
        <v>117</v>
      </c>
      <c r="D138" s="108" t="s">
        <v>117</v>
      </c>
      <c r="E138" s="109" t="s">
        <v>3316</v>
      </c>
      <c r="F138" s="109" t="s">
        <v>3455</v>
      </c>
      <c r="G138" s="109">
        <v>2</v>
      </c>
      <c r="H138" s="109"/>
      <c r="I138" s="109"/>
      <c r="J138" s="109"/>
      <c r="K138" s="109" t="s">
        <v>3457</v>
      </c>
      <c r="L138" s="109"/>
      <c r="M138" s="109"/>
      <c r="N138" s="109"/>
      <c r="O138" s="109"/>
      <c r="P138" s="109">
        <v>947</v>
      </c>
      <c r="Q138" s="109">
        <v>240</v>
      </c>
      <c r="R138" s="109"/>
      <c r="S138" s="109">
        <v>0</v>
      </c>
      <c r="T138" s="109">
        <v>0</v>
      </c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</row>
    <row r="139" spans="1:36" x14ac:dyDescent="0.3">
      <c r="A139" s="77">
        <v>133</v>
      </c>
      <c r="B139" s="108" t="s">
        <v>2439</v>
      </c>
      <c r="C139" s="108" t="s">
        <v>117</v>
      </c>
      <c r="D139" s="108" t="s">
        <v>117</v>
      </c>
      <c r="E139" s="109" t="s">
        <v>3316</v>
      </c>
      <c r="F139" s="109" t="s">
        <v>3455</v>
      </c>
      <c r="G139" s="109">
        <v>3</v>
      </c>
      <c r="H139" s="109"/>
      <c r="I139" s="109"/>
      <c r="J139" s="109"/>
      <c r="K139" s="109" t="s">
        <v>3458</v>
      </c>
      <c r="L139" s="109"/>
      <c r="M139" s="109"/>
      <c r="N139" s="109"/>
      <c r="O139" s="109"/>
      <c r="P139" s="109">
        <v>2701</v>
      </c>
      <c r="Q139" s="109">
        <v>558</v>
      </c>
      <c r="R139" s="109"/>
      <c r="S139" s="109">
        <v>0</v>
      </c>
      <c r="T139" s="109">
        <v>0</v>
      </c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</row>
    <row r="140" spans="1:36" x14ac:dyDescent="0.3">
      <c r="A140" s="77">
        <v>134</v>
      </c>
      <c r="B140" s="108" t="s">
        <v>2439</v>
      </c>
      <c r="C140" s="108" t="s">
        <v>117</v>
      </c>
      <c r="D140" s="108" t="s">
        <v>117</v>
      </c>
      <c r="E140" s="109" t="s">
        <v>3316</v>
      </c>
      <c r="F140" s="109" t="s">
        <v>3455</v>
      </c>
      <c r="G140" s="109">
        <v>3</v>
      </c>
      <c r="H140" s="109"/>
      <c r="I140" s="109"/>
      <c r="J140" s="109"/>
      <c r="K140" s="109" t="s">
        <v>3459</v>
      </c>
      <c r="L140" s="109"/>
      <c r="M140" s="109"/>
      <c r="N140" s="109"/>
      <c r="O140" s="109"/>
      <c r="P140" s="109">
        <v>2385</v>
      </c>
      <c r="Q140" s="109">
        <v>488</v>
      </c>
      <c r="R140" s="109"/>
      <c r="S140" s="109">
        <v>0</v>
      </c>
      <c r="T140" s="109">
        <v>0</v>
      </c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</row>
    <row r="141" spans="1:36" x14ac:dyDescent="0.3">
      <c r="A141" s="77">
        <v>135</v>
      </c>
      <c r="B141" s="108" t="s">
        <v>2439</v>
      </c>
      <c r="C141" s="108" t="s">
        <v>117</v>
      </c>
      <c r="D141" s="108" t="s">
        <v>117</v>
      </c>
      <c r="E141" s="109" t="s">
        <v>3316</v>
      </c>
      <c r="F141" s="109" t="s">
        <v>3455</v>
      </c>
      <c r="G141" s="109">
        <v>4</v>
      </c>
      <c r="H141" s="109"/>
      <c r="I141" s="109"/>
      <c r="J141" s="109"/>
      <c r="K141" s="109" t="s">
        <v>3460</v>
      </c>
      <c r="L141" s="109"/>
      <c r="M141" s="109"/>
      <c r="N141" s="109"/>
      <c r="O141" s="109"/>
      <c r="P141" s="109">
        <v>3040</v>
      </c>
      <c r="Q141" s="109">
        <v>654</v>
      </c>
      <c r="R141" s="109"/>
      <c r="S141" s="109">
        <v>0</v>
      </c>
      <c r="T141" s="109">
        <v>0</v>
      </c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</row>
    <row r="142" spans="1:36" x14ac:dyDescent="0.3">
      <c r="A142" s="77">
        <v>136</v>
      </c>
      <c r="B142" s="108" t="s">
        <v>2439</v>
      </c>
      <c r="C142" s="108" t="s">
        <v>117</v>
      </c>
      <c r="D142" s="108" t="s">
        <v>117</v>
      </c>
      <c r="E142" s="109" t="s">
        <v>3316</v>
      </c>
      <c r="F142" s="109" t="s">
        <v>3455</v>
      </c>
      <c r="G142" s="109">
        <v>4</v>
      </c>
      <c r="H142" s="109"/>
      <c r="I142" s="109"/>
      <c r="J142" s="109"/>
      <c r="K142" s="109" t="s">
        <v>3461</v>
      </c>
      <c r="L142" s="109"/>
      <c r="M142" s="109"/>
      <c r="N142" s="109"/>
      <c r="O142" s="109"/>
      <c r="P142" s="109">
        <v>2634</v>
      </c>
      <c r="Q142" s="109">
        <v>512</v>
      </c>
      <c r="R142" s="109"/>
      <c r="S142" s="109">
        <v>0</v>
      </c>
      <c r="T142" s="109">
        <v>0</v>
      </c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</row>
    <row r="143" spans="1:36" x14ac:dyDescent="0.3">
      <c r="A143" s="77">
        <v>137</v>
      </c>
      <c r="B143" s="108" t="s">
        <v>2439</v>
      </c>
      <c r="C143" s="108" t="s">
        <v>117</v>
      </c>
      <c r="D143" s="108" t="s">
        <v>117</v>
      </c>
      <c r="E143" s="109" t="s">
        <v>3316</v>
      </c>
      <c r="F143" s="109" t="s">
        <v>3455</v>
      </c>
      <c r="G143" s="109">
        <v>5</v>
      </c>
      <c r="H143" s="109"/>
      <c r="I143" s="109"/>
      <c r="J143" s="109"/>
      <c r="K143" s="109" t="s">
        <v>2815</v>
      </c>
      <c r="L143" s="109"/>
      <c r="M143" s="109"/>
      <c r="N143" s="109"/>
      <c r="O143" s="109"/>
      <c r="P143" s="109">
        <v>2490</v>
      </c>
      <c r="Q143" s="109">
        <v>529</v>
      </c>
      <c r="R143" s="109"/>
      <c r="S143" s="109">
        <v>0</v>
      </c>
      <c r="T143" s="109">
        <v>0</v>
      </c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</row>
    <row r="144" spans="1:36" x14ac:dyDescent="0.3">
      <c r="A144" s="77">
        <v>138</v>
      </c>
      <c r="B144" s="108" t="s">
        <v>2439</v>
      </c>
      <c r="C144" s="108" t="s">
        <v>117</v>
      </c>
      <c r="D144" s="108" t="s">
        <v>117</v>
      </c>
      <c r="E144" s="109" t="s">
        <v>3316</v>
      </c>
      <c r="F144" s="109" t="s">
        <v>3455</v>
      </c>
      <c r="G144" s="109">
        <v>6</v>
      </c>
      <c r="H144" s="109"/>
      <c r="I144" s="109"/>
      <c r="J144" s="109"/>
      <c r="K144" s="109" t="s">
        <v>3462</v>
      </c>
      <c r="L144" s="109"/>
      <c r="M144" s="109"/>
      <c r="N144" s="109"/>
      <c r="O144" s="109"/>
      <c r="P144" s="109">
        <v>1892</v>
      </c>
      <c r="Q144" s="109">
        <v>479</v>
      </c>
      <c r="R144" s="109"/>
      <c r="S144" s="109">
        <v>0</v>
      </c>
      <c r="T144" s="109">
        <v>0</v>
      </c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</row>
    <row r="145" spans="1:36" x14ac:dyDescent="0.3">
      <c r="A145" s="77">
        <v>139</v>
      </c>
      <c r="B145" s="108" t="s">
        <v>2439</v>
      </c>
      <c r="C145" s="108" t="s">
        <v>117</v>
      </c>
      <c r="D145" s="108" t="s">
        <v>117</v>
      </c>
      <c r="E145" s="109" t="s">
        <v>3316</v>
      </c>
      <c r="F145" s="109" t="s">
        <v>3455</v>
      </c>
      <c r="G145" s="109">
        <v>6</v>
      </c>
      <c r="H145" s="109"/>
      <c r="I145" s="109"/>
      <c r="J145" s="109"/>
      <c r="K145" s="109" t="s">
        <v>3463</v>
      </c>
      <c r="L145" s="109"/>
      <c r="M145" s="109"/>
      <c r="N145" s="109"/>
      <c r="O145" s="109"/>
      <c r="P145" s="109">
        <v>936</v>
      </c>
      <c r="Q145" s="109">
        <v>236</v>
      </c>
      <c r="R145" s="109"/>
      <c r="S145" s="109">
        <v>0</v>
      </c>
      <c r="T145" s="109">
        <v>0</v>
      </c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</row>
    <row r="146" spans="1:36" x14ac:dyDescent="0.3">
      <c r="A146" s="77">
        <v>140</v>
      </c>
      <c r="B146" s="108" t="s">
        <v>2439</v>
      </c>
      <c r="C146" s="108" t="s">
        <v>117</v>
      </c>
      <c r="D146" s="108" t="s">
        <v>117</v>
      </c>
      <c r="E146" s="109" t="s">
        <v>3316</v>
      </c>
      <c r="F146" s="109" t="s">
        <v>3455</v>
      </c>
      <c r="G146" s="109">
        <v>7</v>
      </c>
      <c r="H146" s="109"/>
      <c r="I146" s="109"/>
      <c r="J146" s="109"/>
      <c r="K146" s="109" t="s">
        <v>3464</v>
      </c>
      <c r="L146" s="109"/>
      <c r="M146" s="109"/>
      <c r="N146" s="109"/>
      <c r="O146" s="109"/>
      <c r="P146" s="109">
        <v>2691</v>
      </c>
      <c r="Q146" s="109">
        <v>534</v>
      </c>
      <c r="R146" s="109"/>
      <c r="S146" s="109">
        <v>0</v>
      </c>
      <c r="T146" s="109">
        <v>0</v>
      </c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</row>
    <row r="147" spans="1:36" x14ac:dyDescent="0.3">
      <c r="A147" s="77">
        <v>141</v>
      </c>
      <c r="B147" s="108" t="s">
        <v>2439</v>
      </c>
      <c r="C147" s="108" t="s">
        <v>117</v>
      </c>
      <c r="D147" s="108" t="s">
        <v>117</v>
      </c>
      <c r="E147" s="109" t="s">
        <v>3316</v>
      </c>
      <c r="F147" s="109" t="s">
        <v>3455</v>
      </c>
      <c r="G147" s="109">
        <v>8</v>
      </c>
      <c r="H147" s="109"/>
      <c r="I147" s="109"/>
      <c r="J147" s="109"/>
      <c r="K147" s="109" t="s">
        <v>3465</v>
      </c>
      <c r="L147" s="109"/>
      <c r="M147" s="109"/>
      <c r="N147" s="109"/>
      <c r="O147" s="109"/>
      <c r="P147" s="109">
        <v>610</v>
      </c>
      <c r="Q147" s="109">
        <v>118</v>
      </c>
      <c r="R147" s="109"/>
      <c r="S147" s="109">
        <v>0</v>
      </c>
      <c r="T147" s="109">
        <v>0</v>
      </c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</row>
    <row r="148" spans="1:36" x14ac:dyDescent="0.3">
      <c r="A148" s="77">
        <v>142</v>
      </c>
      <c r="B148" s="108" t="s">
        <v>2439</v>
      </c>
      <c r="C148" s="108" t="s">
        <v>117</v>
      </c>
      <c r="D148" s="108" t="s">
        <v>117</v>
      </c>
      <c r="E148" s="109" t="s">
        <v>3316</v>
      </c>
      <c r="F148" s="109" t="s">
        <v>3455</v>
      </c>
      <c r="G148" s="109">
        <v>9</v>
      </c>
      <c r="H148" s="109"/>
      <c r="I148" s="109"/>
      <c r="J148" s="109"/>
      <c r="K148" s="109" t="s">
        <v>3466</v>
      </c>
      <c r="L148" s="109"/>
      <c r="M148" s="109"/>
      <c r="N148" s="109"/>
      <c r="O148" s="109"/>
      <c r="P148" s="109">
        <v>2738</v>
      </c>
      <c r="Q148" s="109">
        <v>505</v>
      </c>
      <c r="R148" s="109"/>
      <c r="S148" s="109">
        <v>0</v>
      </c>
      <c r="T148" s="109">
        <v>0</v>
      </c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</row>
    <row r="149" spans="1:36" x14ac:dyDescent="0.3">
      <c r="A149" s="77">
        <v>143</v>
      </c>
      <c r="B149" s="108" t="s">
        <v>2439</v>
      </c>
      <c r="C149" s="108" t="s">
        <v>117</v>
      </c>
      <c r="D149" s="108" t="s">
        <v>117</v>
      </c>
      <c r="E149" s="109" t="s">
        <v>3316</v>
      </c>
      <c r="F149" s="109" t="s">
        <v>3467</v>
      </c>
      <c r="G149" s="109">
        <v>1</v>
      </c>
      <c r="H149" s="109" t="s">
        <v>3468</v>
      </c>
      <c r="I149" s="109"/>
      <c r="J149" s="109"/>
      <c r="K149" s="109" t="s">
        <v>3469</v>
      </c>
      <c r="L149" s="109"/>
      <c r="M149" s="109"/>
      <c r="N149" s="109"/>
      <c r="O149" s="109"/>
      <c r="P149" s="109">
        <v>2948</v>
      </c>
      <c r="Q149" s="109">
        <v>582</v>
      </c>
      <c r="R149" s="109"/>
      <c r="S149" s="109">
        <v>0</v>
      </c>
      <c r="T149" s="109">
        <v>0</v>
      </c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</row>
    <row r="150" spans="1:36" x14ac:dyDescent="0.3">
      <c r="A150" s="77">
        <v>144</v>
      </c>
      <c r="B150" s="108" t="s">
        <v>2439</v>
      </c>
      <c r="C150" s="108" t="s">
        <v>117</v>
      </c>
      <c r="D150" s="108" t="s">
        <v>117</v>
      </c>
      <c r="E150" s="109" t="s">
        <v>3316</v>
      </c>
      <c r="F150" s="109" t="s">
        <v>3467</v>
      </c>
      <c r="G150" s="109">
        <v>2</v>
      </c>
      <c r="H150" s="109" t="s">
        <v>3468</v>
      </c>
      <c r="I150" s="109"/>
      <c r="J150" s="109"/>
      <c r="K150" s="109" t="s">
        <v>3470</v>
      </c>
      <c r="L150" s="109"/>
      <c r="M150" s="109"/>
      <c r="N150" s="109"/>
      <c r="O150" s="109"/>
      <c r="P150" s="109">
        <v>3521</v>
      </c>
      <c r="Q150" s="109">
        <v>725</v>
      </c>
      <c r="R150" s="109"/>
      <c r="S150" s="109">
        <v>0</v>
      </c>
      <c r="T150" s="109">
        <v>0</v>
      </c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</row>
    <row r="151" spans="1:36" x14ac:dyDescent="0.3">
      <c r="A151" s="77">
        <v>145</v>
      </c>
      <c r="B151" s="108" t="s">
        <v>2439</v>
      </c>
      <c r="C151" s="108" t="s">
        <v>117</v>
      </c>
      <c r="D151" s="108" t="s">
        <v>117</v>
      </c>
      <c r="E151" s="109" t="s">
        <v>3316</v>
      </c>
      <c r="F151" s="109" t="s">
        <v>3467</v>
      </c>
      <c r="G151" s="109">
        <v>3</v>
      </c>
      <c r="H151" s="109" t="s">
        <v>3468</v>
      </c>
      <c r="I151" s="109"/>
      <c r="J151" s="109"/>
      <c r="K151" s="109" t="s">
        <v>3471</v>
      </c>
      <c r="L151" s="109"/>
      <c r="M151" s="109"/>
      <c r="N151" s="109"/>
      <c r="O151" s="109"/>
      <c r="P151" s="109">
        <v>4702</v>
      </c>
      <c r="Q151" s="109">
        <v>965</v>
      </c>
      <c r="R151" s="109"/>
      <c r="S151" s="109">
        <v>0</v>
      </c>
      <c r="T151" s="109">
        <v>0</v>
      </c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  <c r="AF151" s="109"/>
      <c r="AG151" s="109"/>
      <c r="AH151" s="109"/>
      <c r="AI151" s="109"/>
      <c r="AJ151" s="109"/>
    </row>
    <row r="152" spans="1:36" x14ac:dyDescent="0.3">
      <c r="A152" s="77">
        <v>146</v>
      </c>
      <c r="B152" s="108" t="s">
        <v>2439</v>
      </c>
      <c r="C152" s="108" t="s">
        <v>117</v>
      </c>
      <c r="D152" s="108" t="s">
        <v>117</v>
      </c>
      <c r="E152" s="109" t="s">
        <v>3316</v>
      </c>
      <c r="F152" s="109" t="s">
        <v>3467</v>
      </c>
      <c r="G152" s="109">
        <v>4</v>
      </c>
      <c r="H152" s="109"/>
      <c r="I152" s="109"/>
      <c r="J152" s="109"/>
      <c r="K152" s="109" t="s">
        <v>3472</v>
      </c>
      <c r="L152" s="109"/>
      <c r="M152" s="109"/>
      <c r="N152" s="109"/>
      <c r="O152" s="109"/>
      <c r="P152" s="109">
        <v>3755</v>
      </c>
      <c r="Q152" s="109">
        <v>759</v>
      </c>
      <c r="R152" s="109"/>
      <c r="S152" s="109">
        <v>0</v>
      </c>
      <c r="T152" s="109">
        <v>0</v>
      </c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  <c r="AF152" s="109"/>
      <c r="AG152" s="109"/>
      <c r="AH152" s="109"/>
      <c r="AI152" s="109"/>
      <c r="AJ152" s="109"/>
    </row>
    <row r="153" spans="1:36" x14ac:dyDescent="0.3">
      <c r="A153" s="77">
        <v>147</v>
      </c>
      <c r="B153" s="108" t="s">
        <v>2439</v>
      </c>
      <c r="C153" s="108" t="s">
        <v>117</v>
      </c>
      <c r="D153" s="108" t="s">
        <v>117</v>
      </c>
      <c r="E153" s="109" t="s">
        <v>3316</v>
      </c>
      <c r="F153" s="109" t="s">
        <v>3467</v>
      </c>
      <c r="G153" s="109">
        <v>5</v>
      </c>
      <c r="H153" s="109"/>
      <c r="I153" s="109"/>
      <c r="J153" s="109"/>
      <c r="K153" s="109" t="s">
        <v>3473</v>
      </c>
      <c r="L153" s="109"/>
      <c r="M153" s="109"/>
      <c r="N153" s="109"/>
      <c r="O153" s="109"/>
      <c r="P153" s="109">
        <v>3615</v>
      </c>
      <c r="Q153" s="109">
        <v>738</v>
      </c>
      <c r="R153" s="109"/>
      <c r="S153" s="109">
        <v>0</v>
      </c>
      <c r="T153" s="109">
        <v>0</v>
      </c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  <c r="AF153" s="109"/>
      <c r="AG153" s="109"/>
      <c r="AH153" s="109"/>
      <c r="AI153" s="109"/>
      <c r="AJ153" s="109"/>
    </row>
    <row r="154" spans="1:36" x14ac:dyDescent="0.3">
      <c r="A154" s="77">
        <v>148</v>
      </c>
      <c r="B154" s="108" t="s">
        <v>2439</v>
      </c>
      <c r="C154" s="108" t="s">
        <v>117</v>
      </c>
      <c r="D154" s="108" t="s">
        <v>117</v>
      </c>
      <c r="E154" s="109" t="s">
        <v>3316</v>
      </c>
      <c r="F154" s="109" t="s">
        <v>3467</v>
      </c>
      <c r="G154" s="109">
        <v>6</v>
      </c>
      <c r="H154" s="109"/>
      <c r="I154" s="109"/>
      <c r="J154" s="109"/>
      <c r="K154" s="109" t="s">
        <v>68</v>
      </c>
      <c r="L154" s="109"/>
      <c r="M154" s="109"/>
      <c r="N154" s="109"/>
      <c r="O154" s="109"/>
      <c r="P154" s="109">
        <v>4101</v>
      </c>
      <c r="Q154" s="109">
        <v>794</v>
      </c>
      <c r="R154" s="109"/>
      <c r="S154" s="109">
        <v>0</v>
      </c>
      <c r="T154" s="109">
        <v>0</v>
      </c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  <c r="AF154" s="109"/>
      <c r="AG154" s="109"/>
      <c r="AH154" s="109"/>
      <c r="AI154" s="109"/>
      <c r="AJ154" s="109"/>
    </row>
    <row r="155" spans="1:36" x14ac:dyDescent="0.3">
      <c r="A155" s="77">
        <v>149</v>
      </c>
      <c r="B155" s="108" t="s">
        <v>2439</v>
      </c>
      <c r="C155" s="108" t="s">
        <v>117</v>
      </c>
      <c r="D155" s="108" t="s">
        <v>117</v>
      </c>
      <c r="E155" s="109" t="s">
        <v>3316</v>
      </c>
      <c r="F155" s="109" t="s">
        <v>3467</v>
      </c>
      <c r="G155" s="109">
        <v>7</v>
      </c>
      <c r="H155" s="109" t="s">
        <v>3468</v>
      </c>
      <c r="I155" s="109"/>
      <c r="J155" s="109"/>
      <c r="K155" s="109" t="s">
        <v>3474</v>
      </c>
      <c r="L155" s="109"/>
      <c r="M155" s="109"/>
      <c r="N155" s="109"/>
      <c r="O155" s="109"/>
      <c r="P155" s="109">
        <v>4697</v>
      </c>
      <c r="Q155" s="109">
        <v>932</v>
      </c>
      <c r="R155" s="109"/>
      <c r="S155" s="109">
        <v>0</v>
      </c>
      <c r="T155" s="109">
        <v>0</v>
      </c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  <c r="AF155" s="109"/>
      <c r="AG155" s="109"/>
      <c r="AH155" s="109"/>
      <c r="AI155" s="109"/>
      <c r="AJ155" s="109"/>
    </row>
    <row r="156" spans="1:36" x14ac:dyDescent="0.3">
      <c r="A156" s="77">
        <v>150</v>
      </c>
      <c r="B156" s="108" t="s">
        <v>2439</v>
      </c>
      <c r="C156" s="108" t="s">
        <v>117</v>
      </c>
      <c r="D156" s="108" t="s">
        <v>117</v>
      </c>
      <c r="E156" s="109" t="s">
        <v>3316</v>
      </c>
      <c r="F156" s="109" t="s">
        <v>3467</v>
      </c>
      <c r="G156" s="109">
        <v>8</v>
      </c>
      <c r="H156" s="109"/>
      <c r="I156" s="109"/>
      <c r="J156" s="109"/>
      <c r="K156" s="109" t="s">
        <v>3475</v>
      </c>
      <c r="L156" s="109"/>
      <c r="M156" s="109"/>
      <c r="N156" s="109"/>
      <c r="O156" s="109"/>
      <c r="P156" s="109">
        <v>3044</v>
      </c>
      <c r="Q156" s="109">
        <v>623</v>
      </c>
      <c r="R156" s="109"/>
      <c r="S156" s="109">
        <v>0</v>
      </c>
      <c r="T156" s="109">
        <v>0</v>
      </c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  <c r="AF156" s="109"/>
      <c r="AG156" s="109"/>
      <c r="AH156" s="109"/>
      <c r="AI156" s="109"/>
      <c r="AJ156" s="109"/>
    </row>
    <row r="157" spans="1:36" x14ac:dyDescent="0.3">
      <c r="A157" s="77">
        <v>151</v>
      </c>
      <c r="B157" s="108" t="s">
        <v>2439</v>
      </c>
      <c r="C157" s="108" t="s">
        <v>117</v>
      </c>
      <c r="D157" s="108" t="s">
        <v>117</v>
      </c>
      <c r="E157" s="109" t="s">
        <v>3316</v>
      </c>
      <c r="F157" s="109" t="s">
        <v>3467</v>
      </c>
      <c r="G157" s="109">
        <v>9</v>
      </c>
      <c r="H157" s="109"/>
      <c r="I157" s="109"/>
      <c r="J157" s="109"/>
      <c r="K157" s="109" t="s">
        <v>3476</v>
      </c>
      <c r="L157" s="109"/>
      <c r="M157" s="109"/>
      <c r="N157" s="109"/>
      <c r="O157" s="109"/>
      <c r="P157" s="109">
        <v>4136</v>
      </c>
      <c r="Q157" s="109">
        <v>848</v>
      </c>
      <c r="R157" s="109"/>
      <c r="S157" s="109">
        <v>0</v>
      </c>
      <c r="T157" s="109">
        <v>0</v>
      </c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  <c r="AF157" s="109"/>
      <c r="AG157" s="109"/>
      <c r="AH157" s="109"/>
      <c r="AI157" s="109"/>
      <c r="AJ157" s="109"/>
    </row>
    <row r="158" spans="1:36" x14ac:dyDescent="0.3">
      <c r="A158" s="77">
        <v>152</v>
      </c>
      <c r="B158" s="108" t="s">
        <v>2439</v>
      </c>
      <c r="C158" s="108" t="s">
        <v>117</v>
      </c>
      <c r="D158" s="108" t="s">
        <v>117</v>
      </c>
      <c r="E158" s="109" t="s">
        <v>3316</v>
      </c>
      <c r="F158" s="109" t="s">
        <v>3477</v>
      </c>
      <c r="G158" s="109">
        <v>1</v>
      </c>
      <c r="H158" s="109" t="s">
        <v>2698</v>
      </c>
      <c r="I158" s="109"/>
      <c r="J158" s="109"/>
      <c r="K158" s="109" t="s">
        <v>3478</v>
      </c>
      <c r="L158" s="109"/>
      <c r="M158" s="109"/>
      <c r="N158" s="109"/>
      <c r="O158" s="109"/>
      <c r="P158" s="109">
        <v>2520</v>
      </c>
      <c r="Q158" s="109">
        <v>488</v>
      </c>
      <c r="R158" s="109"/>
      <c r="S158" s="109">
        <v>0</v>
      </c>
      <c r="T158" s="109">
        <v>0</v>
      </c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</row>
    <row r="159" spans="1:36" x14ac:dyDescent="0.3">
      <c r="A159" s="77">
        <v>153</v>
      </c>
      <c r="B159" s="108" t="s">
        <v>2439</v>
      </c>
      <c r="C159" s="108" t="s">
        <v>117</v>
      </c>
      <c r="D159" s="108" t="s">
        <v>117</v>
      </c>
      <c r="E159" s="109" t="s">
        <v>3316</v>
      </c>
      <c r="F159" s="109" t="s">
        <v>3477</v>
      </c>
      <c r="G159" s="109">
        <v>1</v>
      </c>
      <c r="H159" s="109" t="s">
        <v>2698</v>
      </c>
      <c r="I159" s="109"/>
      <c r="J159" s="109"/>
      <c r="K159" s="109" t="s">
        <v>3479</v>
      </c>
      <c r="L159" s="109"/>
      <c r="M159" s="109"/>
      <c r="N159" s="109"/>
      <c r="O159" s="109"/>
      <c r="P159" s="109">
        <v>6080</v>
      </c>
      <c r="Q159" s="109">
        <v>1358</v>
      </c>
      <c r="R159" s="109"/>
      <c r="S159" s="109">
        <v>0</v>
      </c>
      <c r="T159" s="109">
        <v>0</v>
      </c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  <c r="AF159" s="109"/>
      <c r="AG159" s="109"/>
      <c r="AH159" s="109"/>
      <c r="AI159" s="109"/>
      <c r="AJ159" s="109"/>
    </row>
    <row r="160" spans="1:36" x14ac:dyDescent="0.3">
      <c r="A160" s="77">
        <v>154</v>
      </c>
      <c r="B160" s="108" t="s">
        <v>2439</v>
      </c>
      <c r="C160" s="108" t="s">
        <v>117</v>
      </c>
      <c r="D160" s="108" t="s">
        <v>117</v>
      </c>
      <c r="E160" s="109" t="s">
        <v>3316</v>
      </c>
      <c r="F160" s="109" t="s">
        <v>3477</v>
      </c>
      <c r="G160" s="109">
        <v>3</v>
      </c>
      <c r="H160" s="109" t="s">
        <v>2698</v>
      </c>
      <c r="I160" s="109"/>
      <c r="J160" s="109"/>
      <c r="K160" s="109" t="s">
        <v>3480</v>
      </c>
      <c r="L160" s="109"/>
      <c r="M160" s="109"/>
      <c r="N160" s="109"/>
      <c r="O160" s="109"/>
      <c r="P160" s="109">
        <v>2498</v>
      </c>
      <c r="Q160" s="109">
        <v>532</v>
      </c>
      <c r="R160" s="109"/>
      <c r="S160" s="109">
        <v>0</v>
      </c>
      <c r="T160" s="109">
        <v>0</v>
      </c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  <c r="AF160" s="109"/>
      <c r="AG160" s="109"/>
      <c r="AH160" s="109"/>
      <c r="AI160" s="109"/>
      <c r="AJ160" s="109"/>
    </row>
    <row r="161" spans="1:36" x14ac:dyDescent="0.3">
      <c r="A161" s="77">
        <v>155</v>
      </c>
      <c r="B161" s="108" t="s">
        <v>2439</v>
      </c>
      <c r="C161" s="108" t="s">
        <v>117</v>
      </c>
      <c r="D161" s="108" t="s">
        <v>117</v>
      </c>
      <c r="E161" s="109" t="s">
        <v>3316</v>
      </c>
      <c r="F161" s="109" t="s">
        <v>3477</v>
      </c>
      <c r="G161" s="109">
        <v>4</v>
      </c>
      <c r="H161" s="109" t="s">
        <v>2698</v>
      </c>
      <c r="I161" s="109"/>
      <c r="J161" s="109"/>
      <c r="K161" s="109" t="s">
        <v>3481</v>
      </c>
      <c r="L161" s="109"/>
      <c r="M161" s="109"/>
      <c r="N161" s="109"/>
      <c r="O161" s="109"/>
      <c r="P161" s="109">
        <v>2004</v>
      </c>
      <c r="Q161" s="109">
        <v>429</v>
      </c>
      <c r="R161" s="109"/>
      <c r="S161" s="109">
        <v>0</v>
      </c>
      <c r="T161" s="109">
        <v>0</v>
      </c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  <c r="AF161" s="109"/>
      <c r="AG161" s="109"/>
      <c r="AH161" s="109"/>
      <c r="AI161" s="109"/>
      <c r="AJ161" s="109"/>
    </row>
    <row r="162" spans="1:36" x14ac:dyDescent="0.3">
      <c r="A162" s="77">
        <v>156</v>
      </c>
      <c r="B162" s="108" t="s">
        <v>2439</v>
      </c>
      <c r="C162" s="108" t="s">
        <v>117</v>
      </c>
      <c r="D162" s="108" t="s">
        <v>117</v>
      </c>
      <c r="E162" s="109" t="s">
        <v>3316</v>
      </c>
      <c r="F162" s="109" t="s">
        <v>3477</v>
      </c>
      <c r="G162" s="109">
        <v>4</v>
      </c>
      <c r="H162" s="109"/>
      <c r="I162" s="109"/>
      <c r="J162" s="109"/>
      <c r="K162" s="109" t="s">
        <v>3482</v>
      </c>
      <c r="L162" s="109"/>
      <c r="M162" s="109"/>
      <c r="N162" s="109"/>
      <c r="O162" s="109"/>
      <c r="P162" s="109">
        <v>1702</v>
      </c>
      <c r="Q162" s="109">
        <v>327</v>
      </c>
      <c r="R162" s="109"/>
      <c r="S162" s="109">
        <v>0</v>
      </c>
      <c r="T162" s="109">
        <v>0</v>
      </c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  <c r="AF162" s="109"/>
      <c r="AG162" s="109"/>
      <c r="AH162" s="109"/>
      <c r="AI162" s="109"/>
      <c r="AJ162" s="109"/>
    </row>
    <row r="163" spans="1:36" x14ac:dyDescent="0.3">
      <c r="A163" s="77">
        <v>157</v>
      </c>
      <c r="B163" s="108" t="s">
        <v>2439</v>
      </c>
      <c r="C163" s="108" t="s">
        <v>117</v>
      </c>
      <c r="D163" s="108" t="s">
        <v>117</v>
      </c>
      <c r="E163" s="109" t="s">
        <v>3316</v>
      </c>
      <c r="F163" s="109" t="s">
        <v>3477</v>
      </c>
      <c r="G163" s="109">
        <v>4</v>
      </c>
      <c r="H163" s="109"/>
      <c r="I163" s="109"/>
      <c r="J163" s="109"/>
      <c r="K163" s="109" t="s">
        <v>3483</v>
      </c>
      <c r="L163" s="109"/>
      <c r="M163" s="109"/>
      <c r="N163" s="109"/>
      <c r="O163" s="109"/>
      <c r="P163" s="109">
        <v>1127</v>
      </c>
      <c r="Q163" s="109">
        <v>227</v>
      </c>
      <c r="R163" s="109"/>
      <c r="S163" s="109">
        <v>0</v>
      </c>
      <c r="T163" s="109">
        <v>0</v>
      </c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  <c r="AF163" s="109"/>
      <c r="AG163" s="109"/>
      <c r="AH163" s="109"/>
      <c r="AI163" s="109"/>
      <c r="AJ163" s="109"/>
    </row>
    <row r="164" spans="1:36" x14ac:dyDescent="0.3">
      <c r="A164" s="77">
        <v>158</v>
      </c>
      <c r="B164" s="108" t="s">
        <v>2439</v>
      </c>
      <c r="C164" s="108" t="s">
        <v>117</v>
      </c>
      <c r="D164" s="108" t="s">
        <v>117</v>
      </c>
      <c r="E164" s="109" t="s">
        <v>3316</v>
      </c>
      <c r="F164" s="109" t="s">
        <v>3477</v>
      </c>
      <c r="G164" s="109">
        <v>4</v>
      </c>
      <c r="H164" s="109" t="s">
        <v>2698</v>
      </c>
      <c r="I164" s="109"/>
      <c r="J164" s="109"/>
      <c r="K164" s="109" t="s">
        <v>3484</v>
      </c>
      <c r="L164" s="109"/>
      <c r="M164" s="109"/>
      <c r="N164" s="109"/>
      <c r="O164" s="109"/>
      <c r="P164" s="109">
        <v>1318</v>
      </c>
      <c r="Q164" s="109">
        <v>321</v>
      </c>
      <c r="R164" s="109"/>
      <c r="S164" s="109">
        <v>0</v>
      </c>
      <c r="T164" s="109">
        <v>0</v>
      </c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  <c r="AF164" s="109"/>
      <c r="AG164" s="109"/>
      <c r="AH164" s="109"/>
      <c r="AI164" s="109"/>
      <c r="AJ164" s="109"/>
    </row>
    <row r="165" spans="1:36" x14ac:dyDescent="0.3">
      <c r="A165" s="77">
        <v>159</v>
      </c>
      <c r="B165" s="108" t="s">
        <v>2439</v>
      </c>
      <c r="C165" s="108" t="s">
        <v>117</v>
      </c>
      <c r="D165" s="108" t="s">
        <v>117</v>
      </c>
      <c r="E165" s="109" t="s">
        <v>3316</v>
      </c>
      <c r="F165" s="109" t="s">
        <v>3477</v>
      </c>
      <c r="G165" s="109">
        <v>5</v>
      </c>
      <c r="H165" s="109" t="s">
        <v>2698</v>
      </c>
      <c r="I165" s="109"/>
      <c r="J165" s="109"/>
      <c r="K165" s="109" t="s">
        <v>3485</v>
      </c>
      <c r="L165" s="109"/>
      <c r="M165" s="109"/>
      <c r="N165" s="109"/>
      <c r="O165" s="109"/>
      <c r="P165" s="109">
        <v>10828</v>
      </c>
      <c r="Q165" s="109">
        <v>2399</v>
      </c>
      <c r="R165" s="109"/>
      <c r="S165" s="109">
        <v>0</v>
      </c>
      <c r="T165" s="109">
        <v>0</v>
      </c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09"/>
      <c r="AJ165" s="109"/>
    </row>
    <row r="166" spans="1:36" x14ac:dyDescent="0.3">
      <c r="A166" s="77">
        <v>160</v>
      </c>
      <c r="B166" s="108" t="s">
        <v>2439</v>
      </c>
      <c r="C166" s="108" t="s">
        <v>117</v>
      </c>
      <c r="D166" s="108" t="s">
        <v>117</v>
      </c>
      <c r="E166" s="109" t="s">
        <v>3316</v>
      </c>
      <c r="F166" s="109" t="s">
        <v>3477</v>
      </c>
      <c r="G166" s="109">
        <v>6</v>
      </c>
      <c r="H166" s="109" t="s">
        <v>2698</v>
      </c>
      <c r="I166" s="109"/>
      <c r="J166" s="109"/>
      <c r="K166" s="109" t="s">
        <v>3486</v>
      </c>
      <c r="L166" s="109"/>
      <c r="M166" s="109"/>
      <c r="N166" s="109"/>
      <c r="O166" s="109"/>
      <c r="P166" s="109">
        <v>1185</v>
      </c>
      <c r="Q166" s="109">
        <v>334</v>
      </c>
      <c r="R166" s="109"/>
      <c r="S166" s="109">
        <v>0</v>
      </c>
      <c r="T166" s="109">
        <v>0</v>
      </c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</row>
    <row r="167" spans="1:36" x14ac:dyDescent="0.3">
      <c r="A167" s="77">
        <v>161</v>
      </c>
      <c r="B167" s="108" t="s">
        <v>2439</v>
      </c>
      <c r="C167" s="108" t="s">
        <v>117</v>
      </c>
      <c r="D167" s="108" t="s">
        <v>117</v>
      </c>
      <c r="E167" s="109" t="s">
        <v>3316</v>
      </c>
      <c r="F167" s="109" t="s">
        <v>3477</v>
      </c>
      <c r="G167" s="109">
        <v>6</v>
      </c>
      <c r="H167" s="109" t="s">
        <v>2698</v>
      </c>
      <c r="I167" s="109"/>
      <c r="J167" s="109"/>
      <c r="K167" s="109" t="s">
        <v>3487</v>
      </c>
      <c r="L167" s="109"/>
      <c r="M167" s="109"/>
      <c r="N167" s="109"/>
      <c r="O167" s="109"/>
      <c r="P167" s="109">
        <v>843</v>
      </c>
      <c r="Q167" s="109">
        <v>241</v>
      </c>
      <c r="R167" s="109"/>
      <c r="S167" s="109">
        <v>0</v>
      </c>
      <c r="T167" s="109">
        <v>0</v>
      </c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</row>
    <row r="168" spans="1:36" x14ac:dyDescent="0.3">
      <c r="A168" s="77">
        <v>162</v>
      </c>
      <c r="B168" s="108" t="s">
        <v>2439</v>
      </c>
      <c r="C168" s="108" t="s">
        <v>117</v>
      </c>
      <c r="D168" s="108" t="s">
        <v>117</v>
      </c>
      <c r="E168" s="109" t="s">
        <v>3316</v>
      </c>
      <c r="F168" s="109" t="s">
        <v>3477</v>
      </c>
      <c r="G168" s="109">
        <v>7</v>
      </c>
      <c r="H168" s="109" t="s">
        <v>2698</v>
      </c>
      <c r="I168" s="109"/>
      <c r="J168" s="109"/>
      <c r="K168" s="109" t="s">
        <v>3488</v>
      </c>
      <c r="L168" s="109"/>
      <c r="M168" s="109"/>
      <c r="N168" s="109"/>
      <c r="O168" s="109"/>
      <c r="P168" s="109">
        <v>2249</v>
      </c>
      <c r="Q168" s="109">
        <v>558</v>
      </c>
      <c r="R168" s="109"/>
      <c r="S168" s="109">
        <v>0</v>
      </c>
      <c r="T168" s="109">
        <v>0</v>
      </c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</row>
    <row r="169" spans="1:36" x14ac:dyDescent="0.3">
      <c r="A169" s="77">
        <v>163</v>
      </c>
      <c r="B169" s="108" t="s">
        <v>2439</v>
      </c>
      <c r="C169" s="108" t="s">
        <v>117</v>
      </c>
      <c r="D169" s="108" t="s">
        <v>117</v>
      </c>
      <c r="E169" s="109" t="s">
        <v>3316</v>
      </c>
      <c r="F169" s="109" t="s">
        <v>3477</v>
      </c>
      <c r="G169" s="109">
        <v>8</v>
      </c>
      <c r="H169" s="109" t="s">
        <v>2698</v>
      </c>
      <c r="I169" s="109"/>
      <c r="J169" s="109"/>
      <c r="K169" s="109" t="s">
        <v>3489</v>
      </c>
      <c r="L169" s="109"/>
      <c r="M169" s="109"/>
      <c r="N169" s="109"/>
      <c r="O169" s="109"/>
      <c r="P169" s="109">
        <v>1774</v>
      </c>
      <c r="Q169" s="109">
        <v>424</v>
      </c>
      <c r="R169" s="109"/>
      <c r="S169" s="109">
        <v>0</v>
      </c>
      <c r="T169" s="109">
        <v>0</v>
      </c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</row>
    <row r="170" spans="1:36" x14ac:dyDescent="0.3">
      <c r="A170" s="77">
        <v>164</v>
      </c>
      <c r="B170" s="108" t="s">
        <v>2439</v>
      </c>
      <c r="C170" s="108" t="s">
        <v>117</v>
      </c>
      <c r="D170" s="108" t="s">
        <v>117</v>
      </c>
      <c r="E170" s="109" t="s">
        <v>3316</v>
      </c>
      <c r="F170" s="109" t="s">
        <v>3477</v>
      </c>
      <c r="G170" s="109">
        <v>9</v>
      </c>
      <c r="H170" s="109" t="s">
        <v>2698</v>
      </c>
      <c r="I170" s="109"/>
      <c r="J170" s="109"/>
      <c r="K170" s="109" t="s">
        <v>3490</v>
      </c>
      <c r="L170" s="109"/>
      <c r="M170" s="109"/>
      <c r="N170" s="109"/>
      <c r="O170" s="109"/>
      <c r="P170" s="109">
        <v>1185</v>
      </c>
      <c r="Q170" s="109">
        <v>299</v>
      </c>
      <c r="R170" s="109"/>
      <c r="S170" s="109">
        <v>0</v>
      </c>
      <c r="T170" s="109">
        <v>0</v>
      </c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</row>
    <row r="171" spans="1:36" x14ac:dyDescent="0.3">
      <c r="A171" s="77">
        <v>165</v>
      </c>
      <c r="B171" s="108" t="s">
        <v>2439</v>
      </c>
      <c r="C171" s="108" t="s">
        <v>117</v>
      </c>
      <c r="D171" s="108" t="s">
        <v>117</v>
      </c>
      <c r="E171" s="109" t="s">
        <v>3316</v>
      </c>
      <c r="F171" s="109" t="s">
        <v>3477</v>
      </c>
      <c r="G171" s="109">
        <v>9</v>
      </c>
      <c r="H171" s="109" t="s">
        <v>2698</v>
      </c>
      <c r="I171" s="109"/>
      <c r="J171" s="109"/>
      <c r="K171" s="109" t="s">
        <v>3491</v>
      </c>
      <c r="L171" s="109"/>
      <c r="M171" s="109"/>
      <c r="N171" s="109"/>
      <c r="O171" s="109"/>
      <c r="P171" s="109">
        <v>951</v>
      </c>
      <c r="Q171" s="109">
        <v>200</v>
      </c>
      <c r="R171" s="109"/>
      <c r="S171" s="109">
        <v>0</v>
      </c>
      <c r="T171" s="109">
        <v>0</v>
      </c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</row>
    <row r="172" spans="1:36" x14ac:dyDescent="0.3">
      <c r="A172" s="77">
        <v>166</v>
      </c>
      <c r="B172" s="108" t="s">
        <v>2439</v>
      </c>
      <c r="C172" s="108" t="s">
        <v>117</v>
      </c>
      <c r="D172" s="108" t="s">
        <v>117</v>
      </c>
      <c r="E172" s="109" t="s">
        <v>3316</v>
      </c>
      <c r="F172" s="109" t="s">
        <v>3492</v>
      </c>
      <c r="G172" s="109">
        <v>1</v>
      </c>
      <c r="H172" s="109" t="s">
        <v>3327</v>
      </c>
      <c r="I172" s="109"/>
      <c r="J172" s="109"/>
      <c r="K172" s="109" t="s">
        <v>3493</v>
      </c>
      <c r="L172" s="109"/>
      <c r="M172" s="109"/>
      <c r="N172" s="109"/>
      <c r="O172" s="109"/>
      <c r="P172" s="109">
        <v>3623</v>
      </c>
      <c r="Q172" s="109">
        <v>672</v>
      </c>
      <c r="R172" s="109"/>
      <c r="S172" s="109">
        <v>0</v>
      </c>
      <c r="T172" s="109">
        <v>0</v>
      </c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</row>
    <row r="173" spans="1:36" x14ac:dyDescent="0.3">
      <c r="A173" s="77">
        <v>167</v>
      </c>
      <c r="B173" s="108" t="s">
        <v>2439</v>
      </c>
      <c r="C173" s="108" t="s">
        <v>117</v>
      </c>
      <c r="D173" s="108" t="s">
        <v>117</v>
      </c>
      <c r="E173" s="109" t="s">
        <v>3316</v>
      </c>
      <c r="F173" s="109" t="s">
        <v>3492</v>
      </c>
      <c r="G173" s="109">
        <v>2</v>
      </c>
      <c r="H173" s="109" t="s">
        <v>3327</v>
      </c>
      <c r="I173" s="109"/>
      <c r="J173" s="109"/>
      <c r="K173" s="109" t="s">
        <v>3494</v>
      </c>
      <c r="L173" s="109"/>
      <c r="M173" s="109"/>
      <c r="N173" s="109"/>
      <c r="O173" s="109"/>
      <c r="P173" s="109">
        <v>1588</v>
      </c>
      <c r="Q173" s="109">
        <v>276</v>
      </c>
      <c r="R173" s="109"/>
      <c r="S173" s="109">
        <v>0</v>
      </c>
      <c r="T173" s="109">
        <v>0</v>
      </c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</row>
    <row r="174" spans="1:36" x14ac:dyDescent="0.3">
      <c r="A174" s="77">
        <v>168</v>
      </c>
      <c r="B174" s="108" t="s">
        <v>2439</v>
      </c>
      <c r="C174" s="108" t="s">
        <v>117</v>
      </c>
      <c r="D174" s="108" t="s">
        <v>117</v>
      </c>
      <c r="E174" s="109" t="s">
        <v>3316</v>
      </c>
      <c r="F174" s="109" t="s">
        <v>3492</v>
      </c>
      <c r="G174" s="109">
        <v>3</v>
      </c>
      <c r="H174" s="109" t="s">
        <v>3327</v>
      </c>
      <c r="I174" s="109"/>
      <c r="J174" s="109"/>
      <c r="K174" s="109" t="s">
        <v>3492</v>
      </c>
      <c r="L174" s="109"/>
      <c r="M174" s="109"/>
      <c r="N174" s="109"/>
      <c r="O174" s="109"/>
      <c r="P174" s="109">
        <v>2372</v>
      </c>
      <c r="Q174" s="109">
        <v>470</v>
      </c>
      <c r="R174" s="109"/>
      <c r="S174" s="109">
        <v>0</v>
      </c>
      <c r="T174" s="109">
        <v>0</v>
      </c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</row>
    <row r="175" spans="1:36" x14ac:dyDescent="0.3">
      <c r="A175" s="77">
        <v>169</v>
      </c>
      <c r="B175" s="108" t="s">
        <v>2439</v>
      </c>
      <c r="C175" s="108" t="s">
        <v>117</v>
      </c>
      <c r="D175" s="108" t="s">
        <v>117</v>
      </c>
      <c r="E175" s="109" t="s">
        <v>3316</v>
      </c>
      <c r="F175" s="109" t="s">
        <v>3492</v>
      </c>
      <c r="G175" s="109">
        <v>4</v>
      </c>
      <c r="H175" s="109" t="s">
        <v>3327</v>
      </c>
      <c r="I175" s="109"/>
      <c r="J175" s="109"/>
      <c r="K175" s="109" t="s">
        <v>3495</v>
      </c>
      <c r="L175" s="109"/>
      <c r="M175" s="109"/>
      <c r="N175" s="109"/>
      <c r="O175" s="109"/>
      <c r="P175" s="109">
        <v>3082</v>
      </c>
      <c r="Q175" s="109">
        <v>646</v>
      </c>
      <c r="R175" s="109"/>
      <c r="S175" s="109">
        <v>0</v>
      </c>
      <c r="T175" s="109">
        <v>0</v>
      </c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</row>
    <row r="176" spans="1:36" x14ac:dyDescent="0.3">
      <c r="A176" s="77">
        <v>170</v>
      </c>
      <c r="B176" s="108" t="s">
        <v>2439</v>
      </c>
      <c r="C176" s="108" t="s">
        <v>117</v>
      </c>
      <c r="D176" s="108" t="s">
        <v>117</v>
      </c>
      <c r="E176" s="109" t="s">
        <v>3316</v>
      </c>
      <c r="F176" s="109" t="s">
        <v>3492</v>
      </c>
      <c r="G176" s="109">
        <v>5</v>
      </c>
      <c r="H176" s="109" t="s">
        <v>3327</v>
      </c>
      <c r="I176" s="109"/>
      <c r="J176" s="109"/>
      <c r="K176" s="109" t="s">
        <v>3496</v>
      </c>
      <c r="L176" s="109"/>
      <c r="M176" s="109"/>
      <c r="N176" s="109"/>
      <c r="O176" s="109"/>
      <c r="P176" s="109">
        <v>3154</v>
      </c>
      <c r="Q176" s="109">
        <v>663</v>
      </c>
      <c r="R176" s="109"/>
      <c r="S176" s="109">
        <v>0</v>
      </c>
      <c r="T176" s="109">
        <v>0</v>
      </c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</row>
    <row r="177" spans="1:36" x14ac:dyDescent="0.3">
      <c r="A177" s="77">
        <v>171</v>
      </c>
      <c r="B177" s="108" t="s">
        <v>2439</v>
      </c>
      <c r="C177" s="108" t="s">
        <v>117</v>
      </c>
      <c r="D177" s="108" t="s">
        <v>117</v>
      </c>
      <c r="E177" s="109" t="s">
        <v>3316</v>
      </c>
      <c r="F177" s="109" t="s">
        <v>3492</v>
      </c>
      <c r="G177" s="109">
        <v>6</v>
      </c>
      <c r="H177" s="109" t="s">
        <v>3327</v>
      </c>
      <c r="I177" s="109"/>
      <c r="J177" s="109"/>
      <c r="K177" s="109" t="s">
        <v>3497</v>
      </c>
      <c r="L177" s="109"/>
      <c r="M177" s="109"/>
      <c r="N177" s="109"/>
      <c r="O177" s="109"/>
      <c r="P177" s="109">
        <v>2520</v>
      </c>
      <c r="Q177" s="109">
        <v>439</v>
      </c>
      <c r="R177" s="109"/>
      <c r="S177" s="109">
        <v>0</v>
      </c>
      <c r="T177" s="109">
        <v>0</v>
      </c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</row>
    <row r="178" spans="1:36" x14ac:dyDescent="0.3">
      <c r="A178" s="77">
        <v>172</v>
      </c>
      <c r="B178" s="108" t="s">
        <v>2439</v>
      </c>
      <c r="C178" s="108" t="s">
        <v>117</v>
      </c>
      <c r="D178" s="108" t="s">
        <v>117</v>
      </c>
      <c r="E178" s="109" t="s">
        <v>3316</v>
      </c>
      <c r="F178" s="109" t="s">
        <v>3492</v>
      </c>
      <c r="G178" s="109">
        <v>7</v>
      </c>
      <c r="H178" s="109" t="s">
        <v>3327</v>
      </c>
      <c r="I178" s="109"/>
      <c r="J178" s="109"/>
      <c r="K178" s="109" t="s">
        <v>3498</v>
      </c>
      <c r="L178" s="109"/>
      <c r="M178" s="109"/>
      <c r="N178" s="109"/>
      <c r="O178" s="109"/>
      <c r="P178" s="109">
        <v>2645</v>
      </c>
      <c r="Q178" s="109">
        <v>608</v>
      </c>
      <c r="R178" s="109"/>
      <c r="S178" s="109">
        <v>0</v>
      </c>
      <c r="T178" s="109">
        <v>0</v>
      </c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</row>
    <row r="179" spans="1:36" x14ac:dyDescent="0.3">
      <c r="A179" s="77">
        <v>173</v>
      </c>
      <c r="B179" s="108" t="s">
        <v>2439</v>
      </c>
      <c r="C179" s="108" t="s">
        <v>117</v>
      </c>
      <c r="D179" s="108" t="s">
        <v>117</v>
      </c>
      <c r="E179" s="109" t="s">
        <v>3316</v>
      </c>
      <c r="F179" s="109" t="s">
        <v>3492</v>
      </c>
      <c r="G179" s="109">
        <v>8</v>
      </c>
      <c r="H179" s="109" t="s">
        <v>3327</v>
      </c>
      <c r="I179" s="109"/>
      <c r="J179" s="109"/>
      <c r="K179" s="109" t="s">
        <v>3499</v>
      </c>
      <c r="L179" s="109"/>
      <c r="M179" s="109"/>
      <c r="N179" s="109"/>
      <c r="O179" s="109"/>
      <c r="P179" s="109">
        <v>2850</v>
      </c>
      <c r="Q179" s="109">
        <v>608</v>
      </c>
      <c r="R179" s="109"/>
      <c r="S179" s="109">
        <v>0</v>
      </c>
      <c r="T179" s="109">
        <v>0</v>
      </c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</row>
    <row r="180" spans="1:36" x14ac:dyDescent="0.3">
      <c r="A180" s="77">
        <v>174</v>
      </c>
      <c r="B180" s="108" t="s">
        <v>2439</v>
      </c>
      <c r="C180" s="108" t="s">
        <v>117</v>
      </c>
      <c r="D180" s="108" t="s">
        <v>117</v>
      </c>
      <c r="E180" s="109" t="s">
        <v>3316</v>
      </c>
      <c r="F180" s="109" t="s">
        <v>3492</v>
      </c>
      <c r="G180" s="109">
        <v>9</v>
      </c>
      <c r="H180" s="109" t="s">
        <v>3327</v>
      </c>
      <c r="I180" s="109"/>
      <c r="J180" s="109"/>
      <c r="K180" s="109" t="s">
        <v>706</v>
      </c>
      <c r="L180" s="109"/>
      <c r="M180" s="109"/>
      <c r="N180" s="109"/>
      <c r="O180" s="109"/>
      <c r="P180" s="109">
        <v>1702</v>
      </c>
      <c r="Q180" s="109">
        <v>304</v>
      </c>
      <c r="R180" s="109"/>
      <c r="S180" s="109">
        <v>0</v>
      </c>
      <c r="T180" s="109">
        <v>0</v>
      </c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</row>
    <row r="181" spans="1:36" x14ac:dyDescent="0.3">
      <c r="A181" s="77">
        <v>175</v>
      </c>
      <c r="B181" s="108" t="s">
        <v>2439</v>
      </c>
      <c r="C181" s="108" t="s">
        <v>117</v>
      </c>
      <c r="D181" s="108" t="s">
        <v>117</v>
      </c>
      <c r="E181" s="109" t="s">
        <v>3316</v>
      </c>
      <c r="F181" s="109" t="s">
        <v>3500</v>
      </c>
      <c r="G181" s="109">
        <v>1</v>
      </c>
      <c r="H181" s="109" t="s">
        <v>3501</v>
      </c>
      <c r="I181" s="109"/>
      <c r="J181" s="109"/>
      <c r="K181" s="109" t="s">
        <v>3502</v>
      </c>
      <c r="L181" s="109"/>
      <c r="M181" s="109"/>
      <c r="N181" s="109"/>
      <c r="O181" s="109"/>
      <c r="P181" s="109">
        <v>3991</v>
      </c>
      <c r="Q181" s="109">
        <v>861</v>
      </c>
      <c r="R181" s="109"/>
      <c r="S181" s="109">
        <v>0</v>
      </c>
      <c r="T181" s="109">
        <v>0</v>
      </c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</row>
    <row r="182" spans="1:36" x14ac:dyDescent="0.3">
      <c r="A182" s="77">
        <v>176</v>
      </c>
      <c r="B182" s="108" t="s">
        <v>2439</v>
      </c>
      <c r="C182" s="108" t="s">
        <v>117</v>
      </c>
      <c r="D182" s="108" t="s">
        <v>117</v>
      </c>
      <c r="E182" s="109" t="s">
        <v>3316</v>
      </c>
      <c r="F182" s="109" t="s">
        <v>3500</v>
      </c>
      <c r="G182" s="109">
        <v>3</v>
      </c>
      <c r="H182" s="109" t="s">
        <v>3501</v>
      </c>
      <c r="I182" s="109"/>
      <c r="J182" s="109"/>
      <c r="K182" s="109" t="s">
        <v>3503</v>
      </c>
      <c r="L182" s="109"/>
      <c r="M182" s="109"/>
      <c r="N182" s="109"/>
      <c r="O182" s="109"/>
      <c r="P182" s="109">
        <v>597</v>
      </c>
      <c r="Q182" s="109">
        <v>150</v>
      </c>
      <c r="R182" s="109"/>
      <c r="S182" s="109">
        <v>0</v>
      </c>
      <c r="T182" s="109">
        <v>0</v>
      </c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</row>
    <row r="183" spans="1:36" x14ac:dyDescent="0.3">
      <c r="A183" s="77">
        <v>177</v>
      </c>
      <c r="B183" s="108" t="s">
        <v>2439</v>
      </c>
      <c r="C183" s="108" t="s">
        <v>117</v>
      </c>
      <c r="D183" s="108" t="s">
        <v>117</v>
      </c>
      <c r="E183" s="109" t="s">
        <v>3316</v>
      </c>
      <c r="F183" s="109" t="s">
        <v>3500</v>
      </c>
      <c r="G183" s="109">
        <v>3</v>
      </c>
      <c r="H183" s="109"/>
      <c r="I183" s="109"/>
      <c r="J183" s="109"/>
      <c r="K183" s="109" t="s">
        <v>3504</v>
      </c>
      <c r="L183" s="109"/>
      <c r="M183" s="109"/>
      <c r="N183" s="109"/>
      <c r="O183" s="109"/>
      <c r="P183" s="109">
        <v>561</v>
      </c>
      <c r="Q183" s="109">
        <v>123</v>
      </c>
      <c r="R183" s="109"/>
      <c r="S183" s="109">
        <v>0</v>
      </c>
      <c r="T183" s="109">
        <v>0</v>
      </c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</row>
    <row r="184" spans="1:36" x14ac:dyDescent="0.3">
      <c r="A184" s="77">
        <v>178</v>
      </c>
      <c r="B184" s="108" t="s">
        <v>2439</v>
      </c>
      <c r="C184" s="108" t="s">
        <v>117</v>
      </c>
      <c r="D184" s="108" t="s">
        <v>117</v>
      </c>
      <c r="E184" s="109" t="s">
        <v>3316</v>
      </c>
      <c r="F184" s="109" t="s">
        <v>3500</v>
      </c>
      <c r="G184" s="109">
        <v>4</v>
      </c>
      <c r="H184" s="109" t="s">
        <v>3501</v>
      </c>
      <c r="I184" s="109"/>
      <c r="J184" s="109"/>
      <c r="K184" s="109" t="s">
        <v>3505</v>
      </c>
      <c r="L184" s="109"/>
      <c r="M184" s="109"/>
      <c r="N184" s="109"/>
      <c r="O184" s="109"/>
      <c r="P184" s="109">
        <v>1641</v>
      </c>
      <c r="Q184" s="109">
        <v>343</v>
      </c>
      <c r="R184" s="109"/>
      <c r="S184" s="109">
        <v>0</v>
      </c>
      <c r="T184" s="109">
        <v>0</v>
      </c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</row>
    <row r="185" spans="1:36" x14ac:dyDescent="0.3">
      <c r="A185" s="77">
        <v>179</v>
      </c>
      <c r="B185" s="108" t="s">
        <v>2439</v>
      </c>
      <c r="C185" s="108" t="s">
        <v>117</v>
      </c>
      <c r="D185" s="108" t="s">
        <v>117</v>
      </c>
      <c r="E185" s="109" t="s">
        <v>3316</v>
      </c>
      <c r="F185" s="109" t="s">
        <v>3500</v>
      </c>
      <c r="G185" s="109">
        <v>5</v>
      </c>
      <c r="H185" s="109" t="s">
        <v>3501</v>
      </c>
      <c r="I185" s="109"/>
      <c r="J185" s="109"/>
      <c r="K185" s="109" t="s">
        <v>3506</v>
      </c>
      <c r="L185" s="109"/>
      <c r="M185" s="109"/>
      <c r="N185" s="109"/>
      <c r="O185" s="109"/>
      <c r="P185" s="109">
        <v>3028</v>
      </c>
      <c r="Q185" s="109">
        <v>532</v>
      </c>
      <c r="R185" s="109"/>
      <c r="S185" s="109">
        <v>0</v>
      </c>
      <c r="T185" s="109">
        <v>0</v>
      </c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</row>
    <row r="186" spans="1:36" x14ac:dyDescent="0.3">
      <c r="A186" s="77">
        <v>180</v>
      </c>
      <c r="B186" s="108" t="s">
        <v>2439</v>
      </c>
      <c r="C186" s="108" t="s">
        <v>117</v>
      </c>
      <c r="D186" s="108" t="s">
        <v>117</v>
      </c>
      <c r="E186" s="109" t="s">
        <v>3316</v>
      </c>
      <c r="F186" s="109" t="s">
        <v>3500</v>
      </c>
      <c r="G186" s="109">
        <v>6</v>
      </c>
      <c r="H186" s="109" t="s">
        <v>3501</v>
      </c>
      <c r="I186" s="109"/>
      <c r="J186" s="109"/>
      <c r="K186" s="109" t="s">
        <v>3507</v>
      </c>
      <c r="L186" s="109"/>
      <c r="M186" s="109"/>
      <c r="N186" s="109"/>
      <c r="O186" s="109"/>
      <c r="P186" s="109">
        <v>1471</v>
      </c>
      <c r="Q186" s="109">
        <v>283</v>
      </c>
      <c r="R186" s="109"/>
      <c r="S186" s="109">
        <v>0</v>
      </c>
      <c r="T186" s="109">
        <v>0</v>
      </c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</row>
    <row r="187" spans="1:36" x14ac:dyDescent="0.3">
      <c r="A187" s="77">
        <v>181</v>
      </c>
      <c r="B187" s="108" t="s">
        <v>2439</v>
      </c>
      <c r="C187" s="108" t="s">
        <v>117</v>
      </c>
      <c r="D187" s="108" t="s">
        <v>117</v>
      </c>
      <c r="E187" s="109" t="s">
        <v>3316</v>
      </c>
      <c r="F187" s="109" t="s">
        <v>3500</v>
      </c>
      <c r="G187" s="109">
        <v>6</v>
      </c>
      <c r="H187" s="109" t="s">
        <v>3501</v>
      </c>
      <c r="I187" s="109"/>
      <c r="J187" s="109"/>
      <c r="K187" s="109" t="s">
        <v>3508</v>
      </c>
      <c r="L187" s="109"/>
      <c r="M187" s="109"/>
      <c r="N187" s="109"/>
      <c r="O187" s="109"/>
      <c r="P187" s="109">
        <v>2129</v>
      </c>
      <c r="Q187" s="109">
        <v>413</v>
      </c>
      <c r="R187" s="109"/>
      <c r="S187" s="109">
        <v>0</v>
      </c>
      <c r="T187" s="109">
        <v>0</v>
      </c>
      <c r="U187" s="109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</row>
    <row r="188" spans="1:36" x14ac:dyDescent="0.3">
      <c r="A188" s="77">
        <v>182</v>
      </c>
      <c r="B188" s="108" t="s">
        <v>2439</v>
      </c>
      <c r="C188" s="108" t="s">
        <v>117</v>
      </c>
      <c r="D188" s="108" t="s">
        <v>117</v>
      </c>
      <c r="E188" s="109" t="s">
        <v>3316</v>
      </c>
      <c r="F188" s="109" t="s">
        <v>3500</v>
      </c>
      <c r="G188" s="109">
        <v>7</v>
      </c>
      <c r="H188" s="109"/>
      <c r="I188" s="109"/>
      <c r="J188" s="109"/>
      <c r="K188" s="109" t="s">
        <v>3452</v>
      </c>
      <c r="L188" s="109"/>
      <c r="M188" s="109"/>
      <c r="N188" s="109"/>
      <c r="O188" s="109"/>
      <c r="P188" s="109">
        <v>2175</v>
      </c>
      <c r="Q188" s="109">
        <v>419</v>
      </c>
      <c r="R188" s="109"/>
      <c r="S188" s="109">
        <v>0</v>
      </c>
      <c r="T188" s="109">
        <v>0</v>
      </c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</row>
    <row r="189" spans="1:36" x14ac:dyDescent="0.3">
      <c r="A189" s="77">
        <v>183</v>
      </c>
      <c r="B189" s="108" t="s">
        <v>2439</v>
      </c>
      <c r="C189" s="108" t="s">
        <v>117</v>
      </c>
      <c r="D189" s="108" t="s">
        <v>117</v>
      </c>
      <c r="E189" s="109" t="s">
        <v>3316</v>
      </c>
      <c r="F189" s="109" t="s">
        <v>3500</v>
      </c>
      <c r="G189" s="109">
        <v>8</v>
      </c>
      <c r="H189" s="109" t="s">
        <v>3501</v>
      </c>
      <c r="I189" s="109"/>
      <c r="J189" s="109"/>
      <c r="K189" s="109" t="s">
        <v>3509</v>
      </c>
      <c r="L189" s="109"/>
      <c r="M189" s="109"/>
      <c r="N189" s="109"/>
      <c r="O189" s="109"/>
      <c r="P189" s="109">
        <v>1049</v>
      </c>
      <c r="Q189" s="109">
        <v>204</v>
      </c>
      <c r="R189" s="109"/>
      <c r="S189" s="109">
        <v>0</v>
      </c>
      <c r="T189" s="109">
        <v>0</v>
      </c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09"/>
      <c r="AI189" s="109"/>
      <c r="AJ189" s="109"/>
    </row>
    <row r="190" spans="1:36" x14ac:dyDescent="0.3">
      <c r="A190" s="77">
        <v>184</v>
      </c>
      <c r="B190" s="108" t="s">
        <v>2439</v>
      </c>
      <c r="C190" s="108" t="s">
        <v>117</v>
      </c>
      <c r="D190" s="108" t="s">
        <v>117</v>
      </c>
      <c r="E190" s="109" t="s">
        <v>3316</v>
      </c>
      <c r="F190" s="109" t="s">
        <v>3500</v>
      </c>
      <c r="G190" s="109">
        <v>8</v>
      </c>
      <c r="H190" s="109" t="s">
        <v>3501</v>
      </c>
      <c r="I190" s="109"/>
      <c r="J190" s="109"/>
      <c r="K190" s="109" t="s">
        <v>3510</v>
      </c>
      <c r="L190" s="109"/>
      <c r="M190" s="109"/>
      <c r="N190" s="109"/>
      <c r="O190" s="109"/>
      <c r="P190" s="109">
        <v>2536</v>
      </c>
      <c r="Q190" s="109">
        <v>558</v>
      </c>
      <c r="R190" s="109"/>
      <c r="S190" s="109">
        <v>0</v>
      </c>
      <c r="T190" s="109">
        <v>0</v>
      </c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</row>
    <row r="191" spans="1:36" x14ac:dyDescent="0.3">
      <c r="A191" s="77">
        <v>185</v>
      </c>
      <c r="B191" s="108" t="s">
        <v>2439</v>
      </c>
      <c r="C191" s="108" t="s">
        <v>117</v>
      </c>
      <c r="D191" s="108" t="s">
        <v>117</v>
      </c>
      <c r="E191" s="109" t="s">
        <v>3316</v>
      </c>
      <c r="F191" s="109" t="s">
        <v>3500</v>
      </c>
      <c r="G191" s="109">
        <v>9</v>
      </c>
      <c r="H191" s="109"/>
      <c r="I191" s="109"/>
      <c r="J191" s="109"/>
      <c r="K191" s="109" t="s">
        <v>3511</v>
      </c>
      <c r="L191" s="109"/>
      <c r="M191" s="109"/>
      <c r="N191" s="109"/>
      <c r="O191" s="109"/>
      <c r="P191" s="109">
        <v>2047</v>
      </c>
      <c r="Q191" s="109">
        <v>449</v>
      </c>
      <c r="R191" s="109"/>
      <c r="S191" s="109">
        <v>0</v>
      </c>
      <c r="T191" s="109">
        <v>0</v>
      </c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</row>
    <row r="192" spans="1:36" x14ac:dyDescent="0.3">
      <c r="A192" s="77">
        <v>186</v>
      </c>
      <c r="B192" s="108" t="s">
        <v>2439</v>
      </c>
      <c r="C192" s="108" t="s">
        <v>117</v>
      </c>
      <c r="D192" s="108" t="s">
        <v>117</v>
      </c>
      <c r="E192" s="109" t="s">
        <v>3316</v>
      </c>
      <c r="F192" s="109" t="s">
        <v>3512</v>
      </c>
      <c r="G192" s="109">
        <v>1</v>
      </c>
      <c r="H192" s="109" t="s">
        <v>3323</v>
      </c>
      <c r="I192" s="109"/>
      <c r="J192" s="109"/>
      <c r="K192" s="109" t="s">
        <v>3513</v>
      </c>
      <c r="L192" s="109"/>
      <c r="M192" s="109"/>
      <c r="N192" s="109"/>
      <c r="O192" s="109"/>
      <c r="P192" s="109">
        <v>2257</v>
      </c>
      <c r="Q192" s="109">
        <v>440</v>
      </c>
      <c r="R192" s="109"/>
      <c r="S192" s="109">
        <v>0</v>
      </c>
      <c r="T192" s="109">
        <v>0</v>
      </c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</row>
    <row r="193" spans="1:36" x14ac:dyDescent="0.3">
      <c r="A193" s="77">
        <v>187</v>
      </c>
      <c r="B193" s="108" t="s">
        <v>2439</v>
      </c>
      <c r="C193" s="108" t="s">
        <v>117</v>
      </c>
      <c r="D193" s="108" t="s">
        <v>117</v>
      </c>
      <c r="E193" s="109" t="s">
        <v>3316</v>
      </c>
      <c r="F193" s="109" t="s">
        <v>3512</v>
      </c>
      <c r="G193" s="109">
        <v>2</v>
      </c>
      <c r="H193" s="109" t="s">
        <v>3323</v>
      </c>
      <c r="I193" s="109"/>
      <c r="J193" s="109"/>
      <c r="K193" s="109" t="s">
        <v>3514</v>
      </c>
      <c r="L193" s="109"/>
      <c r="M193" s="109"/>
      <c r="N193" s="109"/>
      <c r="O193" s="109"/>
      <c r="P193" s="109">
        <v>981</v>
      </c>
      <c r="Q193" s="109">
        <v>216</v>
      </c>
      <c r="R193" s="109"/>
      <c r="S193" s="109">
        <v>0</v>
      </c>
      <c r="T193" s="109">
        <v>0</v>
      </c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</row>
    <row r="194" spans="1:36" x14ac:dyDescent="0.3">
      <c r="A194" s="77">
        <v>188</v>
      </c>
      <c r="B194" s="108" t="s">
        <v>2439</v>
      </c>
      <c r="C194" s="108" t="s">
        <v>117</v>
      </c>
      <c r="D194" s="108" t="s">
        <v>117</v>
      </c>
      <c r="E194" s="109" t="s">
        <v>3316</v>
      </c>
      <c r="F194" s="109" t="s">
        <v>3512</v>
      </c>
      <c r="G194" s="109">
        <v>2</v>
      </c>
      <c r="H194" s="109" t="s">
        <v>3323</v>
      </c>
      <c r="I194" s="109"/>
      <c r="J194" s="109"/>
      <c r="K194" s="109" t="s">
        <v>3515</v>
      </c>
      <c r="L194" s="109"/>
      <c r="M194" s="109"/>
      <c r="N194" s="109"/>
      <c r="O194" s="109"/>
      <c r="P194" s="109">
        <v>1135</v>
      </c>
      <c r="Q194" s="109">
        <v>187</v>
      </c>
      <c r="R194" s="109"/>
      <c r="S194" s="109">
        <v>0</v>
      </c>
      <c r="T194" s="109">
        <v>0</v>
      </c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</row>
    <row r="195" spans="1:36" x14ac:dyDescent="0.3">
      <c r="A195" s="77">
        <v>189</v>
      </c>
      <c r="B195" s="108" t="s">
        <v>2439</v>
      </c>
      <c r="C195" s="108" t="s">
        <v>117</v>
      </c>
      <c r="D195" s="108" t="s">
        <v>117</v>
      </c>
      <c r="E195" s="109" t="s">
        <v>3316</v>
      </c>
      <c r="F195" s="109" t="s">
        <v>3512</v>
      </c>
      <c r="G195" s="109">
        <v>3</v>
      </c>
      <c r="H195" s="109"/>
      <c r="I195" s="109"/>
      <c r="J195" s="109"/>
      <c r="K195" s="109" t="s">
        <v>3516</v>
      </c>
      <c r="L195" s="109"/>
      <c r="M195" s="109"/>
      <c r="N195" s="109"/>
      <c r="O195" s="109"/>
      <c r="P195" s="109">
        <v>2515</v>
      </c>
      <c r="Q195" s="109">
        <v>454</v>
      </c>
      <c r="R195" s="109"/>
      <c r="S195" s="109">
        <v>0</v>
      </c>
      <c r="T195" s="109">
        <v>0</v>
      </c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</row>
    <row r="196" spans="1:36" x14ac:dyDescent="0.3">
      <c r="A196" s="77">
        <v>190</v>
      </c>
      <c r="B196" s="108" t="s">
        <v>2439</v>
      </c>
      <c r="C196" s="108" t="s">
        <v>117</v>
      </c>
      <c r="D196" s="108" t="s">
        <v>117</v>
      </c>
      <c r="E196" s="109" t="s">
        <v>3316</v>
      </c>
      <c r="F196" s="109" t="s">
        <v>3512</v>
      </c>
      <c r="G196" s="109">
        <v>3</v>
      </c>
      <c r="H196" s="109"/>
      <c r="I196" s="109"/>
      <c r="J196" s="109"/>
      <c r="K196" s="109" t="s">
        <v>3230</v>
      </c>
      <c r="L196" s="109"/>
      <c r="M196" s="109"/>
      <c r="N196" s="109"/>
      <c r="O196" s="109"/>
      <c r="P196" s="109">
        <v>573</v>
      </c>
      <c r="Q196" s="109">
        <v>116</v>
      </c>
      <c r="R196" s="109"/>
      <c r="S196" s="109">
        <v>0</v>
      </c>
      <c r="T196" s="109">
        <v>0</v>
      </c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</row>
    <row r="197" spans="1:36" x14ac:dyDescent="0.3">
      <c r="A197" s="77">
        <v>191</v>
      </c>
      <c r="B197" s="108" t="s">
        <v>2439</v>
      </c>
      <c r="C197" s="108" t="s">
        <v>117</v>
      </c>
      <c r="D197" s="108" t="s">
        <v>117</v>
      </c>
      <c r="E197" s="109" t="s">
        <v>3316</v>
      </c>
      <c r="F197" s="109" t="s">
        <v>3512</v>
      </c>
      <c r="G197" s="109">
        <v>4</v>
      </c>
      <c r="H197" s="109"/>
      <c r="I197" s="109"/>
      <c r="J197" s="109"/>
      <c r="K197" s="109" t="s">
        <v>3517</v>
      </c>
      <c r="L197" s="109"/>
      <c r="M197" s="109"/>
      <c r="N197" s="109"/>
      <c r="O197" s="109"/>
      <c r="P197" s="109">
        <v>2648</v>
      </c>
      <c r="Q197" s="109">
        <v>593</v>
      </c>
      <c r="R197" s="109"/>
      <c r="S197" s="109">
        <v>0</v>
      </c>
      <c r="T197" s="109">
        <v>0</v>
      </c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</row>
    <row r="198" spans="1:36" x14ac:dyDescent="0.3">
      <c r="A198" s="77">
        <v>192</v>
      </c>
      <c r="B198" s="108" t="s">
        <v>2439</v>
      </c>
      <c r="C198" s="108" t="s">
        <v>117</v>
      </c>
      <c r="D198" s="108" t="s">
        <v>117</v>
      </c>
      <c r="E198" s="109" t="s">
        <v>3316</v>
      </c>
      <c r="F198" s="109" t="s">
        <v>3512</v>
      </c>
      <c r="G198" s="109">
        <v>4</v>
      </c>
      <c r="H198" s="109"/>
      <c r="I198" s="109"/>
      <c r="J198" s="109"/>
      <c r="K198" s="109" t="s">
        <v>3451</v>
      </c>
      <c r="L198" s="109"/>
      <c r="M198" s="109"/>
      <c r="N198" s="109"/>
      <c r="O198" s="109"/>
      <c r="P198" s="109">
        <v>1415</v>
      </c>
      <c r="Q198" s="109">
        <v>275</v>
      </c>
      <c r="R198" s="109"/>
      <c r="S198" s="109">
        <v>0</v>
      </c>
      <c r="T198" s="109">
        <v>0</v>
      </c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</row>
    <row r="199" spans="1:36" x14ac:dyDescent="0.3">
      <c r="A199" s="77">
        <v>193</v>
      </c>
      <c r="B199" s="108" t="s">
        <v>2439</v>
      </c>
      <c r="C199" s="108" t="s">
        <v>117</v>
      </c>
      <c r="D199" s="108" t="s">
        <v>117</v>
      </c>
      <c r="E199" s="109" t="s">
        <v>3316</v>
      </c>
      <c r="F199" s="109" t="s">
        <v>3512</v>
      </c>
      <c r="G199" s="109">
        <v>5</v>
      </c>
      <c r="H199" s="109" t="s">
        <v>3323</v>
      </c>
      <c r="I199" s="109"/>
      <c r="J199" s="109"/>
      <c r="K199" s="109" t="s">
        <v>3518</v>
      </c>
      <c r="L199" s="109"/>
      <c r="M199" s="109"/>
      <c r="N199" s="109"/>
      <c r="O199" s="109"/>
      <c r="P199" s="109">
        <v>865</v>
      </c>
      <c r="Q199" s="109">
        <v>191</v>
      </c>
      <c r="R199" s="109"/>
      <c r="S199" s="109">
        <v>0</v>
      </c>
      <c r="T199" s="109">
        <v>0</v>
      </c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</row>
    <row r="200" spans="1:36" x14ac:dyDescent="0.3">
      <c r="A200" s="77">
        <v>194</v>
      </c>
      <c r="B200" s="108" t="s">
        <v>2439</v>
      </c>
      <c r="C200" s="108" t="s">
        <v>117</v>
      </c>
      <c r="D200" s="108" t="s">
        <v>117</v>
      </c>
      <c r="E200" s="109" t="s">
        <v>3316</v>
      </c>
      <c r="F200" s="109" t="s">
        <v>3512</v>
      </c>
      <c r="G200" s="109">
        <v>4</v>
      </c>
      <c r="H200" s="109" t="s">
        <v>3323</v>
      </c>
      <c r="I200" s="109"/>
      <c r="J200" s="109"/>
      <c r="K200" s="109" t="s">
        <v>3519</v>
      </c>
      <c r="L200" s="109"/>
      <c r="M200" s="109"/>
      <c r="N200" s="109"/>
      <c r="O200" s="109"/>
      <c r="P200" s="109">
        <v>3852</v>
      </c>
      <c r="Q200" s="109">
        <v>886</v>
      </c>
      <c r="R200" s="109"/>
      <c r="S200" s="109">
        <v>0</v>
      </c>
      <c r="T200" s="109">
        <v>0</v>
      </c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</row>
    <row r="201" spans="1:36" x14ac:dyDescent="0.3">
      <c r="A201" s="77">
        <v>195</v>
      </c>
      <c r="B201" s="108" t="s">
        <v>2439</v>
      </c>
      <c r="C201" s="108" t="s">
        <v>117</v>
      </c>
      <c r="D201" s="108" t="s">
        <v>117</v>
      </c>
      <c r="E201" s="109" t="s">
        <v>3316</v>
      </c>
      <c r="F201" s="109" t="s">
        <v>3512</v>
      </c>
      <c r="G201" s="109">
        <v>5</v>
      </c>
      <c r="H201" s="109" t="s">
        <v>3323</v>
      </c>
      <c r="I201" s="109"/>
      <c r="J201" s="109"/>
      <c r="K201" s="109" t="s">
        <v>3520</v>
      </c>
      <c r="L201" s="109"/>
      <c r="M201" s="109"/>
      <c r="N201" s="109"/>
      <c r="O201" s="109"/>
      <c r="P201" s="109">
        <v>3319</v>
      </c>
      <c r="Q201" s="109">
        <v>695</v>
      </c>
      <c r="R201" s="109"/>
      <c r="S201" s="109">
        <v>0</v>
      </c>
      <c r="T201" s="109">
        <v>0</v>
      </c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</row>
    <row r="202" spans="1:36" x14ac:dyDescent="0.3">
      <c r="A202" s="77">
        <v>196</v>
      </c>
      <c r="B202" s="108" t="s">
        <v>2439</v>
      </c>
      <c r="C202" s="108" t="s">
        <v>117</v>
      </c>
      <c r="D202" s="108" t="s">
        <v>117</v>
      </c>
      <c r="E202" s="109" t="s">
        <v>3316</v>
      </c>
      <c r="F202" s="109" t="s">
        <v>3512</v>
      </c>
      <c r="G202" s="109">
        <v>5</v>
      </c>
      <c r="H202" s="109"/>
      <c r="I202" s="109"/>
      <c r="J202" s="109"/>
      <c r="K202" s="109" t="s">
        <v>3521</v>
      </c>
      <c r="L202" s="109"/>
      <c r="M202" s="109"/>
      <c r="N202" s="109"/>
      <c r="O202" s="109"/>
      <c r="P202" s="109">
        <v>618</v>
      </c>
      <c r="Q202" s="109">
        <v>136</v>
      </c>
      <c r="R202" s="109"/>
      <c r="S202" s="109">
        <v>0</v>
      </c>
      <c r="T202" s="109">
        <v>0</v>
      </c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</row>
    <row r="203" spans="1:36" x14ac:dyDescent="0.3">
      <c r="A203" s="77">
        <v>197</v>
      </c>
      <c r="B203" s="108" t="s">
        <v>2439</v>
      </c>
      <c r="C203" s="108" t="s">
        <v>117</v>
      </c>
      <c r="D203" s="108" t="s">
        <v>117</v>
      </c>
      <c r="E203" s="109" t="s">
        <v>3316</v>
      </c>
      <c r="F203" s="109" t="s">
        <v>3512</v>
      </c>
      <c r="G203" s="109">
        <v>6</v>
      </c>
      <c r="H203" s="109" t="s">
        <v>3323</v>
      </c>
      <c r="I203" s="109"/>
      <c r="J203" s="109"/>
      <c r="K203" s="109" t="s">
        <v>3522</v>
      </c>
      <c r="L203" s="109"/>
      <c r="M203" s="109"/>
      <c r="N203" s="109"/>
      <c r="O203" s="109"/>
      <c r="P203" s="109">
        <v>925</v>
      </c>
      <c r="Q203" s="109">
        <v>219</v>
      </c>
      <c r="R203" s="109"/>
      <c r="S203" s="109">
        <v>0</v>
      </c>
      <c r="T203" s="109">
        <v>0</v>
      </c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</row>
    <row r="204" spans="1:36" x14ac:dyDescent="0.3">
      <c r="A204" s="77">
        <v>198</v>
      </c>
      <c r="B204" s="108" t="s">
        <v>2439</v>
      </c>
      <c r="C204" s="108" t="s">
        <v>117</v>
      </c>
      <c r="D204" s="108" t="s">
        <v>117</v>
      </c>
      <c r="E204" s="109" t="s">
        <v>3316</v>
      </c>
      <c r="F204" s="109" t="s">
        <v>3512</v>
      </c>
      <c r="G204" s="109">
        <v>7</v>
      </c>
      <c r="H204" s="109" t="s">
        <v>3323</v>
      </c>
      <c r="I204" s="109"/>
      <c r="J204" s="109"/>
      <c r="K204" s="109" t="s">
        <v>3523</v>
      </c>
      <c r="L204" s="109"/>
      <c r="M204" s="109"/>
      <c r="N204" s="109"/>
      <c r="O204" s="109"/>
      <c r="P204" s="109">
        <v>682</v>
      </c>
      <c r="Q204" s="109">
        <v>119</v>
      </c>
      <c r="R204" s="109"/>
      <c r="S204" s="109">
        <v>0</v>
      </c>
      <c r="T204" s="109">
        <v>0</v>
      </c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</row>
    <row r="205" spans="1:36" x14ac:dyDescent="0.3">
      <c r="A205" s="77">
        <v>199</v>
      </c>
      <c r="B205" s="108" t="s">
        <v>2439</v>
      </c>
      <c r="C205" s="108" t="s">
        <v>117</v>
      </c>
      <c r="D205" s="108" t="s">
        <v>117</v>
      </c>
      <c r="E205" s="109" t="s">
        <v>3316</v>
      </c>
      <c r="F205" s="109" t="s">
        <v>3512</v>
      </c>
      <c r="G205" s="109">
        <v>8</v>
      </c>
      <c r="H205" s="109" t="s">
        <v>3323</v>
      </c>
      <c r="I205" s="109"/>
      <c r="J205" s="109"/>
      <c r="K205" s="109" t="s">
        <v>3524</v>
      </c>
      <c r="L205" s="109"/>
      <c r="M205" s="109"/>
      <c r="N205" s="109"/>
      <c r="O205" s="109"/>
      <c r="P205" s="109">
        <v>2566</v>
      </c>
      <c r="Q205" s="109">
        <v>538</v>
      </c>
      <c r="R205" s="109"/>
      <c r="S205" s="109">
        <v>0</v>
      </c>
      <c r="T205" s="109">
        <v>0</v>
      </c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</row>
    <row r="206" spans="1:36" x14ac:dyDescent="0.3">
      <c r="A206" s="77">
        <v>200</v>
      </c>
      <c r="B206" s="108" t="s">
        <v>2439</v>
      </c>
      <c r="C206" s="108" t="s">
        <v>117</v>
      </c>
      <c r="D206" s="108" t="s">
        <v>117</v>
      </c>
      <c r="E206" s="109" t="s">
        <v>3316</v>
      </c>
      <c r="F206" s="109" t="s">
        <v>3512</v>
      </c>
      <c r="G206" s="109">
        <v>9</v>
      </c>
      <c r="H206" s="109" t="s">
        <v>3323</v>
      </c>
      <c r="I206" s="109"/>
      <c r="J206" s="109"/>
      <c r="K206" s="109" t="s">
        <v>3525</v>
      </c>
      <c r="L206" s="109"/>
      <c r="M206" s="109"/>
      <c r="N206" s="109"/>
      <c r="O206" s="109"/>
      <c r="P206" s="109">
        <v>2385</v>
      </c>
      <c r="Q206" s="109">
        <v>491</v>
      </c>
      <c r="R206" s="109"/>
      <c r="S206" s="109">
        <v>0</v>
      </c>
      <c r="T206" s="109">
        <v>0</v>
      </c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</row>
    <row r="207" spans="1:36" x14ac:dyDescent="0.3">
      <c r="A207" s="77">
        <v>201</v>
      </c>
      <c r="B207" s="108" t="s">
        <v>2439</v>
      </c>
      <c r="C207" s="108" t="s">
        <v>117</v>
      </c>
      <c r="D207" s="108" t="s">
        <v>117</v>
      </c>
      <c r="E207" s="109" t="s">
        <v>3316</v>
      </c>
      <c r="F207" s="109" t="s">
        <v>3526</v>
      </c>
      <c r="G207" s="109">
        <v>1</v>
      </c>
      <c r="H207" s="109" t="s">
        <v>3527</v>
      </c>
      <c r="I207" s="109"/>
      <c r="J207" s="109"/>
      <c r="K207" s="109" t="s">
        <v>3528</v>
      </c>
      <c r="L207" s="109"/>
      <c r="M207" s="109"/>
      <c r="N207" s="109"/>
      <c r="O207" s="109"/>
      <c r="P207" s="109">
        <v>3062</v>
      </c>
      <c r="Q207" s="109">
        <v>591</v>
      </c>
      <c r="R207" s="109"/>
      <c r="S207" s="109">
        <v>0</v>
      </c>
      <c r="T207" s="109">
        <v>0</v>
      </c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</row>
    <row r="208" spans="1:36" x14ac:dyDescent="0.3">
      <c r="A208" s="77">
        <v>202</v>
      </c>
      <c r="B208" s="108" t="s">
        <v>2439</v>
      </c>
      <c r="C208" s="108" t="s">
        <v>117</v>
      </c>
      <c r="D208" s="108" t="s">
        <v>117</v>
      </c>
      <c r="E208" s="109" t="s">
        <v>3316</v>
      </c>
      <c r="F208" s="109" t="s">
        <v>3526</v>
      </c>
      <c r="G208" s="109">
        <v>2</v>
      </c>
      <c r="H208" s="109" t="s">
        <v>3527</v>
      </c>
      <c r="I208" s="109"/>
      <c r="J208" s="109"/>
      <c r="K208" s="109" t="s">
        <v>3529</v>
      </c>
      <c r="L208" s="109"/>
      <c r="M208" s="109"/>
      <c r="N208" s="109"/>
      <c r="O208" s="109"/>
      <c r="P208" s="109">
        <v>4340</v>
      </c>
      <c r="Q208" s="109">
        <v>963</v>
      </c>
      <c r="R208" s="109"/>
      <c r="S208" s="109">
        <v>0</v>
      </c>
      <c r="T208" s="109">
        <v>0</v>
      </c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</row>
    <row r="209" spans="1:36" x14ac:dyDescent="0.3">
      <c r="A209" s="77">
        <v>203</v>
      </c>
      <c r="B209" s="108" t="s">
        <v>2439</v>
      </c>
      <c r="C209" s="108" t="s">
        <v>117</v>
      </c>
      <c r="D209" s="108" t="s">
        <v>117</v>
      </c>
      <c r="E209" s="109" t="s">
        <v>3316</v>
      </c>
      <c r="F209" s="109" t="s">
        <v>3526</v>
      </c>
      <c r="G209" s="109">
        <v>3</v>
      </c>
      <c r="H209" s="109" t="s">
        <v>3527</v>
      </c>
      <c r="I209" s="109"/>
      <c r="J209" s="109"/>
      <c r="K209" s="109" t="s">
        <v>3530</v>
      </c>
      <c r="L209" s="109"/>
      <c r="M209" s="109"/>
      <c r="N209" s="109"/>
      <c r="O209" s="109"/>
      <c r="P209" s="109">
        <v>4234</v>
      </c>
      <c r="Q209" s="109">
        <v>870</v>
      </c>
      <c r="R209" s="109"/>
      <c r="S209" s="109">
        <v>0</v>
      </c>
      <c r="T209" s="109">
        <v>0</v>
      </c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</row>
    <row r="210" spans="1:36" x14ac:dyDescent="0.3">
      <c r="A210" s="77">
        <v>204</v>
      </c>
      <c r="B210" s="108" t="s">
        <v>2439</v>
      </c>
      <c r="C210" s="108" t="s">
        <v>117</v>
      </c>
      <c r="D210" s="108" t="s">
        <v>117</v>
      </c>
      <c r="E210" s="109" t="s">
        <v>3316</v>
      </c>
      <c r="F210" s="109" t="s">
        <v>3526</v>
      </c>
      <c r="G210" s="109">
        <v>4</v>
      </c>
      <c r="H210" s="109" t="s">
        <v>3527</v>
      </c>
      <c r="I210" s="109"/>
      <c r="J210" s="109"/>
      <c r="K210" s="109" t="s">
        <v>3408</v>
      </c>
      <c r="L210" s="109"/>
      <c r="M210" s="109"/>
      <c r="N210" s="109"/>
      <c r="O210" s="109"/>
      <c r="P210" s="109">
        <v>3579</v>
      </c>
      <c r="Q210" s="109">
        <v>690</v>
      </c>
      <c r="R210" s="109"/>
      <c r="S210" s="109">
        <v>0</v>
      </c>
      <c r="T210" s="109">
        <v>0</v>
      </c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</row>
    <row r="211" spans="1:36" x14ac:dyDescent="0.3">
      <c r="A211" s="77">
        <v>205</v>
      </c>
      <c r="B211" s="108" t="s">
        <v>2439</v>
      </c>
      <c r="C211" s="108" t="s">
        <v>117</v>
      </c>
      <c r="D211" s="108" t="s">
        <v>117</v>
      </c>
      <c r="E211" s="109" t="s">
        <v>3316</v>
      </c>
      <c r="F211" s="109" t="s">
        <v>3526</v>
      </c>
      <c r="G211" s="109">
        <v>5</v>
      </c>
      <c r="H211" s="109" t="s">
        <v>3527</v>
      </c>
      <c r="I211" s="109"/>
      <c r="J211" s="109"/>
      <c r="K211" s="109" t="s">
        <v>3531</v>
      </c>
      <c r="L211" s="109"/>
      <c r="M211" s="109"/>
      <c r="N211" s="109"/>
      <c r="O211" s="109"/>
      <c r="P211" s="109">
        <v>4101</v>
      </c>
      <c r="Q211" s="109">
        <v>868</v>
      </c>
      <c r="R211" s="109"/>
      <c r="S211" s="109">
        <v>0</v>
      </c>
      <c r="T211" s="109">
        <v>0</v>
      </c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</row>
    <row r="212" spans="1:36" x14ac:dyDescent="0.3">
      <c r="A212" s="77">
        <v>206</v>
      </c>
      <c r="B212" s="108" t="s">
        <v>2439</v>
      </c>
      <c r="C212" s="108" t="s">
        <v>117</v>
      </c>
      <c r="D212" s="108" t="s">
        <v>117</v>
      </c>
      <c r="E212" s="109" t="s">
        <v>3316</v>
      </c>
      <c r="F212" s="109" t="s">
        <v>3526</v>
      </c>
      <c r="G212" s="109">
        <v>6</v>
      </c>
      <c r="H212" s="109"/>
      <c r="I212" s="109"/>
      <c r="J212" s="109"/>
      <c r="K212" s="109" t="s">
        <v>3532</v>
      </c>
      <c r="L212" s="109"/>
      <c r="M212" s="109"/>
      <c r="N212" s="109"/>
      <c r="O212" s="109"/>
      <c r="P212" s="109">
        <v>4392</v>
      </c>
      <c r="Q212" s="109">
        <v>914</v>
      </c>
      <c r="R212" s="109"/>
      <c r="S212" s="109">
        <v>0</v>
      </c>
      <c r="T212" s="109">
        <v>0</v>
      </c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</row>
    <row r="213" spans="1:36" x14ac:dyDescent="0.3">
      <c r="A213" s="77">
        <v>207</v>
      </c>
      <c r="B213" s="108" t="s">
        <v>2439</v>
      </c>
      <c r="C213" s="108" t="s">
        <v>117</v>
      </c>
      <c r="D213" s="108" t="s">
        <v>117</v>
      </c>
      <c r="E213" s="109" t="s">
        <v>3316</v>
      </c>
      <c r="F213" s="109" t="s">
        <v>3526</v>
      </c>
      <c r="G213" s="109">
        <v>7</v>
      </c>
      <c r="H213" s="109" t="s">
        <v>3527</v>
      </c>
      <c r="I213" s="109"/>
      <c r="J213" s="109"/>
      <c r="K213" s="109" t="s">
        <v>3533</v>
      </c>
      <c r="L213" s="109"/>
      <c r="M213" s="109"/>
      <c r="N213" s="109"/>
      <c r="O213" s="109"/>
      <c r="P213" s="109">
        <v>3935</v>
      </c>
      <c r="Q213" s="109">
        <v>913</v>
      </c>
      <c r="R213" s="109"/>
      <c r="S213" s="109">
        <v>0</v>
      </c>
      <c r="T213" s="109">
        <v>0</v>
      </c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</row>
    <row r="214" spans="1:36" x14ac:dyDescent="0.3">
      <c r="A214" s="77">
        <v>208</v>
      </c>
      <c r="B214" s="108" t="s">
        <v>2439</v>
      </c>
      <c r="C214" s="108" t="s">
        <v>117</v>
      </c>
      <c r="D214" s="108" t="s">
        <v>117</v>
      </c>
      <c r="E214" s="109" t="s">
        <v>3316</v>
      </c>
      <c r="F214" s="109" t="s">
        <v>3526</v>
      </c>
      <c r="G214" s="109">
        <v>8</v>
      </c>
      <c r="H214" s="109" t="s">
        <v>3527</v>
      </c>
      <c r="I214" s="109"/>
      <c r="J214" s="109"/>
      <c r="K214" s="109" t="s">
        <v>3452</v>
      </c>
      <c r="L214" s="109"/>
      <c r="M214" s="109"/>
      <c r="N214" s="109"/>
      <c r="O214" s="109"/>
      <c r="P214" s="109">
        <v>4618</v>
      </c>
      <c r="Q214" s="109">
        <v>1059</v>
      </c>
      <c r="R214" s="109"/>
      <c r="S214" s="109">
        <v>0</v>
      </c>
      <c r="T214" s="109">
        <v>0</v>
      </c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</row>
    <row r="215" spans="1:36" x14ac:dyDescent="0.3">
      <c r="A215" s="77">
        <v>209</v>
      </c>
      <c r="B215" s="108" t="s">
        <v>2439</v>
      </c>
      <c r="C215" s="108" t="s">
        <v>117</v>
      </c>
      <c r="D215" s="108" t="s">
        <v>117</v>
      </c>
      <c r="E215" s="109" t="s">
        <v>3316</v>
      </c>
      <c r="F215" s="109" t="s">
        <v>3526</v>
      </c>
      <c r="G215" s="109">
        <v>9</v>
      </c>
      <c r="H215" s="109" t="s">
        <v>3527</v>
      </c>
      <c r="I215" s="109"/>
      <c r="J215" s="109"/>
      <c r="K215" s="109" t="s">
        <v>3534</v>
      </c>
      <c r="L215" s="109"/>
      <c r="M215" s="109"/>
      <c r="N215" s="109"/>
      <c r="O215" s="109"/>
      <c r="P215" s="109">
        <v>3681</v>
      </c>
      <c r="Q215" s="109">
        <v>739</v>
      </c>
      <c r="R215" s="109"/>
      <c r="S215" s="109">
        <v>0</v>
      </c>
      <c r="T215" s="109">
        <v>0</v>
      </c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</row>
  </sheetData>
  <mergeCells count="3">
    <mergeCell ref="G1:G2"/>
    <mergeCell ref="A5:D5"/>
    <mergeCell ref="U5:AF5"/>
  </mergeCells>
  <conditionalFormatting sqref="M7:M97">
    <cfRule type="duplicateValues" dxfId="5" priority="1"/>
  </conditionalFormatting>
  <dataValidations count="1">
    <dataValidation type="list" allowBlank="1" showInputMessage="1" showErrorMessage="1" sqref="E7:E97">
      <formula1>INDIRECT($B7)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Views>
    <sheetView workbookViewId="0">
      <pane xSplit="12" ySplit="6" topLeftCell="AD7" activePane="bottomRight" state="frozen"/>
      <selection pane="topRight" activeCell="M1" sqref="M1"/>
      <selection pane="bottomLeft" activeCell="A6" sqref="A6"/>
      <selection pane="bottomRight" activeCell="AF16" sqref="AF16"/>
    </sheetView>
  </sheetViews>
  <sheetFormatPr defaultRowHeight="14.4" x14ac:dyDescent="0.3"/>
  <cols>
    <col min="4" max="4" width="13.88671875" customWidth="1"/>
    <col min="8" max="8" width="20.109375" customWidth="1"/>
    <col min="11" max="11" width="18.5546875" customWidth="1"/>
    <col min="12" max="12" width="16.33203125" customWidth="1"/>
    <col min="21" max="32" width="4.77734375" customWidth="1"/>
    <col min="33" max="33" width="13" customWidth="1"/>
    <col min="34" max="34" width="13.109375" customWidth="1"/>
    <col min="35" max="35" width="12.5546875" customWidth="1"/>
    <col min="36" max="36" width="13.218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COUNTIF(I7:I354,"SK(H)")</f>
        <v>0</v>
      </c>
      <c r="J1" s="50" t="s">
        <v>1</v>
      </c>
      <c r="K1" s="50">
        <f>COUNTA(J7:J370)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COUNTIF(I7:I355,"SHW(H)")</f>
        <v>0</v>
      </c>
      <c r="J2" s="50" t="s">
        <v>5</v>
      </c>
      <c r="K2" s="50">
        <f>COUNTA(K7:K35)</f>
        <v>29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3535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69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3535</v>
      </c>
      <c r="F7" s="91" t="s">
        <v>3536</v>
      </c>
      <c r="G7" s="92">
        <v>4</v>
      </c>
      <c r="H7" s="91" t="s">
        <v>3537</v>
      </c>
      <c r="I7" s="91"/>
      <c r="J7" s="91"/>
      <c r="K7" s="93" t="s">
        <v>86</v>
      </c>
      <c r="L7" s="93"/>
      <c r="M7" s="93"/>
      <c r="N7" s="93"/>
      <c r="O7" s="93"/>
      <c r="P7" s="92">
        <v>662</v>
      </c>
      <c r="Q7" s="92">
        <v>132</v>
      </c>
      <c r="R7" s="94"/>
      <c r="S7" s="95">
        <v>23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3535</v>
      </c>
      <c r="F8" s="91" t="s">
        <v>3536</v>
      </c>
      <c r="G8" s="92">
        <v>4</v>
      </c>
      <c r="H8" s="91" t="s">
        <v>3537</v>
      </c>
      <c r="I8" s="91"/>
      <c r="J8" s="96"/>
      <c r="K8" s="93" t="s">
        <v>3538</v>
      </c>
      <c r="L8" s="93"/>
      <c r="M8" s="93"/>
      <c r="N8" s="93"/>
      <c r="O8" s="93"/>
      <c r="P8" s="92">
        <v>945</v>
      </c>
      <c r="Q8" s="92">
        <v>189</v>
      </c>
      <c r="R8" s="92"/>
      <c r="S8" s="97">
        <v>28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3535</v>
      </c>
      <c r="F9" s="91" t="s">
        <v>3536</v>
      </c>
      <c r="G9" s="92">
        <v>5</v>
      </c>
      <c r="H9" s="91" t="s">
        <v>3537</v>
      </c>
      <c r="I9" s="91"/>
      <c r="J9" s="96"/>
      <c r="K9" s="93" t="s">
        <v>3539</v>
      </c>
      <c r="L9" s="93"/>
      <c r="M9" s="93"/>
      <c r="N9" s="93"/>
      <c r="O9" s="93"/>
      <c r="P9" s="92">
        <v>872</v>
      </c>
      <c r="Q9" s="92">
        <v>176</v>
      </c>
      <c r="R9" s="92"/>
      <c r="S9" s="97">
        <v>21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3535</v>
      </c>
      <c r="F10" s="91" t="s">
        <v>3536</v>
      </c>
      <c r="G10" s="92">
        <v>6</v>
      </c>
      <c r="H10" s="91" t="s">
        <v>3537</v>
      </c>
      <c r="I10" s="91"/>
      <c r="J10" s="96"/>
      <c r="K10" s="93" t="s">
        <v>3540</v>
      </c>
      <c r="L10" s="93"/>
      <c r="M10" s="93"/>
      <c r="N10" s="93"/>
      <c r="O10" s="93"/>
      <c r="P10" s="92">
        <v>692</v>
      </c>
      <c r="Q10" s="92">
        <v>159</v>
      </c>
      <c r="R10" s="92"/>
      <c r="S10" s="97">
        <v>18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3535</v>
      </c>
      <c r="F11" s="91" t="s">
        <v>3536</v>
      </c>
      <c r="G11" s="92">
        <v>6</v>
      </c>
      <c r="H11" s="91" t="s">
        <v>3537</v>
      </c>
      <c r="I11" s="91"/>
      <c r="J11" s="96"/>
      <c r="K11" s="93" t="s">
        <v>3541</v>
      </c>
      <c r="L11" s="93"/>
      <c r="M11" s="93"/>
      <c r="N11" s="93"/>
      <c r="O11" s="93"/>
      <c r="P11" s="92">
        <v>732</v>
      </c>
      <c r="Q11" s="92">
        <v>175</v>
      </c>
      <c r="R11" s="92"/>
      <c r="S11" s="97">
        <v>23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3535</v>
      </c>
      <c r="F12" s="91" t="s">
        <v>3536</v>
      </c>
      <c r="G12" s="92">
        <v>5</v>
      </c>
      <c r="H12" s="96" t="s">
        <v>3537</v>
      </c>
      <c r="I12" s="96"/>
      <c r="J12" s="96"/>
      <c r="K12" s="93" t="s">
        <v>3542</v>
      </c>
      <c r="L12" s="93"/>
      <c r="M12" s="93"/>
      <c r="N12" s="93"/>
      <c r="O12" s="93"/>
      <c r="P12" s="92">
        <v>691</v>
      </c>
      <c r="Q12" s="92">
        <v>154</v>
      </c>
      <c r="R12" s="92"/>
      <c r="S12" s="97">
        <v>32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3535</v>
      </c>
      <c r="F13" s="91" t="s">
        <v>3536</v>
      </c>
      <c r="G13" s="92">
        <v>4</v>
      </c>
      <c r="H13" s="96" t="s">
        <v>3537</v>
      </c>
      <c r="I13" s="96"/>
      <c r="J13" s="96"/>
      <c r="K13" s="93" t="s">
        <v>3543</v>
      </c>
      <c r="L13" s="93"/>
      <c r="M13" s="93"/>
      <c r="N13" s="93"/>
      <c r="O13" s="93"/>
      <c r="P13" s="92">
        <v>721</v>
      </c>
      <c r="Q13" s="92">
        <v>148</v>
      </c>
      <c r="R13" s="92"/>
      <c r="S13" s="97">
        <v>27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3535</v>
      </c>
      <c r="F14" s="91" t="s">
        <v>3536</v>
      </c>
      <c r="G14" s="92">
        <v>5</v>
      </c>
      <c r="H14" s="96" t="s">
        <v>3537</v>
      </c>
      <c r="I14" s="96"/>
      <c r="J14" s="96"/>
      <c r="K14" s="93" t="s">
        <v>3544</v>
      </c>
      <c r="L14" s="93"/>
      <c r="M14" s="93"/>
      <c r="N14" s="93"/>
      <c r="O14" s="93"/>
      <c r="P14" s="92">
        <v>152</v>
      </c>
      <c r="Q14" s="92">
        <v>156</v>
      </c>
      <c r="R14" s="92"/>
      <c r="S14" s="97">
        <v>28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3535</v>
      </c>
      <c r="F15" s="91" t="s">
        <v>3536</v>
      </c>
      <c r="G15" s="92">
        <v>5</v>
      </c>
      <c r="H15" s="96" t="s">
        <v>3537</v>
      </c>
      <c r="I15" s="96"/>
      <c r="J15" s="96"/>
      <c r="K15" s="93" t="s">
        <v>3545</v>
      </c>
      <c r="L15" s="93"/>
      <c r="M15" s="93"/>
      <c r="N15" s="93"/>
      <c r="O15" s="93"/>
      <c r="P15" s="92">
        <v>676</v>
      </c>
      <c r="Q15" s="92">
        <v>148</v>
      </c>
      <c r="R15" s="92"/>
      <c r="S15" s="97">
        <v>25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3535</v>
      </c>
      <c r="F16" s="91" t="s">
        <v>3536</v>
      </c>
      <c r="G16" s="92">
        <v>8</v>
      </c>
      <c r="H16" s="96" t="s">
        <v>3537</v>
      </c>
      <c r="I16" s="96"/>
      <c r="J16" s="96"/>
      <c r="K16" s="93" t="s">
        <v>3546</v>
      </c>
      <c r="L16" s="93"/>
      <c r="M16" s="93"/>
      <c r="N16" s="93"/>
      <c r="O16" s="93"/>
      <c r="P16" s="92">
        <v>778</v>
      </c>
      <c r="Q16" s="92">
        <v>154</v>
      </c>
      <c r="R16" s="92"/>
      <c r="S16" s="97">
        <v>25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3535</v>
      </c>
      <c r="F17" s="91" t="s">
        <v>3536</v>
      </c>
      <c r="G17" s="92">
        <v>6</v>
      </c>
      <c r="H17" s="96" t="s">
        <v>3547</v>
      </c>
      <c r="I17" s="96"/>
      <c r="J17" s="96"/>
      <c r="K17" s="93" t="s">
        <v>3548</v>
      </c>
      <c r="L17" s="93"/>
      <c r="M17" s="93"/>
      <c r="N17" s="93"/>
      <c r="O17" s="93"/>
      <c r="P17" s="92">
        <v>685</v>
      </c>
      <c r="Q17" s="92">
        <v>155</v>
      </c>
      <c r="R17" s="92"/>
      <c r="S17" s="97">
        <v>50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3535</v>
      </c>
      <c r="F18" s="91" t="s">
        <v>3536</v>
      </c>
      <c r="G18" s="92">
        <v>7</v>
      </c>
      <c r="H18" s="96" t="s">
        <v>3547</v>
      </c>
      <c r="I18" s="96"/>
      <c r="J18" s="96"/>
      <c r="K18" s="93" t="s">
        <v>3549</v>
      </c>
      <c r="L18" s="93"/>
      <c r="M18" s="93"/>
      <c r="N18" s="93"/>
      <c r="O18" s="93"/>
      <c r="P18" s="92">
        <v>752</v>
      </c>
      <c r="Q18" s="92">
        <v>156</v>
      </c>
      <c r="R18" s="92"/>
      <c r="S18" s="97">
        <v>50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3535</v>
      </c>
      <c r="F19" s="91" t="s">
        <v>3536</v>
      </c>
      <c r="G19" s="92">
        <v>8</v>
      </c>
      <c r="H19" s="96" t="s">
        <v>3547</v>
      </c>
      <c r="I19" s="96"/>
      <c r="J19" s="96"/>
      <c r="K19" s="93" t="s">
        <v>3550</v>
      </c>
      <c r="L19" s="93"/>
      <c r="M19" s="93"/>
      <c r="N19" s="93"/>
      <c r="O19" s="93"/>
      <c r="P19" s="92">
        <v>826</v>
      </c>
      <c r="Q19" s="92">
        <v>182</v>
      </c>
      <c r="R19" s="92"/>
      <c r="S19" s="97">
        <v>50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3535</v>
      </c>
      <c r="F20" s="91" t="s">
        <v>3536</v>
      </c>
      <c r="G20" s="92">
        <v>8</v>
      </c>
      <c r="H20" s="96" t="s">
        <v>3547</v>
      </c>
      <c r="I20" s="96"/>
      <c r="J20" s="96"/>
      <c r="K20" s="93" t="s">
        <v>53</v>
      </c>
      <c r="L20" s="93"/>
      <c r="M20" s="93"/>
      <c r="N20" s="93"/>
      <c r="O20" s="93"/>
      <c r="P20" s="92">
        <v>723</v>
      </c>
      <c r="Q20" s="92">
        <v>157</v>
      </c>
      <c r="R20" s="92"/>
      <c r="S20" s="97">
        <v>50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3535</v>
      </c>
      <c r="F21" s="91" t="s">
        <v>3536</v>
      </c>
      <c r="G21" s="97">
        <v>9</v>
      </c>
      <c r="H21" s="96" t="s">
        <v>3547</v>
      </c>
      <c r="I21" s="96"/>
      <c r="J21" s="96"/>
      <c r="K21" s="93" t="s">
        <v>3551</v>
      </c>
      <c r="L21" s="93"/>
      <c r="M21" s="93"/>
      <c r="N21" s="93"/>
      <c r="O21" s="93"/>
      <c r="P21" s="92">
        <v>688</v>
      </c>
      <c r="Q21" s="92">
        <v>154</v>
      </c>
      <c r="R21" s="92"/>
      <c r="S21" s="97">
        <v>50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3535</v>
      </c>
      <c r="F22" s="91" t="s">
        <v>3552</v>
      </c>
      <c r="G22" s="92">
        <v>1</v>
      </c>
      <c r="H22" s="96" t="s">
        <v>3553</v>
      </c>
      <c r="I22" s="96"/>
      <c r="J22" s="96"/>
      <c r="K22" s="93" t="s">
        <v>3546</v>
      </c>
      <c r="L22" s="93"/>
      <c r="M22" s="93"/>
      <c r="N22" s="93"/>
      <c r="O22" s="93"/>
      <c r="P22" s="92">
        <v>823</v>
      </c>
      <c r="Q22" s="92">
        <v>172</v>
      </c>
      <c r="R22" s="92"/>
      <c r="S22" s="97">
        <v>50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3535</v>
      </c>
      <c r="F23" s="91" t="s">
        <v>3536</v>
      </c>
      <c r="G23" s="92">
        <v>2</v>
      </c>
      <c r="H23" s="96" t="s">
        <v>3553</v>
      </c>
      <c r="I23" s="96"/>
      <c r="J23" s="96"/>
      <c r="K23" s="93" t="s">
        <v>3543</v>
      </c>
      <c r="L23" s="93"/>
      <c r="M23" s="93"/>
      <c r="N23" s="93"/>
      <c r="O23" s="93"/>
      <c r="P23" s="92">
        <v>772</v>
      </c>
      <c r="Q23" s="92">
        <v>158</v>
      </c>
      <c r="R23" s="92"/>
      <c r="S23" s="97">
        <v>45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3535</v>
      </c>
      <c r="F24" s="91" t="s">
        <v>3536</v>
      </c>
      <c r="G24" s="92">
        <v>3</v>
      </c>
      <c r="H24" s="96" t="s">
        <v>3553</v>
      </c>
      <c r="I24" s="96"/>
      <c r="J24" s="96"/>
      <c r="K24" s="93" t="s">
        <v>3554</v>
      </c>
      <c r="L24" s="93"/>
      <c r="M24" s="93"/>
      <c r="N24" s="93"/>
      <c r="O24" s="93"/>
      <c r="P24" s="92">
        <v>892</v>
      </c>
      <c r="Q24" s="92">
        <v>182</v>
      </c>
      <c r="R24" s="92"/>
      <c r="S24" s="97">
        <v>45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3535</v>
      </c>
      <c r="F25" s="91" t="s">
        <v>3536</v>
      </c>
      <c r="G25" s="97">
        <v>1</v>
      </c>
      <c r="H25" s="96" t="s">
        <v>3553</v>
      </c>
      <c r="I25" s="96"/>
      <c r="J25" s="96"/>
      <c r="K25" s="93" t="s">
        <v>3555</v>
      </c>
      <c r="L25" s="93"/>
      <c r="M25" s="93"/>
      <c r="N25" s="93"/>
      <c r="O25" s="93"/>
      <c r="P25" s="92">
        <v>785</v>
      </c>
      <c r="Q25" s="92">
        <v>157</v>
      </c>
      <c r="R25" s="92"/>
      <c r="S25" s="97">
        <v>40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3535</v>
      </c>
      <c r="F26" s="91" t="s">
        <v>3536</v>
      </c>
      <c r="G26" s="97">
        <v>2</v>
      </c>
      <c r="H26" s="96" t="s">
        <v>3553</v>
      </c>
      <c r="I26" s="96"/>
      <c r="J26" s="96"/>
      <c r="K26" s="93" t="s">
        <v>3556</v>
      </c>
      <c r="L26" s="93"/>
      <c r="M26" s="93"/>
      <c r="N26" s="93"/>
      <c r="O26" s="93"/>
      <c r="P26" s="92">
        <v>862</v>
      </c>
      <c r="Q26" s="92">
        <v>169</v>
      </c>
      <c r="R26" s="92"/>
      <c r="S26" s="97">
        <v>40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3535</v>
      </c>
      <c r="F27" s="91" t="s">
        <v>3552</v>
      </c>
      <c r="G27" s="97">
        <v>2</v>
      </c>
      <c r="H27" s="96" t="s">
        <v>3553</v>
      </c>
      <c r="I27" s="96"/>
      <c r="J27" s="96"/>
      <c r="K27" s="93" t="s">
        <v>196</v>
      </c>
      <c r="L27" s="93"/>
      <c r="M27" s="93"/>
      <c r="N27" s="93"/>
      <c r="O27" s="93"/>
      <c r="P27" s="92">
        <v>910</v>
      </c>
      <c r="Q27" s="92">
        <v>182</v>
      </c>
      <c r="R27" s="92"/>
      <c r="S27" s="97">
        <v>30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3535</v>
      </c>
      <c r="F28" s="91" t="s">
        <v>3557</v>
      </c>
      <c r="G28" s="97">
        <v>2</v>
      </c>
      <c r="H28" s="96" t="s">
        <v>3323</v>
      </c>
      <c r="I28" s="96"/>
      <c r="J28" s="96"/>
      <c r="K28" s="93" t="s">
        <v>3558</v>
      </c>
      <c r="L28" s="93"/>
      <c r="M28" s="93"/>
      <c r="N28" s="93"/>
      <c r="O28" s="93"/>
      <c r="P28" s="92">
        <v>820</v>
      </c>
      <c r="Q28" s="92">
        <v>164</v>
      </c>
      <c r="R28" s="92"/>
      <c r="S28" s="97">
        <v>30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3535</v>
      </c>
      <c r="F29" s="91" t="s">
        <v>3557</v>
      </c>
      <c r="G29" s="97">
        <v>3</v>
      </c>
      <c r="H29" s="96" t="s">
        <v>3323</v>
      </c>
      <c r="I29" s="96"/>
      <c r="J29" s="96"/>
      <c r="K29" s="93" t="s">
        <v>3559</v>
      </c>
      <c r="L29" s="93"/>
      <c r="M29" s="93"/>
      <c r="N29" s="93"/>
      <c r="O29" s="93"/>
      <c r="P29" s="92">
        <v>765</v>
      </c>
      <c r="Q29" s="92">
        <v>153</v>
      </c>
      <c r="R29" s="92"/>
      <c r="S29" s="97">
        <v>30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3535</v>
      </c>
      <c r="F30" s="91" t="s">
        <v>3557</v>
      </c>
      <c r="G30" s="97">
        <v>3</v>
      </c>
      <c r="H30" s="96" t="s">
        <v>3323</v>
      </c>
      <c r="I30" s="96"/>
      <c r="J30" s="96"/>
      <c r="K30" s="93" t="s">
        <v>3545</v>
      </c>
      <c r="L30" s="93"/>
      <c r="M30" s="93"/>
      <c r="N30" s="93"/>
      <c r="O30" s="93"/>
      <c r="P30" s="92">
        <v>782</v>
      </c>
      <c r="Q30" s="92">
        <v>157</v>
      </c>
      <c r="R30" s="92"/>
      <c r="S30" s="97">
        <v>30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3535</v>
      </c>
      <c r="F31" s="91" t="s">
        <v>3557</v>
      </c>
      <c r="G31" s="97">
        <v>1</v>
      </c>
      <c r="H31" s="96" t="s">
        <v>3323</v>
      </c>
      <c r="I31" s="96"/>
      <c r="J31" s="96"/>
      <c r="K31" s="93" t="s">
        <v>3560</v>
      </c>
      <c r="L31" s="93"/>
      <c r="M31" s="93"/>
      <c r="N31" s="93"/>
      <c r="O31" s="93"/>
      <c r="P31" s="92">
        <v>725</v>
      </c>
      <c r="Q31" s="92">
        <v>155</v>
      </c>
      <c r="R31" s="92"/>
      <c r="S31" s="97">
        <v>30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3535</v>
      </c>
      <c r="F32" s="96" t="s">
        <v>3557</v>
      </c>
      <c r="G32" s="97">
        <v>1</v>
      </c>
      <c r="H32" s="96" t="s">
        <v>3323</v>
      </c>
      <c r="I32" s="96"/>
      <c r="J32" s="96"/>
      <c r="K32" s="93" t="s">
        <v>3561</v>
      </c>
      <c r="L32" s="93"/>
      <c r="M32" s="93"/>
      <c r="N32" s="93"/>
      <c r="O32" s="93"/>
      <c r="P32" s="92">
        <v>726</v>
      </c>
      <c r="Q32" s="92">
        <v>179</v>
      </c>
      <c r="R32" s="92"/>
      <c r="S32" s="97">
        <v>25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3535</v>
      </c>
      <c r="F33" s="96" t="s">
        <v>3557</v>
      </c>
      <c r="G33" s="97">
        <v>2</v>
      </c>
      <c r="H33" s="96" t="s">
        <v>3323</v>
      </c>
      <c r="I33" s="96"/>
      <c r="J33" s="96"/>
      <c r="K33" s="93" t="s">
        <v>3562</v>
      </c>
      <c r="L33" s="93"/>
      <c r="M33" s="93"/>
      <c r="N33" s="93"/>
      <c r="O33" s="93"/>
      <c r="P33" s="92">
        <v>893</v>
      </c>
      <c r="Q33" s="92">
        <v>183</v>
      </c>
      <c r="R33" s="92"/>
      <c r="S33" s="97">
        <v>30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3535</v>
      </c>
      <c r="F34" s="96" t="s">
        <v>3557</v>
      </c>
      <c r="G34" s="97">
        <v>3</v>
      </c>
      <c r="H34" s="96" t="s">
        <v>3323</v>
      </c>
      <c r="I34" s="96"/>
      <c r="J34" s="96"/>
      <c r="K34" s="93" t="s">
        <v>3563</v>
      </c>
      <c r="L34" s="93"/>
      <c r="M34" s="93"/>
      <c r="N34" s="93"/>
      <c r="O34" s="93"/>
      <c r="P34" s="92">
        <v>712</v>
      </c>
      <c r="Q34" s="92">
        <v>146</v>
      </c>
      <c r="R34" s="92"/>
      <c r="S34" s="97">
        <v>30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3535</v>
      </c>
      <c r="F35" s="96" t="s">
        <v>3557</v>
      </c>
      <c r="G35" s="97">
        <v>2</v>
      </c>
      <c r="H35" s="96" t="s">
        <v>3323</v>
      </c>
      <c r="I35" s="96"/>
      <c r="J35" s="96"/>
      <c r="K35" s="93" t="s">
        <v>3564</v>
      </c>
      <c r="L35" s="93"/>
      <c r="M35" s="93"/>
      <c r="N35" s="93"/>
      <c r="O35" s="93"/>
      <c r="P35" s="92">
        <v>825</v>
      </c>
      <c r="Q35" s="92">
        <v>176</v>
      </c>
      <c r="R35" s="92"/>
      <c r="S35" s="97">
        <v>45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</sheetData>
  <mergeCells count="3">
    <mergeCell ref="G1:G2"/>
    <mergeCell ref="A5:D5"/>
    <mergeCell ref="U5:AF5"/>
  </mergeCells>
  <conditionalFormatting sqref="M7:M35">
    <cfRule type="duplicateValues" dxfId="4" priority="8"/>
  </conditionalFormatting>
  <dataValidations count="1">
    <dataValidation type="list" allowBlank="1" showInputMessage="1" showErrorMessage="1" sqref="E7:E35">
      <formula1>INDIRECT($B7)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0"/>
  <sheetViews>
    <sheetView topLeftCell="C1" zoomScale="96" zoomScaleNormal="96" workbookViewId="0">
      <pane xSplit="13" ySplit="6" topLeftCell="X7" activePane="bottomRight" state="frozen"/>
      <selection activeCell="C1" sqref="C1"/>
      <selection pane="topRight" activeCell="M1" sqref="M1"/>
      <selection pane="bottomLeft" activeCell="C6" sqref="C6"/>
      <selection pane="bottomRight" activeCell="X5" sqref="X5:AI5"/>
    </sheetView>
  </sheetViews>
  <sheetFormatPr defaultRowHeight="14.4" x14ac:dyDescent="0.3"/>
  <cols>
    <col min="2" max="2" width="14.33203125" customWidth="1"/>
    <col min="3" max="3" width="6" customWidth="1"/>
    <col min="4" max="5" width="14.33203125" customWidth="1"/>
    <col min="6" max="6" width="15.44140625" customWidth="1"/>
    <col min="7" max="7" width="14.77734375" customWidth="1"/>
    <col min="8" max="8" width="12.88671875" customWidth="1"/>
    <col min="9" max="9" width="10.77734375" customWidth="1"/>
    <col min="11" max="11" width="13" customWidth="1"/>
    <col min="14" max="14" width="24.33203125" customWidth="1"/>
    <col min="24" max="35" width="4.77734375" customWidth="1"/>
  </cols>
  <sheetData>
    <row r="1" spans="1:39" x14ac:dyDescent="0.3">
      <c r="A1" s="55"/>
      <c r="B1" s="55"/>
      <c r="C1" s="55"/>
      <c r="D1" s="55"/>
      <c r="E1" s="55"/>
      <c r="F1" s="55"/>
      <c r="G1" s="55"/>
      <c r="H1" s="55"/>
      <c r="I1" s="55"/>
      <c r="J1" s="113" t="s">
        <v>23</v>
      </c>
      <c r="K1" s="50" t="s">
        <v>0</v>
      </c>
      <c r="L1" s="51">
        <f>COUNTIF(L7:L417,"SK(H)")</f>
        <v>0</v>
      </c>
      <c r="M1" s="50" t="s">
        <v>1</v>
      </c>
      <c r="N1" s="50">
        <f>COUNTA(M7:M433)</f>
        <v>0</v>
      </c>
      <c r="O1" s="9"/>
      <c r="P1" s="9"/>
      <c r="Q1" s="9"/>
      <c r="R1" s="9"/>
      <c r="S1" s="13"/>
      <c r="T1" s="13"/>
      <c r="U1" s="13"/>
      <c r="V1" s="13"/>
      <c r="W1" s="13"/>
      <c r="X1" s="13"/>
      <c r="Y1" s="13"/>
      <c r="Z1" s="13"/>
      <c r="AA1" s="13"/>
      <c r="AB1" s="13"/>
      <c r="AC1" s="11"/>
      <c r="AD1" s="8"/>
      <c r="AE1" s="8"/>
      <c r="AF1" s="8"/>
      <c r="AG1" s="11"/>
      <c r="AH1" s="11"/>
      <c r="AI1" s="11" t="s">
        <v>2</v>
      </c>
      <c r="AJ1" s="11"/>
      <c r="AK1" s="10"/>
      <c r="AL1" s="12"/>
      <c r="AM1" s="8"/>
    </row>
    <row r="2" spans="1:39" x14ac:dyDescent="0.3">
      <c r="A2" s="55"/>
      <c r="B2" s="55"/>
      <c r="C2" s="55"/>
      <c r="D2" s="55"/>
      <c r="E2" s="55"/>
      <c r="F2" s="55"/>
      <c r="G2" s="56"/>
      <c r="H2" s="57"/>
      <c r="I2" s="57"/>
      <c r="J2" s="113"/>
      <c r="K2" s="50" t="s">
        <v>3</v>
      </c>
      <c r="L2" s="51">
        <f>COUNTIF(L7:L418,"SHW(H)")</f>
        <v>0</v>
      </c>
      <c r="M2" s="50" t="s">
        <v>5</v>
      </c>
      <c r="N2" s="50">
        <f>COUNTA(N7:N150)</f>
        <v>144</v>
      </c>
      <c r="O2" s="9"/>
      <c r="P2" s="9"/>
      <c r="Q2" s="9"/>
      <c r="R2" s="9"/>
      <c r="S2" s="13"/>
      <c r="T2" s="13"/>
      <c r="U2" s="13"/>
      <c r="V2" s="13"/>
      <c r="W2" s="13"/>
      <c r="X2" s="13"/>
      <c r="Y2" s="13"/>
      <c r="Z2" s="13"/>
      <c r="AA2" s="13"/>
      <c r="AB2" s="13"/>
      <c r="AC2" s="11"/>
      <c r="AD2" s="8"/>
      <c r="AE2" s="8"/>
      <c r="AF2" s="8"/>
      <c r="AG2" s="11"/>
      <c r="AH2" s="11"/>
      <c r="AI2" s="11" t="s">
        <v>4</v>
      </c>
      <c r="AJ2" s="11"/>
      <c r="AK2" s="10"/>
      <c r="AL2" s="8"/>
      <c r="AM2" s="8"/>
    </row>
    <row r="3" spans="1:39" x14ac:dyDescent="0.3">
      <c r="A3" s="55"/>
      <c r="B3" s="55"/>
      <c r="C3" s="55"/>
      <c r="D3" s="55"/>
      <c r="E3" s="55"/>
      <c r="F3" s="55"/>
      <c r="G3" s="56"/>
      <c r="H3" s="57"/>
      <c r="I3" s="57"/>
      <c r="J3" s="111"/>
      <c r="K3" s="9"/>
      <c r="L3" s="115"/>
      <c r="M3" s="9"/>
      <c r="N3" s="9"/>
      <c r="O3" s="9"/>
      <c r="P3" s="9"/>
      <c r="Q3" s="9"/>
      <c r="R3" s="9"/>
      <c r="S3" s="13"/>
      <c r="T3" s="13"/>
      <c r="U3" s="13"/>
      <c r="V3" s="13"/>
      <c r="W3" s="13"/>
      <c r="X3" s="13"/>
      <c r="Y3" s="13"/>
      <c r="Z3" s="13"/>
      <c r="AA3" s="13"/>
      <c r="AB3" s="13"/>
      <c r="AC3" s="11"/>
      <c r="AD3" s="8"/>
      <c r="AE3" s="8"/>
      <c r="AF3" s="8"/>
      <c r="AG3" s="11"/>
      <c r="AH3" s="11"/>
      <c r="AI3" s="11" t="s">
        <v>6</v>
      </c>
      <c r="AJ3" s="11"/>
      <c r="AK3" s="10"/>
      <c r="AL3" s="8"/>
      <c r="AM3" s="8"/>
    </row>
    <row r="4" spans="1:39" x14ac:dyDescent="0.3">
      <c r="A4" s="55"/>
      <c r="B4" s="55"/>
      <c r="C4" s="55"/>
      <c r="D4" s="55"/>
      <c r="E4" s="55"/>
      <c r="F4" s="55"/>
      <c r="G4" s="55"/>
      <c r="H4" s="58"/>
      <c r="I4" s="58"/>
      <c r="J4" s="55"/>
      <c r="K4" s="8"/>
      <c r="L4" s="8"/>
      <c r="M4" s="13"/>
      <c r="N4" s="11"/>
      <c r="O4" s="11"/>
      <c r="P4" s="11"/>
      <c r="Q4" s="11"/>
      <c r="R4" s="11"/>
      <c r="S4" s="13"/>
      <c r="T4" s="13"/>
      <c r="U4" s="13"/>
      <c r="V4" s="13"/>
      <c r="W4" s="13"/>
      <c r="X4" s="13"/>
      <c r="Y4" s="13"/>
      <c r="Z4" s="13"/>
      <c r="AA4" s="13"/>
      <c r="AB4" s="13"/>
      <c r="AC4" s="11"/>
      <c r="AD4" s="8"/>
      <c r="AE4" s="8"/>
      <c r="AF4" s="8"/>
      <c r="AG4" s="11"/>
      <c r="AH4" s="11"/>
      <c r="AJ4" s="11"/>
      <c r="AK4" s="10"/>
      <c r="AL4" s="13"/>
      <c r="AM4" s="13"/>
    </row>
    <row r="5" spans="1:39" x14ac:dyDescent="0.3">
      <c r="A5" s="114" t="s">
        <v>7</v>
      </c>
      <c r="B5" s="114"/>
      <c r="C5" s="114"/>
      <c r="D5" s="114"/>
      <c r="E5" s="114"/>
      <c r="F5" s="114"/>
      <c r="G5" s="114"/>
      <c r="H5" s="80" t="s">
        <v>3565</v>
      </c>
      <c r="I5" s="80"/>
      <c r="J5" s="114"/>
      <c r="K5" s="114"/>
      <c r="L5" s="114"/>
      <c r="M5" s="114"/>
      <c r="N5" s="80"/>
      <c r="O5" s="15"/>
      <c r="P5" s="15"/>
      <c r="Q5" s="15"/>
      <c r="R5" s="15"/>
      <c r="S5" s="5"/>
      <c r="T5" s="5"/>
      <c r="U5" s="5"/>
      <c r="V5" s="5"/>
      <c r="W5" s="1"/>
      <c r="X5" s="116" t="s">
        <v>4092</v>
      </c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6"/>
      <c r="AK5" s="3"/>
      <c r="AL5" s="7"/>
      <c r="AM5" s="7"/>
    </row>
    <row r="6" spans="1:39" ht="117.6" customHeight="1" x14ac:dyDescent="0.3">
      <c r="A6" s="81" t="s">
        <v>8</v>
      </c>
      <c r="B6" s="78" t="s">
        <v>2437</v>
      </c>
      <c r="C6" s="81" t="s">
        <v>8</v>
      </c>
      <c r="D6" s="78" t="s">
        <v>2437</v>
      </c>
      <c r="E6" s="78" t="s">
        <v>2438</v>
      </c>
      <c r="F6" s="78" t="s">
        <v>2438</v>
      </c>
      <c r="G6" s="78" t="s">
        <v>9</v>
      </c>
      <c r="H6" s="78" t="s">
        <v>10</v>
      </c>
      <c r="I6" s="78" t="s">
        <v>11</v>
      </c>
      <c r="J6" s="82" t="s">
        <v>2441</v>
      </c>
      <c r="K6" s="19" t="s">
        <v>12</v>
      </c>
      <c r="L6" s="19" t="s">
        <v>13</v>
      </c>
      <c r="M6" s="52" t="s">
        <v>14</v>
      </c>
      <c r="N6" s="53" t="s">
        <v>34</v>
      </c>
      <c r="O6" s="83" t="s">
        <v>35</v>
      </c>
      <c r="P6" s="53" t="s">
        <v>40</v>
      </c>
      <c r="Q6" s="53" t="s">
        <v>36</v>
      </c>
      <c r="R6" s="53" t="s">
        <v>37</v>
      </c>
      <c r="S6" s="19" t="s">
        <v>15</v>
      </c>
      <c r="T6" s="19" t="s">
        <v>2440</v>
      </c>
      <c r="U6" s="19" t="s">
        <v>33</v>
      </c>
      <c r="V6" s="19" t="s">
        <v>38</v>
      </c>
      <c r="W6" s="19" t="s">
        <v>39</v>
      </c>
      <c r="X6" s="84" t="s">
        <v>26</v>
      </c>
      <c r="Y6" s="85" t="s">
        <v>27</v>
      </c>
      <c r="Z6" s="85" t="s">
        <v>16</v>
      </c>
      <c r="AA6" s="85" t="s">
        <v>17</v>
      </c>
      <c r="AB6" s="85" t="s">
        <v>18</v>
      </c>
      <c r="AC6" s="85" t="s">
        <v>19</v>
      </c>
      <c r="AD6" s="85" t="s">
        <v>20</v>
      </c>
      <c r="AE6" s="85" t="s">
        <v>28</v>
      </c>
      <c r="AF6" s="85" t="s">
        <v>29</v>
      </c>
      <c r="AG6" s="85" t="s">
        <v>30</v>
      </c>
      <c r="AH6" s="85" t="s">
        <v>31</v>
      </c>
      <c r="AI6" s="85" t="s">
        <v>32</v>
      </c>
      <c r="AJ6" s="86" t="s">
        <v>25</v>
      </c>
      <c r="AK6" s="87" t="s">
        <v>24</v>
      </c>
      <c r="AL6" s="88" t="s">
        <v>21</v>
      </c>
      <c r="AM6" s="89" t="s">
        <v>22</v>
      </c>
    </row>
    <row r="7" spans="1:39" x14ac:dyDescent="0.3">
      <c r="A7" s="90">
        <v>1</v>
      </c>
      <c r="B7" s="79" t="s">
        <v>2439</v>
      </c>
      <c r="C7" s="90">
        <v>1</v>
      </c>
      <c r="D7" s="79" t="s">
        <v>2439</v>
      </c>
      <c r="E7" s="79" t="s">
        <v>117</v>
      </c>
      <c r="F7" s="79" t="s">
        <v>117</v>
      </c>
      <c r="G7" s="79" t="s">
        <v>117</v>
      </c>
      <c r="H7" s="91" t="s">
        <v>3565</v>
      </c>
      <c r="I7" s="91" t="s">
        <v>3566</v>
      </c>
      <c r="J7" s="92">
        <v>1</v>
      </c>
      <c r="K7" s="91" t="s">
        <v>3567</v>
      </c>
      <c r="L7" s="91"/>
      <c r="M7" s="91"/>
      <c r="N7" s="93" t="s">
        <v>3568</v>
      </c>
      <c r="O7" s="93"/>
      <c r="P7" s="93"/>
      <c r="Q7" s="93"/>
      <c r="R7" s="93"/>
      <c r="S7" s="92">
        <v>5554</v>
      </c>
      <c r="T7" s="92">
        <v>1812</v>
      </c>
      <c r="U7" s="94"/>
      <c r="V7" s="95">
        <v>0</v>
      </c>
      <c r="W7" s="95">
        <v>600</v>
      </c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16"/>
      <c r="AK7" s="24"/>
      <c r="AL7" s="25"/>
      <c r="AM7" s="25"/>
    </row>
    <row r="8" spans="1:39" x14ac:dyDescent="0.3">
      <c r="A8" s="90">
        <v>2</v>
      </c>
      <c r="B8" s="79" t="s">
        <v>2439</v>
      </c>
      <c r="C8" s="90">
        <v>2</v>
      </c>
      <c r="D8" s="79" t="s">
        <v>2439</v>
      </c>
      <c r="E8" s="79" t="s">
        <v>117</v>
      </c>
      <c r="F8" s="79" t="s">
        <v>117</v>
      </c>
      <c r="G8" s="79" t="s">
        <v>117</v>
      </c>
      <c r="H8" s="91" t="s">
        <v>3565</v>
      </c>
      <c r="I8" s="91" t="s">
        <v>3566</v>
      </c>
      <c r="J8" s="92">
        <v>2</v>
      </c>
      <c r="K8" s="91"/>
      <c r="L8" s="91"/>
      <c r="M8" s="96"/>
      <c r="N8" s="93" t="s">
        <v>3569</v>
      </c>
      <c r="O8" s="93"/>
      <c r="P8" s="93"/>
      <c r="Q8" s="93"/>
      <c r="R8" s="93"/>
      <c r="S8" s="92">
        <v>2165</v>
      </c>
      <c r="T8" s="92">
        <v>809</v>
      </c>
      <c r="U8" s="92"/>
      <c r="V8" s="97">
        <v>0</v>
      </c>
      <c r="W8" s="97">
        <v>460</v>
      </c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17"/>
      <c r="AK8" s="24"/>
      <c r="AL8" s="25"/>
      <c r="AM8" s="25"/>
    </row>
    <row r="9" spans="1:39" x14ac:dyDescent="0.3">
      <c r="A9" s="90">
        <v>3</v>
      </c>
      <c r="B9" s="79" t="s">
        <v>2439</v>
      </c>
      <c r="C9" s="90">
        <v>3</v>
      </c>
      <c r="D9" s="79" t="s">
        <v>2439</v>
      </c>
      <c r="E9" s="79" t="s">
        <v>117</v>
      </c>
      <c r="F9" s="79" t="s">
        <v>117</v>
      </c>
      <c r="G9" s="79" t="s">
        <v>117</v>
      </c>
      <c r="H9" s="91" t="s">
        <v>3565</v>
      </c>
      <c r="I9" s="91" t="s">
        <v>3566</v>
      </c>
      <c r="J9" s="92">
        <v>3</v>
      </c>
      <c r="K9" s="91"/>
      <c r="L9" s="91"/>
      <c r="M9" s="96"/>
      <c r="N9" s="93" t="s">
        <v>3570</v>
      </c>
      <c r="O9" s="93"/>
      <c r="P9" s="93"/>
      <c r="Q9" s="93"/>
      <c r="R9" s="93"/>
      <c r="S9" s="92">
        <v>1001</v>
      </c>
      <c r="T9" s="92">
        <v>450</v>
      </c>
      <c r="U9" s="92"/>
      <c r="V9" s="97">
        <v>0</v>
      </c>
      <c r="W9" s="97">
        <v>190</v>
      </c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17"/>
      <c r="AK9" s="24"/>
      <c r="AL9" s="25"/>
      <c r="AM9" s="25"/>
    </row>
    <row r="10" spans="1:39" x14ac:dyDescent="0.3">
      <c r="A10" s="90">
        <v>4</v>
      </c>
      <c r="B10" s="79" t="s">
        <v>2439</v>
      </c>
      <c r="C10" s="90">
        <v>4</v>
      </c>
      <c r="D10" s="79" t="s">
        <v>2439</v>
      </c>
      <c r="E10" s="79" t="s">
        <v>117</v>
      </c>
      <c r="F10" s="79" t="s">
        <v>117</v>
      </c>
      <c r="G10" s="79" t="s">
        <v>117</v>
      </c>
      <c r="H10" s="91" t="s">
        <v>3565</v>
      </c>
      <c r="I10" s="91" t="s">
        <v>3566</v>
      </c>
      <c r="J10" s="92">
        <v>4</v>
      </c>
      <c r="K10" s="91"/>
      <c r="L10" s="91"/>
      <c r="M10" s="96"/>
      <c r="N10" s="93" t="s">
        <v>3571</v>
      </c>
      <c r="O10" s="93"/>
      <c r="P10" s="93"/>
      <c r="Q10" s="93"/>
      <c r="R10" s="93"/>
      <c r="S10" s="92">
        <v>3349</v>
      </c>
      <c r="T10" s="92">
        <v>1234</v>
      </c>
      <c r="U10" s="92"/>
      <c r="V10" s="97">
        <v>0</v>
      </c>
      <c r="W10" s="97">
        <v>0</v>
      </c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17"/>
      <c r="AK10" s="24"/>
      <c r="AL10" s="25"/>
      <c r="AM10" s="25"/>
    </row>
    <row r="11" spans="1:39" x14ac:dyDescent="0.3">
      <c r="A11" s="90">
        <v>5</v>
      </c>
      <c r="B11" s="79" t="s">
        <v>2439</v>
      </c>
      <c r="C11" s="90">
        <v>5</v>
      </c>
      <c r="D11" s="79" t="s">
        <v>2439</v>
      </c>
      <c r="E11" s="79" t="s">
        <v>117</v>
      </c>
      <c r="F11" s="79" t="s">
        <v>117</v>
      </c>
      <c r="G11" s="79" t="s">
        <v>117</v>
      </c>
      <c r="H11" s="91" t="s">
        <v>3565</v>
      </c>
      <c r="I11" s="91" t="s">
        <v>3566</v>
      </c>
      <c r="J11" s="92">
        <v>5</v>
      </c>
      <c r="K11" s="91"/>
      <c r="L11" s="91"/>
      <c r="M11" s="96"/>
      <c r="N11" s="93" t="s">
        <v>3572</v>
      </c>
      <c r="O11" s="93"/>
      <c r="P11" s="93"/>
      <c r="Q11" s="93"/>
      <c r="R11" s="93"/>
      <c r="S11" s="92">
        <v>1766</v>
      </c>
      <c r="T11" s="92">
        <v>626</v>
      </c>
      <c r="U11" s="92"/>
      <c r="V11" s="97">
        <v>0</v>
      </c>
      <c r="W11" s="97">
        <v>0</v>
      </c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16"/>
      <c r="AK11" s="24"/>
      <c r="AL11" s="25"/>
      <c r="AM11" s="25"/>
    </row>
    <row r="12" spans="1:39" x14ac:dyDescent="0.3">
      <c r="A12" s="90">
        <v>6</v>
      </c>
      <c r="B12" s="79" t="s">
        <v>2439</v>
      </c>
      <c r="C12" s="90">
        <v>6</v>
      </c>
      <c r="D12" s="79" t="s">
        <v>2439</v>
      </c>
      <c r="E12" s="79" t="s">
        <v>117</v>
      </c>
      <c r="F12" s="79" t="s">
        <v>117</v>
      </c>
      <c r="G12" s="79" t="s">
        <v>117</v>
      </c>
      <c r="H12" s="91" t="s">
        <v>3565</v>
      </c>
      <c r="I12" s="91" t="s">
        <v>3566</v>
      </c>
      <c r="J12" s="92">
        <v>6</v>
      </c>
      <c r="K12" s="96"/>
      <c r="L12" s="96"/>
      <c r="M12" s="96"/>
      <c r="N12" s="93" t="s">
        <v>50</v>
      </c>
      <c r="O12" s="93"/>
      <c r="P12" s="93"/>
      <c r="Q12" s="93"/>
      <c r="R12" s="93"/>
      <c r="S12" s="92">
        <v>2085</v>
      </c>
      <c r="T12" s="92">
        <v>809</v>
      </c>
      <c r="U12" s="92"/>
      <c r="V12" s="97">
        <v>0</v>
      </c>
      <c r="W12" s="97">
        <v>0</v>
      </c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17"/>
      <c r="AK12" s="24"/>
      <c r="AL12" s="25"/>
      <c r="AM12" s="25"/>
    </row>
    <row r="13" spans="1:39" x14ac:dyDescent="0.3">
      <c r="A13" s="90">
        <v>7</v>
      </c>
      <c r="B13" s="79" t="s">
        <v>2439</v>
      </c>
      <c r="C13" s="90">
        <v>7</v>
      </c>
      <c r="D13" s="79" t="s">
        <v>2439</v>
      </c>
      <c r="E13" s="79" t="s">
        <v>117</v>
      </c>
      <c r="F13" s="79" t="s">
        <v>117</v>
      </c>
      <c r="G13" s="79" t="s">
        <v>117</v>
      </c>
      <c r="H13" s="91" t="s">
        <v>3565</v>
      </c>
      <c r="I13" s="91" t="s">
        <v>3566</v>
      </c>
      <c r="J13" s="92">
        <v>7</v>
      </c>
      <c r="K13" s="96"/>
      <c r="L13" s="96"/>
      <c r="M13" s="96"/>
      <c r="N13" s="93" t="s">
        <v>3573</v>
      </c>
      <c r="O13" s="93"/>
      <c r="P13" s="93"/>
      <c r="Q13" s="93"/>
      <c r="R13" s="93"/>
      <c r="S13" s="92">
        <v>1128</v>
      </c>
      <c r="T13" s="92">
        <v>340</v>
      </c>
      <c r="U13" s="92"/>
      <c r="V13" s="97">
        <v>273</v>
      </c>
      <c r="W13" s="97">
        <v>273</v>
      </c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17"/>
      <c r="AK13" s="24"/>
      <c r="AL13" s="25"/>
      <c r="AM13" s="25"/>
    </row>
    <row r="14" spans="1:39" x14ac:dyDescent="0.3">
      <c r="A14" s="90">
        <v>8</v>
      </c>
      <c r="B14" s="79" t="s">
        <v>2439</v>
      </c>
      <c r="C14" s="90">
        <v>8</v>
      </c>
      <c r="D14" s="79" t="s">
        <v>2439</v>
      </c>
      <c r="E14" s="79" t="s">
        <v>117</v>
      </c>
      <c r="F14" s="79" t="s">
        <v>117</v>
      </c>
      <c r="G14" s="79" t="s">
        <v>117</v>
      </c>
      <c r="H14" s="91" t="s">
        <v>3565</v>
      </c>
      <c r="I14" s="91" t="s">
        <v>3566</v>
      </c>
      <c r="J14" s="92">
        <v>8</v>
      </c>
      <c r="K14" s="96"/>
      <c r="L14" s="96"/>
      <c r="M14" s="96"/>
      <c r="N14" s="93" t="s">
        <v>3574</v>
      </c>
      <c r="O14" s="93"/>
      <c r="P14" s="93"/>
      <c r="Q14" s="93"/>
      <c r="R14" s="93"/>
      <c r="S14" s="92">
        <v>9466</v>
      </c>
      <c r="T14" s="92">
        <v>3371</v>
      </c>
      <c r="U14" s="92"/>
      <c r="V14" s="97">
        <v>0</v>
      </c>
      <c r="W14" s="97">
        <v>840</v>
      </c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16"/>
      <c r="AK14" s="24"/>
      <c r="AL14" s="25"/>
      <c r="AM14" s="25"/>
    </row>
    <row r="15" spans="1:39" x14ac:dyDescent="0.3">
      <c r="A15" s="90">
        <v>9</v>
      </c>
      <c r="B15" s="79" t="s">
        <v>2439</v>
      </c>
      <c r="C15" s="90">
        <v>9</v>
      </c>
      <c r="D15" s="79" t="s">
        <v>2439</v>
      </c>
      <c r="E15" s="79" t="s">
        <v>117</v>
      </c>
      <c r="F15" s="79" t="s">
        <v>117</v>
      </c>
      <c r="G15" s="79" t="s">
        <v>117</v>
      </c>
      <c r="H15" s="91" t="s">
        <v>3565</v>
      </c>
      <c r="I15" s="91" t="s">
        <v>3566</v>
      </c>
      <c r="J15" s="92">
        <v>9</v>
      </c>
      <c r="K15" s="96"/>
      <c r="L15" s="96"/>
      <c r="M15" s="96"/>
      <c r="N15" s="93" t="s">
        <v>3575</v>
      </c>
      <c r="O15" s="93"/>
      <c r="P15" s="93"/>
      <c r="Q15" s="93"/>
      <c r="R15" s="93"/>
      <c r="S15" s="92">
        <v>2473</v>
      </c>
      <c r="T15" s="92">
        <v>632</v>
      </c>
      <c r="U15" s="92"/>
      <c r="V15" s="97">
        <v>0</v>
      </c>
      <c r="W15" s="97">
        <v>500</v>
      </c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17"/>
      <c r="AK15" s="24"/>
      <c r="AL15" s="25"/>
      <c r="AM15" s="25"/>
    </row>
    <row r="16" spans="1:39" x14ac:dyDescent="0.3">
      <c r="A16" s="90">
        <v>10</v>
      </c>
      <c r="B16" s="79" t="s">
        <v>2439</v>
      </c>
      <c r="C16" s="90">
        <v>10</v>
      </c>
      <c r="D16" s="79" t="s">
        <v>2439</v>
      </c>
      <c r="E16" s="79" t="s">
        <v>117</v>
      </c>
      <c r="F16" s="79" t="s">
        <v>117</v>
      </c>
      <c r="G16" s="79" t="s">
        <v>117</v>
      </c>
      <c r="H16" s="91" t="s">
        <v>3565</v>
      </c>
      <c r="I16" s="91" t="s">
        <v>3576</v>
      </c>
      <c r="J16" s="92">
        <v>1</v>
      </c>
      <c r="K16" s="96"/>
      <c r="L16" s="96"/>
      <c r="M16" s="96"/>
      <c r="N16" s="93" t="s">
        <v>3577</v>
      </c>
      <c r="O16" s="93"/>
      <c r="P16" s="93"/>
      <c r="Q16" s="93"/>
      <c r="R16" s="93"/>
      <c r="S16" s="92">
        <v>3231</v>
      </c>
      <c r="T16" s="92">
        <v>1121</v>
      </c>
      <c r="U16" s="92"/>
      <c r="V16" s="97">
        <v>0</v>
      </c>
      <c r="W16" s="97">
        <v>0</v>
      </c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17"/>
      <c r="AK16" s="24"/>
      <c r="AL16" s="25"/>
      <c r="AM16" s="25"/>
    </row>
    <row r="17" spans="1:39" x14ac:dyDescent="0.3">
      <c r="A17" s="90">
        <v>11</v>
      </c>
      <c r="B17" s="79" t="s">
        <v>2439</v>
      </c>
      <c r="C17" s="90">
        <v>11</v>
      </c>
      <c r="D17" s="79" t="s">
        <v>2439</v>
      </c>
      <c r="E17" s="79" t="s">
        <v>117</v>
      </c>
      <c r="F17" s="79" t="s">
        <v>117</v>
      </c>
      <c r="G17" s="79" t="s">
        <v>117</v>
      </c>
      <c r="H17" s="91" t="s">
        <v>3565</v>
      </c>
      <c r="I17" s="91" t="s">
        <v>3576</v>
      </c>
      <c r="J17" s="92">
        <v>2</v>
      </c>
      <c r="K17" s="96"/>
      <c r="L17" s="96"/>
      <c r="M17" s="96"/>
      <c r="N17" s="93" t="s">
        <v>3578</v>
      </c>
      <c r="O17" s="93"/>
      <c r="P17" s="93"/>
      <c r="Q17" s="93"/>
      <c r="R17" s="93"/>
      <c r="S17" s="92">
        <v>1575</v>
      </c>
      <c r="T17" s="92">
        <v>567</v>
      </c>
      <c r="U17" s="92"/>
      <c r="V17" s="97">
        <v>0</v>
      </c>
      <c r="W17" s="97">
        <v>0</v>
      </c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17"/>
      <c r="AK17" s="24"/>
      <c r="AL17" s="25"/>
      <c r="AM17" s="25"/>
    </row>
    <row r="18" spans="1:39" x14ac:dyDescent="0.3">
      <c r="A18" s="90">
        <v>12</v>
      </c>
      <c r="B18" s="79" t="s">
        <v>2439</v>
      </c>
      <c r="C18" s="90">
        <v>12</v>
      </c>
      <c r="D18" s="79" t="s">
        <v>2439</v>
      </c>
      <c r="E18" s="79" t="s">
        <v>117</v>
      </c>
      <c r="F18" s="79" t="s">
        <v>117</v>
      </c>
      <c r="G18" s="79" t="s">
        <v>117</v>
      </c>
      <c r="H18" s="91" t="s">
        <v>3565</v>
      </c>
      <c r="I18" s="91" t="s">
        <v>3576</v>
      </c>
      <c r="J18" s="92">
        <v>3</v>
      </c>
      <c r="K18" s="96"/>
      <c r="L18" s="96"/>
      <c r="M18" s="96"/>
      <c r="N18" s="93" t="s">
        <v>3579</v>
      </c>
      <c r="O18" s="93"/>
      <c r="P18" s="93"/>
      <c r="Q18" s="93"/>
      <c r="R18" s="93"/>
      <c r="S18" s="92">
        <v>2460</v>
      </c>
      <c r="T18" s="92">
        <v>982</v>
      </c>
      <c r="U18" s="92"/>
      <c r="V18" s="97">
        <v>0</v>
      </c>
      <c r="W18" s="97">
        <v>0</v>
      </c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17"/>
      <c r="AK18" s="24"/>
      <c r="AL18" s="25"/>
      <c r="AM18" s="25"/>
    </row>
    <row r="19" spans="1:39" x14ac:dyDescent="0.3">
      <c r="A19" s="90">
        <v>13</v>
      </c>
      <c r="B19" s="79" t="s">
        <v>2439</v>
      </c>
      <c r="C19" s="90">
        <v>13</v>
      </c>
      <c r="D19" s="79" t="s">
        <v>2439</v>
      </c>
      <c r="E19" s="79" t="s">
        <v>117</v>
      </c>
      <c r="F19" s="79" t="s">
        <v>117</v>
      </c>
      <c r="G19" s="79" t="s">
        <v>117</v>
      </c>
      <c r="H19" s="91" t="s">
        <v>3565</v>
      </c>
      <c r="I19" s="91" t="s">
        <v>3576</v>
      </c>
      <c r="J19" s="92">
        <v>4</v>
      </c>
      <c r="K19" s="96"/>
      <c r="L19" s="96"/>
      <c r="M19" s="96"/>
      <c r="N19" s="93" t="s">
        <v>3580</v>
      </c>
      <c r="O19" s="93"/>
      <c r="P19" s="93"/>
      <c r="Q19" s="93"/>
      <c r="R19" s="93"/>
      <c r="S19" s="92">
        <v>1771</v>
      </c>
      <c r="T19" s="92">
        <v>745</v>
      </c>
      <c r="U19" s="92"/>
      <c r="V19" s="97">
        <v>0</v>
      </c>
      <c r="W19" s="97">
        <v>0</v>
      </c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17"/>
      <c r="AK19" s="24"/>
      <c r="AL19" s="25"/>
      <c r="AM19" s="25"/>
    </row>
    <row r="20" spans="1:39" x14ac:dyDescent="0.3">
      <c r="A20" s="90">
        <v>14</v>
      </c>
      <c r="B20" s="79" t="s">
        <v>2439</v>
      </c>
      <c r="C20" s="90">
        <v>14</v>
      </c>
      <c r="D20" s="79" t="s">
        <v>2439</v>
      </c>
      <c r="E20" s="79" t="s">
        <v>117</v>
      </c>
      <c r="F20" s="79" t="s">
        <v>117</v>
      </c>
      <c r="G20" s="79" t="s">
        <v>117</v>
      </c>
      <c r="H20" s="91" t="s">
        <v>3565</v>
      </c>
      <c r="I20" s="91" t="s">
        <v>3576</v>
      </c>
      <c r="J20" s="92">
        <v>5</v>
      </c>
      <c r="K20" s="96" t="s">
        <v>3581</v>
      </c>
      <c r="L20" s="96"/>
      <c r="M20" s="96"/>
      <c r="N20" s="93" t="s">
        <v>3582</v>
      </c>
      <c r="O20" s="93"/>
      <c r="P20" s="93"/>
      <c r="Q20" s="93"/>
      <c r="R20" s="93"/>
      <c r="S20" s="92">
        <v>2258</v>
      </c>
      <c r="T20" s="92">
        <v>793</v>
      </c>
      <c r="U20" s="92"/>
      <c r="V20" s="97">
        <v>0</v>
      </c>
      <c r="W20" s="97">
        <v>0</v>
      </c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17"/>
      <c r="AK20" s="24"/>
      <c r="AL20" s="25"/>
      <c r="AM20" s="25"/>
    </row>
    <row r="21" spans="1:39" x14ac:dyDescent="0.3">
      <c r="A21" s="90">
        <v>15</v>
      </c>
      <c r="B21" s="79" t="s">
        <v>2439</v>
      </c>
      <c r="C21" s="90">
        <v>15</v>
      </c>
      <c r="D21" s="79" t="s">
        <v>2439</v>
      </c>
      <c r="E21" s="79" t="s">
        <v>117</v>
      </c>
      <c r="F21" s="79" t="s">
        <v>117</v>
      </c>
      <c r="G21" s="79" t="s">
        <v>117</v>
      </c>
      <c r="H21" s="91" t="s">
        <v>3565</v>
      </c>
      <c r="I21" s="91" t="s">
        <v>3576</v>
      </c>
      <c r="J21" s="97">
        <v>6</v>
      </c>
      <c r="K21" s="96"/>
      <c r="L21" s="96"/>
      <c r="M21" s="96"/>
      <c r="N21" s="93" t="s">
        <v>3583</v>
      </c>
      <c r="O21" s="93"/>
      <c r="P21" s="93"/>
      <c r="Q21" s="93"/>
      <c r="R21" s="93"/>
      <c r="S21" s="92">
        <v>2254</v>
      </c>
      <c r="T21" s="92">
        <v>745</v>
      </c>
      <c r="U21" s="92"/>
      <c r="V21" s="97">
        <v>0</v>
      </c>
      <c r="W21" s="97">
        <v>250</v>
      </c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17"/>
      <c r="AK21" s="24"/>
      <c r="AL21" s="25"/>
      <c r="AM21" s="25"/>
    </row>
    <row r="22" spans="1:39" x14ac:dyDescent="0.3">
      <c r="A22" s="90">
        <v>16</v>
      </c>
      <c r="B22" s="79" t="s">
        <v>2439</v>
      </c>
      <c r="C22" s="90">
        <v>16</v>
      </c>
      <c r="D22" s="79" t="s">
        <v>2439</v>
      </c>
      <c r="E22" s="79" t="s">
        <v>117</v>
      </c>
      <c r="F22" s="79" t="s">
        <v>117</v>
      </c>
      <c r="G22" s="79" t="s">
        <v>117</v>
      </c>
      <c r="H22" s="91" t="s">
        <v>3565</v>
      </c>
      <c r="I22" s="91" t="s">
        <v>3576</v>
      </c>
      <c r="J22" s="92">
        <v>7</v>
      </c>
      <c r="K22" s="96"/>
      <c r="L22" s="96"/>
      <c r="M22" s="96"/>
      <c r="N22" s="93" t="s">
        <v>3584</v>
      </c>
      <c r="O22" s="93"/>
      <c r="P22" s="93"/>
      <c r="Q22" s="93"/>
      <c r="R22" s="93"/>
      <c r="S22" s="92">
        <v>1987</v>
      </c>
      <c r="T22" s="92">
        <v>577</v>
      </c>
      <c r="U22" s="92"/>
      <c r="V22" s="97">
        <v>0</v>
      </c>
      <c r="W22" s="97">
        <v>0</v>
      </c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17"/>
      <c r="AK22" s="24"/>
      <c r="AL22" s="25"/>
      <c r="AM22" s="25"/>
    </row>
    <row r="23" spans="1:39" x14ac:dyDescent="0.3">
      <c r="A23" s="90">
        <v>17</v>
      </c>
      <c r="B23" s="79" t="s">
        <v>2439</v>
      </c>
      <c r="C23" s="90">
        <v>17</v>
      </c>
      <c r="D23" s="79" t="s">
        <v>2439</v>
      </c>
      <c r="E23" s="79" t="s">
        <v>117</v>
      </c>
      <c r="F23" s="79" t="s">
        <v>117</v>
      </c>
      <c r="G23" s="79" t="s">
        <v>117</v>
      </c>
      <c r="H23" s="91" t="s">
        <v>3565</v>
      </c>
      <c r="I23" s="91" t="s">
        <v>3576</v>
      </c>
      <c r="J23" s="92">
        <v>8</v>
      </c>
      <c r="K23" s="96"/>
      <c r="L23" s="96"/>
      <c r="M23" s="96"/>
      <c r="N23" s="93" t="s">
        <v>3585</v>
      </c>
      <c r="O23" s="93"/>
      <c r="P23" s="93"/>
      <c r="Q23" s="93"/>
      <c r="R23" s="93"/>
      <c r="S23" s="92">
        <v>3000</v>
      </c>
      <c r="T23" s="92">
        <v>983</v>
      </c>
      <c r="U23" s="92"/>
      <c r="V23" s="97">
        <v>0</v>
      </c>
      <c r="W23" s="97">
        <v>0</v>
      </c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17"/>
      <c r="AK23" s="24"/>
      <c r="AL23" s="25"/>
      <c r="AM23" s="25"/>
    </row>
    <row r="24" spans="1:39" x14ac:dyDescent="0.3">
      <c r="A24" s="90">
        <v>18</v>
      </c>
      <c r="B24" s="79" t="s">
        <v>2439</v>
      </c>
      <c r="C24" s="90">
        <v>18</v>
      </c>
      <c r="D24" s="79" t="s">
        <v>2439</v>
      </c>
      <c r="E24" s="79" t="s">
        <v>117</v>
      </c>
      <c r="F24" s="79" t="s">
        <v>117</v>
      </c>
      <c r="G24" s="79" t="s">
        <v>117</v>
      </c>
      <c r="H24" s="91" t="s">
        <v>3565</v>
      </c>
      <c r="I24" s="91" t="s">
        <v>3576</v>
      </c>
      <c r="J24" s="92">
        <v>9</v>
      </c>
      <c r="K24" s="96"/>
      <c r="L24" s="96"/>
      <c r="M24" s="96"/>
      <c r="N24" s="93" t="s">
        <v>3586</v>
      </c>
      <c r="O24" s="93"/>
      <c r="P24" s="93"/>
      <c r="Q24" s="93"/>
      <c r="R24" s="93"/>
      <c r="S24" s="92">
        <v>5096</v>
      </c>
      <c r="T24" s="92">
        <v>1789</v>
      </c>
      <c r="U24" s="92"/>
      <c r="V24" s="97">
        <v>0</v>
      </c>
      <c r="W24" s="97">
        <v>0</v>
      </c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17"/>
      <c r="AK24" s="24"/>
      <c r="AL24" s="25"/>
      <c r="AM24" s="25"/>
    </row>
    <row r="25" spans="1:39" x14ac:dyDescent="0.3">
      <c r="A25" s="90">
        <v>19</v>
      </c>
      <c r="B25" s="79" t="s">
        <v>2439</v>
      </c>
      <c r="C25" s="90">
        <v>19</v>
      </c>
      <c r="D25" s="79" t="s">
        <v>2439</v>
      </c>
      <c r="E25" s="79" t="s">
        <v>117</v>
      </c>
      <c r="F25" s="79" t="s">
        <v>117</v>
      </c>
      <c r="G25" s="79" t="s">
        <v>117</v>
      </c>
      <c r="H25" s="91" t="s">
        <v>3565</v>
      </c>
      <c r="I25" s="91" t="s">
        <v>3571</v>
      </c>
      <c r="J25" s="97">
        <v>1</v>
      </c>
      <c r="K25" s="96"/>
      <c r="L25" s="96"/>
      <c r="M25" s="96"/>
      <c r="N25" s="93" t="s">
        <v>3587</v>
      </c>
      <c r="O25" s="93"/>
      <c r="P25" s="93"/>
      <c r="Q25" s="93"/>
      <c r="R25" s="93"/>
      <c r="S25" s="92">
        <v>1983</v>
      </c>
      <c r="T25" s="92">
        <v>434</v>
      </c>
      <c r="U25" s="92"/>
      <c r="V25" s="97">
        <v>0</v>
      </c>
      <c r="W25" s="97">
        <v>0</v>
      </c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17"/>
      <c r="AK25" s="24"/>
      <c r="AL25" s="25"/>
      <c r="AM25" s="25"/>
    </row>
    <row r="26" spans="1:39" x14ac:dyDescent="0.3">
      <c r="A26" s="90">
        <v>20</v>
      </c>
      <c r="B26" s="79" t="s">
        <v>2439</v>
      </c>
      <c r="C26" s="90">
        <v>20</v>
      </c>
      <c r="D26" s="79" t="s">
        <v>2439</v>
      </c>
      <c r="E26" s="79" t="s">
        <v>117</v>
      </c>
      <c r="F26" s="79" t="s">
        <v>117</v>
      </c>
      <c r="G26" s="79" t="s">
        <v>117</v>
      </c>
      <c r="H26" s="91" t="s">
        <v>3565</v>
      </c>
      <c r="I26" s="91" t="s">
        <v>3571</v>
      </c>
      <c r="J26" s="97">
        <v>2</v>
      </c>
      <c r="K26" s="96"/>
      <c r="L26" s="96"/>
      <c r="M26" s="96"/>
      <c r="N26" s="93" t="s">
        <v>3588</v>
      </c>
      <c r="O26" s="93"/>
      <c r="P26" s="93"/>
      <c r="Q26" s="93"/>
      <c r="R26" s="93"/>
      <c r="S26" s="92">
        <v>2161</v>
      </c>
      <c r="T26" s="92">
        <v>353</v>
      </c>
      <c r="U26" s="92"/>
      <c r="V26" s="97">
        <v>0</v>
      </c>
      <c r="W26" s="97">
        <v>0</v>
      </c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17"/>
      <c r="AK26" s="24"/>
      <c r="AL26" s="25"/>
      <c r="AM26" s="25"/>
    </row>
    <row r="27" spans="1:39" x14ac:dyDescent="0.3">
      <c r="A27" s="90">
        <v>21</v>
      </c>
      <c r="B27" s="79" t="s">
        <v>2439</v>
      </c>
      <c r="C27" s="90">
        <v>21</v>
      </c>
      <c r="D27" s="79" t="s">
        <v>2439</v>
      </c>
      <c r="E27" s="79" t="s">
        <v>117</v>
      </c>
      <c r="F27" s="79" t="s">
        <v>117</v>
      </c>
      <c r="G27" s="79" t="s">
        <v>117</v>
      </c>
      <c r="H27" s="91" t="s">
        <v>3565</v>
      </c>
      <c r="I27" s="91" t="s">
        <v>3571</v>
      </c>
      <c r="J27" s="97">
        <v>3</v>
      </c>
      <c r="K27" s="96"/>
      <c r="L27" s="96"/>
      <c r="M27" s="96"/>
      <c r="N27" s="93" t="s">
        <v>3589</v>
      </c>
      <c r="O27" s="93"/>
      <c r="P27" s="93"/>
      <c r="Q27" s="93"/>
      <c r="R27" s="93"/>
      <c r="S27" s="92">
        <v>2170</v>
      </c>
      <c r="T27" s="92">
        <v>342</v>
      </c>
      <c r="U27" s="92"/>
      <c r="V27" s="97">
        <v>0</v>
      </c>
      <c r="W27" s="97">
        <v>0</v>
      </c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17"/>
      <c r="AK27" s="24"/>
      <c r="AL27" s="25"/>
      <c r="AM27" s="25"/>
    </row>
    <row r="28" spans="1:39" x14ac:dyDescent="0.3">
      <c r="A28" s="90">
        <v>22</v>
      </c>
      <c r="B28" s="79" t="s">
        <v>2439</v>
      </c>
      <c r="C28" s="90">
        <v>22</v>
      </c>
      <c r="D28" s="79" t="s">
        <v>2439</v>
      </c>
      <c r="E28" s="79" t="s">
        <v>117</v>
      </c>
      <c r="F28" s="79" t="s">
        <v>117</v>
      </c>
      <c r="G28" s="79" t="s">
        <v>117</v>
      </c>
      <c r="H28" s="91" t="s">
        <v>3565</v>
      </c>
      <c r="I28" s="91" t="s">
        <v>3571</v>
      </c>
      <c r="J28" s="97">
        <v>4</v>
      </c>
      <c r="K28" s="96"/>
      <c r="L28" s="96"/>
      <c r="M28" s="96"/>
      <c r="N28" s="93" t="s">
        <v>3590</v>
      </c>
      <c r="O28" s="93"/>
      <c r="P28" s="93"/>
      <c r="Q28" s="93"/>
      <c r="R28" s="93"/>
      <c r="S28" s="92">
        <v>2044</v>
      </c>
      <c r="T28" s="92">
        <v>576</v>
      </c>
      <c r="U28" s="92"/>
      <c r="V28" s="97">
        <v>0</v>
      </c>
      <c r="W28" s="97">
        <v>0</v>
      </c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17"/>
      <c r="AK28" s="24"/>
      <c r="AL28" s="25"/>
      <c r="AM28" s="25"/>
    </row>
    <row r="29" spans="1:39" x14ac:dyDescent="0.3">
      <c r="A29" s="90">
        <v>23</v>
      </c>
      <c r="B29" s="79" t="s">
        <v>2439</v>
      </c>
      <c r="C29" s="90">
        <v>23</v>
      </c>
      <c r="D29" s="79" t="s">
        <v>2439</v>
      </c>
      <c r="E29" s="79" t="s">
        <v>117</v>
      </c>
      <c r="F29" s="79" t="s">
        <v>117</v>
      </c>
      <c r="G29" s="79" t="s">
        <v>117</v>
      </c>
      <c r="H29" s="91" t="s">
        <v>3565</v>
      </c>
      <c r="I29" s="91" t="s">
        <v>3571</v>
      </c>
      <c r="J29" s="97">
        <v>5</v>
      </c>
      <c r="K29" s="96"/>
      <c r="L29" s="96"/>
      <c r="M29" s="96"/>
      <c r="N29" s="93" t="s">
        <v>3591</v>
      </c>
      <c r="O29" s="93"/>
      <c r="P29" s="93"/>
      <c r="Q29" s="93"/>
      <c r="R29" s="93"/>
      <c r="S29" s="92">
        <v>2250</v>
      </c>
      <c r="T29" s="92">
        <v>765</v>
      </c>
      <c r="U29" s="92"/>
      <c r="V29" s="97">
        <v>0</v>
      </c>
      <c r="W29" s="97">
        <v>0</v>
      </c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17"/>
      <c r="AK29" s="24"/>
      <c r="AL29" s="25"/>
      <c r="AM29" s="25"/>
    </row>
    <row r="30" spans="1:39" x14ac:dyDescent="0.3">
      <c r="A30" s="90">
        <v>24</v>
      </c>
      <c r="B30" s="79" t="s">
        <v>2439</v>
      </c>
      <c r="C30" s="90">
        <v>24</v>
      </c>
      <c r="D30" s="79" t="s">
        <v>2439</v>
      </c>
      <c r="E30" s="79" t="s">
        <v>117</v>
      </c>
      <c r="F30" s="79" t="s">
        <v>117</v>
      </c>
      <c r="G30" s="79" t="s">
        <v>117</v>
      </c>
      <c r="H30" s="91" t="s">
        <v>3565</v>
      </c>
      <c r="I30" s="91" t="s">
        <v>3571</v>
      </c>
      <c r="J30" s="97">
        <v>6</v>
      </c>
      <c r="K30" s="96"/>
      <c r="L30" s="96"/>
      <c r="M30" s="96"/>
      <c r="N30" s="93" t="s">
        <v>3592</v>
      </c>
      <c r="O30" s="93"/>
      <c r="P30" s="93"/>
      <c r="Q30" s="93"/>
      <c r="R30" s="93"/>
      <c r="S30" s="92">
        <v>1250</v>
      </c>
      <c r="T30" s="92">
        <v>289</v>
      </c>
      <c r="U30" s="92"/>
      <c r="V30" s="97">
        <v>0</v>
      </c>
      <c r="W30" s="97">
        <v>0</v>
      </c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17"/>
      <c r="AK30" s="24"/>
      <c r="AL30" s="25"/>
      <c r="AM30" s="25"/>
    </row>
    <row r="31" spans="1:39" x14ac:dyDescent="0.3">
      <c r="A31" s="90">
        <v>25</v>
      </c>
      <c r="B31" s="79" t="s">
        <v>2439</v>
      </c>
      <c r="C31" s="90">
        <v>25</v>
      </c>
      <c r="D31" s="79" t="s">
        <v>2439</v>
      </c>
      <c r="E31" s="79" t="s">
        <v>117</v>
      </c>
      <c r="F31" s="79" t="s">
        <v>117</v>
      </c>
      <c r="G31" s="79" t="s">
        <v>117</v>
      </c>
      <c r="H31" s="91" t="s">
        <v>3565</v>
      </c>
      <c r="I31" s="91" t="s">
        <v>3571</v>
      </c>
      <c r="J31" s="97">
        <v>7</v>
      </c>
      <c r="K31" s="96"/>
      <c r="L31" s="96"/>
      <c r="M31" s="96"/>
      <c r="N31" s="93" t="s">
        <v>3593</v>
      </c>
      <c r="O31" s="93"/>
      <c r="P31" s="93"/>
      <c r="Q31" s="93"/>
      <c r="R31" s="93"/>
      <c r="S31" s="92">
        <v>3458</v>
      </c>
      <c r="T31" s="92">
        <v>789</v>
      </c>
      <c r="U31" s="92"/>
      <c r="V31" s="97">
        <v>0</v>
      </c>
      <c r="W31" s="97">
        <v>0</v>
      </c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17"/>
      <c r="AK31" s="24"/>
      <c r="AL31" s="25"/>
      <c r="AM31" s="25"/>
    </row>
    <row r="32" spans="1:39" x14ac:dyDescent="0.3">
      <c r="A32" s="90">
        <v>26</v>
      </c>
      <c r="B32" s="79" t="s">
        <v>2439</v>
      </c>
      <c r="C32" s="90">
        <v>26</v>
      </c>
      <c r="D32" s="79" t="s">
        <v>2439</v>
      </c>
      <c r="E32" s="79" t="s">
        <v>117</v>
      </c>
      <c r="F32" s="79" t="s">
        <v>117</v>
      </c>
      <c r="G32" s="79" t="s">
        <v>117</v>
      </c>
      <c r="H32" s="91" t="s">
        <v>3565</v>
      </c>
      <c r="I32" s="96" t="s">
        <v>3571</v>
      </c>
      <c r="J32" s="97">
        <v>8</v>
      </c>
      <c r="K32" s="96"/>
      <c r="L32" s="96"/>
      <c r="M32" s="96"/>
      <c r="N32" s="93" t="s">
        <v>3594</v>
      </c>
      <c r="O32" s="93"/>
      <c r="P32" s="93"/>
      <c r="Q32" s="93"/>
      <c r="R32" s="93"/>
      <c r="S32" s="92">
        <v>1965</v>
      </c>
      <c r="T32" s="92">
        <v>561</v>
      </c>
      <c r="U32" s="92"/>
      <c r="V32" s="97">
        <v>0</v>
      </c>
      <c r="W32" s="97">
        <v>0</v>
      </c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17"/>
      <c r="AK32" s="24"/>
      <c r="AL32" s="25"/>
      <c r="AM32" s="25"/>
    </row>
    <row r="33" spans="1:39" x14ac:dyDescent="0.3">
      <c r="A33" s="90">
        <v>27</v>
      </c>
      <c r="B33" s="79" t="s">
        <v>2439</v>
      </c>
      <c r="C33" s="90">
        <v>27</v>
      </c>
      <c r="D33" s="79" t="s">
        <v>2439</v>
      </c>
      <c r="E33" s="79" t="s">
        <v>117</v>
      </c>
      <c r="F33" s="79" t="s">
        <v>117</v>
      </c>
      <c r="G33" s="79" t="s">
        <v>117</v>
      </c>
      <c r="H33" s="91" t="s">
        <v>3565</v>
      </c>
      <c r="I33" s="96" t="s">
        <v>3571</v>
      </c>
      <c r="J33" s="97">
        <v>9</v>
      </c>
      <c r="K33" s="96"/>
      <c r="L33" s="96"/>
      <c r="M33" s="96"/>
      <c r="N33" s="93" t="s">
        <v>3595</v>
      </c>
      <c r="O33" s="93"/>
      <c r="P33" s="93"/>
      <c r="Q33" s="93"/>
      <c r="R33" s="93"/>
      <c r="S33" s="92">
        <v>2050</v>
      </c>
      <c r="T33" s="92">
        <v>698</v>
      </c>
      <c r="U33" s="92"/>
      <c r="V33" s="97">
        <v>0</v>
      </c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17"/>
      <c r="AK33" s="24"/>
      <c r="AL33" s="25"/>
      <c r="AM33" s="25"/>
    </row>
    <row r="34" spans="1:39" x14ac:dyDescent="0.3">
      <c r="A34" s="90">
        <v>28</v>
      </c>
      <c r="B34" s="79" t="s">
        <v>2439</v>
      </c>
      <c r="C34" s="90">
        <v>28</v>
      </c>
      <c r="D34" s="79" t="s">
        <v>2439</v>
      </c>
      <c r="E34" s="79" t="s">
        <v>117</v>
      </c>
      <c r="F34" s="79" t="s">
        <v>117</v>
      </c>
      <c r="G34" s="79" t="s">
        <v>117</v>
      </c>
      <c r="H34" s="91" t="s">
        <v>3565</v>
      </c>
      <c r="I34" s="96" t="s">
        <v>2798</v>
      </c>
      <c r="J34" s="97">
        <v>1</v>
      </c>
      <c r="K34" s="96"/>
      <c r="L34" s="96"/>
      <c r="M34" s="96"/>
      <c r="N34" s="93" t="s">
        <v>3596</v>
      </c>
      <c r="O34" s="93"/>
      <c r="P34" s="93"/>
      <c r="Q34" s="93"/>
      <c r="R34" s="93"/>
      <c r="S34" s="92">
        <v>2910</v>
      </c>
      <c r="T34" s="92">
        <v>763</v>
      </c>
      <c r="U34" s="92"/>
      <c r="V34" s="97">
        <v>0</v>
      </c>
      <c r="W34" s="97">
        <v>0</v>
      </c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17"/>
      <c r="AK34" s="24"/>
      <c r="AL34" s="25"/>
      <c r="AM34" s="25"/>
    </row>
    <row r="35" spans="1:39" x14ac:dyDescent="0.3">
      <c r="A35" s="90">
        <v>29</v>
      </c>
      <c r="B35" s="79" t="s">
        <v>2439</v>
      </c>
      <c r="C35" s="90">
        <v>29</v>
      </c>
      <c r="D35" s="79" t="s">
        <v>2439</v>
      </c>
      <c r="E35" s="79" t="s">
        <v>117</v>
      </c>
      <c r="F35" s="79" t="s">
        <v>117</v>
      </c>
      <c r="G35" s="79" t="s">
        <v>117</v>
      </c>
      <c r="H35" s="91" t="s">
        <v>3565</v>
      </c>
      <c r="I35" s="96" t="s">
        <v>2798</v>
      </c>
      <c r="J35" s="97">
        <v>2</v>
      </c>
      <c r="K35" s="96" t="s">
        <v>3597</v>
      </c>
      <c r="L35" s="96"/>
      <c r="M35" s="96"/>
      <c r="N35" s="93" t="s">
        <v>3598</v>
      </c>
      <c r="O35" s="93"/>
      <c r="P35" s="93"/>
      <c r="Q35" s="93"/>
      <c r="R35" s="93"/>
      <c r="S35" s="92">
        <v>1410</v>
      </c>
      <c r="T35" s="92">
        <v>372</v>
      </c>
      <c r="U35" s="92"/>
      <c r="V35" s="97">
        <v>0</v>
      </c>
      <c r="W35" s="97">
        <v>0</v>
      </c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17"/>
      <c r="AK35" s="24"/>
      <c r="AL35" s="29"/>
      <c r="AM35" s="29"/>
    </row>
    <row r="36" spans="1:39" x14ac:dyDescent="0.3">
      <c r="A36" s="90">
        <v>30</v>
      </c>
      <c r="B36" s="79" t="s">
        <v>2439</v>
      </c>
      <c r="C36" s="90">
        <v>30</v>
      </c>
      <c r="D36" s="79" t="s">
        <v>2439</v>
      </c>
      <c r="E36" s="79" t="s">
        <v>117</v>
      </c>
      <c r="F36" s="79" t="s">
        <v>117</v>
      </c>
      <c r="G36" s="79" t="s">
        <v>117</v>
      </c>
      <c r="H36" s="91" t="s">
        <v>3565</v>
      </c>
      <c r="I36" s="96" t="s">
        <v>2798</v>
      </c>
      <c r="J36" s="97">
        <v>3</v>
      </c>
      <c r="K36" s="96"/>
      <c r="L36" s="96"/>
      <c r="M36" s="96"/>
      <c r="N36" s="93" t="s">
        <v>3599</v>
      </c>
      <c r="O36" s="93"/>
      <c r="P36" s="93"/>
      <c r="Q36" s="93"/>
      <c r="R36" s="93"/>
      <c r="S36" s="92">
        <v>1150</v>
      </c>
      <c r="T36" s="92">
        <v>287</v>
      </c>
      <c r="U36" s="92"/>
      <c r="V36" s="97">
        <v>0</v>
      </c>
      <c r="W36" s="97">
        <v>0</v>
      </c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17"/>
      <c r="AK36" s="24"/>
      <c r="AL36" s="30"/>
      <c r="AM36" s="30"/>
    </row>
    <row r="37" spans="1:39" x14ac:dyDescent="0.3">
      <c r="A37" s="90">
        <v>31</v>
      </c>
      <c r="B37" s="79" t="s">
        <v>2439</v>
      </c>
      <c r="C37" s="90">
        <v>31</v>
      </c>
      <c r="D37" s="79" t="s">
        <v>2439</v>
      </c>
      <c r="E37" s="79" t="s">
        <v>117</v>
      </c>
      <c r="F37" s="79" t="s">
        <v>117</v>
      </c>
      <c r="G37" s="79" t="s">
        <v>117</v>
      </c>
      <c r="H37" s="91" t="s">
        <v>3565</v>
      </c>
      <c r="I37" s="96" t="s">
        <v>2798</v>
      </c>
      <c r="J37" s="97">
        <v>4</v>
      </c>
      <c r="K37" s="96"/>
      <c r="L37" s="96"/>
      <c r="M37" s="96"/>
      <c r="N37" s="93" t="s">
        <v>3600</v>
      </c>
      <c r="O37" s="93"/>
      <c r="P37" s="93"/>
      <c r="Q37" s="93"/>
      <c r="R37" s="93"/>
      <c r="S37" s="92">
        <v>2160</v>
      </c>
      <c r="T37" s="92">
        <v>486</v>
      </c>
      <c r="U37" s="92"/>
      <c r="V37" s="97">
        <v>200</v>
      </c>
      <c r="W37" s="97">
        <v>200</v>
      </c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17"/>
      <c r="AK37" s="24"/>
      <c r="AL37" s="31"/>
      <c r="AM37" s="31"/>
    </row>
    <row r="38" spans="1:39" x14ac:dyDescent="0.3">
      <c r="A38" s="90">
        <v>32</v>
      </c>
      <c r="B38" s="79" t="s">
        <v>2439</v>
      </c>
      <c r="C38" s="90">
        <v>32</v>
      </c>
      <c r="D38" s="79" t="s">
        <v>2439</v>
      </c>
      <c r="E38" s="79" t="s">
        <v>117</v>
      </c>
      <c r="F38" s="79" t="s">
        <v>117</v>
      </c>
      <c r="G38" s="79" t="s">
        <v>117</v>
      </c>
      <c r="H38" s="91" t="s">
        <v>3565</v>
      </c>
      <c r="I38" s="96" t="s">
        <v>2798</v>
      </c>
      <c r="J38" s="97">
        <v>5</v>
      </c>
      <c r="K38" s="96"/>
      <c r="L38" s="96"/>
      <c r="M38" s="96"/>
      <c r="N38" s="93" t="s">
        <v>3601</v>
      </c>
      <c r="O38" s="93"/>
      <c r="P38" s="93"/>
      <c r="Q38" s="93"/>
      <c r="R38" s="93"/>
      <c r="S38" s="92">
        <v>2302</v>
      </c>
      <c r="T38" s="92">
        <v>653</v>
      </c>
      <c r="U38" s="92"/>
      <c r="V38" s="97">
        <v>0</v>
      </c>
      <c r="W38" s="97">
        <v>0</v>
      </c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17"/>
      <c r="AK38" s="24"/>
      <c r="AL38" s="31"/>
      <c r="AM38" s="31"/>
    </row>
    <row r="39" spans="1:39" x14ac:dyDescent="0.3">
      <c r="A39" s="90">
        <v>33</v>
      </c>
      <c r="B39" s="79" t="s">
        <v>2439</v>
      </c>
      <c r="C39" s="90">
        <v>33</v>
      </c>
      <c r="D39" s="79" t="s">
        <v>2439</v>
      </c>
      <c r="E39" s="79" t="s">
        <v>117</v>
      </c>
      <c r="F39" s="79" t="s">
        <v>117</v>
      </c>
      <c r="G39" s="79" t="s">
        <v>117</v>
      </c>
      <c r="H39" s="91" t="s">
        <v>3565</v>
      </c>
      <c r="I39" s="96" t="s">
        <v>2798</v>
      </c>
      <c r="J39" s="97">
        <v>6</v>
      </c>
      <c r="K39" s="96"/>
      <c r="L39" s="96"/>
      <c r="M39" s="96"/>
      <c r="N39" s="93" t="s">
        <v>108</v>
      </c>
      <c r="O39" s="93"/>
      <c r="P39" s="93"/>
      <c r="Q39" s="93"/>
      <c r="R39" s="93"/>
      <c r="S39" s="92">
        <v>1888</v>
      </c>
      <c r="T39" s="92">
        <v>583</v>
      </c>
      <c r="U39" s="92"/>
      <c r="V39" s="97">
        <v>0</v>
      </c>
      <c r="W39" s="97">
        <v>0</v>
      </c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17"/>
      <c r="AK39" s="24"/>
      <c r="AL39" s="29"/>
      <c r="AM39" s="29"/>
    </row>
    <row r="40" spans="1:39" x14ac:dyDescent="0.3">
      <c r="A40" s="90">
        <v>34</v>
      </c>
      <c r="B40" s="79" t="s">
        <v>2439</v>
      </c>
      <c r="C40" s="90">
        <v>34</v>
      </c>
      <c r="D40" s="79" t="s">
        <v>2439</v>
      </c>
      <c r="E40" s="79" t="s">
        <v>117</v>
      </c>
      <c r="F40" s="79" t="s">
        <v>117</v>
      </c>
      <c r="G40" s="79" t="s">
        <v>117</v>
      </c>
      <c r="H40" s="91" t="s">
        <v>3565</v>
      </c>
      <c r="I40" s="96" t="s">
        <v>2798</v>
      </c>
      <c r="J40" s="97">
        <v>7</v>
      </c>
      <c r="K40" s="96"/>
      <c r="L40" s="96"/>
      <c r="M40" s="96"/>
      <c r="N40" s="93" t="s">
        <v>3594</v>
      </c>
      <c r="O40" s="93"/>
      <c r="P40" s="93"/>
      <c r="Q40" s="93"/>
      <c r="R40" s="93"/>
      <c r="S40" s="92">
        <v>1756</v>
      </c>
      <c r="T40" s="92">
        <v>498</v>
      </c>
      <c r="U40" s="92"/>
      <c r="V40" s="97">
        <v>0</v>
      </c>
      <c r="W40" s="97">
        <v>0</v>
      </c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17"/>
      <c r="AK40" s="24"/>
      <c r="AL40" s="29"/>
      <c r="AM40" s="29"/>
    </row>
    <row r="41" spans="1:39" x14ac:dyDescent="0.3">
      <c r="A41" s="90">
        <v>35</v>
      </c>
      <c r="B41" s="79" t="s">
        <v>2439</v>
      </c>
      <c r="C41" s="90">
        <v>35</v>
      </c>
      <c r="D41" s="79" t="s">
        <v>2439</v>
      </c>
      <c r="E41" s="79" t="s">
        <v>117</v>
      </c>
      <c r="F41" s="79" t="s">
        <v>117</v>
      </c>
      <c r="G41" s="79" t="s">
        <v>117</v>
      </c>
      <c r="H41" s="91" t="s">
        <v>3565</v>
      </c>
      <c r="I41" s="96" t="s">
        <v>2798</v>
      </c>
      <c r="J41" s="97">
        <v>8</v>
      </c>
      <c r="K41" s="96"/>
      <c r="L41" s="96"/>
      <c r="M41" s="96"/>
      <c r="N41" s="93" t="s">
        <v>3602</v>
      </c>
      <c r="O41" s="93"/>
      <c r="P41" s="93"/>
      <c r="Q41" s="93"/>
      <c r="R41" s="93"/>
      <c r="S41" s="92">
        <v>2373</v>
      </c>
      <c r="T41" s="92">
        <v>439</v>
      </c>
      <c r="U41" s="92"/>
      <c r="V41" s="97">
        <v>0</v>
      </c>
      <c r="W41" s="97">
        <v>0</v>
      </c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17"/>
      <c r="AK41" s="24"/>
      <c r="AL41" s="25"/>
      <c r="AM41" s="25"/>
    </row>
    <row r="42" spans="1:39" x14ac:dyDescent="0.3">
      <c r="A42" s="90">
        <v>36</v>
      </c>
      <c r="B42" s="79" t="s">
        <v>2439</v>
      </c>
      <c r="C42" s="90">
        <v>36</v>
      </c>
      <c r="D42" s="79" t="s">
        <v>2439</v>
      </c>
      <c r="E42" s="79" t="s">
        <v>117</v>
      </c>
      <c r="F42" s="79" t="s">
        <v>117</v>
      </c>
      <c r="G42" s="79" t="s">
        <v>117</v>
      </c>
      <c r="H42" s="91" t="s">
        <v>3565</v>
      </c>
      <c r="I42" s="96" t="s">
        <v>2798</v>
      </c>
      <c r="J42" s="97">
        <v>9</v>
      </c>
      <c r="K42" s="96"/>
      <c r="L42" s="96"/>
      <c r="M42" s="96"/>
      <c r="N42" s="93" t="s">
        <v>3603</v>
      </c>
      <c r="O42" s="93"/>
      <c r="P42" s="93"/>
      <c r="Q42" s="93"/>
      <c r="R42" s="93"/>
      <c r="S42" s="92">
        <v>2805</v>
      </c>
      <c r="T42" s="92">
        <v>583</v>
      </c>
      <c r="U42" s="92"/>
      <c r="V42" s="97">
        <v>0</v>
      </c>
      <c r="W42" s="97">
        <v>0</v>
      </c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17"/>
      <c r="AK42" s="24"/>
      <c r="AL42" s="25"/>
      <c r="AM42" s="25"/>
    </row>
    <row r="43" spans="1:39" x14ac:dyDescent="0.3">
      <c r="A43" s="90">
        <v>37</v>
      </c>
      <c r="B43" s="79" t="s">
        <v>2439</v>
      </c>
      <c r="C43" s="90">
        <v>37</v>
      </c>
      <c r="D43" s="79" t="s">
        <v>2439</v>
      </c>
      <c r="E43" s="79" t="s">
        <v>117</v>
      </c>
      <c r="F43" s="79" t="s">
        <v>117</v>
      </c>
      <c r="G43" s="79" t="s">
        <v>117</v>
      </c>
      <c r="H43" s="91" t="s">
        <v>3565</v>
      </c>
      <c r="I43" s="96" t="s">
        <v>3604</v>
      </c>
      <c r="J43" s="97">
        <v>1</v>
      </c>
      <c r="K43" s="96"/>
      <c r="L43" s="96"/>
      <c r="M43" s="96"/>
      <c r="N43" s="93" t="s">
        <v>3605</v>
      </c>
      <c r="O43" s="93"/>
      <c r="P43" s="93"/>
      <c r="Q43" s="93"/>
      <c r="R43" s="93"/>
      <c r="S43" s="92">
        <v>1991</v>
      </c>
      <c r="T43" s="92">
        <v>368</v>
      </c>
      <c r="U43" s="92"/>
      <c r="V43" s="97">
        <v>0</v>
      </c>
      <c r="W43" s="97">
        <v>0</v>
      </c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17"/>
      <c r="AK43" s="24"/>
      <c r="AL43" s="25"/>
      <c r="AM43" s="25"/>
    </row>
    <row r="44" spans="1:39" x14ac:dyDescent="0.3">
      <c r="A44" s="90">
        <v>38</v>
      </c>
      <c r="B44" s="79" t="s">
        <v>2439</v>
      </c>
      <c r="C44" s="90">
        <v>38</v>
      </c>
      <c r="D44" s="79" t="s">
        <v>2439</v>
      </c>
      <c r="E44" s="79" t="s">
        <v>117</v>
      </c>
      <c r="F44" s="79" t="s">
        <v>117</v>
      </c>
      <c r="G44" s="79" t="s">
        <v>117</v>
      </c>
      <c r="H44" s="91" t="s">
        <v>3565</v>
      </c>
      <c r="I44" s="96" t="s">
        <v>3604</v>
      </c>
      <c r="J44" s="97">
        <v>2</v>
      </c>
      <c r="K44" s="96"/>
      <c r="L44" s="96"/>
      <c r="M44" s="96"/>
      <c r="N44" s="93" t="s">
        <v>3606</v>
      </c>
      <c r="O44" s="93"/>
      <c r="P44" s="93"/>
      <c r="Q44" s="93"/>
      <c r="R44" s="93"/>
      <c r="S44" s="92">
        <v>2710</v>
      </c>
      <c r="T44" s="92">
        <v>363</v>
      </c>
      <c r="U44" s="92"/>
      <c r="V44" s="97">
        <v>0</v>
      </c>
      <c r="W44" s="97">
        <v>0</v>
      </c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17"/>
      <c r="AK44" s="24"/>
      <c r="AL44" s="32"/>
      <c r="AM44" s="32"/>
    </row>
    <row r="45" spans="1:39" x14ac:dyDescent="0.3">
      <c r="A45" s="90">
        <v>39</v>
      </c>
      <c r="B45" s="79" t="s">
        <v>2439</v>
      </c>
      <c r="C45" s="90">
        <v>39</v>
      </c>
      <c r="D45" s="79" t="s">
        <v>2439</v>
      </c>
      <c r="E45" s="79" t="s">
        <v>117</v>
      </c>
      <c r="F45" s="79" t="s">
        <v>117</v>
      </c>
      <c r="G45" s="79" t="s">
        <v>117</v>
      </c>
      <c r="H45" s="91" t="s">
        <v>3565</v>
      </c>
      <c r="I45" s="96" t="s">
        <v>3604</v>
      </c>
      <c r="J45" s="97">
        <v>3</v>
      </c>
      <c r="K45" s="96"/>
      <c r="L45" s="96"/>
      <c r="M45" s="96"/>
      <c r="N45" s="93" t="s">
        <v>3607</v>
      </c>
      <c r="O45" s="93"/>
      <c r="P45" s="93"/>
      <c r="Q45" s="93"/>
      <c r="R45" s="93"/>
      <c r="S45" s="92">
        <v>1662</v>
      </c>
      <c r="T45" s="92">
        <v>247</v>
      </c>
      <c r="U45" s="92"/>
      <c r="V45" s="97">
        <v>0</v>
      </c>
      <c r="W45" s="97">
        <v>0</v>
      </c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17"/>
      <c r="AK45" s="24"/>
      <c r="AL45" s="33"/>
      <c r="AM45" s="33"/>
    </row>
    <row r="46" spans="1:39" x14ac:dyDescent="0.3">
      <c r="A46" s="90">
        <v>40</v>
      </c>
      <c r="B46" s="79" t="s">
        <v>2439</v>
      </c>
      <c r="C46" s="90">
        <v>40</v>
      </c>
      <c r="D46" s="79" t="s">
        <v>2439</v>
      </c>
      <c r="E46" s="79" t="s">
        <v>117</v>
      </c>
      <c r="F46" s="79" t="s">
        <v>117</v>
      </c>
      <c r="G46" s="79" t="s">
        <v>117</v>
      </c>
      <c r="H46" s="91" t="s">
        <v>3565</v>
      </c>
      <c r="I46" s="96" t="s">
        <v>3604</v>
      </c>
      <c r="J46" s="97">
        <v>4</v>
      </c>
      <c r="K46" s="96"/>
      <c r="L46" s="96"/>
      <c r="M46" s="96"/>
      <c r="N46" s="93" t="s">
        <v>3361</v>
      </c>
      <c r="O46" s="93"/>
      <c r="P46" s="93"/>
      <c r="Q46" s="93"/>
      <c r="R46" s="93"/>
      <c r="S46" s="92">
        <v>1903</v>
      </c>
      <c r="T46" s="92">
        <v>303</v>
      </c>
      <c r="U46" s="92"/>
      <c r="V46" s="97">
        <v>0</v>
      </c>
      <c r="W46" s="97">
        <v>0</v>
      </c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17"/>
      <c r="AK46" s="24"/>
      <c r="AL46" s="33"/>
      <c r="AM46" s="33"/>
    </row>
    <row r="47" spans="1:39" x14ac:dyDescent="0.3">
      <c r="A47" s="90">
        <v>41</v>
      </c>
      <c r="B47" s="79" t="s">
        <v>2439</v>
      </c>
      <c r="C47" s="90">
        <v>41</v>
      </c>
      <c r="D47" s="79" t="s">
        <v>2439</v>
      </c>
      <c r="E47" s="79" t="s">
        <v>117</v>
      </c>
      <c r="F47" s="79" t="s">
        <v>117</v>
      </c>
      <c r="G47" s="79" t="s">
        <v>117</v>
      </c>
      <c r="H47" s="91" t="s">
        <v>3565</v>
      </c>
      <c r="I47" s="96" t="s">
        <v>3604</v>
      </c>
      <c r="J47" s="97">
        <v>5</v>
      </c>
      <c r="K47" s="96"/>
      <c r="L47" s="96"/>
      <c r="M47" s="96"/>
      <c r="N47" s="93" t="s">
        <v>3608</v>
      </c>
      <c r="O47" s="93"/>
      <c r="P47" s="93"/>
      <c r="Q47" s="93"/>
      <c r="R47" s="93"/>
      <c r="S47" s="92">
        <v>4024</v>
      </c>
      <c r="T47" s="92">
        <v>438</v>
      </c>
      <c r="U47" s="92"/>
      <c r="V47" s="97">
        <v>0</v>
      </c>
      <c r="W47" s="97">
        <v>0</v>
      </c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17"/>
      <c r="AK47" s="24"/>
      <c r="AL47" s="33"/>
      <c r="AM47" s="33"/>
    </row>
    <row r="48" spans="1:39" x14ac:dyDescent="0.3">
      <c r="A48" s="90">
        <v>42</v>
      </c>
      <c r="B48" s="79" t="s">
        <v>2439</v>
      </c>
      <c r="C48" s="90">
        <v>42</v>
      </c>
      <c r="D48" s="79" t="s">
        <v>2439</v>
      </c>
      <c r="E48" s="79" t="s">
        <v>117</v>
      </c>
      <c r="F48" s="79" t="s">
        <v>117</v>
      </c>
      <c r="G48" s="79" t="s">
        <v>117</v>
      </c>
      <c r="H48" s="91" t="s">
        <v>3565</v>
      </c>
      <c r="I48" s="96" t="s">
        <v>3604</v>
      </c>
      <c r="J48" s="97">
        <v>6</v>
      </c>
      <c r="K48" s="96"/>
      <c r="L48" s="96"/>
      <c r="M48" s="96"/>
      <c r="N48" s="93" t="s">
        <v>3609</v>
      </c>
      <c r="O48" s="93"/>
      <c r="P48" s="93"/>
      <c r="Q48" s="93"/>
      <c r="R48" s="93"/>
      <c r="S48" s="92">
        <v>5232</v>
      </c>
      <c r="T48" s="92">
        <v>1589</v>
      </c>
      <c r="U48" s="92"/>
      <c r="V48" s="97">
        <v>0</v>
      </c>
      <c r="W48" s="97">
        <v>0</v>
      </c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34"/>
      <c r="AK48" s="24"/>
      <c r="AL48" s="35"/>
      <c r="AM48" s="35"/>
    </row>
    <row r="49" spans="1:39" x14ac:dyDescent="0.3">
      <c r="A49" s="90">
        <v>43</v>
      </c>
      <c r="B49" s="79" t="s">
        <v>2439</v>
      </c>
      <c r="C49" s="90">
        <v>43</v>
      </c>
      <c r="D49" s="79" t="s">
        <v>2439</v>
      </c>
      <c r="E49" s="79" t="s">
        <v>117</v>
      </c>
      <c r="F49" s="79" t="s">
        <v>117</v>
      </c>
      <c r="G49" s="79" t="s">
        <v>117</v>
      </c>
      <c r="H49" s="91" t="s">
        <v>3565</v>
      </c>
      <c r="I49" s="96" t="s">
        <v>3604</v>
      </c>
      <c r="J49" s="97">
        <v>7</v>
      </c>
      <c r="K49" s="96"/>
      <c r="L49" s="96"/>
      <c r="M49" s="96"/>
      <c r="N49" s="93" t="s">
        <v>3570</v>
      </c>
      <c r="O49" s="93"/>
      <c r="P49" s="93"/>
      <c r="Q49" s="93"/>
      <c r="R49" s="93"/>
      <c r="S49" s="92">
        <v>3013</v>
      </c>
      <c r="T49" s="92">
        <v>871</v>
      </c>
      <c r="U49" s="92"/>
      <c r="V49" s="97">
        <v>0</v>
      </c>
      <c r="W49" s="97">
        <v>0</v>
      </c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17"/>
      <c r="AK49" s="24"/>
      <c r="AL49" s="33"/>
      <c r="AM49" s="33"/>
    </row>
    <row r="50" spans="1:39" x14ac:dyDescent="0.3">
      <c r="A50" s="90">
        <v>44</v>
      </c>
      <c r="B50" s="79" t="s">
        <v>2439</v>
      </c>
      <c r="C50" s="90">
        <v>44</v>
      </c>
      <c r="D50" s="79" t="s">
        <v>2439</v>
      </c>
      <c r="E50" s="79" t="s">
        <v>117</v>
      </c>
      <c r="F50" s="79" t="s">
        <v>117</v>
      </c>
      <c r="G50" s="79" t="s">
        <v>117</v>
      </c>
      <c r="H50" s="91" t="s">
        <v>3565</v>
      </c>
      <c r="I50" s="96" t="s">
        <v>3604</v>
      </c>
      <c r="J50" s="97">
        <v>8</v>
      </c>
      <c r="K50" s="96"/>
      <c r="L50" s="96"/>
      <c r="M50" s="96"/>
      <c r="N50" s="93" t="s">
        <v>3610</v>
      </c>
      <c r="O50" s="93"/>
      <c r="P50" s="93"/>
      <c r="Q50" s="93"/>
      <c r="R50" s="93"/>
      <c r="S50" s="92">
        <v>2210</v>
      </c>
      <c r="T50" s="92">
        <v>489</v>
      </c>
      <c r="U50" s="92"/>
      <c r="V50" s="97">
        <v>0</v>
      </c>
      <c r="W50" s="97">
        <v>0</v>
      </c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17"/>
      <c r="AK50" s="24"/>
      <c r="AL50" s="33"/>
      <c r="AM50" s="33"/>
    </row>
    <row r="51" spans="1:39" x14ac:dyDescent="0.3">
      <c r="A51" s="90">
        <v>45</v>
      </c>
      <c r="B51" s="79" t="s">
        <v>2439</v>
      </c>
      <c r="C51" s="90">
        <v>45</v>
      </c>
      <c r="D51" s="79" t="s">
        <v>2439</v>
      </c>
      <c r="E51" s="79" t="s">
        <v>117</v>
      </c>
      <c r="F51" s="79" t="s">
        <v>117</v>
      </c>
      <c r="G51" s="79" t="s">
        <v>117</v>
      </c>
      <c r="H51" s="91" t="s">
        <v>3565</v>
      </c>
      <c r="I51" s="96" t="s">
        <v>3604</v>
      </c>
      <c r="J51" s="97">
        <v>9</v>
      </c>
      <c r="K51" s="96"/>
      <c r="L51" s="96"/>
      <c r="M51" s="96"/>
      <c r="N51" s="93" t="s">
        <v>3611</v>
      </c>
      <c r="O51" s="93"/>
      <c r="P51" s="93"/>
      <c r="Q51" s="93"/>
      <c r="R51" s="93"/>
      <c r="S51" s="92">
        <v>2114</v>
      </c>
      <c r="T51" s="92">
        <v>409</v>
      </c>
      <c r="U51" s="92"/>
      <c r="V51" s="97">
        <v>0</v>
      </c>
      <c r="W51" s="97">
        <v>0</v>
      </c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17"/>
      <c r="AK51" s="24"/>
      <c r="AL51" s="25"/>
      <c r="AM51" s="25"/>
    </row>
    <row r="52" spans="1:39" x14ac:dyDescent="0.3">
      <c r="A52" s="90">
        <v>46</v>
      </c>
      <c r="B52" s="79" t="s">
        <v>2439</v>
      </c>
      <c r="C52" s="90">
        <v>46</v>
      </c>
      <c r="D52" s="79" t="s">
        <v>2439</v>
      </c>
      <c r="E52" s="79" t="s">
        <v>117</v>
      </c>
      <c r="F52" s="79" t="s">
        <v>117</v>
      </c>
      <c r="G52" s="79" t="s">
        <v>117</v>
      </c>
      <c r="H52" s="91" t="s">
        <v>3565</v>
      </c>
      <c r="I52" s="96" t="s">
        <v>3612</v>
      </c>
      <c r="J52" s="97">
        <v>1</v>
      </c>
      <c r="K52" s="96"/>
      <c r="L52" s="96"/>
      <c r="M52" s="96"/>
      <c r="N52" s="93" t="s">
        <v>3613</v>
      </c>
      <c r="O52" s="93"/>
      <c r="P52" s="93"/>
      <c r="Q52" s="93"/>
      <c r="R52" s="93"/>
      <c r="S52" s="92">
        <v>3321</v>
      </c>
      <c r="T52" s="92">
        <v>620</v>
      </c>
      <c r="U52" s="92"/>
      <c r="V52" s="97">
        <v>0</v>
      </c>
      <c r="W52" s="97">
        <v>0</v>
      </c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17"/>
      <c r="AK52" s="24"/>
      <c r="AL52" s="25"/>
      <c r="AM52" s="25"/>
    </row>
    <row r="53" spans="1:39" x14ac:dyDescent="0.3">
      <c r="A53" s="90">
        <v>47</v>
      </c>
      <c r="B53" s="79" t="s">
        <v>2439</v>
      </c>
      <c r="C53" s="90">
        <v>47</v>
      </c>
      <c r="D53" s="79" t="s">
        <v>2439</v>
      </c>
      <c r="E53" s="79" t="s">
        <v>117</v>
      </c>
      <c r="F53" s="79" t="s">
        <v>117</v>
      </c>
      <c r="G53" s="79" t="s">
        <v>117</v>
      </c>
      <c r="H53" s="91" t="s">
        <v>3565</v>
      </c>
      <c r="I53" s="96" t="s">
        <v>3612</v>
      </c>
      <c r="J53" s="97">
        <v>2</v>
      </c>
      <c r="K53" s="96"/>
      <c r="L53" s="96"/>
      <c r="M53" s="96"/>
      <c r="N53" s="93" t="s">
        <v>3614</v>
      </c>
      <c r="O53" s="93"/>
      <c r="P53" s="93"/>
      <c r="Q53" s="93"/>
      <c r="R53" s="93"/>
      <c r="S53" s="92">
        <v>2263</v>
      </c>
      <c r="T53" s="92">
        <v>359</v>
      </c>
      <c r="U53" s="92"/>
      <c r="V53" s="97">
        <v>0</v>
      </c>
      <c r="W53" s="97">
        <v>0</v>
      </c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17"/>
      <c r="AK53" s="24"/>
      <c r="AL53" s="25"/>
      <c r="AM53" s="25"/>
    </row>
    <row r="54" spans="1:39" x14ac:dyDescent="0.3">
      <c r="A54" s="90">
        <v>48</v>
      </c>
      <c r="B54" s="79" t="s">
        <v>2439</v>
      </c>
      <c r="C54" s="90">
        <v>48</v>
      </c>
      <c r="D54" s="79" t="s">
        <v>2439</v>
      </c>
      <c r="E54" s="79" t="s">
        <v>117</v>
      </c>
      <c r="F54" s="79" t="s">
        <v>117</v>
      </c>
      <c r="G54" s="79" t="s">
        <v>117</v>
      </c>
      <c r="H54" s="91" t="s">
        <v>3565</v>
      </c>
      <c r="I54" s="96" t="s">
        <v>3612</v>
      </c>
      <c r="J54" s="97">
        <v>3</v>
      </c>
      <c r="K54" s="96"/>
      <c r="L54" s="96"/>
      <c r="M54" s="96"/>
      <c r="N54" s="93" t="s">
        <v>3615</v>
      </c>
      <c r="O54" s="93"/>
      <c r="P54" s="93"/>
      <c r="Q54" s="93"/>
      <c r="R54" s="93"/>
      <c r="S54" s="92">
        <v>4546</v>
      </c>
      <c r="T54" s="92">
        <v>1367</v>
      </c>
      <c r="U54" s="92"/>
      <c r="V54" s="97">
        <v>0</v>
      </c>
      <c r="W54" s="97">
        <v>0</v>
      </c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17"/>
      <c r="AK54" s="24"/>
      <c r="AL54" s="25"/>
      <c r="AM54" s="25"/>
    </row>
    <row r="55" spans="1:39" x14ac:dyDescent="0.3">
      <c r="A55" s="90">
        <v>49</v>
      </c>
      <c r="B55" s="79" t="s">
        <v>2439</v>
      </c>
      <c r="C55" s="90">
        <v>49</v>
      </c>
      <c r="D55" s="79" t="s">
        <v>2439</v>
      </c>
      <c r="E55" s="79" t="s">
        <v>117</v>
      </c>
      <c r="F55" s="79" t="s">
        <v>117</v>
      </c>
      <c r="G55" s="79" t="s">
        <v>117</v>
      </c>
      <c r="H55" s="91" t="s">
        <v>3565</v>
      </c>
      <c r="I55" s="96" t="s">
        <v>3612</v>
      </c>
      <c r="J55" s="97">
        <v>4</v>
      </c>
      <c r="K55" s="96"/>
      <c r="L55" s="96"/>
      <c r="M55" s="96"/>
      <c r="N55" s="93" t="s">
        <v>3616</v>
      </c>
      <c r="O55" s="93"/>
      <c r="P55" s="93"/>
      <c r="Q55" s="93"/>
      <c r="R55" s="93"/>
      <c r="S55" s="92">
        <v>500</v>
      </c>
      <c r="T55" s="92">
        <v>198</v>
      </c>
      <c r="U55" s="92"/>
      <c r="V55" s="97">
        <v>0</v>
      </c>
      <c r="W55" s="97">
        <v>0</v>
      </c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17"/>
      <c r="AK55" s="24"/>
      <c r="AL55" s="25"/>
      <c r="AM55" s="25"/>
    </row>
    <row r="56" spans="1:39" x14ac:dyDescent="0.3">
      <c r="A56" s="90">
        <v>50</v>
      </c>
      <c r="B56" s="79" t="s">
        <v>2439</v>
      </c>
      <c r="C56" s="90">
        <v>50</v>
      </c>
      <c r="D56" s="79" t="s">
        <v>2439</v>
      </c>
      <c r="E56" s="79" t="s">
        <v>117</v>
      </c>
      <c r="F56" s="79" t="s">
        <v>117</v>
      </c>
      <c r="G56" s="79" t="s">
        <v>117</v>
      </c>
      <c r="H56" s="91" t="s">
        <v>3565</v>
      </c>
      <c r="I56" s="96" t="s">
        <v>3612</v>
      </c>
      <c r="J56" s="97">
        <v>5</v>
      </c>
      <c r="K56" s="96"/>
      <c r="L56" s="96"/>
      <c r="M56" s="96"/>
      <c r="N56" s="93" t="s">
        <v>3617</v>
      </c>
      <c r="O56" s="93"/>
      <c r="P56" s="93"/>
      <c r="Q56" s="93"/>
      <c r="R56" s="93"/>
      <c r="S56" s="92">
        <v>1900</v>
      </c>
      <c r="T56" s="92">
        <v>574</v>
      </c>
      <c r="U56" s="92"/>
      <c r="V56" s="97">
        <v>0</v>
      </c>
      <c r="W56" s="97">
        <v>0</v>
      </c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17"/>
      <c r="AK56" s="24"/>
      <c r="AL56" s="25"/>
      <c r="AM56" s="25"/>
    </row>
    <row r="57" spans="1:39" x14ac:dyDescent="0.3">
      <c r="A57" s="90">
        <v>51</v>
      </c>
      <c r="B57" s="79" t="s">
        <v>2439</v>
      </c>
      <c r="C57" s="90">
        <v>51</v>
      </c>
      <c r="D57" s="79" t="s">
        <v>2439</v>
      </c>
      <c r="E57" s="79" t="s">
        <v>117</v>
      </c>
      <c r="F57" s="79" t="s">
        <v>117</v>
      </c>
      <c r="G57" s="79" t="s">
        <v>117</v>
      </c>
      <c r="H57" s="91" t="s">
        <v>3565</v>
      </c>
      <c r="I57" s="96" t="s">
        <v>3612</v>
      </c>
      <c r="J57" s="97">
        <v>6</v>
      </c>
      <c r="K57" s="96"/>
      <c r="L57" s="96"/>
      <c r="M57" s="96"/>
      <c r="N57" s="93" t="s">
        <v>3618</v>
      </c>
      <c r="O57" s="93"/>
      <c r="P57" s="93"/>
      <c r="Q57" s="93"/>
      <c r="R57" s="93"/>
      <c r="S57" s="92">
        <v>3395</v>
      </c>
      <c r="T57" s="92">
        <v>765</v>
      </c>
      <c r="U57" s="92"/>
      <c r="V57" s="97">
        <v>0</v>
      </c>
      <c r="W57" s="97">
        <v>0</v>
      </c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17"/>
      <c r="AK57" s="24"/>
      <c r="AL57" s="25"/>
      <c r="AM57" s="25"/>
    </row>
    <row r="58" spans="1:39" x14ac:dyDescent="0.3">
      <c r="A58" s="90">
        <v>52</v>
      </c>
      <c r="B58" s="79" t="s">
        <v>2439</v>
      </c>
      <c r="C58" s="90">
        <v>52</v>
      </c>
      <c r="D58" s="79" t="s">
        <v>2439</v>
      </c>
      <c r="E58" s="79" t="s">
        <v>117</v>
      </c>
      <c r="F58" s="79" t="s">
        <v>117</v>
      </c>
      <c r="G58" s="79" t="s">
        <v>117</v>
      </c>
      <c r="H58" s="91" t="s">
        <v>3565</v>
      </c>
      <c r="I58" s="96" t="s">
        <v>3612</v>
      </c>
      <c r="J58" s="97">
        <v>7</v>
      </c>
      <c r="K58" s="96"/>
      <c r="L58" s="96"/>
      <c r="M58" s="96"/>
      <c r="N58" s="93" t="s">
        <v>3618</v>
      </c>
      <c r="O58" s="93"/>
      <c r="P58" s="93"/>
      <c r="Q58" s="93"/>
      <c r="R58" s="93"/>
      <c r="S58" s="92">
        <v>5000</v>
      </c>
      <c r="T58" s="92">
        <v>1287</v>
      </c>
      <c r="U58" s="92"/>
      <c r="V58" s="97">
        <v>0</v>
      </c>
      <c r="W58" s="97">
        <v>0</v>
      </c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17"/>
      <c r="AK58" s="24"/>
      <c r="AL58" s="25"/>
      <c r="AM58" s="25"/>
    </row>
    <row r="59" spans="1:39" x14ac:dyDescent="0.3">
      <c r="A59" s="90">
        <v>53</v>
      </c>
      <c r="B59" s="79" t="s">
        <v>2439</v>
      </c>
      <c r="C59" s="90">
        <v>53</v>
      </c>
      <c r="D59" s="79" t="s">
        <v>2439</v>
      </c>
      <c r="E59" s="79" t="s">
        <v>117</v>
      </c>
      <c r="F59" s="79" t="s">
        <v>117</v>
      </c>
      <c r="G59" s="79" t="s">
        <v>117</v>
      </c>
      <c r="H59" s="91" t="s">
        <v>3565</v>
      </c>
      <c r="I59" s="96" t="s">
        <v>3612</v>
      </c>
      <c r="J59" s="97">
        <v>8</v>
      </c>
      <c r="K59" s="96"/>
      <c r="L59" s="96"/>
      <c r="M59" s="96"/>
      <c r="N59" s="93" t="s">
        <v>3610</v>
      </c>
      <c r="O59" s="93"/>
      <c r="P59" s="93"/>
      <c r="Q59" s="93"/>
      <c r="R59" s="93"/>
      <c r="S59" s="92">
        <v>5252</v>
      </c>
      <c r="T59" s="92">
        <v>1623</v>
      </c>
      <c r="U59" s="92"/>
      <c r="V59" s="97">
        <v>0</v>
      </c>
      <c r="W59" s="97">
        <v>0</v>
      </c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17"/>
      <c r="AK59" s="24"/>
      <c r="AL59" s="25"/>
      <c r="AM59" s="25"/>
    </row>
    <row r="60" spans="1:39" x14ac:dyDescent="0.3">
      <c r="A60" s="90">
        <v>54</v>
      </c>
      <c r="B60" s="79" t="s">
        <v>2439</v>
      </c>
      <c r="C60" s="90">
        <v>54</v>
      </c>
      <c r="D60" s="79" t="s">
        <v>2439</v>
      </c>
      <c r="E60" s="79" t="s">
        <v>117</v>
      </c>
      <c r="F60" s="79" t="s">
        <v>117</v>
      </c>
      <c r="G60" s="79" t="s">
        <v>117</v>
      </c>
      <c r="H60" s="91" t="s">
        <v>3565</v>
      </c>
      <c r="I60" s="96" t="s">
        <v>3612</v>
      </c>
      <c r="J60" s="97">
        <v>9</v>
      </c>
      <c r="K60" s="96"/>
      <c r="L60" s="96"/>
      <c r="M60" s="96"/>
      <c r="N60" s="93" t="s">
        <v>3619</v>
      </c>
      <c r="O60" s="93"/>
      <c r="P60" s="93"/>
      <c r="Q60" s="93"/>
      <c r="R60" s="93"/>
      <c r="S60" s="92">
        <v>2574</v>
      </c>
      <c r="T60" s="92">
        <v>563</v>
      </c>
      <c r="U60" s="92"/>
      <c r="V60" s="97">
        <v>0</v>
      </c>
      <c r="W60" s="97">
        <v>0</v>
      </c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17"/>
      <c r="AK60" s="24"/>
      <c r="AL60" s="25"/>
      <c r="AM60" s="25"/>
    </row>
    <row r="61" spans="1:39" x14ac:dyDescent="0.3">
      <c r="A61" s="90">
        <v>55</v>
      </c>
      <c r="B61" s="79" t="s">
        <v>2439</v>
      </c>
      <c r="C61" s="90">
        <v>55</v>
      </c>
      <c r="D61" s="79" t="s">
        <v>2439</v>
      </c>
      <c r="E61" s="79" t="s">
        <v>117</v>
      </c>
      <c r="F61" s="79" t="s">
        <v>117</v>
      </c>
      <c r="G61" s="79" t="s">
        <v>117</v>
      </c>
      <c r="H61" s="91" t="s">
        <v>3565</v>
      </c>
      <c r="I61" s="96" t="s">
        <v>3230</v>
      </c>
      <c r="J61" s="97">
        <v>1</v>
      </c>
      <c r="K61" s="96" t="s">
        <v>3620</v>
      </c>
      <c r="L61" s="96"/>
      <c r="M61" s="96"/>
      <c r="N61" s="93" t="s">
        <v>3621</v>
      </c>
      <c r="O61" s="93"/>
      <c r="P61" s="93"/>
      <c r="Q61" s="93"/>
      <c r="R61" s="93"/>
      <c r="S61" s="92">
        <v>6300</v>
      </c>
      <c r="T61" s="92">
        <v>1832</v>
      </c>
      <c r="U61" s="92"/>
      <c r="V61" s="97">
        <v>0</v>
      </c>
      <c r="W61" s="97">
        <v>0</v>
      </c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17"/>
      <c r="AK61" s="24"/>
      <c r="AL61" s="25"/>
      <c r="AM61" s="25"/>
    </row>
    <row r="62" spans="1:39" x14ac:dyDescent="0.3">
      <c r="A62" s="90">
        <v>56</v>
      </c>
      <c r="B62" s="79" t="s">
        <v>2439</v>
      </c>
      <c r="C62" s="90">
        <v>56</v>
      </c>
      <c r="D62" s="79" t="s">
        <v>2439</v>
      </c>
      <c r="E62" s="79" t="s">
        <v>117</v>
      </c>
      <c r="F62" s="79" t="s">
        <v>117</v>
      </c>
      <c r="G62" s="79" t="s">
        <v>117</v>
      </c>
      <c r="H62" s="91" t="s">
        <v>3565</v>
      </c>
      <c r="I62" s="96" t="s">
        <v>3230</v>
      </c>
      <c r="J62" s="97">
        <v>2</v>
      </c>
      <c r="K62" s="96" t="s">
        <v>3620</v>
      </c>
      <c r="L62" s="96"/>
      <c r="M62" s="96"/>
      <c r="N62" s="93" t="s">
        <v>3622</v>
      </c>
      <c r="O62" s="93"/>
      <c r="P62" s="93"/>
      <c r="Q62" s="93"/>
      <c r="R62" s="93"/>
      <c r="S62" s="92">
        <v>4243</v>
      </c>
      <c r="T62" s="92">
        <v>1543</v>
      </c>
      <c r="U62" s="92"/>
      <c r="V62" s="97">
        <v>350</v>
      </c>
      <c r="W62" s="97">
        <v>350</v>
      </c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17"/>
      <c r="AK62" s="24"/>
      <c r="AL62" s="25"/>
      <c r="AM62" s="25"/>
    </row>
    <row r="63" spans="1:39" x14ac:dyDescent="0.3">
      <c r="A63" s="90">
        <v>57</v>
      </c>
      <c r="B63" s="79" t="s">
        <v>2439</v>
      </c>
      <c r="C63" s="90">
        <v>57</v>
      </c>
      <c r="D63" s="79" t="s">
        <v>2439</v>
      </c>
      <c r="E63" s="79" t="s">
        <v>117</v>
      </c>
      <c r="F63" s="79" t="s">
        <v>117</v>
      </c>
      <c r="G63" s="79" t="s">
        <v>117</v>
      </c>
      <c r="H63" s="91" t="s">
        <v>3565</v>
      </c>
      <c r="I63" s="96" t="s">
        <v>3230</v>
      </c>
      <c r="J63" s="97">
        <v>3</v>
      </c>
      <c r="K63" s="96" t="s">
        <v>3620</v>
      </c>
      <c r="L63" s="96"/>
      <c r="M63" s="96"/>
      <c r="N63" s="93" t="s">
        <v>3623</v>
      </c>
      <c r="O63" s="93"/>
      <c r="P63" s="93"/>
      <c r="Q63" s="93"/>
      <c r="R63" s="93"/>
      <c r="S63" s="92">
        <v>4935</v>
      </c>
      <c r="T63" s="92">
        <v>1648</v>
      </c>
      <c r="U63" s="92"/>
      <c r="V63" s="97">
        <v>625</v>
      </c>
      <c r="W63" s="97">
        <v>625</v>
      </c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17"/>
      <c r="AK63" s="24"/>
      <c r="AL63" s="25"/>
      <c r="AM63" s="25"/>
    </row>
    <row r="64" spans="1:39" x14ac:dyDescent="0.3">
      <c r="A64" s="90">
        <v>58</v>
      </c>
      <c r="B64" s="79" t="s">
        <v>2439</v>
      </c>
      <c r="C64" s="90">
        <v>58</v>
      </c>
      <c r="D64" s="79" t="s">
        <v>2439</v>
      </c>
      <c r="E64" s="79" t="s">
        <v>117</v>
      </c>
      <c r="F64" s="79" t="s">
        <v>117</v>
      </c>
      <c r="G64" s="79" t="s">
        <v>117</v>
      </c>
      <c r="H64" s="91" t="s">
        <v>3565</v>
      </c>
      <c r="I64" s="96" t="s">
        <v>3230</v>
      </c>
      <c r="J64" s="97">
        <v>4</v>
      </c>
      <c r="K64" s="96" t="s">
        <v>3624</v>
      </c>
      <c r="L64" s="96"/>
      <c r="M64" s="96"/>
      <c r="N64" s="93" t="s">
        <v>3625</v>
      </c>
      <c r="O64" s="93"/>
      <c r="P64" s="93"/>
      <c r="Q64" s="93"/>
      <c r="R64" s="93"/>
      <c r="S64" s="92">
        <v>4901</v>
      </c>
      <c r="T64" s="92">
        <v>1467</v>
      </c>
      <c r="U64" s="92"/>
      <c r="V64" s="97">
        <v>0</v>
      </c>
      <c r="W64" s="97">
        <v>0</v>
      </c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17"/>
      <c r="AK64" s="24"/>
      <c r="AL64" s="25"/>
      <c r="AM64" s="25"/>
    </row>
    <row r="65" spans="1:39" x14ac:dyDescent="0.3">
      <c r="A65" s="90">
        <v>59</v>
      </c>
      <c r="B65" s="79" t="s">
        <v>2439</v>
      </c>
      <c r="C65" s="90">
        <v>59</v>
      </c>
      <c r="D65" s="79" t="s">
        <v>2439</v>
      </c>
      <c r="E65" s="79" t="s">
        <v>117</v>
      </c>
      <c r="F65" s="79" t="s">
        <v>117</v>
      </c>
      <c r="G65" s="79" t="s">
        <v>117</v>
      </c>
      <c r="H65" s="91" t="s">
        <v>3565</v>
      </c>
      <c r="I65" s="96" t="s">
        <v>3230</v>
      </c>
      <c r="J65" s="97">
        <v>5</v>
      </c>
      <c r="K65" s="96" t="s">
        <v>3626</v>
      </c>
      <c r="L65" s="96"/>
      <c r="M65" s="96"/>
      <c r="N65" s="93" t="s">
        <v>3269</v>
      </c>
      <c r="O65" s="93"/>
      <c r="P65" s="93"/>
      <c r="Q65" s="93"/>
      <c r="R65" s="93"/>
      <c r="S65" s="92">
        <v>7850</v>
      </c>
      <c r="T65" s="92">
        <v>2158</v>
      </c>
      <c r="U65" s="92"/>
      <c r="V65" s="97">
        <v>650</v>
      </c>
      <c r="W65" s="97">
        <v>650</v>
      </c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17"/>
      <c r="AK65" s="24"/>
      <c r="AL65" s="25"/>
      <c r="AM65" s="25"/>
    </row>
    <row r="66" spans="1:39" x14ac:dyDescent="0.3">
      <c r="A66" s="90">
        <v>60</v>
      </c>
      <c r="B66" s="79" t="s">
        <v>2439</v>
      </c>
      <c r="C66" s="90">
        <v>60</v>
      </c>
      <c r="D66" s="79" t="s">
        <v>2439</v>
      </c>
      <c r="E66" s="79" t="s">
        <v>117</v>
      </c>
      <c r="F66" s="79" t="s">
        <v>117</v>
      </c>
      <c r="G66" s="79" t="s">
        <v>117</v>
      </c>
      <c r="H66" s="91" t="s">
        <v>3565</v>
      </c>
      <c r="I66" s="96" t="s">
        <v>3230</v>
      </c>
      <c r="J66" s="97">
        <v>6</v>
      </c>
      <c r="K66" s="96" t="s">
        <v>3627</v>
      </c>
      <c r="L66" s="96"/>
      <c r="M66" s="96"/>
      <c r="N66" s="93" t="s">
        <v>3628</v>
      </c>
      <c r="O66" s="93"/>
      <c r="P66" s="93"/>
      <c r="Q66" s="93"/>
      <c r="R66" s="93"/>
      <c r="S66" s="92">
        <v>5994</v>
      </c>
      <c r="T66" s="92">
        <v>1987</v>
      </c>
      <c r="U66" s="92"/>
      <c r="V66" s="97">
        <v>0</v>
      </c>
      <c r="W66" s="97">
        <v>0</v>
      </c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17"/>
      <c r="AK66" s="24"/>
      <c r="AL66" s="25"/>
      <c r="AM66" s="25"/>
    </row>
    <row r="67" spans="1:39" x14ac:dyDescent="0.3">
      <c r="A67" s="90">
        <v>61</v>
      </c>
      <c r="B67" s="79" t="s">
        <v>2439</v>
      </c>
      <c r="C67" s="90">
        <v>61</v>
      </c>
      <c r="D67" s="79" t="s">
        <v>2439</v>
      </c>
      <c r="E67" s="79" t="s">
        <v>117</v>
      </c>
      <c r="F67" s="79" t="s">
        <v>117</v>
      </c>
      <c r="G67" s="79" t="s">
        <v>117</v>
      </c>
      <c r="H67" s="91" t="s">
        <v>3565</v>
      </c>
      <c r="I67" s="96" t="s">
        <v>3230</v>
      </c>
      <c r="J67" s="97">
        <v>7</v>
      </c>
      <c r="K67" s="96" t="s">
        <v>3627</v>
      </c>
      <c r="L67" s="96"/>
      <c r="M67" s="96"/>
      <c r="N67" s="93" t="s">
        <v>3629</v>
      </c>
      <c r="O67" s="93"/>
      <c r="P67" s="93"/>
      <c r="Q67" s="93"/>
      <c r="R67" s="93"/>
      <c r="S67" s="92">
        <v>7390</v>
      </c>
      <c r="T67" s="92">
        <v>2642</v>
      </c>
      <c r="U67" s="92"/>
      <c r="V67" s="97">
        <v>0</v>
      </c>
      <c r="W67" s="97">
        <v>0</v>
      </c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17"/>
      <c r="AK67" s="24"/>
      <c r="AL67" s="25"/>
      <c r="AM67" s="25"/>
    </row>
    <row r="68" spans="1:39" x14ac:dyDescent="0.3">
      <c r="A68" s="90">
        <v>62</v>
      </c>
      <c r="B68" s="79" t="s">
        <v>2439</v>
      </c>
      <c r="C68" s="90">
        <v>62</v>
      </c>
      <c r="D68" s="79" t="s">
        <v>2439</v>
      </c>
      <c r="E68" s="79" t="s">
        <v>117</v>
      </c>
      <c r="F68" s="79" t="s">
        <v>117</v>
      </c>
      <c r="G68" s="79" t="s">
        <v>117</v>
      </c>
      <c r="H68" s="91" t="s">
        <v>3565</v>
      </c>
      <c r="I68" s="96" t="s">
        <v>3230</v>
      </c>
      <c r="J68" s="97">
        <v>8</v>
      </c>
      <c r="K68" s="96" t="s">
        <v>3626</v>
      </c>
      <c r="L68" s="96"/>
      <c r="M68" s="96"/>
      <c r="N68" s="93" t="s">
        <v>3630</v>
      </c>
      <c r="O68" s="93"/>
      <c r="P68" s="93"/>
      <c r="Q68" s="93"/>
      <c r="R68" s="93"/>
      <c r="S68" s="92">
        <v>5381</v>
      </c>
      <c r="T68" s="92">
        <v>1367</v>
      </c>
      <c r="U68" s="92"/>
      <c r="V68" s="97">
        <v>0</v>
      </c>
      <c r="W68" s="97">
        <v>0</v>
      </c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17"/>
      <c r="AK68" s="24"/>
      <c r="AL68" s="25"/>
      <c r="AM68" s="25"/>
    </row>
    <row r="69" spans="1:39" x14ac:dyDescent="0.3">
      <c r="A69" s="90">
        <v>63</v>
      </c>
      <c r="B69" s="79" t="s">
        <v>2439</v>
      </c>
      <c r="C69" s="90">
        <v>63</v>
      </c>
      <c r="D69" s="79" t="s">
        <v>2439</v>
      </c>
      <c r="E69" s="79" t="s">
        <v>117</v>
      </c>
      <c r="F69" s="79" t="s">
        <v>117</v>
      </c>
      <c r="G69" s="79" t="s">
        <v>117</v>
      </c>
      <c r="H69" s="91" t="s">
        <v>3565</v>
      </c>
      <c r="I69" s="96" t="s">
        <v>3230</v>
      </c>
      <c r="J69" s="97">
        <v>9</v>
      </c>
      <c r="K69" s="96"/>
      <c r="L69" s="96"/>
      <c r="M69" s="96"/>
      <c r="N69" s="93" t="s">
        <v>3631</v>
      </c>
      <c r="O69" s="93"/>
      <c r="P69" s="93"/>
      <c r="Q69" s="93"/>
      <c r="R69" s="93"/>
      <c r="S69" s="92">
        <v>5554</v>
      </c>
      <c r="T69" s="92">
        <v>1482</v>
      </c>
      <c r="U69" s="92"/>
      <c r="V69" s="97">
        <v>0</v>
      </c>
      <c r="W69" s="97">
        <v>1350</v>
      </c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17"/>
      <c r="AK69" s="24"/>
      <c r="AL69" s="25"/>
      <c r="AM69" s="25"/>
    </row>
    <row r="70" spans="1:39" x14ac:dyDescent="0.3">
      <c r="A70" s="90">
        <v>64</v>
      </c>
      <c r="B70" s="79" t="s">
        <v>2439</v>
      </c>
      <c r="C70" s="90">
        <v>64</v>
      </c>
      <c r="D70" s="79" t="s">
        <v>2439</v>
      </c>
      <c r="E70" s="79" t="s">
        <v>117</v>
      </c>
      <c r="F70" s="79" t="s">
        <v>117</v>
      </c>
      <c r="G70" s="79" t="s">
        <v>117</v>
      </c>
      <c r="H70" s="91" t="s">
        <v>3565</v>
      </c>
      <c r="I70" s="96" t="s">
        <v>3632</v>
      </c>
      <c r="J70" s="97">
        <v>1</v>
      </c>
      <c r="K70" s="96"/>
      <c r="L70" s="96"/>
      <c r="M70" s="96"/>
      <c r="N70" s="93" t="s">
        <v>3633</v>
      </c>
      <c r="O70" s="93"/>
      <c r="P70" s="93"/>
      <c r="Q70" s="93"/>
      <c r="R70" s="93"/>
      <c r="S70" s="92">
        <v>2048</v>
      </c>
      <c r="T70" s="92">
        <v>486</v>
      </c>
      <c r="U70" s="92"/>
      <c r="V70" s="97">
        <v>0</v>
      </c>
      <c r="W70" s="97">
        <v>0</v>
      </c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17"/>
      <c r="AK70" s="24"/>
      <c r="AL70" s="25"/>
      <c r="AM70" s="25"/>
    </row>
    <row r="71" spans="1:39" x14ac:dyDescent="0.3">
      <c r="A71" s="90">
        <v>65</v>
      </c>
      <c r="B71" s="79" t="s">
        <v>2439</v>
      </c>
      <c r="C71" s="90">
        <v>65</v>
      </c>
      <c r="D71" s="79" t="s">
        <v>2439</v>
      </c>
      <c r="E71" s="79" t="s">
        <v>117</v>
      </c>
      <c r="F71" s="79" t="s">
        <v>117</v>
      </c>
      <c r="G71" s="79" t="s">
        <v>117</v>
      </c>
      <c r="H71" s="91" t="s">
        <v>3565</v>
      </c>
      <c r="I71" s="96" t="s">
        <v>3632</v>
      </c>
      <c r="J71" s="97">
        <v>2</v>
      </c>
      <c r="K71" s="96"/>
      <c r="L71" s="96"/>
      <c r="M71" s="96"/>
      <c r="N71" s="93" t="s">
        <v>3634</v>
      </c>
      <c r="O71" s="93"/>
      <c r="P71" s="93"/>
      <c r="Q71" s="93"/>
      <c r="R71" s="93"/>
      <c r="S71" s="92">
        <v>3185</v>
      </c>
      <c r="T71" s="92">
        <v>672</v>
      </c>
      <c r="U71" s="92"/>
      <c r="V71" s="97">
        <v>0</v>
      </c>
      <c r="W71" s="97">
        <v>0</v>
      </c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17"/>
      <c r="AK71" s="24"/>
      <c r="AL71" s="25"/>
      <c r="AM71" s="25"/>
    </row>
    <row r="72" spans="1:39" x14ac:dyDescent="0.3">
      <c r="A72" s="90">
        <v>66</v>
      </c>
      <c r="B72" s="79" t="s">
        <v>2439</v>
      </c>
      <c r="C72" s="90">
        <v>66</v>
      </c>
      <c r="D72" s="79" t="s">
        <v>2439</v>
      </c>
      <c r="E72" s="79" t="s">
        <v>117</v>
      </c>
      <c r="F72" s="79" t="s">
        <v>117</v>
      </c>
      <c r="G72" s="79" t="s">
        <v>117</v>
      </c>
      <c r="H72" s="91" t="s">
        <v>3565</v>
      </c>
      <c r="I72" s="96" t="s">
        <v>3632</v>
      </c>
      <c r="J72" s="97">
        <v>3</v>
      </c>
      <c r="K72" s="96"/>
      <c r="L72" s="96"/>
      <c r="M72" s="96"/>
      <c r="N72" s="93" t="s">
        <v>3635</v>
      </c>
      <c r="O72" s="93"/>
      <c r="P72" s="93"/>
      <c r="Q72" s="93"/>
      <c r="R72" s="93"/>
      <c r="S72" s="92">
        <v>2237</v>
      </c>
      <c r="T72" s="92">
        <v>326</v>
      </c>
      <c r="U72" s="92"/>
      <c r="V72" s="97">
        <v>0</v>
      </c>
      <c r="W72" s="97">
        <v>0</v>
      </c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17"/>
      <c r="AK72" s="24"/>
      <c r="AL72" s="25"/>
      <c r="AM72" s="25"/>
    </row>
    <row r="73" spans="1:39" x14ac:dyDescent="0.3">
      <c r="A73" s="90">
        <v>67</v>
      </c>
      <c r="B73" s="79" t="s">
        <v>2439</v>
      </c>
      <c r="C73" s="90">
        <v>67</v>
      </c>
      <c r="D73" s="79" t="s">
        <v>2439</v>
      </c>
      <c r="E73" s="79" t="s">
        <v>117</v>
      </c>
      <c r="F73" s="79" t="s">
        <v>117</v>
      </c>
      <c r="G73" s="79" t="s">
        <v>117</v>
      </c>
      <c r="H73" s="91" t="s">
        <v>3565</v>
      </c>
      <c r="I73" s="96" t="s">
        <v>3632</v>
      </c>
      <c r="J73" s="97">
        <v>4</v>
      </c>
      <c r="K73" s="96"/>
      <c r="L73" s="96"/>
      <c r="M73" s="96"/>
      <c r="N73" s="93" t="s">
        <v>3636</v>
      </c>
      <c r="O73" s="93"/>
      <c r="P73" s="93"/>
      <c r="Q73" s="93"/>
      <c r="R73" s="93"/>
      <c r="S73" s="92">
        <v>3587</v>
      </c>
      <c r="T73" s="92">
        <v>672</v>
      </c>
      <c r="U73" s="92"/>
      <c r="V73" s="97">
        <v>0</v>
      </c>
      <c r="W73" s="97">
        <v>0</v>
      </c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17"/>
      <c r="AK73" s="24"/>
      <c r="AL73" s="25"/>
      <c r="AM73" s="25"/>
    </row>
    <row r="74" spans="1:39" x14ac:dyDescent="0.3">
      <c r="A74" s="90">
        <v>68</v>
      </c>
      <c r="B74" s="79" t="s">
        <v>2439</v>
      </c>
      <c r="C74" s="90">
        <v>68</v>
      </c>
      <c r="D74" s="79" t="s">
        <v>2439</v>
      </c>
      <c r="E74" s="79" t="s">
        <v>117</v>
      </c>
      <c r="F74" s="79" t="s">
        <v>117</v>
      </c>
      <c r="G74" s="79" t="s">
        <v>117</v>
      </c>
      <c r="H74" s="91" t="s">
        <v>3565</v>
      </c>
      <c r="I74" s="96" t="s">
        <v>3632</v>
      </c>
      <c r="J74" s="97">
        <v>5</v>
      </c>
      <c r="K74" s="96"/>
      <c r="L74" s="96"/>
      <c r="M74" s="96"/>
      <c r="N74" s="93" t="s">
        <v>3637</v>
      </c>
      <c r="O74" s="93"/>
      <c r="P74" s="93"/>
      <c r="Q74" s="93"/>
      <c r="R74" s="93"/>
      <c r="S74" s="92">
        <v>3834</v>
      </c>
      <c r="T74" s="92">
        <v>752</v>
      </c>
      <c r="U74" s="92"/>
      <c r="V74" s="97">
        <v>0</v>
      </c>
      <c r="W74" s="97">
        <v>279</v>
      </c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17"/>
      <c r="AK74" s="24"/>
      <c r="AL74" s="25"/>
      <c r="AM74" s="25"/>
    </row>
    <row r="75" spans="1:39" x14ac:dyDescent="0.3">
      <c r="A75" s="90">
        <v>69</v>
      </c>
      <c r="B75" s="79" t="s">
        <v>2439</v>
      </c>
      <c r="C75" s="90">
        <v>69</v>
      </c>
      <c r="D75" s="79" t="s">
        <v>2439</v>
      </c>
      <c r="E75" s="79" t="s">
        <v>117</v>
      </c>
      <c r="F75" s="79" t="s">
        <v>117</v>
      </c>
      <c r="G75" s="79" t="s">
        <v>117</v>
      </c>
      <c r="H75" s="91" t="s">
        <v>3565</v>
      </c>
      <c r="I75" s="96" t="s">
        <v>3632</v>
      </c>
      <c r="J75" s="97">
        <v>6</v>
      </c>
      <c r="K75" s="96"/>
      <c r="L75" s="96"/>
      <c r="M75" s="96"/>
      <c r="N75" s="93" t="s">
        <v>3638</v>
      </c>
      <c r="O75" s="93"/>
      <c r="P75" s="93"/>
      <c r="Q75" s="93"/>
      <c r="R75" s="93"/>
      <c r="S75" s="92">
        <v>3257</v>
      </c>
      <c r="T75" s="92">
        <v>678</v>
      </c>
      <c r="U75" s="92"/>
      <c r="V75" s="97">
        <v>0</v>
      </c>
      <c r="W75" s="97">
        <v>0</v>
      </c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17"/>
      <c r="AK75" s="24"/>
      <c r="AL75" s="25"/>
      <c r="AM75" s="25"/>
    </row>
    <row r="76" spans="1:39" x14ac:dyDescent="0.3">
      <c r="A76" s="90">
        <v>70</v>
      </c>
      <c r="B76" s="79" t="s">
        <v>2439</v>
      </c>
      <c r="C76" s="90">
        <v>70</v>
      </c>
      <c r="D76" s="79" t="s">
        <v>2439</v>
      </c>
      <c r="E76" s="79" t="s">
        <v>117</v>
      </c>
      <c r="F76" s="79" t="s">
        <v>117</v>
      </c>
      <c r="G76" s="79" t="s">
        <v>117</v>
      </c>
      <c r="H76" s="91" t="s">
        <v>3565</v>
      </c>
      <c r="I76" s="96" t="s">
        <v>3632</v>
      </c>
      <c r="J76" s="97">
        <v>7</v>
      </c>
      <c r="K76" s="96"/>
      <c r="L76" s="96"/>
      <c r="M76" s="96"/>
      <c r="N76" s="93" t="s">
        <v>3639</v>
      </c>
      <c r="O76" s="93"/>
      <c r="P76" s="93"/>
      <c r="Q76" s="93"/>
      <c r="R76" s="93"/>
      <c r="S76" s="92">
        <v>3756</v>
      </c>
      <c r="T76" s="92">
        <v>598</v>
      </c>
      <c r="U76" s="92"/>
      <c r="V76" s="97">
        <v>0</v>
      </c>
      <c r="W76" s="97">
        <v>0</v>
      </c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17"/>
      <c r="AK76" s="24"/>
      <c r="AL76" s="25"/>
      <c r="AM76" s="25"/>
    </row>
    <row r="77" spans="1:39" x14ac:dyDescent="0.3">
      <c r="A77" s="90">
        <v>71</v>
      </c>
      <c r="B77" s="79" t="s">
        <v>2439</v>
      </c>
      <c r="C77" s="90">
        <v>71</v>
      </c>
      <c r="D77" s="79" t="s">
        <v>2439</v>
      </c>
      <c r="E77" s="79" t="s">
        <v>117</v>
      </c>
      <c r="F77" s="79" t="s">
        <v>117</v>
      </c>
      <c r="G77" s="79" t="s">
        <v>117</v>
      </c>
      <c r="H77" s="91" t="s">
        <v>3565</v>
      </c>
      <c r="I77" s="96" t="s">
        <v>3632</v>
      </c>
      <c r="J77" s="97">
        <v>8</v>
      </c>
      <c r="K77" s="96"/>
      <c r="L77" s="96"/>
      <c r="M77" s="96"/>
      <c r="N77" s="93" t="s">
        <v>3640</v>
      </c>
      <c r="O77" s="93"/>
      <c r="P77" s="93"/>
      <c r="Q77" s="93"/>
      <c r="R77" s="93"/>
      <c r="S77" s="92">
        <v>3293</v>
      </c>
      <c r="T77" s="92">
        <v>601</v>
      </c>
      <c r="U77" s="92"/>
      <c r="V77" s="97">
        <v>0</v>
      </c>
      <c r="W77" s="97">
        <v>0</v>
      </c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17"/>
      <c r="AK77" s="24"/>
      <c r="AL77" s="25"/>
      <c r="AM77" s="25"/>
    </row>
    <row r="78" spans="1:39" x14ac:dyDescent="0.3">
      <c r="A78" s="90">
        <v>72</v>
      </c>
      <c r="B78" s="79" t="s">
        <v>2439</v>
      </c>
      <c r="C78" s="90">
        <v>72</v>
      </c>
      <c r="D78" s="79" t="s">
        <v>2439</v>
      </c>
      <c r="E78" s="79" t="s">
        <v>117</v>
      </c>
      <c r="F78" s="79" t="s">
        <v>117</v>
      </c>
      <c r="G78" s="79" t="s">
        <v>117</v>
      </c>
      <c r="H78" s="91" t="s">
        <v>3565</v>
      </c>
      <c r="I78" s="96" t="s">
        <v>3632</v>
      </c>
      <c r="J78" s="97">
        <v>9</v>
      </c>
      <c r="K78" s="96"/>
      <c r="L78" s="96"/>
      <c r="M78" s="96"/>
      <c r="N78" s="93" t="s">
        <v>3641</v>
      </c>
      <c r="O78" s="93"/>
      <c r="P78" s="93"/>
      <c r="Q78" s="93"/>
      <c r="R78" s="93"/>
      <c r="S78" s="92">
        <v>4184</v>
      </c>
      <c r="T78" s="92">
        <v>731</v>
      </c>
      <c r="U78" s="92"/>
      <c r="V78" s="97">
        <v>0</v>
      </c>
      <c r="W78" s="97">
        <v>0</v>
      </c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17"/>
      <c r="AK78" s="24"/>
      <c r="AL78" s="25"/>
      <c r="AM78" s="25"/>
    </row>
    <row r="79" spans="1:39" x14ac:dyDescent="0.3">
      <c r="A79" s="90">
        <v>73</v>
      </c>
      <c r="B79" s="79" t="s">
        <v>2439</v>
      </c>
      <c r="C79" s="90">
        <v>73</v>
      </c>
      <c r="D79" s="79" t="s">
        <v>2439</v>
      </c>
      <c r="E79" s="79" t="s">
        <v>117</v>
      </c>
      <c r="F79" s="79" t="s">
        <v>117</v>
      </c>
      <c r="G79" s="79" t="s">
        <v>117</v>
      </c>
      <c r="H79" s="91" t="s">
        <v>3565</v>
      </c>
      <c r="I79" s="96" t="s">
        <v>3642</v>
      </c>
      <c r="J79" s="97">
        <v>1</v>
      </c>
      <c r="K79" s="96"/>
      <c r="L79" s="96"/>
      <c r="M79" s="96"/>
      <c r="N79" s="93" t="s">
        <v>3643</v>
      </c>
      <c r="O79" s="93"/>
      <c r="P79" s="93"/>
      <c r="Q79" s="93"/>
      <c r="R79" s="93"/>
      <c r="S79" s="92">
        <v>3645</v>
      </c>
      <c r="T79" s="92">
        <v>526</v>
      </c>
      <c r="U79" s="92"/>
      <c r="V79" s="97">
        <v>0</v>
      </c>
      <c r="W79" s="97">
        <v>0</v>
      </c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17"/>
      <c r="AK79" s="24"/>
      <c r="AL79" s="25"/>
      <c r="AM79" s="25"/>
    </row>
    <row r="80" spans="1:39" x14ac:dyDescent="0.3">
      <c r="A80" s="90">
        <v>74</v>
      </c>
      <c r="B80" s="79" t="s">
        <v>2439</v>
      </c>
      <c r="C80" s="90">
        <v>74</v>
      </c>
      <c r="D80" s="79" t="s">
        <v>2439</v>
      </c>
      <c r="E80" s="79" t="s">
        <v>117</v>
      </c>
      <c r="F80" s="79" t="s">
        <v>117</v>
      </c>
      <c r="G80" s="79" t="s">
        <v>117</v>
      </c>
      <c r="H80" s="91" t="s">
        <v>3565</v>
      </c>
      <c r="I80" s="96" t="s">
        <v>3642</v>
      </c>
      <c r="J80" s="97">
        <v>2</v>
      </c>
      <c r="K80" s="96"/>
      <c r="L80" s="96"/>
      <c r="M80" s="96"/>
      <c r="N80" s="93" t="s">
        <v>3644</v>
      </c>
      <c r="O80" s="93"/>
      <c r="P80" s="93"/>
      <c r="Q80" s="93"/>
      <c r="R80" s="93"/>
      <c r="S80" s="92">
        <v>3582</v>
      </c>
      <c r="T80" s="92">
        <v>698</v>
      </c>
      <c r="U80" s="92"/>
      <c r="V80" s="97">
        <v>0</v>
      </c>
      <c r="W80" s="97">
        <v>0</v>
      </c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17"/>
      <c r="AK80" s="24"/>
      <c r="AL80" s="25"/>
      <c r="AM80" s="25"/>
    </row>
    <row r="81" spans="1:39" x14ac:dyDescent="0.3">
      <c r="A81" s="90">
        <v>75</v>
      </c>
      <c r="B81" s="79" t="s">
        <v>2439</v>
      </c>
      <c r="C81" s="90">
        <v>75</v>
      </c>
      <c r="D81" s="79" t="s">
        <v>2439</v>
      </c>
      <c r="E81" s="79" t="s">
        <v>117</v>
      </c>
      <c r="F81" s="79" t="s">
        <v>117</v>
      </c>
      <c r="G81" s="79" t="s">
        <v>117</v>
      </c>
      <c r="H81" s="91" t="s">
        <v>3565</v>
      </c>
      <c r="I81" s="96" t="s">
        <v>3642</v>
      </c>
      <c r="J81" s="97">
        <v>3</v>
      </c>
      <c r="K81" s="96" t="s">
        <v>3645</v>
      </c>
      <c r="L81" s="96"/>
      <c r="M81" s="96"/>
      <c r="N81" s="93" t="s">
        <v>3646</v>
      </c>
      <c r="O81" s="93"/>
      <c r="P81" s="93"/>
      <c r="Q81" s="93"/>
      <c r="R81" s="93"/>
      <c r="S81" s="92">
        <v>2495</v>
      </c>
      <c r="T81" s="92">
        <v>432</v>
      </c>
      <c r="U81" s="92"/>
      <c r="V81" s="97">
        <v>252</v>
      </c>
      <c r="W81" s="97">
        <v>752</v>
      </c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17"/>
      <c r="AK81" s="24"/>
      <c r="AL81" s="25"/>
      <c r="AM81" s="25"/>
    </row>
    <row r="82" spans="1:39" x14ac:dyDescent="0.3">
      <c r="A82" s="90">
        <v>76</v>
      </c>
      <c r="B82" s="79" t="s">
        <v>2439</v>
      </c>
      <c r="C82" s="90">
        <v>76</v>
      </c>
      <c r="D82" s="79" t="s">
        <v>2439</v>
      </c>
      <c r="E82" s="79" t="s">
        <v>117</v>
      </c>
      <c r="F82" s="79" t="s">
        <v>117</v>
      </c>
      <c r="G82" s="79" t="s">
        <v>117</v>
      </c>
      <c r="H82" s="91" t="s">
        <v>3565</v>
      </c>
      <c r="I82" s="96" t="s">
        <v>3642</v>
      </c>
      <c r="J82" s="97">
        <v>4</v>
      </c>
      <c r="K82" s="96"/>
      <c r="L82" s="96"/>
      <c r="M82" s="96"/>
      <c r="N82" s="93" t="s">
        <v>3647</v>
      </c>
      <c r="O82" s="93"/>
      <c r="P82" s="93"/>
      <c r="Q82" s="93"/>
      <c r="R82" s="93"/>
      <c r="S82" s="92">
        <v>3767</v>
      </c>
      <c r="T82" s="92">
        <v>409</v>
      </c>
      <c r="U82" s="92"/>
      <c r="V82" s="97">
        <v>0</v>
      </c>
      <c r="W82" s="97">
        <v>0</v>
      </c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17"/>
      <c r="AK82" s="24"/>
      <c r="AL82" s="25"/>
      <c r="AM82" s="25"/>
    </row>
    <row r="83" spans="1:39" x14ac:dyDescent="0.3">
      <c r="A83" s="90">
        <v>77</v>
      </c>
      <c r="B83" s="79" t="s">
        <v>2439</v>
      </c>
      <c r="C83" s="90">
        <v>77</v>
      </c>
      <c r="D83" s="79" t="s">
        <v>2439</v>
      </c>
      <c r="E83" s="79" t="s">
        <v>117</v>
      </c>
      <c r="F83" s="79" t="s">
        <v>117</v>
      </c>
      <c r="G83" s="79" t="s">
        <v>117</v>
      </c>
      <c r="H83" s="91" t="s">
        <v>3565</v>
      </c>
      <c r="I83" s="96" t="s">
        <v>3642</v>
      </c>
      <c r="J83" s="97">
        <v>5</v>
      </c>
      <c r="K83" s="96"/>
      <c r="L83" s="96"/>
      <c r="M83" s="96"/>
      <c r="N83" s="93" t="s">
        <v>3648</v>
      </c>
      <c r="O83" s="93"/>
      <c r="P83" s="93"/>
      <c r="Q83" s="93"/>
      <c r="R83" s="93"/>
      <c r="S83" s="92">
        <v>3967</v>
      </c>
      <c r="T83" s="92">
        <v>472</v>
      </c>
      <c r="U83" s="92"/>
      <c r="V83" s="97">
        <v>0</v>
      </c>
      <c r="W83" s="97">
        <v>0</v>
      </c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17"/>
      <c r="AK83" s="24"/>
      <c r="AL83" s="25"/>
      <c r="AM83" s="25"/>
    </row>
    <row r="84" spans="1:39" x14ac:dyDescent="0.3">
      <c r="A84" s="90">
        <v>78</v>
      </c>
      <c r="B84" s="79" t="s">
        <v>2439</v>
      </c>
      <c r="C84" s="90">
        <v>78</v>
      </c>
      <c r="D84" s="79" t="s">
        <v>2439</v>
      </c>
      <c r="E84" s="79" t="s">
        <v>117</v>
      </c>
      <c r="F84" s="79" t="s">
        <v>117</v>
      </c>
      <c r="G84" s="79" t="s">
        <v>117</v>
      </c>
      <c r="H84" s="91" t="s">
        <v>3565</v>
      </c>
      <c r="I84" s="96" t="s">
        <v>3642</v>
      </c>
      <c r="J84" s="97">
        <v>6</v>
      </c>
      <c r="K84" s="96"/>
      <c r="L84" s="96"/>
      <c r="M84" s="96"/>
      <c r="N84" s="93" t="s">
        <v>3649</v>
      </c>
      <c r="O84" s="93"/>
      <c r="P84" s="93"/>
      <c r="Q84" s="93"/>
      <c r="R84" s="93"/>
      <c r="S84" s="92">
        <v>4528</v>
      </c>
      <c r="T84" s="92">
        <v>643</v>
      </c>
      <c r="U84" s="92"/>
      <c r="V84" s="97">
        <v>0</v>
      </c>
      <c r="W84" s="97">
        <v>0</v>
      </c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17"/>
      <c r="AK84" s="24"/>
      <c r="AL84" s="25"/>
      <c r="AM84" s="25"/>
    </row>
    <row r="85" spans="1:39" x14ac:dyDescent="0.3">
      <c r="A85" s="90">
        <v>79</v>
      </c>
      <c r="B85" s="79" t="s">
        <v>2439</v>
      </c>
      <c r="C85" s="90">
        <v>79</v>
      </c>
      <c r="D85" s="79" t="s">
        <v>2439</v>
      </c>
      <c r="E85" s="79" t="s">
        <v>117</v>
      </c>
      <c r="F85" s="79" t="s">
        <v>117</v>
      </c>
      <c r="G85" s="79" t="s">
        <v>117</v>
      </c>
      <c r="H85" s="91" t="s">
        <v>3565</v>
      </c>
      <c r="I85" s="96" t="s">
        <v>3642</v>
      </c>
      <c r="J85" s="97">
        <v>7</v>
      </c>
      <c r="K85" s="96"/>
      <c r="L85" s="96"/>
      <c r="M85" s="96"/>
      <c r="N85" s="93" t="s">
        <v>3650</v>
      </c>
      <c r="O85" s="93"/>
      <c r="P85" s="93"/>
      <c r="Q85" s="93"/>
      <c r="R85" s="93"/>
      <c r="S85" s="92">
        <v>3560</v>
      </c>
      <c r="T85" s="92">
        <v>346</v>
      </c>
      <c r="U85" s="92"/>
      <c r="V85" s="97">
        <v>0</v>
      </c>
      <c r="W85" s="97">
        <v>0</v>
      </c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17"/>
      <c r="AK85" s="24"/>
      <c r="AL85" s="25"/>
      <c r="AM85" s="25"/>
    </row>
    <row r="86" spans="1:39" x14ac:dyDescent="0.3">
      <c r="A86" s="90">
        <v>80</v>
      </c>
      <c r="B86" s="79" t="s">
        <v>2439</v>
      </c>
      <c r="C86" s="90">
        <v>80</v>
      </c>
      <c r="D86" s="79" t="s">
        <v>2439</v>
      </c>
      <c r="E86" s="79" t="s">
        <v>117</v>
      </c>
      <c r="F86" s="79" t="s">
        <v>117</v>
      </c>
      <c r="G86" s="79" t="s">
        <v>117</v>
      </c>
      <c r="H86" s="91" t="s">
        <v>3565</v>
      </c>
      <c r="I86" s="96" t="s">
        <v>3642</v>
      </c>
      <c r="J86" s="97">
        <v>8</v>
      </c>
      <c r="K86" s="96"/>
      <c r="L86" s="96"/>
      <c r="M86" s="96"/>
      <c r="N86" s="93" t="s">
        <v>3651</v>
      </c>
      <c r="O86" s="93"/>
      <c r="P86" s="93"/>
      <c r="Q86" s="93"/>
      <c r="R86" s="93"/>
      <c r="S86" s="92">
        <v>2639</v>
      </c>
      <c r="T86" s="92">
        <v>463</v>
      </c>
      <c r="U86" s="92"/>
      <c r="V86" s="97">
        <v>0</v>
      </c>
      <c r="W86" s="97">
        <v>0</v>
      </c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17"/>
      <c r="AK86" s="24"/>
      <c r="AL86" s="25"/>
      <c r="AM86" s="25"/>
    </row>
    <row r="87" spans="1:39" x14ac:dyDescent="0.3">
      <c r="A87" s="90">
        <v>81</v>
      </c>
      <c r="B87" s="79" t="s">
        <v>2439</v>
      </c>
      <c r="C87" s="90">
        <v>81</v>
      </c>
      <c r="D87" s="79" t="s">
        <v>2439</v>
      </c>
      <c r="E87" s="79" t="s">
        <v>117</v>
      </c>
      <c r="F87" s="79" t="s">
        <v>117</v>
      </c>
      <c r="G87" s="79" t="s">
        <v>117</v>
      </c>
      <c r="H87" s="91" t="s">
        <v>3565</v>
      </c>
      <c r="I87" s="96" t="s">
        <v>3642</v>
      </c>
      <c r="J87" s="97">
        <v>9</v>
      </c>
      <c r="K87" s="96"/>
      <c r="L87" s="96"/>
      <c r="M87" s="96"/>
      <c r="N87" s="93" t="s">
        <v>3652</v>
      </c>
      <c r="O87" s="93"/>
      <c r="P87" s="93"/>
      <c r="Q87" s="93"/>
      <c r="R87" s="93"/>
      <c r="S87" s="92">
        <v>4933</v>
      </c>
      <c r="T87" s="92">
        <v>642</v>
      </c>
      <c r="U87" s="92"/>
      <c r="V87" s="97">
        <v>0</v>
      </c>
      <c r="W87" s="97">
        <v>0</v>
      </c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17"/>
      <c r="AK87" s="24"/>
      <c r="AL87" s="25"/>
      <c r="AM87" s="25"/>
    </row>
    <row r="88" spans="1:39" x14ac:dyDescent="0.3">
      <c r="A88" s="90">
        <v>82</v>
      </c>
      <c r="B88" s="79" t="s">
        <v>2439</v>
      </c>
      <c r="C88" s="90">
        <v>82</v>
      </c>
      <c r="D88" s="79" t="s">
        <v>2439</v>
      </c>
      <c r="E88" s="79" t="s">
        <v>117</v>
      </c>
      <c r="F88" s="79" t="s">
        <v>117</v>
      </c>
      <c r="G88" s="79" t="s">
        <v>117</v>
      </c>
      <c r="H88" s="91" t="s">
        <v>3565</v>
      </c>
      <c r="I88" s="96" t="s">
        <v>3653</v>
      </c>
      <c r="J88" s="97">
        <v>1</v>
      </c>
      <c r="K88" s="96"/>
      <c r="L88" s="96"/>
      <c r="M88" s="96"/>
      <c r="N88" s="93" t="s">
        <v>3654</v>
      </c>
      <c r="O88" s="93"/>
      <c r="P88" s="93"/>
      <c r="Q88" s="93"/>
      <c r="R88" s="93"/>
      <c r="S88" s="92">
        <v>3994</v>
      </c>
      <c r="T88" s="92">
        <v>839</v>
      </c>
      <c r="U88" s="92"/>
      <c r="V88" s="97">
        <v>0</v>
      </c>
      <c r="W88" s="97">
        <v>0</v>
      </c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16"/>
      <c r="AK88" s="24"/>
      <c r="AL88" s="25"/>
      <c r="AM88" s="25"/>
    </row>
    <row r="89" spans="1:39" x14ac:dyDescent="0.3">
      <c r="A89" s="90">
        <v>83</v>
      </c>
      <c r="B89" s="79" t="s">
        <v>2439</v>
      </c>
      <c r="C89" s="90">
        <v>83</v>
      </c>
      <c r="D89" s="79" t="s">
        <v>2439</v>
      </c>
      <c r="E89" s="79" t="s">
        <v>117</v>
      </c>
      <c r="F89" s="79" t="s">
        <v>117</v>
      </c>
      <c r="G89" s="79" t="s">
        <v>117</v>
      </c>
      <c r="H89" s="91" t="s">
        <v>3565</v>
      </c>
      <c r="I89" s="96" t="s">
        <v>3653</v>
      </c>
      <c r="J89" s="97">
        <v>2</v>
      </c>
      <c r="K89" s="96"/>
      <c r="L89" s="96"/>
      <c r="M89" s="96"/>
      <c r="N89" s="93" t="s">
        <v>3655</v>
      </c>
      <c r="O89" s="93"/>
      <c r="P89" s="93"/>
      <c r="Q89" s="93"/>
      <c r="R89" s="93"/>
      <c r="S89" s="92">
        <v>3418</v>
      </c>
      <c r="T89" s="92">
        <v>802</v>
      </c>
      <c r="U89" s="92"/>
      <c r="V89" s="97">
        <v>0</v>
      </c>
      <c r="W89" s="97">
        <v>0</v>
      </c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17"/>
      <c r="AK89" s="24"/>
      <c r="AL89" s="25"/>
      <c r="AM89" s="25"/>
    </row>
    <row r="90" spans="1:39" x14ac:dyDescent="0.3">
      <c r="A90" s="90">
        <v>84</v>
      </c>
      <c r="B90" s="79" t="s">
        <v>2439</v>
      </c>
      <c r="C90" s="90">
        <v>84</v>
      </c>
      <c r="D90" s="79" t="s">
        <v>2439</v>
      </c>
      <c r="E90" s="79" t="s">
        <v>117</v>
      </c>
      <c r="F90" s="79" t="s">
        <v>117</v>
      </c>
      <c r="G90" s="79" t="s">
        <v>117</v>
      </c>
      <c r="H90" s="91" t="s">
        <v>3565</v>
      </c>
      <c r="I90" s="96" t="s">
        <v>3653</v>
      </c>
      <c r="J90" s="97">
        <v>3</v>
      </c>
      <c r="K90" s="96"/>
      <c r="L90" s="96"/>
      <c r="M90" s="96"/>
      <c r="N90" s="93" t="s">
        <v>3656</v>
      </c>
      <c r="O90" s="93"/>
      <c r="P90" s="93"/>
      <c r="Q90" s="93"/>
      <c r="R90" s="93"/>
      <c r="S90" s="92">
        <v>1400</v>
      </c>
      <c r="T90" s="92">
        <v>398</v>
      </c>
      <c r="U90" s="92"/>
      <c r="V90" s="97">
        <v>0</v>
      </c>
      <c r="W90" s="97">
        <v>0</v>
      </c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17"/>
      <c r="AK90" s="24"/>
      <c r="AL90" s="25"/>
      <c r="AM90" s="25"/>
    </row>
    <row r="91" spans="1:39" x14ac:dyDescent="0.3">
      <c r="A91" s="90">
        <v>85</v>
      </c>
      <c r="B91" s="79" t="s">
        <v>2439</v>
      </c>
      <c r="C91" s="90">
        <v>85</v>
      </c>
      <c r="D91" s="79" t="s">
        <v>2439</v>
      </c>
      <c r="E91" s="79" t="s">
        <v>117</v>
      </c>
      <c r="F91" s="79" t="s">
        <v>117</v>
      </c>
      <c r="G91" s="79" t="s">
        <v>117</v>
      </c>
      <c r="H91" s="91" t="s">
        <v>3565</v>
      </c>
      <c r="I91" s="96" t="s">
        <v>3653</v>
      </c>
      <c r="J91" s="97">
        <v>4</v>
      </c>
      <c r="K91" s="96"/>
      <c r="L91" s="96"/>
      <c r="M91" s="96"/>
      <c r="N91" s="93" t="s">
        <v>3657</v>
      </c>
      <c r="O91" s="93"/>
      <c r="P91" s="93"/>
      <c r="Q91" s="93"/>
      <c r="R91" s="93"/>
      <c r="S91" s="92">
        <v>2082</v>
      </c>
      <c r="T91" s="92">
        <v>589</v>
      </c>
      <c r="U91" s="92"/>
      <c r="V91" s="97">
        <v>0</v>
      </c>
      <c r="W91" s="97">
        <v>0</v>
      </c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17"/>
      <c r="AK91" s="24"/>
      <c r="AL91" s="25"/>
      <c r="AM91" s="25"/>
    </row>
    <row r="92" spans="1:39" x14ac:dyDescent="0.3">
      <c r="A92" s="90">
        <v>86</v>
      </c>
      <c r="B92" s="79" t="s">
        <v>2439</v>
      </c>
      <c r="C92" s="90">
        <v>86</v>
      </c>
      <c r="D92" s="79" t="s">
        <v>2439</v>
      </c>
      <c r="E92" s="79" t="s">
        <v>117</v>
      </c>
      <c r="F92" s="79" t="s">
        <v>117</v>
      </c>
      <c r="G92" s="79" t="s">
        <v>117</v>
      </c>
      <c r="H92" s="91" t="s">
        <v>3565</v>
      </c>
      <c r="I92" s="96" t="s">
        <v>3653</v>
      </c>
      <c r="J92" s="97">
        <v>5</v>
      </c>
      <c r="K92" s="96"/>
      <c r="L92" s="96"/>
      <c r="M92" s="96"/>
      <c r="N92" s="93" t="s">
        <v>3578</v>
      </c>
      <c r="O92" s="93"/>
      <c r="P92" s="93"/>
      <c r="Q92" s="93"/>
      <c r="R92" s="93"/>
      <c r="S92" s="92">
        <v>1880</v>
      </c>
      <c r="T92" s="92">
        <v>488</v>
      </c>
      <c r="U92" s="92"/>
      <c r="V92" s="97">
        <v>0</v>
      </c>
      <c r="W92" s="97">
        <v>0</v>
      </c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17"/>
      <c r="AK92" s="24"/>
      <c r="AL92" s="25"/>
      <c r="AM92" s="25"/>
    </row>
    <row r="93" spans="1:39" x14ac:dyDescent="0.3">
      <c r="A93" s="90">
        <v>87</v>
      </c>
      <c r="B93" s="79" t="s">
        <v>2439</v>
      </c>
      <c r="C93" s="90">
        <v>87</v>
      </c>
      <c r="D93" s="79" t="s">
        <v>2439</v>
      </c>
      <c r="E93" s="79" t="s">
        <v>117</v>
      </c>
      <c r="F93" s="79" t="s">
        <v>117</v>
      </c>
      <c r="G93" s="79" t="s">
        <v>117</v>
      </c>
      <c r="H93" s="91" t="s">
        <v>3565</v>
      </c>
      <c r="I93" s="96" t="s">
        <v>3653</v>
      </c>
      <c r="J93" s="97">
        <v>6</v>
      </c>
      <c r="K93" s="96"/>
      <c r="L93" s="96"/>
      <c r="M93" s="96"/>
      <c r="N93" s="93" t="s">
        <v>3658</v>
      </c>
      <c r="O93" s="93"/>
      <c r="P93" s="93"/>
      <c r="Q93" s="93"/>
      <c r="R93" s="93"/>
      <c r="S93" s="92">
        <v>2697</v>
      </c>
      <c r="T93" s="92">
        <v>570</v>
      </c>
      <c r="U93" s="92"/>
      <c r="V93" s="97">
        <v>0</v>
      </c>
      <c r="W93" s="97">
        <v>0</v>
      </c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17"/>
      <c r="AK93" s="24"/>
      <c r="AL93" s="25"/>
      <c r="AM93" s="25"/>
    </row>
    <row r="94" spans="1:39" x14ac:dyDescent="0.3">
      <c r="A94" s="90">
        <v>88</v>
      </c>
      <c r="B94" s="79" t="s">
        <v>2439</v>
      </c>
      <c r="C94" s="90">
        <v>88</v>
      </c>
      <c r="D94" s="79" t="s">
        <v>2439</v>
      </c>
      <c r="E94" s="79" t="s">
        <v>117</v>
      </c>
      <c r="F94" s="79" t="s">
        <v>117</v>
      </c>
      <c r="G94" s="79" t="s">
        <v>117</v>
      </c>
      <c r="H94" s="91" t="s">
        <v>3565</v>
      </c>
      <c r="I94" s="96" t="s">
        <v>3653</v>
      </c>
      <c r="J94" s="97">
        <v>7</v>
      </c>
      <c r="K94" s="96"/>
      <c r="L94" s="96"/>
      <c r="M94" s="96"/>
      <c r="N94" s="93" t="s">
        <v>3659</v>
      </c>
      <c r="O94" s="93"/>
      <c r="P94" s="93"/>
      <c r="Q94" s="93"/>
      <c r="R94" s="93"/>
      <c r="S94" s="92">
        <v>2176</v>
      </c>
      <c r="T94" s="92">
        <v>445</v>
      </c>
      <c r="U94" s="92"/>
      <c r="V94" s="97">
        <v>0</v>
      </c>
      <c r="W94" s="97">
        <v>0</v>
      </c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17"/>
      <c r="AK94" s="24"/>
      <c r="AL94" s="25"/>
      <c r="AM94" s="25"/>
    </row>
    <row r="95" spans="1:39" x14ac:dyDescent="0.3">
      <c r="A95" s="90">
        <v>89</v>
      </c>
      <c r="B95" s="79" t="s">
        <v>2439</v>
      </c>
      <c r="C95" s="90">
        <v>89</v>
      </c>
      <c r="D95" s="79" t="s">
        <v>2439</v>
      </c>
      <c r="E95" s="79" t="s">
        <v>117</v>
      </c>
      <c r="F95" s="79" t="s">
        <v>117</v>
      </c>
      <c r="G95" s="79" t="s">
        <v>117</v>
      </c>
      <c r="H95" s="91" t="s">
        <v>3565</v>
      </c>
      <c r="I95" s="96" t="s">
        <v>3653</v>
      </c>
      <c r="J95" s="97">
        <v>8</v>
      </c>
      <c r="K95" s="96"/>
      <c r="L95" s="96"/>
      <c r="M95" s="96"/>
      <c r="N95" s="93" t="s">
        <v>2443</v>
      </c>
      <c r="O95" s="93"/>
      <c r="P95" s="93"/>
      <c r="Q95" s="93"/>
      <c r="R95" s="93"/>
      <c r="S95" s="92">
        <v>1728</v>
      </c>
      <c r="T95" s="92">
        <v>431</v>
      </c>
      <c r="U95" s="92"/>
      <c r="V95" s="97">
        <v>0</v>
      </c>
      <c r="W95" s="97">
        <v>0</v>
      </c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17"/>
      <c r="AK95" s="24"/>
      <c r="AL95" s="25"/>
      <c r="AM95" s="25"/>
    </row>
    <row r="96" spans="1:39" x14ac:dyDescent="0.3">
      <c r="A96" s="90">
        <v>90</v>
      </c>
      <c r="B96" s="79" t="s">
        <v>2439</v>
      </c>
      <c r="C96" s="90">
        <v>90</v>
      </c>
      <c r="D96" s="79" t="s">
        <v>2439</v>
      </c>
      <c r="E96" s="79" t="s">
        <v>117</v>
      </c>
      <c r="F96" s="79" t="s">
        <v>117</v>
      </c>
      <c r="G96" s="79" t="s">
        <v>117</v>
      </c>
      <c r="H96" s="91" t="s">
        <v>3565</v>
      </c>
      <c r="I96" s="96" t="s">
        <v>3653</v>
      </c>
      <c r="J96" s="97">
        <v>9</v>
      </c>
      <c r="K96" s="96"/>
      <c r="L96" s="96"/>
      <c r="M96" s="96"/>
      <c r="N96" s="93" t="s">
        <v>3660</v>
      </c>
      <c r="O96" s="93"/>
      <c r="P96" s="93"/>
      <c r="Q96" s="93"/>
      <c r="R96" s="93"/>
      <c r="S96" s="92">
        <v>1934</v>
      </c>
      <c r="T96" s="92">
        <v>400</v>
      </c>
      <c r="U96" s="92"/>
      <c r="V96" s="97">
        <v>0</v>
      </c>
      <c r="W96" s="97">
        <v>0</v>
      </c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17"/>
      <c r="AK96" s="24"/>
      <c r="AL96" s="25"/>
      <c r="AM96" s="25"/>
    </row>
    <row r="97" spans="1:39" x14ac:dyDescent="0.3">
      <c r="A97" s="90">
        <v>91</v>
      </c>
      <c r="B97" s="79" t="s">
        <v>2439</v>
      </c>
      <c r="C97" s="90">
        <v>91</v>
      </c>
      <c r="D97" s="79" t="s">
        <v>2439</v>
      </c>
      <c r="E97" s="79" t="s">
        <v>117</v>
      </c>
      <c r="F97" s="79" t="s">
        <v>117</v>
      </c>
      <c r="G97" s="79" t="s">
        <v>117</v>
      </c>
      <c r="H97" s="91" t="s">
        <v>3565</v>
      </c>
      <c r="I97" s="96" t="s">
        <v>3661</v>
      </c>
      <c r="J97" s="97">
        <v>1</v>
      </c>
      <c r="K97" s="96"/>
      <c r="L97" s="96"/>
      <c r="M97" s="96"/>
      <c r="N97" s="93" t="s">
        <v>3662</v>
      </c>
      <c r="O97" s="93"/>
      <c r="P97" s="93"/>
      <c r="Q97" s="93"/>
      <c r="R97" s="93"/>
      <c r="S97" s="92">
        <v>2075</v>
      </c>
      <c r="T97" s="92">
        <v>653</v>
      </c>
      <c r="U97" s="92"/>
      <c r="V97" s="97">
        <v>0</v>
      </c>
      <c r="W97" s="97">
        <v>0</v>
      </c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17"/>
      <c r="AK97" s="24"/>
      <c r="AL97" s="25"/>
      <c r="AM97" s="25"/>
    </row>
    <row r="98" spans="1:39" x14ac:dyDescent="0.3">
      <c r="A98" s="90">
        <v>92</v>
      </c>
      <c r="B98" s="79" t="s">
        <v>2439</v>
      </c>
      <c r="C98" s="90">
        <v>92</v>
      </c>
      <c r="D98" s="79" t="s">
        <v>2439</v>
      </c>
      <c r="E98" s="79" t="s">
        <v>117</v>
      </c>
      <c r="F98" s="79" t="s">
        <v>117</v>
      </c>
      <c r="G98" s="79" t="s">
        <v>117</v>
      </c>
      <c r="H98" s="91" t="s">
        <v>3565</v>
      </c>
      <c r="I98" s="96" t="s">
        <v>3661</v>
      </c>
      <c r="J98" s="97">
        <v>2</v>
      </c>
      <c r="K98" s="96"/>
      <c r="L98" s="96"/>
      <c r="M98" s="96"/>
      <c r="N98" s="93" t="s">
        <v>3663</v>
      </c>
      <c r="O98" s="93"/>
      <c r="P98" s="93"/>
      <c r="Q98" s="93"/>
      <c r="R98" s="93"/>
      <c r="S98" s="92">
        <v>2118</v>
      </c>
      <c r="T98" s="92">
        <v>591</v>
      </c>
      <c r="U98" s="92"/>
      <c r="V98" s="97">
        <v>0</v>
      </c>
      <c r="W98" s="97">
        <v>0</v>
      </c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17"/>
      <c r="AK98" s="24"/>
      <c r="AL98" s="25"/>
      <c r="AM98" s="25"/>
    </row>
    <row r="99" spans="1:39" x14ac:dyDescent="0.3">
      <c r="A99" s="90">
        <v>93</v>
      </c>
      <c r="B99" s="79" t="s">
        <v>2439</v>
      </c>
      <c r="C99" s="90">
        <v>93</v>
      </c>
      <c r="D99" s="79" t="s">
        <v>2439</v>
      </c>
      <c r="E99" s="79" t="s">
        <v>117</v>
      </c>
      <c r="F99" s="79" t="s">
        <v>117</v>
      </c>
      <c r="G99" s="79" t="s">
        <v>117</v>
      </c>
      <c r="H99" s="91" t="s">
        <v>3565</v>
      </c>
      <c r="I99" s="96" t="s">
        <v>3661</v>
      </c>
      <c r="J99" s="97">
        <v>3</v>
      </c>
      <c r="K99" s="96"/>
      <c r="L99" s="96"/>
      <c r="M99" s="96"/>
      <c r="N99" s="93" t="s">
        <v>3664</v>
      </c>
      <c r="O99" s="93"/>
      <c r="P99" s="93"/>
      <c r="Q99" s="93"/>
      <c r="R99" s="93"/>
      <c r="S99" s="92">
        <v>1800</v>
      </c>
      <c r="T99" s="92">
        <v>470</v>
      </c>
      <c r="U99" s="92"/>
      <c r="V99" s="97">
        <v>0</v>
      </c>
      <c r="W99" s="97">
        <v>0</v>
      </c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17"/>
      <c r="AK99" s="24"/>
      <c r="AL99" s="25"/>
      <c r="AM99" s="25"/>
    </row>
    <row r="100" spans="1:39" x14ac:dyDescent="0.3">
      <c r="A100" s="90">
        <v>94</v>
      </c>
      <c r="B100" s="79" t="s">
        <v>2439</v>
      </c>
      <c r="C100" s="90">
        <v>94</v>
      </c>
      <c r="D100" s="79" t="s">
        <v>2439</v>
      </c>
      <c r="E100" s="79" t="s">
        <v>117</v>
      </c>
      <c r="F100" s="79" t="s">
        <v>117</v>
      </c>
      <c r="G100" s="79" t="s">
        <v>117</v>
      </c>
      <c r="H100" s="91" t="s">
        <v>3565</v>
      </c>
      <c r="I100" s="96" t="s">
        <v>3661</v>
      </c>
      <c r="J100" s="97">
        <v>4</v>
      </c>
      <c r="K100" s="96"/>
      <c r="L100" s="96"/>
      <c r="M100" s="96"/>
      <c r="N100" s="93" t="s">
        <v>3665</v>
      </c>
      <c r="O100" s="93"/>
      <c r="P100" s="93"/>
      <c r="Q100" s="93"/>
      <c r="R100" s="93"/>
      <c r="S100" s="92">
        <v>2724</v>
      </c>
      <c r="T100" s="92">
        <v>550</v>
      </c>
      <c r="U100" s="92"/>
      <c r="V100" s="97">
        <v>0</v>
      </c>
      <c r="W100" s="97">
        <v>0</v>
      </c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17"/>
      <c r="AK100" s="24"/>
      <c r="AL100" s="25"/>
      <c r="AM100" s="25"/>
    </row>
    <row r="101" spans="1:39" x14ac:dyDescent="0.3">
      <c r="A101" s="98">
        <v>95</v>
      </c>
      <c r="B101" s="99" t="s">
        <v>2439</v>
      </c>
      <c r="C101" s="90">
        <v>95</v>
      </c>
      <c r="D101" s="79" t="s">
        <v>2439</v>
      </c>
      <c r="E101" s="79" t="s">
        <v>117</v>
      </c>
      <c r="F101" s="99" t="s">
        <v>117</v>
      </c>
      <c r="G101" s="99" t="s">
        <v>117</v>
      </c>
      <c r="H101" s="100" t="s">
        <v>3565</v>
      </c>
      <c r="I101" s="101" t="s">
        <v>3661</v>
      </c>
      <c r="J101" s="102">
        <v>5</v>
      </c>
      <c r="K101" s="101"/>
      <c r="L101" s="101"/>
      <c r="M101" s="101"/>
      <c r="N101" s="103" t="s">
        <v>3666</v>
      </c>
      <c r="O101" s="103"/>
      <c r="P101" s="103"/>
      <c r="Q101" s="103"/>
      <c r="R101" s="103"/>
      <c r="S101" s="104">
        <v>2672</v>
      </c>
      <c r="T101" s="104">
        <v>537</v>
      </c>
      <c r="U101" s="104"/>
      <c r="V101" s="102">
        <v>0</v>
      </c>
      <c r="W101" s="102">
        <v>0</v>
      </c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5"/>
      <c r="AK101" s="106"/>
      <c r="AL101" s="107"/>
      <c r="AM101" s="107"/>
    </row>
    <row r="102" spans="1:39" x14ac:dyDescent="0.3">
      <c r="A102" s="77">
        <v>96</v>
      </c>
      <c r="B102" s="108" t="s">
        <v>2439</v>
      </c>
      <c r="C102" s="90">
        <v>96</v>
      </c>
      <c r="D102" s="79" t="s">
        <v>2439</v>
      </c>
      <c r="E102" s="79" t="s">
        <v>117</v>
      </c>
      <c r="F102" s="108" t="s">
        <v>117</v>
      </c>
      <c r="G102" s="108" t="s">
        <v>117</v>
      </c>
      <c r="H102" s="96" t="s">
        <v>3565</v>
      </c>
      <c r="I102" s="96" t="s">
        <v>3661</v>
      </c>
      <c r="J102" s="97">
        <v>6</v>
      </c>
      <c r="K102" s="96"/>
      <c r="L102" s="96"/>
      <c r="M102" s="96"/>
      <c r="N102" s="93" t="s">
        <v>3667</v>
      </c>
      <c r="O102" s="93"/>
      <c r="P102" s="93"/>
      <c r="Q102" s="93"/>
      <c r="R102" s="93"/>
      <c r="S102" s="92">
        <v>2065</v>
      </c>
      <c r="T102" s="92">
        <v>478</v>
      </c>
      <c r="U102" s="92"/>
      <c r="V102" s="97">
        <v>0</v>
      </c>
      <c r="W102" s="97">
        <v>0</v>
      </c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17"/>
      <c r="AK102" s="24"/>
      <c r="AL102" s="25"/>
      <c r="AM102" s="25"/>
    </row>
    <row r="103" spans="1:39" x14ac:dyDescent="0.3">
      <c r="A103" s="77">
        <v>97</v>
      </c>
      <c r="B103" s="108" t="s">
        <v>2439</v>
      </c>
      <c r="C103" s="90">
        <v>97</v>
      </c>
      <c r="D103" s="79" t="s">
        <v>2439</v>
      </c>
      <c r="E103" s="79" t="s">
        <v>117</v>
      </c>
      <c r="F103" s="108" t="s">
        <v>117</v>
      </c>
      <c r="G103" s="108" t="s">
        <v>117</v>
      </c>
      <c r="H103" s="109" t="s">
        <v>3565</v>
      </c>
      <c r="I103" s="109" t="s">
        <v>3661</v>
      </c>
      <c r="J103" s="109">
        <v>7</v>
      </c>
      <c r="K103" s="109"/>
      <c r="L103" s="109"/>
      <c r="M103" s="109"/>
      <c r="N103" s="109" t="s">
        <v>3668</v>
      </c>
      <c r="O103" s="109"/>
      <c r="P103" s="109"/>
      <c r="Q103" s="109"/>
      <c r="R103" s="109"/>
      <c r="S103" s="109">
        <v>2338</v>
      </c>
      <c r="T103" s="109">
        <v>429</v>
      </c>
      <c r="U103" s="109"/>
      <c r="V103" s="109">
        <v>0</v>
      </c>
      <c r="W103" s="109">
        <v>0</v>
      </c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</row>
    <row r="104" spans="1:39" x14ac:dyDescent="0.3">
      <c r="A104" s="77">
        <v>98</v>
      </c>
      <c r="B104" s="108" t="s">
        <v>2439</v>
      </c>
      <c r="C104" s="90">
        <v>98</v>
      </c>
      <c r="D104" s="79" t="s">
        <v>2439</v>
      </c>
      <c r="E104" s="79" t="s">
        <v>117</v>
      </c>
      <c r="F104" s="108" t="s">
        <v>117</v>
      </c>
      <c r="G104" s="108" t="s">
        <v>117</v>
      </c>
      <c r="H104" s="109" t="s">
        <v>3565</v>
      </c>
      <c r="I104" s="109" t="s">
        <v>3661</v>
      </c>
      <c r="J104" s="109">
        <v>8</v>
      </c>
      <c r="K104" s="109"/>
      <c r="L104" s="109"/>
      <c r="M104" s="109"/>
      <c r="N104" s="109" t="s">
        <v>3669</v>
      </c>
      <c r="O104" s="109"/>
      <c r="P104" s="109"/>
      <c r="Q104" s="109"/>
      <c r="R104" s="109"/>
      <c r="S104" s="109">
        <v>2521</v>
      </c>
      <c r="T104" s="109">
        <v>502</v>
      </c>
      <c r="U104" s="109"/>
      <c r="V104" s="109">
        <v>0</v>
      </c>
      <c r="W104" s="109">
        <v>0</v>
      </c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</row>
    <row r="105" spans="1:39" x14ac:dyDescent="0.3">
      <c r="A105" s="77">
        <v>99</v>
      </c>
      <c r="B105" s="108" t="s">
        <v>2439</v>
      </c>
      <c r="C105" s="90">
        <v>99</v>
      </c>
      <c r="D105" s="79" t="s">
        <v>2439</v>
      </c>
      <c r="E105" s="79" t="s">
        <v>117</v>
      </c>
      <c r="F105" s="108" t="s">
        <v>117</v>
      </c>
      <c r="G105" s="108" t="s">
        <v>117</v>
      </c>
      <c r="H105" s="109" t="s">
        <v>3565</v>
      </c>
      <c r="I105" s="109" t="s">
        <v>3661</v>
      </c>
      <c r="J105" s="109">
        <v>9</v>
      </c>
      <c r="K105" s="109"/>
      <c r="L105" s="109"/>
      <c r="M105" s="109"/>
      <c r="N105" s="109" t="s">
        <v>3670</v>
      </c>
      <c r="O105" s="109"/>
      <c r="P105" s="109"/>
      <c r="Q105" s="109"/>
      <c r="R105" s="109"/>
      <c r="S105" s="109">
        <v>2236</v>
      </c>
      <c r="T105" s="109">
        <v>409</v>
      </c>
      <c r="U105" s="109"/>
      <c r="V105" s="109">
        <v>0</v>
      </c>
      <c r="W105" s="109">
        <v>0</v>
      </c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</row>
    <row r="106" spans="1:39" x14ac:dyDescent="0.3">
      <c r="A106" s="77">
        <v>100</v>
      </c>
      <c r="B106" s="108" t="s">
        <v>2439</v>
      </c>
      <c r="C106" s="90">
        <v>100</v>
      </c>
      <c r="D106" s="79" t="s">
        <v>2439</v>
      </c>
      <c r="E106" s="79" t="s">
        <v>117</v>
      </c>
      <c r="F106" s="108" t="s">
        <v>117</v>
      </c>
      <c r="G106" s="108" t="s">
        <v>117</v>
      </c>
      <c r="H106" s="109" t="s">
        <v>3565</v>
      </c>
      <c r="I106" s="109" t="s">
        <v>3671</v>
      </c>
      <c r="J106" s="109">
        <v>1</v>
      </c>
      <c r="K106" s="109"/>
      <c r="L106" s="109"/>
      <c r="M106" s="109"/>
      <c r="N106" s="109" t="s">
        <v>3672</v>
      </c>
      <c r="O106" s="109"/>
      <c r="P106" s="109"/>
      <c r="Q106" s="109"/>
      <c r="R106" s="109"/>
      <c r="S106" s="109">
        <v>3268</v>
      </c>
      <c r="T106" s="109">
        <v>672</v>
      </c>
      <c r="U106" s="109"/>
      <c r="V106" s="109">
        <v>0</v>
      </c>
      <c r="W106" s="109">
        <v>0</v>
      </c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</row>
    <row r="107" spans="1:39" x14ac:dyDescent="0.3">
      <c r="A107" s="77">
        <v>101</v>
      </c>
      <c r="B107" s="108" t="s">
        <v>2439</v>
      </c>
      <c r="C107" s="90">
        <v>101</v>
      </c>
      <c r="D107" s="79" t="s">
        <v>2439</v>
      </c>
      <c r="E107" s="79" t="s">
        <v>117</v>
      </c>
      <c r="F107" s="108" t="s">
        <v>117</v>
      </c>
      <c r="G107" s="108" t="s">
        <v>117</v>
      </c>
      <c r="H107" s="109" t="s">
        <v>3565</v>
      </c>
      <c r="I107" s="109" t="s">
        <v>3671</v>
      </c>
      <c r="J107" s="109">
        <v>2</v>
      </c>
      <c r="K107" s="109"/>
      <c r="L107" s="109"/>
      <c r="M107" s="109"/>
      <c r="N107" s="109" t="s">
        <v>3673</v>
      </c>
      <c r="O107" s="109"/>
      <c r="P107" s="109"/>
      <c r="Q107" s="109"/>
      <c r="R107" s="109"/>
      <c r="S107" s="109">
        <v>3378</v>
      </c>
      <c r="T107" s="109">
        <v>335</v>
      </c>
      <c r="U107" s="109"/>
      <c r="V107" s="109">
        <v>0</v>
      </c>
      <c r="W107" s="109">
        <v>0</v>
      </c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</row>
    <row r="108" spans="1:39" x14ac:dyDescent="0.3">
      <c r="A108" s="77">
        <v>102</v>
      </c>
      <c r="B108" s="108" t="s">
        <v>2439</v>
      </c>
      <c r="C108" s="90">
        <v>102</v>
      </c>
      <c r="D108" s="79" t="s">
        <v>2439</v>
      </c>
      <c r="E108" s="79" t="s">
        <v>117</v>
      </c>
      <c r="F108" s="108" t="s">
        <v>117</v>
      </c>
      <c r="G108" s="108" t="s">
        <v>117</v>
      </c>
      <c r="H108" s="109" t="s">
        <v>3565</v>
      </c>
      <c r="I108" s="109" t="s">
        <v>3671</v>
      </c>
      <c r="J108" s="109">
        <v>3</v>
      </c>
      <c r="K108" s="109" t="s">
        <v>2444</v>
      </c>
      <c r="L108" s="109"/>
      <c r="M108" s="109"/>
      <c r="N108" s="109" t="s">
        <v>3674</v>
      </c>
      <c r="O108" s="109"/>
      <c r="P108" s="109"/>
      <c r="Q108" s="109"/>
      <c r="R108" s="109"/>
      <c r="S108" s="109">
        <v>2555</v>
      </c>
      <c r="T108" s="109">
        <v>467</v>
      </c>
      <c r="U108" s="109"/>
      <c r="V108" s="109">
        <v>0</v>
      </c>
      <c r="W108" s="109">
        <v>0</v>
      </c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</row>
    <row r="109" spans="1:39" x14ac:dyDescent="0.3">
      <c r="A109" s="77">
        <v>103</v>
      </c>
      <c r="B109" s="108" t="s">
        <v>2439</v>
      </c>
      <c r="C109" s="90">
        <v>103</v>
      </c>
      <c r="D109" s="79" t="s">
        <v>2439</v>
      </c>
      <c r="E109" s="79" t="s">
        <v>117</v>
      </c>
      <c r="F109" s="108" t="s">
        <v>117</v>
      </c>
      <c r="G109" s="108" t="s">
        <v>117</v>
      </c>
      <c r="H109" s="109" t="s">
        <v>3565</v>
      </c>
      <c r="I109" s="109" t="s">
        <v>3671</v>
      </c>
      <c r="J109" s="109">
        <v>4</v>
      </c>
      <c r="K109" s="109"/>
      <c r="L109" s="109"/>
      <c r="M109" s="109"/>
      <c r="N109" s="109" t="s">
        <v>3675</v>
      </c>
      <c r="O109" s="109"/>
      <c r="P109" s="109"/>
      <c r="Q109" s="109"/>
      <c r="R109" s="109"/>
      <c r="S109" s="109">
        <v>4545</v>
      </c>
      <c r="T109" s="109">
        <v>677</v>
      </c>
      <c r="U109" s="109"/>
      <c r="V109" s="109">
        <v>0</v>
      </c>
      <c r="W109" s="109">
        <v>900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</row>
    <row r="110" spans="1:39" x14ac:dyDescent="0.3">
      <c r="A110" s="77">
        <v>104</v>
      </c>
      <c r="B110" s="108" t="s">
        <v>2439</v>
      </c>
      <c r="C110" s="90">
        <v>104</v>
      </c>
      <c r="D110" s="79" t="s">
        <v>2439</v>
      </c>
      <c r="E110" s="79" t="s">
        <v>117</v>
      </c>
      <c r="F110" s="108" t="s">
        <v>117</v>
      </c>
      <c r="G110" s="108" t="s">
        <v>117</v>
      </c>
      <c r="H110" s="109" t="s">
        <v>3565</v>
      </c>
      <c r="I110" s="109" t="s">
        <v>3671</v>
      </c>
      <c r="J110" s="109">
        <v>5</v>
      </c>
      <c r="K110" s="109"/>
      <c r="L110" s="109"/>
      <c r="M110" s="109"/>
      <c r="N110" s="109" t="s">
        <v>3676</v>
      </c>
      <c r="O110" s="109"/>
      <c r="P110" s="109"/>
      <c r="Q110" s="109"/>
      <c r="R110" s="109"/>
      <c r="S110" s="109">
        <v>1446</v>
      </c>
      <c r="T110" s="109">
        <v>211</v>
      </c>
      <c r="U110" s="109"/>
      <c r="V110" s="109">
        <v>0</v>
      </c>
      <c r="W110" s="109">
        <v>0</v>
      </c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</row>
    <row r="111" spans="1:39" x14ac:dyDescent="0.3">
      <c r="A111" s="77">
        <v>105</v>
      </c>
      <c r="B111" s="108" t="s">
        <v>2439</v>
      </c>
      <c r="C111" s="90">
        <v>105</v>
      </c>
      <c r="D111" s="79" t="s">
        <v>2439</v>
      </c>
      <c r="E111" s="79" t="s">
        <v>117</v>
      </c>
      <c r="F111" s="108" t="s">
        <v>117</v>
      </c>
      <c r="G111" s="108" t="s">
        <v>117</v>
      </c>
      <c r="H111" s="109" t="s">
        <v>3565</v>
      </c>
      <c r="I111" s="109" t="s">
        <v>3671</v>
      </c>
      <c r="J111" s="109">
        <v>6</v>
      </c>
      <c r="K111" s="109"/>
      <c r="L111" s="109"/>
      <c r="M111" s="109"/>
      <c r="N111" s="109" t="s">
        <v>3677</v>
      </c>
      <c r="O111" s="109"/>
      <c r="P111" s="109"/>
      <c r="Q111" s="109"/>
      <c r="R111" s="109"/>
      <c r="S111" s="109">
        <v>5564</v>
      </c>
      <c r="T111" s="109">
        <v>1009</v>
      </c>
      <c r="U111" s="109"/>
      <c r="V111" s="109">
        <v>0</v>
      </c>
      <c r="W111" s="109">
        <v>0</v>
      </c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</row>
    <row r="112" spans="1:39" x14ac:dyDescent="0.3">
      <c r="A112" s="77">
        <v>106</v>
      </c>
      <c r="B112" s="108" t="s">
        <v>2439</v>
      </c>
      <c r="C112" s="90">
        <v>106</v>
      </c>
      <c r="D112" s="79" t="s">
        <v>2439</v>
      </c>
      <c r="E112" s="79" t="s">
        <v>117</v>
      </c>
      <c r="F112" s="108" t="s">
        <v>117</v>
      </c>
      <c r="G112" s="108" t="s">
        <v>117</v>
      </c>
      <c r="H112" s="109" t="s">
        <v>3565</v>
      </c>
      <c r="I112" s="109" t="s">
        <v>3671</v>
      </c>
      <c r="J112" s="109">
        <v>7</v>
      </c>
      <c r="K112" s="109"/>
      <c r="L112" s="109"/>
      <c r="M112" s="109"/>
      <c r="N112" s="109" t="s">
        <v>3651</v>
      </c>
      <c r="O112" s="109"/>
      <c r="P112" s="109"/>
      <c r="Q112" s="109"/>
      <c r="R112" s="109"/>
      <c r="S112" s="109">
        <v>2732</v>
      </c>
      <c r="T112" s="109">
        <v>337</v>
      </c>
      <c r="U112" s="109"/>
      <c r="V112" s="109">
        <v>0</v>
      </c>
      <c r="W112" s="109">
        <v>0</v>
      </c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</row>
    <row r="113" spans="1:39" x14ac:dyDescent="0.3">
      <c r="A113" s="77">
        <v>107</v>
      </c>
      <c r="B113" s="108" t="s">
        <v>2439</v>
      </c>
      <c r="C113" s="90">
        <v>107</v>
      </c>
      <c r="D113" s="79" t="s">
        <v>2439</v>
      </c>
      <c r="E113" s="79" t="s">
        <v>117</v>
      </c>
      <c r="F113" s="108" t="s">
        <v>117</v>
      </c>
      <c r="G113" s="108" t="s">
        <v>117</v>
      </c>
      <c r="H113" s="109" t="s">
        <v>3565</v>
      </c>
      <c r="I113" s="109" t="s">
        <v>3671</v>
      </c>
      <c r="J113" s="109">
        <v>8</v>
      </c>
      <c r="K113" s="109"/>
      <c r="L113" s="109"/>
      <c r="M113" s="109"/>
      <c r="N113" s="109" t="s">
        <v>3678</v>
      </c>
      <c r="O113" s="109"/>
      <c r="P113" s="109"/>
      <c r="Q113" s="109"/>
      <c r="R113" s="109"/>
      <c r="S113" s="109">
        <v>4158</v>
      </c>
      <c r="T113" s="109">
        <v>755</v>
      </c>
      <c r="U113" s="109"/>
      <c r="V113" s="109">
        <v>0</v>
      </c>
      <c r="W113" s="109">
        <v>0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</row>
    <row r="114" spans="1:39" x14ac:dyDescent="0.3">
      <c r="A114" s="77">
        <v>108</v>
      </c>
      <c r="B114" s="108" t="s">
        <v>2439</v>
      </c>
      <c r="C114" s="90">
        <v>108</v>
      </c>
      <c r="D114" s="79" t="s">
        <v>2439</v>
      </c>
      <c r="E114" s="79" t="s">
        <v>117</v>
      </c>
      <c r="F114" s="108" t="s">
        <v>117</v>
      </c>
      <c r="G114" s="108" t="s">
        <v>117</v>
      </c>
      <c r="H114" s="109" t="s">
        <v>3565</v>
      </c>
      <c r="I114" s="109" t="s">
        <v>3671</v>
      </c>
      <c r="J114" s="109">
        <v>9</v>
      </c>
      <c r="K114" s="109"/>
      <c r="L114" s="109"/>
      <c r="M114" s="109"/>
      <c r="N114" s="109" t="s">
        <v>3672</v>
      </c>
      <c r="O114" s="109"/>
      <c r="P114" s="109"/>
      <c r="Q114" s="109"/>
      <c r="R114" s="109"/>
      <c r="S114" s="109">
        <v>2935</v>
      </c>
      <c r="T114" s="109">
        <v>388</v>
      </c>
      <c r="U114" s="109"/>
      <c r="V114" s="109">
        <v>0</v>
      </c>
      <c r="W114" s="109">
        <v>0</v>
      </c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</row>
    <row r="115" spans="1:39" x14ac:dyDescent="0.3">
      <c r="A115" s="77">
        <v>109</v>
      </c>
      <c r="B115" s="108" t="s">
        <v>2439</v>
      </c>
      <c r="C115" s="90">
        <v>109</v>
      </c>
      <c r="D115" s="79" t="s">
        <v>2439</v>
      </c>
      <c r="E115" s="79" t="s">
        <v>117</v>
      </c>
      <c r="F115" s="108" t="s">
        <v>117</v>
      </c>
      <c r="G115" s="108" t="s">
        <v>117</v>
      </c>
      <c r="H115" s="109" t="s">
        <v>3565</v>
      </c>
      <c r="I115" s="109" t="s">
        <v>3679</v>
      </c>
      <c r="J115" s="109">
        <v>1</v>
      </c>
      <c r="K115" s="109"/>
      <c r="L115" s="109"/>
      <c r="M115" s="109"/>
      <c r="N115" s="109" t="s">
        <v>3680</v>
      </c>
      <c r="O115" s="109"/>
      <c r="P115" s="109"/>
      <c r="Q115" s="109"/>
      <c r="R115" s="109"/>
      <c r="S115" s="109">
        <v>2250</v>
      </c>
      <c r="T115" s="109">
        <v>432</v>
      </c>
      <c r="U115" s="109"/>
      <c r="V115" s="109">
        <v>0</v>
      </c>
      <c r="W115" s="109">
        <v>0</v>
      </c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</row>
    <row r="116" spans="1:39" x14ac:dyDescent="0.3">
      <c r="A116" s="77">
        <v>110</v>
      </c>
      <c r="B116" s="108" t="s">
        <v>2439</v>
      </c>
      <c r="C116" s="90">
        <v>110</v>
      </c>
      <c r="D116" s="79" t="s">
        <v>2439</v>
      </c>
      <c r="E116" s="79" t="s">
        <v>117</v>
      </c>
      <c r="F116" s="108" t="s">
        <v>117</v>
      </c>
      <c r="G116" s="108" t="s">
        <v>117</v>
      </c>
      <c r="H116" s="109" t="s">
        <v>3565</v>
      </c>
      <c r="I116" s="109" t="s">
        <v>3679</v>
      </c>
      <c r="J116" s="109">
        <v>2</v>
      </c>
      <c r="K116" s="109"/>
      <c r="L116" s="109"/>
      <c r="M116" s="109"/>
      <c r="N116" s="109" t="s">
        <v>3681</v>
      </c>
      <c r="O116" s="109"/>
      <c r="P116" s="109"/>
      <c r="Q116" s="109"/>
      <c r="R116" s="109"/>
      <c r="S116" s="109">
        <v>2949</v>
      </c>
      <c r="T116" s="109">
        <v>432</v>
      </c>
      <c r="U116" s="109"/>
      <c r="V116" s="109">
        <v>0</v>
      </c>
      <c r="W116" s="109">
        <v>0</v>
      </c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</row>
    <row r="117" spans="1:39" x14ac:dyDescent="0.3">
      <c r="A117" s="77">
        <v>111</v>
      </c>
      <c r="B117" s="108" t="s">
        <v>2439</v>
      </c>
      <c r="C117" s="90">
        <v>111</v>
      </c>
      <c r="D117" s="79" t="s">
        <v>2439</v>
      </c>
      <c r="E117" s="79" t="s">
        <v>117</v>
      </c>
      <c r="F117" s="108" t="s">
        <v>117</v>
      </c>
      <c r="G117" s="108" t="s">
        <v>117</v>
      </c>
      <c r="H117" s="109" t="s">
        <v>3565</v>
      </c>
      <c r="I117" s="109" t="s">
        <v>3679</v>
      </c>
      <c r="J117" s="109">
        <v>3</v>
      </c>
      <c r="K117" s="109"/>
      <c r="L117" s="109"/>
      <c r="M117" s="109"/>
      <c r="N117" s="109" t="s">
        <v>885</v>
      </c>
      <c r="O117" s="109"/>
      <c r="P117" s="109"/>
      <c r="Q117" s="109"/>
      <c r="R117" s="109"/>
      <c r="S117" s="109">
        <v>2377</v>
      </c>
      <c r="T117" s="109">
        <v>202</v>
      </c>
      <c r="U117" s="109"/>
      <c r="V117" s="109">
        <v>0</v>
      </c>
      <c r="W117" s="109">
        <v>0</v>
      </c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</row>
    <row r="118" spans="1:39" x14ac:dyDescent="0.3">
      <c r="A118" s="77">
        <v>112</v>
      </c>
      <c r="B118" s="108" t="s">
        <v>2439</v>
      </c>
      <c r="C118" s="90">
        <v>112</v>
      </c>
      <c r="D118" s="79" t="s">
        <v>2439</v>
      </c>
      <c r="E118" s="79" t="s">
        <v>117</v>
      </c>
      <c r="F118" s="108" t="s">
        <v>117</v>
      </c>
      <c r="G118" s="108" t="s">
        <v>117</v>
      </c>
      <c r="H118" s="109" t="s">
        <v>3565</v>
      </c>
      <c r="I118" s="109" t="s">
        <v>3679</v>
      </c>
      <c r="J118" s="109">
        <v>4</v>
      </c>
      <c r="K118" s="109"/>
      <c r="L118" s="109"/>
      <c r="M118" s="109"/>
      <c r="N118" s="109" t="s">
        <v>3682</v>
      </c>
      <c r="O118" s="109"/>
      <c r="P118" s="109"/>
      <c r="Q118" s="109"/>
      <c r="R118" s="109"/>
      <c r="S118" s="109">
        <v>2290</v>
      </c>
      <c r="T118" s="109">
        <v>189</v>
      </c>
      <c r="U118" s="109"/>
      <c r="V118" s="109">
        <v>0</v>
      </c>
      <c r="W118" s="109">
        <v>0</v>
      </c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</row>
    <row r="119" spans="1:39" x14ac:dyDescent="0.3">
      <c r="A119" s="77">
        <v>113</v>
      </c>
      <c r="B119" s="108" t="s">
        <v>2439</v>
      </c>
      <c r="C119" s="90">
        <v>113</v>
      </c>
      <c r="D119" s="79" t="s">
        <v>2439</v>
      </c>
      <c r="E119" s="79" t="s">
        <v>117</v>
      </c>
      <c r="F119" s="108" t="s">
        <v>117</v>
      </c>
      <c r="G119" s="108" t="s">
        <v>117</v>
      </c>
      <c r="H119" s="109" t="s">
        <v>3565</v>
      </c>
      <c r="I119" s="109" t="s">
        <v>3679</v>
      </c>
      <c r="J119" s="109">
        <v>5</v>
      </c>
      <c r="K119" s="109"/>
      <c r="L119" s="109"/>
      <c r="M119" s="109"/>
      <c r="N119" s="109" t="s">
        <v>3683</v>
      </c>
      <c r="O119" s="109"/>
      <c r="P119" s="109"/>
      <c r="Q119" s="109"/>
      <c r="R119" s="109"/>
      <c r="S119" s="109">
        <v>2176</v>
      </c>
      <c r="T119" s="109">
        <v>240</v>
      </c>
      <c r="U119" s="109"/>
      <c r="V119" s="109">
        <v>0</v>
      </c>
      <c r="W119" s="109">
        <v>0</v>
      </c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</row>
    <row r="120" spans="1:39" x14ac:dyDescent="0.3">
      <c r="A120" s="77">
        <v>114</v>
      </c>
      <c r="B120" s="108" t="s">
        <v>2439</v>
      </c>
      <c r="C120" s="90">
        <v>114</v>
      </c>
      <c r="D120" s="79" t="s">
        <v>2439</v>
      </c>
      <c r="E120" s="79" t="s">
        <v>117</v>
      </c>
      <c r="F120" s="108" t="s">
        <v>117</v>
      </c>
      <c r="G120" s="108" t="s">
        <v>117</v>
      </c>
      <c r="H120" s="109" t="s">
        <v>3565</v>
      </c>
      <c r="I120" s="109" t="s">
        <v>3679</v>
      </c>
      <c r="J120" s="109">
        <v>6</v>
      </c>
      <c r="K120" s="109"/>
      <c r="L120" s="109"/>
      <c r="M120" s="109"/>
      <c r="N120" s="109" t="s">
        <v>3684</v>
      </c>
      <c r="O120" s="109"/>
      <c r="P120" s="109"/>
      <c r="Q120" s="109"/>
      <c r="R120" s="109"/>
      <c r="S120" s="109">
        <v>2332</v>
      </c>
      <c r="T120" s="109">
        <v>546</v>
      </c>
      <c r="U120" s="109"/>
      <c r="V120" s="109">
        <v>0</v>
      </c>
      <c r="W120" s="109">
        <v>0</v>
      </c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</row>
    <row r="121" spans="1:39" x14ac:dyDescent="0.3">
      <c r="A121" s="77">
        <v>115</v>
      </c>
      <c r="B121" s="108" t="s">
        <v>2439</v>
      </c>
      <c r="C121" s="90">
        <v>115</v>
      </c>
      <c r="D121" s="79" t="s">
        <v>2439</v>
      </c>
      <c r="E121" s="79" t="s">
        <v>117</v>
      </c>
      <c r="F121" s="108" t="s">
        <v>117</v>
      </c>
      <c r="G121" s="108" t="s">
        <v>117</v>
      </c>
      <c r="H121" s="109" t="s">
        <v>3565</v>
      </c>
      <c r="I121" s="109" t="s">
        <v>3679</v>
      </c>
      <c r="J121" s="109">
        <v>7</v>
      </c>
      <c r="K121" s="109"/>
      <c r="L121" s="109"/>
      <c r="M121" s="109"/>
      <c r="N121" s="109" t="s">
        <v>3685</v>
      </c>
      <c r="O121" s="109"/>
      <c r="P121" s="109"/>
      <c r="Q121" s="109"/>
      <c r="R121" s="109"/>
      <c r="S121" s="109">
        <v>5525</v>
      </c>
      <c r="T121" s="109">
        <v>1077</v>
      </c>
      <c r="U121" s="109"/>
      <c r="V121" s="109">
        <v>0</v>
      </c>
      <c r="W121" s="109">
        <v>0</v>
      </c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</row>
    <row r="122" spans="1:39" x14ac:dyDescent="0.3">
      <c r="A122" s="77">
        <v>116</v>
      </c>
      <c r="B122" s="108" t="s">
        <v>2439</v>
      </c>
      <c r="C122" s="90">
        <v>116</v>
      </c>
      <c r="D122" s="79" t="s">
        <v>2439</v>
      </c>
      <c r="E122" s="79" t="s">
        <v>117</v>
      </c>
      <c r="F122" s="108" t="s">
        <v>117</v>
      </c>
      <c r="G122" s="108" t="s">
        <v>117</v>
      </c>
      <c r="H122" s="109" t="s">
        <v>3565</v>
      </c>
      <c r="I122" s="109" t="s">
        <v>3679</v>
      </c>
      <c r="J122" s="109">
        <v>8</v>
      </c>
      <c r="K122" s="109"/>
      <c r="L122" s="109"/>
      <c r="M122" s="109"/>
      <c r="N122" s="109" t="s">
        <v>3686</v>
      </c>
      <c r="O122" s="109"/>
      <c r="P122" s="109"/>
      <c r="Q122" s="109"/>
      <c r="R122" s="109"/>
      <c r="S122" s="109">
        <v>2421</v>
      </c>
      <c r="T122" s="109">
        <v>430</v>
      </c>
      <c r="U122" s="109"/>
      <c r="V122" s="109">
        <v>0</v>
      </c>
      <c r="W122" s="109">
        <v>0</v>
      </c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</row>
    <row r="123" spans="1:39" x14ac:dyDescent="0.3">
      <c r="A123" s="77">
        <v>117</v>
      </c>
      <c r="B123" s="108" t="s">
        <v>2439</v>
      </c>
      <c r="C123" s="90">
        <v>117</v>
      </c>
      <c r="D123" s="79" t="s">
        <v>2439</v>
      </c>
      <c r="E123" s="79" t="s">
        <v>117</v>
      </c>
      <c r="F123" s="108" t="s">
        <v>117</v>
      </c>
      <c r="G123" s="108" t="s">
        <v>117</v>
      </c>
      <c r="H123" s="109" t="s">
        <v>3565</v>
      </c>
      <c r="I123" s="109" t="s">
        <v>3679</v>
      </c>
      <c r="J123" s="109">
        <v>9</v>
      </c>
      <c r="K123" s="109"/>
      <c r="L123" s="109"/>
      <c r="M123" s="109"/>
      <c r="N123" s="109" t="s">
        <v>3687</v>
      </c>
      <c r="O123" s="109"/>
      <c r="P123" s="109"/>
      <c r="Q123" s="109"/>
      <c r="R123" s="109"/>
      <c r="S123" s="109">
        <v>2741</v>
      </c>
      <c r="T123" s="109">
        <v>643</v>
      </c>
      <c r="U123" s="109"/>
      <c r="V123" s="109">
        <v>0</v>
      </c>
      <c r="W123" s="109">
        <v>395</v>
      </c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</row>
    <row r="124" spans="1:39" x14ac:dyDescent="0.3">
      <c r="A124" s="77">
        <v>118</v>
      </c>
      <c r="B124" s="108" t="s">
        <v>2439</v>
      </c>
      <c r="C124" s="90">
        <v>118</v>
      </c>
      <c r="D124" s="79" t="s">
        <v>2439</v>
      </c>
      <c r="E124" s="79" t="s">
        <v>117</v>
      </c>
      <c r="F124" s="108" t="s">
        <v>117</v>
      </c>
      <c r="G124" s="108" t="s">
        <v>117</v>
      </c>
      <c r="H124" s="109" t="s">
        <v>3565</v>
      </c>
      <c r="I124" s="109" t="s">
        <v>3688</v>
      </c>
      <c r="J124" s="109">
        <v>1</v>
      </c>
      <c r="K124" s="109"/>
      <c r="L124" s="109"/>
      <c r="M124" s="109"/>
      <c r="N124" s="109" t="s">
        <v>3689</v>
      </c>
      <c r="O124" s="109"/>
      <c r="P124" s="109"/>
      <c r="Q124" s="109"/>
      <c r="R124" s="109"/>
      <c r="S124" s="109">
        <v>2135</v>
      </c>
      <c r="T124" s="109">
        <v>406</v>
      </c>
      <c r="U124" s="109"/>
      <c r="V124" s="109">
        <v>0</v>
      </c>
      <c r="W124" s="109">
        <v>0</v>
      </c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</row>
    <row r="125" spans="1:39" x14ac:dyDescent="0.3">
      <c r="A125" s="77">
        <v>119</v>
      </c>
      <c r="B125" s="108" t="s">
        <v>2439</v>
      </c>
      <c r="C125" s="90">
        <v>119</v>
      </c>
      <c r="D125" s="79" t="s">
        <v>2439</v>
      </c>
      <c r="E125" s="79" t="s">
        <v>117</v>
      </c>
      <c r="F125" s="108" t="s">
        <v>117</v>
      </c>
      <c r="G125" s="108" t="s">
        <v>117</v>
      </c>
      <c r="H125" s="109" t="s">
        <v>3565</v>
      </c>
      <c r="I125" s="109" t="s">
        <v>3688</v>
      </c>
      <c r="J125" s="109">
        <v>2</v>
      </c>
      <c r="K125" s="109"/>
      <c r="L125" s="109"/>
      <c r="M125" s="109"/>
      <c r="N125" s="109" t="s">
        <v>3690</v>
      </c>
      <c r="O125" s="109"/>
      <c r="P125" s="109"/>
      <c r="Q125" s="109"/>
      <c r="R125" s="109"/>
      <c r="S125" s="109">
        <v>2401</v>
      </c>
      <c r="T125" s="109">
        <v>399</v>
      </c>
      <c r="U125" s="109"/>
      <c r="V125" s="109">
        <v>0</v>
      </c>
      <c r="W125" s="109">
        <v>0</v>
      </c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</row>
    <row r="126" spans="1:39" x14ac:dyDescent="0.3">
      <c r="A126" s="77">
        <v>120</v>
      </c>
      <c r="B126" s="108" t="s">
        <v>2439</v>
      </c>
      <c r="C126" s="90">
        <v>120</v>
      </c>
      <c r="D126" s="79" t="s">
        <v>2439</v>
      </c>
      <c r="E126" s="79" t="s">
        <v>117</v>
      </c>
      <c r="F126" s="108" t="s">
        <v>117</v>
      </c>
      <c r="G126" s="108" t="s">
        <v>117</v>
      </c>
      <c r="H126" s="109" t="s">
        <v>3565</v>
      </c>
      <c r="I126" s="109" t="s">
        <v>3688</v>
      </c>
      <c r="J126" s="109">
        <v>3</v>
      </c>
      <c r="K126" s="109"/>
      <c r="L126" s="109"/>
      <c r="M126" s="109"/>
      <c r="N126" s="109" t="s">
        <v>3691</v>
      </c>
      <c r="O126" s="109"/>
      <c r="P126" s="109"/>
      <c r="Q126" s="109"/>
      <c r="R126" s="109"/>
      <c r="S126" s="109">
        <v>2155</v>
      </c>
      <c r="T126" s="109">
        <v>419</v>
      </c>
      <c r="U126" s="109"/>
      <c r="V126" s="109">
        <v>0</v>
      </c>
      <c r="W126" s="109">
        <v>0</v>
      </c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</row>
    <row r="127" spans="1:39" x14ac:dyDescent="0.3">
      <c r="A127" s="77">
        <v>121</v>
      </c>
      <c r="B127" s="108" t="s">
        <v>2439</v>
      </c>
      <c r="C127" s="90">
        <v>121</v>
      </c>
      <c r="D127" s="79" t="s">
        <v>2439</v>
      </c>
      <c r="E127" s="79" t="s">
        <v>117</v>
      </c>
      <c r="F127" s="108" t="s">
        <v>117</v>
      </c>
      <c r="G127" s="108" t="s">
        <v>117</v>
      </c>
      <c r="H127" s="109" t="s">
        <v>3565</v>
      </c>
      <c r="I127" s="109" t="s">
        <v>3688</v>
      </c>
      <c r="J127" s="109">
        <v>4</v>
      </c>
      <c r="K127" s="109"/>
      <c r="L127" s="109"/>
      <c r="M127" s="109"/>
      <c r="N127" s="109" t="s">
        <v>3692</v>
      </c>
      <c r="O127" s="109"/>
      <c r="P127" s="109"/>
      <c r="Q127" s="109"/>
      <c r="R127" s="109"/>
      <c r="S127" s="109">
        <v>2478</v>
      </c>
      <c r="T127" s="109">
        <v>432</v>
      </c>
      <c r="U127" s="109"/>
      <c r="V127" s="109">
        <v>0</v>
      </c>
      <c r="W127" s="109">
        <v>0</v>
      </c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</row>
    <row r="128" spans="1:39" x14ac:dyDescent="0.3">
      <c r="A128" s="77">
        <v>122</v>
      </c>
      <c r="B128" s="108" t="s">
        <v>2439</v>
      </c>
      <c r="C128" s="90">
        <v>122</v>
      </c>
      <c r="D128" s="79" t="s">
        <v>2439</v>
      </c>
      <c r="E128" s="79" t="s">
        <v>117</v>
      </c>
      <c r="F128" s="108" t="s">
        <v>117</v>
      </c>
      <c r="G128" s="108" t="s">
        <v>117</v>
      </c>
      <c r="H128" s="109" t="s">
        <v>3565</v>
      </c>
      <c r="I128" s="109" t="s">
        <v>3688</v>
      </c>
      <c r="J128" s="109">
        <v>5</v>
      </c>
      <c r="K128" s="109"/>
      <c r="L128" s="109"/>
      <c r="M128" s="109"/>
      <c r="N128" s="109" t="s">
        <v>3693</v>
      </c>
      <c r="O128" s="109"/>
      <c r="P128" s="109"/>
      <c r="Q128" s="109"/>
      <c r="R128" s="109"/>
      <c r="S128" s="109">
        <v>2204</v>
      </c>
      <c r="T128" s="109">
        <v>436</v>
      </c>
      <c r="U128" s="109"/>
      <c r="V128" s="109">
        <v>0</v>
      </c>
      <c r="W128" s="109">
        <v>0</v>
      </c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</row>
    <row r="129" spans="1:39" x14ac:dyDescent="0.3">
      <c r="A129" s="77">
        <v>123</v>
      </c>
      <c r="B129" s="108" t="s">
        <v>2439</v>
      </c>
      <c r="C129" s="90">
        <v>123</v>
      </c>
      <c r="D129" s="79" t="s">
        <v>2439</v>
      </c>
      <c r="E129" s="79" t="s">
        <v>117</v>
      </c>
      <c r="F129" s="108" t="s">
        <v>117</v>
      </c>
      <c r="G129" s="108" t="s">
        <v>117</v>
      </c>
      <c r="H129" s="109" t="s">
        <v>3565</v>
      </c>
      <c r="I129" s="109" t="s">
        <v>3688</v>
      </c>
      <c r="J129" s="109">
        <v>6</v>
      </c>
      <c r="K129" s="109"/>
      <c r="L129" s="109"/>
      <c r="M129" s="109"/>
      <c r="N129" s="109" t="s">
        <v>3694</v>
      </c>
      <c r="O129" s="109"/>
      <c r="P129" s="109"/>
      <c r="Q129" s="109"/>
      <c r="R129" s="109"/>
      <c r="S129" s="109">
        <v>2490</v>
      </c>
      <c r="T129" s="109">
        <v>474</v>
      </c>
      <c r="U129" s="109"/>
      <c r="V129" s="109">
        <v>0</v>
      </c>
      <c r="W129" s="109">
        <v>0</v>
      </c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</row>
    <row r="130" spans="1:39" x14ac:dyDescent="0.3">
      <c r="A130" s="77">
        <v>124</v>
      </c>
      <c r="B130" s="108" t="s">
        <v>2439</v>
      </c>
      <c r="C130" s="90">
        <v>124</v>
      </c>
      <c r="D130" s="79" t="s">
        <v>2439</v>
      </c>
      <c r="E130" s="79" t="s">
        <v>117</v>
      </c>
      <c r="F130" s="108" t="s">
        <v>117</v>
      </c>
      <c r="G130" s="108" t="s">
        <v>117</v>
      </c>
      <c r="H130" s="109" t="s">
        <v>3565</v>
      </c>
      <c r="I130" s="109" t="s">
        <v>3688</v>
      </c>
      <c r="J130" s="109">
        <v>7</v>
      </c>
      <c r="K130" s="109"/>
      <c r="L130" s="109"/>
      <c r="M130" s="109"/>
      <c r="N130" s="109" t="s">
        <v>3695</v>
      </c>
      <c r="O130" s="109"/>
      <c r="P130" s="109"/>
      <c r="Q130" s="109"/>
      <c r="R130" s="109"/>
      <c r="S130" s="109">
        <v>2052</v>
      </c>
      <c r="T130" s="109">
        <v>475</v>
      </c>
      <c r="U130" s="109"/>
      <c r="V130" s="109">
        <v>0</v>
      </c>
      <c r="W130" s="109">
        <v>0</v>
      </c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</row>
    <row r="131" spans="1:39" x14ac:dyDescent="0.3">
      <c r="A131" s="77">
        <v>125</v>
      </c>
      <c r="B131" s="108" t="s">
        <v>2439</v>
      </c>
      <c r="C131" s="90">
        <v>125</v>
      </c>
      <c r="D131" s="79" t="s">
        <v>2439</v>
      </c>
      <c r="E131" s="79" t="s">
        <v>117</v>
      </c>
      <c r="F131" s="108" t="s">
        <v>117</v>
      </c>
      <c r="G131" s="108" t="s">
        <v>117</v>
      </c>
      <c r="H131" s="109" t="s">
        <v>3565</v>
      </c>
      <c r="I131" s="109" t="s">
        <v>3688</v>
      </c>
      <c r="J131" s="109">
        <v>8</v>
      </c>
      <c r="K131" s="109"/>
      <c r="L131" s="109"/>
      <c r="M131" s="109"/>
      <c r="N131" s="109" t="s">
        <v>3695</v>
      </c>
      <c r="O131" s="109"/>
      <c r="P131" s="109"/>
      <c r="Q131" s="109"/>
      <c r="R131" s="109"/>
      <c r="S131" s="109">
        <v>2111</v>
      </c>
      <c r="T131" s="109">
        <v>444</v>
      </c>
      <c r="U131" s="109"/>
      <c r="V131" s="109">
        <v>0</v>
      </c>
      <c r="W131" s="109">
        <v>0</v>
      </c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</row>
    <row r="132" spans="1:39" x14ac:dyDescent="0.3">
      <c r="A132" s="77">
        <v>126</v>
      </c>
      <c r="B132" s="108" t="s">
        <v>2439</v>
      </c>
      <c r="C132" s="90">
        <v>126</v>
      </c>
      <c r="D132" s="79" t="s">
        <v>2439</v>
      </c>
      <c r="E132" s="79" t="s">
        <v>117</v>
      </c>
      <c r="F132" s="108" t="s">
        <v>117</v>
      </c>
      <c r="G132" s="108" t="s">
        <v>117</v>
      </c>
      <c r="H132" s="109" t="s">
        <v>3565</v>
      </c>
      <c r="I132" s="109" t="s">
        <v>3688</v>
      </c>
      <c r="J132" s="109">
        <v>9</v>
      </c>
      <c r="K132" s="109"/>
      <c r="L132" s="109"/>
      <c r="M132" s="109"/>
      <c r="N132" s="109" t="s">
        <v>3696</v>
      </c>
      <c r="O132" s="109"/>
      <c r="P132" s="109"/>
      <c r="Q132" s="109"/>
      <c r="R132" s="109"/>
      <c r="S132" s="109">
        <v>1268</v>
      </c>
      <c r="T132" s="109">
        <v>416</v>
      </c>
      <c r="U132" s="109"/>
      <c r="V132" s="109">
        <v>0</v>
      </c>
      <c r="W132" s="109">
        <v>0</v>
      </c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</row>
    <row r="133" spans="1:39" x14ac:dyDescent="0.3">
      <c r="A133" s="77">
        <v>127</v>
      </c>
      <c r="B133" s="108" t="s">
        <v>2439</v>
      </c>
      <c r="C133" s="90">
        <v>127</v>
      </c>
      <c r="D133" s="79" t="s">
        <v>2439</v>
      </c>
      <c r="E133" s="79" t="s">
        <v>117</v>
      </c>
      <c r="F133" s="108" t="s">
        <v>117</v>
      </c>
      <c r="G133" s="108" t="s">
        <v>117</v>
      </c>
      <c r="H133" s="109" t="s">
        <v>3565</v>
      </c>
      <c r="I133" s="109" t="s">
        <v>3697</v>
      </c>
      <c r="J133" s="109">
        <v>1</v>
      </c>
      <c r="K133" s="109"/>
      <c r="L133" s="109"/>
      <c r="M133" s="109"/>
      <c r="N133" s="109" t="s">
        <v>3698</v>
      </c>
      <c r="O133" s="109"/>
      <c r="P133" s="109"/>
      <c r="Q133" s="109"/>
      <c r="R133" s="109"/>
      <c r="S133" s="109">
        <v>1758</v>
      </c>
      <c r="T133" s="109">
        <v>509</v>
      </c>
      <c r="U133" s="109"/>
      <c r="V133" s="109">
        <v>0</v>
      </c>
      <c r="W133" s="109">
        <v>0</v>
      </c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</row>
    <row r="134" spans="1:39" x14ac:dyDescent="0.3">
      <c r="A134" s="77">
        <v>128</v>
      </c>
      <c r="B134" s="108" t="s">
        <v>2439</v>
      </c>
      <c r="C134" s="90">
        <v>128</v>
      </c>
      <c r="D134" s="79" t="s">
        <v>2439</v>
      </c>
      <c r="E134" s="79" t="s">
        <v>117</v>
      </c>
      <c r="F134" s="108" t="s">
        <v>117</v>
      </c>
      <c r="G134" s="108" t="s">
        <v>117</v>
      </c>
      <c r="H134" s="109" t="s">
        <v>3565</v>
      </c>
      <c r="I134" s="109" t="s">
        <v>3697</v>
      </c>
      <c r="J134" s="109">
        <v>2</v>
      </c>
      <c r="K134" s="109" t="s">
        <v>3699</v>
      </c>
      <c r="L134" s="109"/>
      <c r="M134" s="109"/>
      <c r="N134" s="109" t="s">
        <v>3698</v>
      </c>
      <c r="O134" s="109"/>
      <c r="P134" s="109"/>
      <c r="Q134" s="109"/>
      <c r="R134" s="109"/>
      <c r="S134" s="109">
        <v>1923</v>
      </c>
      <c r="T134" s="109">
        <v>487</v>
      </c>
      <c r="U134" s="109"/>
      <c r="V134" s="109">
        <v>0</v>
      </c>
      <c r="W134" s="109">
        <v>0</v>
      </c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</row>
    <row r="135" spans="1:39" x14ac:dyDescent="0.3">
      <c r="A135" s="77">
        <v>129</v>
      </c>
      <c r="B135" s="108" t="s">
        <v>2439</v>
      </c>
      <c r="C135" s="90">
        <v>129</v>
      </c>
      <c r="D135" s="79" t="s">
        <v>2439</v>
      </c>
      <c r="E135" s="79" t="s">
        <v>117</v>
      </c>
      <c r="F135" s="108" t="s">
        <v>117</v>
      </c>
      <c r="G135" s="108" t="s">
        <v>117</v>
      </c>
      <c r="H135" s="109" t="s">
        <v>3565</v>
      </c>
      <c r="I135" s="109" t="s">
        <v>3697</v>
      </c>
      <c r="J135" s="109">
        <v>3</v>
      </c>
      <c r="K135" s="109"/>
      <c r="L135" s="109"/>
      <c r="M135" s="109"/>
      <c r="N135" s="109" t="s">
        <v>3700</v>
      </c>
      <c r="O135" s="109"/>
      <c r="P135" s="109"/>
      <c r="Q135" s="109"/>
      <c r="R135" s="109"/>
      <c r="S135" s="109">
        <v>1611</v>
      </c>
      <c r="T135" s="109">
        <v>346</v>
      </c>
      <c r="U135" s="109"/>
      <c r="V135" s="109">
        <v>0</v>
      </c>
      <c r="W135" s="109">
        <v>350</v>
      </c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</row>
    <row r="136" spans="1:39" x14ac:dyDescent="0.3">
      <c r="A136" s="77">
        <v>130</v>
      </c>
      <c r="B136" s="108" t="s">
        <v>2439</v>
      </c>
      <c r="C136" s="90">
        <v>130</v>
      </c>
      <c r="D136" s="79" t="s">
        <v>2439</v>
      </c>
      <c r="E136" s="79" t="s">
        <v>117</v>
      </c>
      <c r="F136" s="108" t="s">
        <v>117</v>
      </c>
      <c r="G136" s="108" t="s">
        <v>117</v>
      </c>
      <c r="H136" s="109" t="s">
        <v>3565</v>
      </c>
      <c r="I136" s="109" t="s">
        <v>3697</v>
      </c>
      <c r="J136" s="109">
        <v>4</v>
      </c>
      <c r="K136" s="109"/>
      <c r="L136" s="109"/>
      <c r="M136" s="109"/>
      <c r="N136" s="109" t="s">
        <v>3701</v>
      </c>
      <c r="O136" s="109"/>
      <c r="P136" s="109"/>
      <c r="Q136" s="109"/>
      <c r="R136" s="109"/>
      <c r="S136" s="109">
        <v>2157</v>
      </c>
      <c r="T136" s="109">
        <v>436</v>
      </c>
      <c r="U136" s="109"/>
      <c r="V136" s="109">
        <v>0</v>
      </c>
      <c r="W136" s="109">
        <v>0</v>
      </c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</row>
    <row r="137" spans="1:39" x14ac:dyDescent="0.3">
      <c r="A137" s="77">
        <v>131</v>
      </c>
      <c r="B137" s="108" t="s">
        <v>2439</v>
      </c>
      <c r="C137" s="90">
        <v>131</v>
      </c>
      <c r="D137" s="79" t="s">
        <v>2439</v>
      </c>
      <c r="E137" s="79" t="s">
        <v>117</v>
      </c>
      <c r="F137" s="108" t="s">
        <v>117</v>
      </c>
      <c r="G137" s="108" t="s">
        <v>117</v>
      </c>
      <c r="H137" s="109" t="s">
        <v>3565</v>
      </c>
      <c r="I137" s="109" t="s">
        <v>3697</v>
      </c>
      <c r="J137" s="109">
        <v>5</v>
      </c>
      <c r="K137" s="109"/>
      <c r="L137" s="109"/>
      <c r="M137" s="109"/>
      <c r="N137" s="109" t="s">
        <v>3702</v>
      </c>
      <c r="O137" s="109"/>
      <c r="P137" s="109"/>
      <c r="Q137" s="109"/>
      <c r="R137" s="109"/>
      <c r="S137" s="109">
        <v>2083</v>
      </c>
      <c r="T137" s="109">
        <v>591</v>
      </c>
      <c r="U137" s="109"/>
      <c r="V137" s="109">
        <v>0</v>
      </c>
      <c r="W137" s="109">
        <v>0</v>
      </c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</row>
    <row r="138" spans="1:39" x14ac:dyDescent="0.3">
      <c r="A138" s="77">
        <v>132</v>
      </c>
      <c r="B138" s="108" t="s">
        <v>2439</v>
      </c>
      <c r="C138" s="90">
        <v>132</v>
      </c>
      <c r="D138" s="79" t="s">
        <v>2439</v>
      </c>
      <c r="E138" s="79" t="s">
        <v>117</v>
      </c>
      <c r="F138" s="108" t="s">
        <v>117</v>
      </c>
      <c r="G138" s="108" t="s">
        <v>117</v>
      </c>
      <c r="H138" s="109" t="s">
        <v>3565</v>
      </c>
      <c r="I138" s="109" t="s">
        <v>3697</v>
      </c>
      <c r="J138" s="109">
        <v>6</v>
      </c>
      <c r="K138" s="109"/>
      <c r="L138" s="109"/>
      <c r="M138" s="109"/>
      <c r="N138" s="109" t="s">
        <v>3703</v>
      </c>
      <c r="O138" s="109"/>
      <c r="P138" s="109"/>
      <c r="Q138" s="109"/>
      <c r="R138" s="109"/>
      <c r="S138" s="109">
        <v>1778</v>
      </c>
      <c r="T138" s="109">
        <v>468</v>
      </c>
      <c r="U138" s="109"/>
      <c r="V138" s="109">
        <v>0</v>
      </c>
      <c r="W138" s="109">
        <v>0</v>
      </c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</row>
    <row r="139" spans="1:39" x14ac:dyDescent="0.3">
      <c r="A139" s="77">
        <v>133</v>
      </c>
      <c r="B139" s="108" t="s">
        <v>2439</v>
      </c>
      <c r="C139" s="90">
        <v>133</v>
      </c>
      <c r="D139" s="79" t="s">
        <v>2439</v>
      </c>
      <c r="E139" s="79" t="s">
        <v>117</v>
      </c>
      <c r="F139" s="108" t="s">
        <v>117</v>
      </c>
      <c r="G139" s="108" t="s">
        <v>117</v>
      </c>
      <c r="H139" s="109" t="s">
        <v>3565</v>
      </c>
      <c r="I139" s="109" t="s">
        <v>3697</v>
      </c>
      <c r="J139" s="109">
        <v>7</v>
      </c>
      <c r="K139" s="109"/>
      <c r="L139" s="109"/>
      <c r="M139" s="109"/>
      <c r="N139" s="109" t="s">
        <v>3704</v>
      </c>
      <c r="O139" s="109"/>
      <c r="P139" s="109"/>
      <c r="Q139" s="109"/>
      <c r="R139" s="109"/>
      <c r="S139" s="109">
        <v>1915</v>
      </c>
      <c r="T139" s="109">
        <v>532</v>
      </c>
      <c r="U139" s="109"/>
      <c r="V139" s="109">
        <v>0</v>
      </c>
      <c r="W139" s="109">
        <v>0</v>
      </c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</row>
    <row r="140" spans="1:39" x14ac:dyDescent="0.3">
      <c r="A140" s="77">
        <v>134</v>
      </c>
      <c r="B140" s="108" t="s">
        <v>2439</v>
      </c>
      <c r="C140" s="90">
        <v>134</v>
      </c>
      <c r="D140" s="79" t="s">
        <v>2439</v>
      </c>
      <c r="E140" s="79" t="s">
        <v>117</v>
      </c>
      <c r="F140" s="108" t="s">
        <v>117</v>
      </c>
      <c r="G140" s="108" t="s">
        <v>117</v>
      </c>
      <c r="H140" s="109" t="s">
        <v>3565</v>
      </c>
      <c r="I140" s="109" t="s">
        <v>3697</v>
      </c>
      <c r="J140" s="109">
        <v>8</v>
      </c>
      <c r="K140" s="109"/>
      <c r="L140" s="109"/>
      <c r="M140" s="109"/>
      <c r="N140" s="109" t="s">
        <v>3705</v>
      </c>
      <c r="O140" s="109"/>
      <c r="P140" s="109"/>
      <c r="Q140" s="109"/>
      <c r="R140" s="109"/>
      <c r="S140" s="109">
        <v>1986</v>
      </c>
      <c r="T140" s="109">
        <v>530</v>
      </c>
      <c r="U140" s="109"/>
      <c r="V140" s="109">
        <v>0</v>
      </c>
      <c r="W140" s="109">
        <v>0</v>
      </c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</row>
    <row r="141" spans="1:39" x14ac:dyDescent="0.3">
      <c r="A141" s="77">
        <v>135</v>
      </c>
      <c r="B141" s="108" t="s">
        <v>2439</v>
      </c>
      <c r="C141" s="90">
        <v>135</v>
      </c>
      <c r="D141" s="79" t="s">
        <v>2439</v>
      </c>
      <c r="E141" s="79" t="s">
        <v>117</v>
      </c>
      <c r="F141" s="108" t="s">
        <v>117</v>
      </c>
      <c r="G141" s="108" t="s">
        <v>117</v>
      </c>
      <c r="H141" s="109" t="s">
        <v>3565</v>
      </c>
      <c r="I141" s="109" t="s">
        <v>3697</v>
      </c>
      <c r="J141" s="109">
        <v>9</v>
      </c>
      <c r="K141" s="109"/>
      <c r="L141" s="109"/>
      <c r="M141" s="109"/>
      <c r="N141" s="109" t="s">
        <v>3706</v>
      </c>
      <c r="O141" s="109"/>
      <c r="P141" s="109"/>
      <c r="Q141" s="109"/>
      <c r="R141" s="109"/>
      <c r="S141" s="109">
        <v>1711</v>
      </c>
      <c r="T141" s="109">
        <v>374</v>
      </c>
      <c r="U141" s="109"/>
      <c r="V141" s="109">
        <v>0</v>
      </c>
      <c r="W141" s="109">
        <v>0</v>
      </c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</row>
    <row r="142" spans="1:39" x14ac:dyDescent="0.3">
      <c r="A142" s="77">
        <v>136</v>
      </c>
      <c r="B142" s="108" t="s">
        <v>2439</v>
      </c>
      <c r="C142" s="90">
        <v>136</v>
      </c>
      <c r="D142" s="79" t="s">
        <v>2439</v>
      </c>
      <c r="E142" s="79" t="s">
        <v>117</v>
      </c>
      <c r="F142" s="108" t="s">
        <v>117</v>
      </c>
      <c r="G142" s="108" t="s">
        <v>117</v>
      </c>
      <c r="H142" s="109" t="s">
        <v>3565</v>
      </c>
      <c r="I142" s="109" t="s">
        <v>3707</v>
      </c>
      <c r="J142" s="109">
        <v>1</v>
      </c>
      <c r="K142" s="109"/>
      <c r="L142" s="109"/>
      <c r="M142" s="109"/>
      <c r="N142" s="109" t="s">
        <v>3708</v>
      </c>
      <c r="O142" s="109"/>
      <c r="P142" s="109"/>
      <c r="Q142" s="109"/>
      <c r="R142" s="109"/>
      <c r="S142" s="109">
        <v>1132</v>
      </c>
      <c r="T142" s="109">
        <v>289</v>
      </c>
      <c r="U142" s="109"/>
      <c r="V142" s="109">
        <v>0</v>
      </c>
      <c r="W142" s="109">
        <v>0</v>
      </c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</row>
    <row r="143" spans="1:39" x14ac:dyDescent="0.3">
      <c r="A143" s="77">
        <v>137</v>
      </c>
      <c r="B143" s="108" t="s">
        <v>2439</v>
      </c>
      <c r="C143" s="90">
        <v>137</v>
      </c>
      <c r="D143" s="79" t="s">
        <v>2439</v>
      </c>
      <c r="E143" s="79" t="s">
        <v>117</v>
      </c>
      <c r="F143" s="108" t="s">
        <v>117</v>
      </c>
      <c r="G143" s="108" t="s">
        <v>117</v>
      </c>
      <c r="H143" s="109" t="s">
        <v>3565</v>
      </c>
      <c r="I143" s="109" t="s">
        <v>3707</v>
      </c>
      <c r="J143" s="109">
        <v>2</v>
      </c>
      <c r="K143" s="109"/>
      <c r="L143" s="109"/>
      <c r="M143" s="109"/>
      <c r="N143" s="109" t="s">
        <v>3709</v>
      </c>
      <c r="O143" s="109"/>
      <c r="P143" s="109"/>
      <c r="Q143" s="109"/>
      <c r="R143" s="109"/>
      <c r="S143" s="109">
        <v>2261</v>
      </c>
      <c r="T143" s="109">
        <v>432</v>
      </c>
      <c r="U143" s="109"/>
      <c r="V143" s="109">
        <v>0</v>
      </c>
      <c r="W143" s="109">
        <v>0</v>
      </c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</row>
    <row r="144" spans="1:39" x14ac:dyDescent="0.3">
      <c r="A144" s="77">
        <v>138</v>
      </c>
      <c r="B144" s="108" t="s">
        <v>2439</v>
      </c>
      <c r="C144" s="90">
        <v>138</v>
      </c>
      <c r="D144" s="79" t="s">
        <v>2439</v>
      </c>
      <c r="E144" s="79" t="s">
        <v>117</v>
      </c>
      <c r="F144" s="108" t="s">
        <v>117</v>
      </c>
      <c r="G144" s="108" t="s">
        <v>117</v>
      </c>
      <c r="H144" s="109" t="s">
        <v>3565</v>
      </c>
      <c r="I144" s="109" t="s">
        <v>3707</v>
      </c>
      <c r="J144" s="109">
        <v>3</v>
      </c>
      <c r="K144" s="109"/>
      <c r="L144" s="109"/>
      <c r="M144" s="109"/>
      <c r="N144" s="109" t="s">
        <v>3710</v>
      </c>
      <c r="O144" s="109"/>
      <c r="P144" s="109"/>
      <c r="Q144" s="109"/>
      <c r="R144" s="109"/>
      <c r="S144" s="109">
        <v>2056</v>
      </c>
      <c r="T144" s="109">
        <v>431</v>
      </c>
      <c r="U144" s="109"/>
      <c r="V144" s="109">
        <v>0</v>
      </c>
      <c r="W144" s="109">
        <v>0</v>
      </c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</row>
    <row r="145" spans="1:39" x14ac:dyDescent="0.3">
      <c r="A145" s="77">
        <v>139</v>
      </c>
      <c r="B145" s="108" t="s">
        <v>2439</v>
      </c>
      <c r="C145" s="90">
        <v>139</v>
      </c>
      <c r="D145" s="79" t="s">
        <v>2439</v>
      </c>
      <c r="E145" s="79" t="s">
        <v>117</v>
      </c>
      <c r="F145" s="108" t="s">
        <v>117</v>
      </c>
      <c r="G145" s="108" t="s">
        <v>117</v>
      </c>
      <c r="H145" s="109" t="s">
        <v>3565</v>
      </c>
      <c r="I145" s="109" t="s">
        <v>3707</v>
      </c>
      <c r="J145" s="109">
        <v>4</v>
      </c>
      <c r="K145" s="109" t="s">
        <v>3711</v>
      </c>
      <c r="L145" s="109"/>
      <c r="M145" s="109"/>
      <c r="N145" s="109" t="s">
        <v>3712</v>
      </c>
      <c r="O145" s="109"/>
      <c r="P145" s="109"/>
      <c r="Q145" s="109"/>
      <c r="R145" s="109"/>
      <c r="S145" s="109">
        <v>1373</v>
      </c>
      <c r="T145" s="109">
        <v>325</v>
      </c>
      <c r="U145" s="109"/>
      <c r="V145" s="109">
        <v>0</v>
      </c>
      <c r="W145" s="109">
        <v>0</v>
      </c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</row>
    <row r="146" spans="1:39" x14ac:dyDescent="0.3">
      <c r="A146" s="77">
        <v>140</v>
      </c>
      <c r="B146" s="108" t="s">
        <v>2439</v>
      </c>
      <c r="C146" s="90">
        <v>140</v>
      </c>
      <c r="D146" s="79" t="s">
        <v>2439</v>
      </c>
      <c r="E146" s="79" t="s">
        <v>117</v>
      </c>
      <c r="F146" s="108" t="s">
        <v>117</v>
      </c>
      <c r="G146" s="108" t="s">
        <v>117</v>
      </c>
      <c r="H146" s="109" t="s">
        <v>3565</v>
      </c>
      <c r="I146" s="109" t="s">
        <v>3707</v>
      </c>
      <c r="J146" s="109">
        <v>5</v>
      </c>
      <c r="K146" s="109"/>
      <c r="L146" s="109"/>
      <c r="M146" s="109"/>
      <c r="N146" s="109" t="s">
        <v>3713</v>
      </c>
      <c r="O146" s="109"/>
      <c r="P146" s="109"/>
      <c r="Q146" s="109"/>
      <c r="R146" s="109"/>
      <c r="S146" s="109">
        <v>1470</v>
      </c>
      <c r="T146" s="109">
        <v>258</v>
      </c>
      <c r="U146" s="109"/>
      <c r="V146" s="109">
        <v>0</v>
      </c>
      <c r="W146" s="109">
        <v>0</v>
      </c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</row>
    <row r="147" spans="1:39" x14ac:dyDescent="0.3">
      <c r="A147" s="77">
        <v>141</v>
      </c>
      <c r="B147" s="108" t="s">
        <v>2439</v>
      </c>
      <c r="C147" s="90">
        <v>141</v>
      </c>
      <c r="D147" s="79" t="s">
        <v>2439</v>
      </c>
      <c r="E147" s="79" t="s">
        <v>117</v>
      </c>
      <c r="F147" s="108" t="s">
        <v>117</v>
      </c>
      <c r="G147" s="108" t="s">
        <v>117</v>
      </c>
      <c r="H147" s="109" t="s">
        <v>3565</v>
      </c>
      <c r="I147" s="109" t="s">
        <v>3707</v>
      </c>
      <c r="J147" s="109">
        <v>6</v>
      </c>
      <c r="K147" s="109"/>
      <c r="L147" s="109"/>
      <c r="M147" s="109"/>
      <c r="N147" s="109" t="s">
        <v>3714</v>
      </c>
      <c r="O147" s="109"/>
      <c r="P147" s="109"/>
      <c r="Q147" s="109"/>
      <c r="R147" s="109"/>
      <c r="S147" s="109">
        <v>2327</v>
      </c>
      <c r="T147" s="109">
        <v>386</v>
      </c>
      <c r="U147" s="109"/>
      <c r="V147" s="109">
        <v>0</v>
      </c>
      <c r="W147" s="109">
        <v>0</v>
      </c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</row>
    <row r="148" spans="1:39" x14ac:dyDescent="0.3">
      <c r="A148" s="77">
        <v>142</v>
      </c>
      <c r="B148" s="108" t="s">
        <v>2439</v>
      </c>
      <c r="C148" s="90">
        <v>142</v>
      </c>
      <c r="D148" s="79" t="s">
        <v>2439</v>
      </c>
      <c r="E148" s="79" t="s">
        <v>117</v>
      </c>
      <c r="F148" s="108" t="s">
        <v>117</v>
      </c>
      <c r="G148" s="108" t="s">
        <v>117</v>
      </c>
      <c r="H148" s="109" t="s">
        <v>3565</v>
      </c>
      <c r="I148" s="109" t="s">
        <v>3707</v>
      </c>
      <c r="J148" s="109">
        <v>7</v>
      </c>
      <c r="K148" s="109"/>
      <c r="L148" s="109"/>
      <c r="M148" s="109"/>
      <c r="N148" s="109" t="s">
        <v>3715</v>
      </c>
      <c r="O148" s="109"/>
      <c r="P148" s="109"/>
      <c r="Q148" s="109"/>
      <c r="R148" s="109"/>
      <c r="S148" s="109">
        <v>2766</v>
      </c>
      <c r="T148" s="109">
        <v>432</v>
      </c>
      <c r="U148" s="109"/>
      <c r="V148" s="109">
        <v>0</v>
      </c>
      <c r="W148" s="109">
        <v>0</v>
      </c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</row>
    <row r="149" spans="1:39" x14ac:dyDescent="0.3">
      <c r="A149" s="77">
        <v>143</v>
      </c>
      <c r="B149" s="108" t="s">
        <v>2439</v>
      </c>
      <c r="C149" s="90">
        <v>143</v>
      </c>
      <c r="D149" s="79" t="s">
        <v>2439</v>
      </c>
      <c r="E149" s="79" t="s">
        <v>117</v>
      </c>
      <c r="F149" s="108" t="s">
        <v>117</v>
      </c>
      <c r="G149" s="108" t="s">
        <v>117</v>
      </c>
      <c r="H149" s="109" t="s">
        <v>3565</v>
      </c>
      <c r="I149" s="109" t="s">
        <v>3707</v>
      </c>
      <c r="J149" s="109">
        <v>8</v>
      </c>
      <c r="K149" s="109"/>
      <c r="L149" s="109"/>
      <c r="M149" s="109"/>
      <c r="N149" s="109" t="s">
        <v>3716</v>
      </c>
      <c r="O149" s="109"/>
      <c r="P149" s="109"/>
      <c r="Q149" s="109"/>
      <c r="R149" s="109"/>
      <c r="S149" s="109">
        <v>1748</v>
      </c>
      <c r="T149" s="109">
        <v>362</v>
      </c>
      <c r="U149" s="109"/>
      <c r="V149" s="109">
        <v>0</v>
      </c>
      <c r="W149" s="109">
        <v>0</v>
      </c>
      <c r="X149" s="109"/>
      <c r="Y149" s="109"/>
      <c r="Z149" s="109"/>
      <c r="AA149" s="109"/>
      <c r="AB149" s="109"/>
      <c r="AC149" s="109"/>
      <c r="AD149" s="109"/>
      <c r="AE149" s="109"/>
      <c r="AF149" s="109"/>
      <c r="AG149" s="109"/>
      <c r="AH149" s="109"/>
      <c r="AI149" s="109"/>
      <c r="AJ149" s="109"/>
      <c r="AK149" s="109"/>
      <c r="AL149" s="109"/>
      <c r="AM149" s="109"/>
    </row>
    <row r="150" spans="1:39" x14ac:dyDescent="0.3">
      <c r="A150" s="77">
        <v>144</v>
      </c>
      <c r="B150" s="108" t="s">
        <v>2439</v>
      </c>
      <c r="C150" s="90">
        <v>144</v>
      </c>
      <c r="D150" s="79" t="s">
        <v>2439</v>
      </c>
      <c r="E150" s="79" t="s">
        <v>117</v>
      </c>
      <c r="F150" s="108" t="s">
        <v>117</v>
      </c>
      <c r="G150" s="108" t="s">
        <v>117</v>
      </c>
      <c r="H150" s="109" t="s">
        <v>3565</v>
      </c>
      <c r="I150" s="109" t="s">
        <v>3707</v>
      </c>
      <c r="J150" s="109">
        <v>9</v>
      </c>
      <c r="K150" s="109"/>
      <c r="L150" s="109"/>
      <c r="M150" s="109"/>
      <c r="N150" s="109" t="s">
        <v>3717</v>
      </c>
      <c r="O150" s="109"/>
      <c r="P150" s="109"/>
      <c r="Q150" s="109"/>
      <c r="R150" s="109"/>
      <c r="S150" s="109">
        <v>1308</v>
      </c>
      <c r="T150" s="109">
        <v>324</v>
      </c>
      <c r="U150" s="109"/>
      <c r="V150" s="109">
        <v>0</v>
      </c>
      <c r="W150" s="109">
        <v>0</v>
      </c>
      <c r="X150" s="109"/>
      <c r="Y150" s="109"/>
      <c r="Z150" s="109"/>
      <c r="AA150" s="109"/>
      <c r="AB150" s="109"/>
      <c r="AC150" s="109"/>
      <c r="AD150" s="109"/>
      <c r="AE150" s="109"/>
      <c r="AF150" s="109"/>
      <c r="AG150" s="109"/>
      <c r="AH150" s="109"/>
      <c r="AI150" s="109"/>
      <c r="AJ150" s="109"/>
      <c r="AK150" s="109"/>
      <c r="AL150" s="109"/>
      <c r="AM150" s="109"/>
    </row>
  </sheetData>
  <mergeCells count="4">
    <mergeCell ref="J1:J2"/>
    <mergeCell ref="A5:G5"/>
    <mergeCell ref="J5:M5"/>
    <mergeCell ref="X5:AI5"/>
  </mergeCells>
  <conditionalFormatting sqref="P7:P102">
    <cfRule type="duplicateValues" dxfId="3" priority="1"/>
  </conditionalFormatting>
  <dataValidations count="1">
    <dataValidation type="list" allowBlank="1" showInputMessage="1" showErrorMessage="1" sqref="H7:H102">
      <formula1>INDIRECT(#REF!)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2"/>
  <sheetViews>
    <sheetView workbookViewId="0">
      <pane xSplit="12" ySplit="6" topLeftCell="U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2" max="2" width="11.44140625" customWidth="1"/>
    <col min="3" max="3" width="11.88671875" customWidth="1"/>
    <col min="4" max="4" width="13" customWidth="1"/>
    <col min="5" max="5" width="13.44140625" customWidth="1"/>
    <col min="6" max="6" width="17.5546875" customWidth="1"/>
    <col min="8" max="8" width="16.33203125" customWidth="1"/>
    <col min="10" max="10" width="13.21875" customWidth="1"/>
    <col min="11" max="11" width="24.33203125" customWidth="1"/>
    <col min="12" max="12" width="15.218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COUNTIF(I7:I282,"SK(H)")</f>
        <v>0</v>
      </c>
      <c r="J1" s="50" t="s">
        <v>1</v>
      </c>
      <c r="K1" s="50">
        <f>COUNTA(J7:J298)</f>
        <v>76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COUNTIF(I7:I283,"SHW(H)")</f>
        <v>0</v>
      </c>
      <c r="J2" s="50" t="s">
        <v>5</v>
      </c>
      <c r="K2" s="50">
        <f>COUNTA(K7:K82)</f>
        <v>76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3718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3718</v>
      </c>
      <c r="F7" s="91" t="s">
        <v>3719</v>
      </c>
      <c r="G7" s="92">
        <v>1</v>
      </c>
      <c r="H7" s="91" t="s">
        <v>3720</v>
      </c>
      <c r="I7" s="91"/>
      <c r="J7" s="91" t="s">
        <v>3721</v>
      </c>
      <c r="K7" s="93" t="s">
        <v>3722</v>
      </c>
      <c r="L7" s="93"/>
      <c r="M7" s="93"/>
      <c r="N7" s="93"/>
      <c r="O7" s="93"/>
      <c r="P7" s="92">
        <v>4950</v>
      </c>
      <c r="Q7" s="92">
        <v>900</v>
      </c>
      <c r="R7" s="94"/>
      <c r="S7" s="95">
        <v>0</v>
      </c>
      <c r="T7" s="95">
        <v>193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3718</v>
      </c>
      <c r="F8" s="91" t="s">
        <v>3719</v>
      </c>
      <c r="G8" s="92">
        <v>6</v>
      </c>
      <c r="H8" s="91" t="s">
        <v>3720</v>
      </c>
      <c r="I8" s="91"/>
      <c r="J8" s="96" t="s">
        <v>3723</v>
      </c>
      <c r="K8" s="93" t="s">
        <v>3724</v>
      </c>
      <c r="L8" s="93"/>
      <c r="M8" s="93"/>
      <c r="N8" s="93"/>
      <c r="O8" s="93"/>
      <c r="P8" s="92">
        <v>5687</v>
      </c>
      <c r="Q8" s="92">
        <v>1034</v>
      </c>
      <c r="R8" s="92"/>
      <c r="S8" s="97">
        <v>200</v>
      </c>
      <c r="T8" s="97">
        <v>106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3718</v>
      </c>
      <c r="F9" s="91" t="s">
        <v>3719</v>
      </c>
      <c r="G9" s="92">
        <v>4</v>
      </c>
      <c r="H9" s="91" t="s">
        <v>3720</v>
      </c>
      <c r="I9" s="91"/>
      <c r="J9" s="96" t="s">
        <v>3725</v>
      </c>
      <c r="K9" s="93" t="s">
        <v>3726</v>
      </c>
      <c r="L9" s="93"/>
      <c r="M9" s="93"/>
      <c r="N9" s="93"/>
      <c r="O9" s="93"/>
      <c r="P9" s="92">
        <v>6600</v>
      </c>
      <c r="Q9" s="92">
        <v>1200</v>
      </c>
      <c r="R9" s="92"/>
      <c r="S9" s="97">
        <v>90</v>
      </c>
      <c r="T9" s="97">
        <v>400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3718</v>
      </c>
      <c r="F10" s="91" t="s">
        <v>3719</v>
      </c>
      <c r="G10" s="92">
        <v>5</v>
      </c>
      <c r="H10" s="91" t="s">
        <v>3720</v>
      </c>
      <c r="I10" s="91"/>
      <c r="J10" s="96" t="s">
        <v>3727</v>
      </c>
      <c r="K10" s="93" t="s">
        <v>3728</v>
      </c>
      <c r="L10" s="93"/>
      <c r="M10" s="93"/>
      <c r="N10" s="93"/>
      <c r="O10" s="93"/>
      <c r="P10" s="92">
        <v>4950</v>
      </c>
      <c r="Q10" s="92">
        <v>900</v>
      </c>
      <c r="R10" s="92"/>
      <c r="S10" s="97">
        <v>150</v>
      </c>
      <c r="T10" s="97">
        <v>130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3718</v>
      </c>
      <c r="F11" s="91" t="s">
        <v>3719</v>
      </c>
      <c r="G11" s="92">
        <v>8</v>
      </c>
      <c r="H11" s="91" t="s">
        <v>3720</v>
      </c>
      <c r="I11" s="91"/>
      <c r="J11" s="96" t="s">
        <v>3729</v>
      </c>
      <c r="K11" s="93" t="s">
        <v>3730</v>
      </c>
      <c r="L11" s="93"/>
      <c r="M11" s="93"/>
      <c r="N11" s="93"/>
      <c r="O11" s="93"/>
      <c r="P11" s="92">
        <v>7150</v>
      </c>
      <c r="Q11" s="92">
        <v>1300</v>
      </c>
      <c r="R11" s="92"/>
      <c r="S11" s="97">
        <v>0</v>
      </c>
      <c r="T11" s="97">
        <v>200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3718</v>
      </c>
      <c r="F12" s="91" t="s">
        <v>3719</v>
      </c>
      <c r="G12" s="92">
        <v>2</v>
      </c>
      <c r="H12" s="96" t="s">
        <v>3731</v>
      </c>
      <c r="I12" s="96"/>
      <c r="J12" s="96" t="s">
        <v>3732</v>
      </c>
      <c r="K12" s="93" t="s">
        <v>3733</v>
      </c>
      <c r="L12" s="93"/>
      <c r="M12" s="93"/>
      <c r="N12" s="93"/>
      <c r="O12" s="93"/>
      <c r="P12" s="92">
        <v>5500</v>
      </c>
      <c r="Q12" s="92">
        <v>1000</v>
      </c>
      <c r="R12" s="92"/>
      <c r="S12" s="97">
        <v>0</v>
      </c>
      <c r="T12" s="97">
        <v>300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3718</v>
      </c>
      <c r="F13" s="91" t="s">
        <v>3719</v>
      </c>
      <c r="G13" s="92">
        <v>9</v>
      </c>
      <c r="H13" s="96" t="s">
        <v>3731</v>
      </c>
      <c r="I13" s="96"/>
      <c r="J13" s="96" t="s">
        <v>3734</v>
      </c>
      <c r="K13" s="93" t="s">
        <v>3735</v>
      </c>
      <c r="L13" s="93"/>
      <c r="M13" s="93"/>
      <c r="N13" s="93"/>
      <c r="O13" s="93"/>
      <c r="P13" s="92">
        <v>5434</v>
      </c>
      <c r="Q13" s="92">
        <v>988</v>
      </c>
      <c r="R13" s="92"/>
      <c r="S13" s="97">
        <v>0</v>
      </c>
      <c r="T13" s="97">
        <v>136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3718</v>
      </c>
      <c r="F14" s="91" t="s">
        <v>3719</v>
      </c>
      <c r="G14" s="92">
        <v>7</v>
      </c>
      <c r="H14" s="96" t="s">
        <v>3731</v>
      </c>
      <c r="I14" s="96"/>
      <c r="J14" s="96" t="s">
        <v>3736</v>
      </c>
      <c r="K14" s="93" t="s">
        <v>3737</v>
      </c>
      <c r="L14" s="93"/>
      <c r="M14" s="93"/>
      <c r="N14" s="93"/>
      <c r="O14" s="93"/>
      <c r="P14" s="92">
        <v>6160</v>
      </c>
      <c r="Q14" s="92">
        <v>1120</v>
      </c>
      <c r="R14" s="92"/>
      <c r="S14" s="97">
        <v>0</v>
      </c>
      <c r="T14" s="97">
        <v>125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3718</v>
      </c>
      <c r="F15" s="91" t="s">
        <v>3719</v>
      </c>
      <c r="G15" s="92">
        <v>3</v>
      </c>
      <c r="H15" s="96" t="s">
        <v>3731</v>
      </c>
      <c r="I15" s="96"/>
      <c r="J15" s="96" t="s">
        <v>3738</v>
      </c>
      <c r="K15" s="93" t="s">
        <v>3739</v>
      </c>
      <c r="L15" s="93"/>
      <c r="M15" s="93"/>
      <c r="N15" s="93"/>
      <c r="O15" s="93"/>
      <c r="P15" s="92">
        <v>6050</v>
      </c>
      <c r="Q15" s="92">
        <v>1100</v>
      </c>
      <c r="R15" s="92"/>
      <c r="S15" s="97">
        <v>100</v>
      </c>
      <c r="T15" s="97">
        <v>200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3718</v>
      </c>
      <c r="F16" s="91" t="s">
        <v>3719</v>
      </c>
      <c r="G16" s="92">
        <v>3</v>
      </c>
      <c r="H16" s="96" t="s">
        <v>3731</v>
      </c>
      <c r="I16" s="96"/>
      <c r="J16" s="96" t="s">
        <v>3740</v>
      </c>
      <c r="K16" s="93" t="s">
        <v>3741</v>
      </c>
      <c r="L16" s="93"/>
      <c r="M16" s="93"/>
      <c r="N16" s="93"/>
      <c r="O16" s="93"/>
      <c r="P16" s="92">
        <v>4340</v>
      </c>
      <c r="Q16" s="92">
        <v>789</v>
      </c>
      <c r="R16" s="92"/>
      <c r="S16" s="97">
        <v>0</v>
      </c>
      <c r="T16" s="97">
        <v>150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3718</v>
      </c>
      <c r="F17" s="91" t="s">
        <v>3719</v>
      </c>
      <c r="G17" s="92">
        <v>4</v>
      </c>
      <c r="H17" s="96" t="s">
        <v>3731</v>
      </c>
      <c r="I17" s="96"/>
      <c r="J17" s="96" t="s">
        <v>3742</v>
      </c>
      <c r="K17" s="93" t="s">
        <v>3743</v>
      </c>
      <c r="L17" s="93"/>
      <c r="M17" s="93"/>
      <c r="N17" s="93"/>
      <c r="O17" s="93"/>
      <c r="P17" s="92">
        <v>6765</v>
      </c>
      <c r="Q17" s="92">
        <v>1230</v>
      </c>
      <c r="R17" s="92"/>
      <c r="S17" s="97">
        <v>0</v>
      </c>
      <c r="T17" s="97">
        <v>150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3718</v>
      </c>
      <c r="F18" s="91" t="s">
        <v>3744</v>
      </c>
      <c r="G18" s="92">
        <v>1</v>
      </c>
      <c r="H18" s="96" t="s">
        <v>3745</v>
      </c>
      <c r="I18" s="96"/>
      <c r="J18" s="96" t="s">
        <v>3746</v>
      </c>
      <c r="K18" s="93" t="s">
        <v>3747</v>
      </c>
      <c r="L18" s="93"/>
      <c r="M18" s="93"/>
      <c r="N18" s="93"/>
      <c r="O18" s="93"/>
      <c r="P18" s="92">
        <v>6930</v>
      </c>
      <c r="Q18" s="92">
        <v>1260</v>
      </c>
      <c r="R18" s="92"/>
      <c r="S18" s="97">
        <v>0</v>
      </c>
      <c r="T18" s="97">
        <v>200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3718</v>
      </c>
      <c r="F19" s="91" t="s">
        <v>3744</v>
      </c>
      <c r="G19" s="92">
        <v>6</v>
      </c>
      <c r="H19" s="96" t="s">
        <v>3745</v>
      </c>
      <c r="I19" s="96"/>
      <c r="J19" s="96" t="s">
        <v>3748</v>
      </c>
      <c r="K19" s="93" t="s">
        <v>3749</v>
      </c>
      <c r="L19" s="93"/>
      <c r="M19" s="93"/>
      <c r="N19" s="93"/>
      <c r="O19" s="93"/>
      <c r="P19" s="92">
        <v>6050</v>
      </c>
      <c r="Q19" s="92">
        <v>1100</v>
      </c>
      <c r="R19" s="92"/>
      <c r="S19" s="97">
        <v>0</v>
      </c>
      <c r="T19" s="97">
        <v>300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3718</v>
      </c>
      <c r="F20" s="91" t="s">
        <v>3744</v>
      </c>
      <c r="G20" s="92">
        <v>4</v>
      </c>
      <c r="H20" s="96" t="s">
        <v>3745</v>
      </c>
      <c r="I20" s="96"/>
      <c r="J20" s="96" t="s">
        <v>3750</v>
      </c>
      <c r="K20" s="93" t="s">
        <v>3751</v>
      </c>
      <c r="L20" s="93"/>
      <c r="M20" s="93"/>
      <c r="N20" s="93"/>
      <c r="O20" s="93"/>
      <c r="P20" s="92">
        <v>5610</v>
      </c>
      <c r="Q20" s="92">
        <v>1020</v>
      </c>
      <c r="R20" s="92"/>
      <c r="S20" s="97">
        <v>0</v>
      </c>
      <c r="T20" s="97">
        <v>150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3718</v>
      </c>
      <c r="F21" s="91" t="s">
        <v>3744</v>
      </c>
      <c r="G21" s="97">
        <v>5</v>
      </c>
      <c r="H21" s="96" t="s">
        <v>3745</v>
      </c>
      <c r="I21" s="96"/>
      <c r="J21" s="96" t="s">
        <v>3752</v>
      </c>
      <c r="K21" s="93" t="s">
        <v>3744</v>
      </c>
      <c r="L21" s="93"/>
      <c r="M21" s="93"/>
      <c r="N21" s="93"/>
      <c r="O21" s="93"/>
      <c r="P21" s="92">
        <v>5445</v>
      </c>
      <c r="Q21" s="92">
        <v>990</v>
      </c>
      <c r="R21" s="92"/>
      <c r="S21" s="97">
        <v>0</v>
      </c>
      <c r="T21" s="97">
        <v>86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3718</v>
      </c>
      <c r="F22" s="91" t="s">
        <v>3744</v>
      </c>
      <c r="G22" s="92">
        <v>8</v>
      </c>
      <c r="H22" s="96" t="s">
        <v>3753</v>
      </c>
      <c r="I22" s="96"/>
      <c r="J22" s="96" t="s">
        <v>3754</v>
      </c>
      <c r="K22" s="93" t="s">
        <v>3755</v>
      </c>
      <c r="L22" s="93"/>
      <c r="M22" s="93"/>
      <c r="N22" s="93"/>
      <c r="O22" s="93"/>
      <c r="P22" s="92">
        <v>7090</v>
      </c>
      <c r="Q22" s="92">
        <v>1289</v>
      </c>
      <c r="R22" s="92"/>
      <c r="S22" s="97">
        <v>0</v>
      </c>
      <c r="T22" s="97">
        <v>100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3718</v>
      </c>
      <c r="F23" s="91" t="s">
        <v>3744</v>
      </c>
      <c r="G23" s="92">
        <v>2</v>
      </c>
      <c r="H23" s="96" t="s">
        <v>3753</v>
      </c>
      <c r="I23" s="96"/>
      <c r="J23" s="96" t="s">
        <v>3756</v>
      </c>
      <c r="K23" s="93" t="s">
        <v>3757</v>
      </c>
      <c r="L23" s="93"/>
      <c r="M23" s="93"/>
      <c r="N23" s="93"/>
      <c r="O23" s="93"/>
      <c r="P23" s="92">
        <v>7150</v>
      </c>
      <c r="Q23" s="92">
        <v>1300</v>
      </c>
      <c r="R23" s="92"/>
      <c r="S23" s="97">
        <v>0</v>
      </c>
      <c r="T23" s="97">
        <v>50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3718</v>
      </c>
      <c r="F24" s="91" t="s">
        <v>3744</v>
      </c>
      <c r="G24" s="92">
        <v>9</v>
      </c>
      <c r="H24" s="96" t="s">
        <v>3753</v>
      </c>
      <c r="I24" s="96"/>
      <c r="J24" s="96" t="s">
        <v>3758</v>
      </c>
      <c r="K24" s="93" t="s">
        <v>3759</v>
      </c>
      <c r="L24" s="93"/>
      <c r="M24" s="93"/>
      <c r="N24" s="93"/>
      <c r="O24" s="93"/>
      <c r="P24" s="92">
        <v>4648</v>
      </c>
      <c r="Q24" s="92">
        <v>845</v>
      </c>
      <c r="R24" s="92"/>
      <c r="S24" s="97">
        <v>0</v>
      </c>
      <c r="T24" s="97">
        <v>169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3718</v>
      </c>
      <c r="F25" s="91" t="s">
        <v>3760</v>
      </c>
      <c r="G25" s="97">
        <v>7</v>
      </c>
      <c r="H25" s="96" t="s">
        <v>3761</v>
      </c>
      <c r="I25" s="96"/>
      <c r="J25" s="96" t="s">
        <v>3762</v>
      </c>
      <c r="K25" s="93" t="s">
        <v>3763</v>
      </c>
      <c r="L25" s="93"/>
      <c r="M25" s="93"/>
      <c r="N25" s="93"/>
      <c r="O25" s="93"/>
      <c r="P25" s="92">
        <v>7145</v>
      </c>
      <c r="Q25" s="92">
        <v>1299</v>
      </c>
      <c r="R25" s="92"/>
      <c r="S25" s="97">
        <v>0</v>
      </c>
      <c r="T25" s="97">
        <v>22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3718</v>
      </c>
      <c r="F26" s="91" t="s">
        <v>3760</v>
      </c>
      <c r="G26" s="97">
        <v>3</v>
      </c>
      <c r="H26" s="96" t="s">
        <v>3761</v>
      </c>
      <c r="I26" s="96"/>
      <c r="J26" s="96" t="s">
        <v>3764</v>
      </c>
      <c r="K26" s="93" t="s">
        <v>3765</v>
      </c>
      <c r="L26" s="93"/>
      <c r="M26" s="93"/>
      <c r="N26" s="93"/>
      <c r="O26" s="93"/>
      <c r="P26" s="92">
        <v>5390</v>
      </c>
      <c r="Q26" s="92">
        <v>980</v>
      </c>
      <c r="R26" s="92"/>
      <c r="S26" s="97">
        <v>0</v>
      </c>
      <c r="T26" s="97">
        <v>98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3718</v>
      </c>
      <c r="F27" s="91" t="s">
        <v>3760</v>
      </c>
      <c r="G27" s="97">
        <v>5</v>
      </c>
      <c r="H27" s="96" t="s">
        <v>3761</v>
      </c>
      <c r="I27" s="96"/>
      <c r="J27" s="96" t="s">
        <v>3766</v>
      </c>
      <c r="K27" s="93" t="s">
        <v>3767</v>
      </c>
      <c r="L27" s="93"/>
      <c r="M27" s="93"/>
      <c r="N27" s="93"/>
      <c r="O27" s="93"/>
      <c r="P27" s="92">
        <v>6765</v>
      </c>
      <c r="Q27" s="92">
        <v>1230</v>
      </c>
      <c r="R27" s="92"/>
      <c r="S27" s="97">
        <v>0</v>
      </c>
      <c r="T27" s="97">
        <v>50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3718</v>
      </c>
      <c r="F28" s="91" t="s">
        <v>3760</v>
      </c>
      <c r="G28" s="97">
        <v>2</v>
      </c>
      <c r="H28" s="96" t="s">
        <v>3761</v>
      </c>
      <c r="I28" s="96"/>
      <c r="J28" s="96" t="s">
        <v>3768</v>
      </c>
      <c r="K28" s="93" t="s">
        <v>3760</v>
      </c>
      <c r="L28" s="93"/>
      <c r="M28" s="93"/>
      <c r="N28" s="93"/>
      <c r="O28" s="93"/>
      <c r="P28" s="92">
        <v>5720</v>
      </c>
      <c r="Q28" s="92">
        <v>1040</v>
      </c>
      <c r="R28" s="92"/>
      <c r="S28" s="97">
        <v>0</v>
      </c>
      <c r="T28" s="97">
        <v>75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3718</v>
      </c>
      <c r="F29" s="91" t="s">
        <v>2539</v>
      </c>
      <c r="G29" s="97">
        <v>3</v>
      </c>
      <c r="H29" s="96">
        <v>0</v>
      </c>
      <c r="I29" s="96"/>
      <c r="J29" s="96" t="s">
        <v>3742</v>
      </c>
      <c r="K29" s="93" t="s">
        <v>3769</v>
      </c>
      <c r="L29" s="93"/>
      <c r="M29" s="93"/>
      <c r="N29" s="93"/>
      <c r="O29" s="93"/>
      <c r="P29" s="92">
        <v>5115</v>
      </c>
      <c r="Q29" s="92">
        <v>930</v>
      </c>
      <c r="R29" s="92"/>
      <c r="S29" s="97">
        <v>0</v>
      </c>
      <c r="T29" s="97">
        <v>113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3718</v>
      </c>
      <c r="F30" s="91" t="s">
        <v>2539</v>
      </c>
      <c r="G30" s="97">
        <v>6</v>
      </c>
      <c r="H30" s="96">
        <v>0</v>
      </c>
      <c r="I30" s="96"/>
      <c r="J30" s="96" t="s">
        <v>3770</v>
      </c>
      <c r="K30" s="93" t="s">
        <v>3771</v>
      </c>
      <c r="L30" s="93"/>
      <c r="M30" s="93"/>
      <c r="N30" s="93"/>
      <c r="O30" s="93"/>
      <c r="P30" s="92">
        <v>4620</v>
      </c>
      <c r="Q30" s="92">
        <v>840</v>
      </c>
      <c r="R30" s="92"/>
      <c r="S30" s="97">
        <v>0</v>
      </c>
      <c r="T30" s="97">
        <v>124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3718</v>
      </c>
      <c r="F31" s="91" t="s">
        <v>3772</v>
      </c>
      <c r="G31" s="97">
        <v>1</v>
      </c>
      <c r="H31" s="96" t="s">
        <v>3773</v>
      </c>
      <c r="I31" s="96"/>
      <c r="J31" s="96" t="s">
        <v>3774</v>
      </c>
      <c r="K31" s="93" t="s">
        <v>3775</v>
      </c>
      <c r="L31" s="93"/>
      <c r="M31" s="93"/>
      <c r="N31" s="93"/>
      <c r="O31" s="93"/>
      <c r="P31" s="92">
        <v>7700</v>
      </c>
      <c r="Q31" s="92">
        <v>1400</v>
      </c>
      <c r="R31" s="92"/>
      <c r="S31" s="97">
        <v>0</v>
      </c>
      <c r="T31" s="97">
        <v>300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3718</v>
      </c>
      <c r="F32" s="96" t="s">
        <v>3772</v>
      </c>
      <c r="G32" s="97">
        <v>6</v>
      </c>
      <c r="H32" s="96" t="s">
        <v>3773</v>
      </c>
      <c r="I32" s="96"/>
      <c r="J32" s="96" t="s">
        <v>3776</v>
      </c>
      <c r="K32" s="93" t="s">
        <v>3777</v>
      </c>
      <c r="L32" s="93"/>
      <c r="M32" s="93"/>
      <c r="N32" s="93"/>
      <c r="O32" s="93"/>
      <c r="P32" s="92">
        <v>3200</v>
      </c>
      <c r="Q32" s="92">
        <v>800</v>
      </c>
      <c r="R32" s="92"/>
      <c r="S32" s="97">
        <v>0</v>
      </c>
      <c r="T32" s="97">
        <v>363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3718</v>
      </c>
      <c r="F33" s="96" t="s">
        <v>3772</v>
      </c>
      <c r="G33" s="97">
        <v>4</v>
      </c>
      <c r="H33" s="96" t="s">
        <v>3773</v>
      </c>
      <c r="I33" s="96"/>
      <c r="J33" s="96" t="s">
        <v>3778</v>
      </c>
      <c r="K33" s="93" t="s">
        <v>3779</v>
      </c>
      <c r="L33" s="93"/>
      <c r="M33" s="93"/>
      <c r="N33" s="93"/>
      <c r="O33" s="93"/>
      <c r="P33" s="92">
        <v>4111</v>
      </c>
      <c r="Q33" s="92">
        <v>874</v>
      </c>
      <c r="R33" s="92"/>
      <c r="S33" s="97">
        <v>0</v>
      </c>
      <c r="T33" s="97">
        <v>363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3718</v>
      </c>
      <c r="F34" s="96" t="s">
        <v>3772</v>
      </c>
      <c r="G34" s="97">
        <v>5</v>
      </c>
      <c r="H34" s="96" t="s">
        <v>3773</v>
      </c>
      <c r="I34" s="96"/>
      <c r="J34" s="96" t="s">
        <v>3780</v>
      </c>
      <c r="K34" s="93" t="s">
        <v>3781</v>
      </c>
      <c r="L34" s="93"/>
      <c r="M34" s="93"/>
      <c r="N34" s="93"/>
      <c r="O34" s="93"/>
      <c r="P34" s="92">
        <v>4565</v>
      </c>
      <c r="Q34" s="92">
        <v>830</v>
      </c>
      <c r="R34" s="92"/>
      <c r="S34" s="97">
        <v>50</v>
      </c>
      <c r="T34" s="97">
        <v>100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3718</v>
      </c>
      <c r="F35" s="96" t="s">
        <v>3772</v>
      </c>
      <c r="G35" s="97">
        <v>8</v>
      </c>
      <c r="H35" s="96" t="s">
        <v>3773</v>
      </c>
      <c r="I35" s="96"/>
      <c r="J35" s="96" t="s">
        <v>3782</v>
      </c>
      <c r="K35" s="93" t="s">
        <v>3783</v>
      </c>
      <c r="L35" s="93"/>
      <c r="M35" s="93"/>
      <c r="N35" s="93"/>
      <c r="O35" s="93"/>
      <c r="P35" s="92">
        <v>3245</v>
      </c>
      <c r="Q35" s="92">
        <v>590</v>
      </c>
      <c r="R35" s="92"/>
      <c r="S35" s="97">
        <v>200</v>
      </c>
      <c r="T35" s="97">
        <v>100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3718</v>
      </c>
      <c r="F36" s="96" t="s">
        <v>3772</v>
      </c>
      <c r="G36" s="97">
        <v>2</v>
      </c>
      <c r="H36" s="96" t="s">
        <v>3784</v>
      </c>
      <c r="I36" s="96"/>
      <c r="J36" s="96" t="s">
        <v>3785</v>
      </c>
      <c r="K36" s="93" t="s">
        <v>3786</v>
      </c>
      <c r="L36" s="93"/>
      <c r="M36" s="93"/>
      <c r="N36" s="93"/>
      <c r="O36" s="93"/>
      <c r="P36" s="92">
        <v>2585</v>
      </c>
      <c r="Q36" s="92">
        <v>470</v>
      </c>
      <c r="R36" s="92"/>
      <c r="S36" s="97">
        <v>0</v>
      </c>
      <c r="T36" s="97">
        <v>100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3718</v>
      </c>
      <c r="F37" s="96" t="s">
        <v>3772</v>
      </c>
      <c r="G37" s="97">
        <v>9</v>
      </c>
      <c r="H37" s="96" t="s">
        <v>3784</v>
      </c>
      <c r="I37" s="96"/>
      <c r="J37" s="96" t="s">
        <v>3787</v>
      </c>
      <c r="K37" s="93" t="s">
        <v>3788</v>
      </c>
      <c r="L37" s="93"/>
      <c r="M37" s="93"/>
      <c r="N37" s="93"/>
      <c r="O37" s="93"/>
      <c r="P37" s="92">
        <v>3987</v>
      </c>
      <c r="Q37" s="92">
        <v>580</v>
      </c>
      <c r="R37" s="92"/>
      <c r="S37" s="97">
        <v>30</v>
      </c>
      <c r="T37" s="97">
        <v>62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3718</v>
      </c>
      <c r="F38" s="96" t="s">
        <v>3772</v>
      </c>
      <c r="G38" s="97">
        <v>7</v>
      </c>
      <c r="H38" s="96" t="s">
        <v>3784</v>
      </c>
      <c r="I38" s="96"/>
      <c r="J38" s="96" t="s">
        <v>3789</v>
      </c>
      <c r="K38" s="93" t="s">
        <v>3790</v>
      </c>
      <c r="L38" s="93"/>
      <c r="M38" s="93"/>
      <c r="N38" s="93"/>
      <c r="O38" s="93"/>
      <c r="P38" s="92">
        <v>4895</v>
      </c>
      <c r="Q38" s="92">
        <v>890</v>
      </c>
      <c r="R38" s="92"/>
      <c r="S38" s="97">
        <v>30</v>
      </c>
      <c r="T38" s="97">
        <v>100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3718</v>
      </c>
      <c r="F39" s="96" t="s">
        <v>3772</v>
      </c>
      <c r="G39" s="97">
        <v>3</v>
      </c>
      <c r="H39" s="96" t="s">
        <v>3784</v>
      </c>
      <c r="I39" s="96"/>
      <c r="J39" s="96" t="s">
        <v>3791</v>
      </c>
      <c r="K39" s="93" t="s">
        <v>3792</v>
      </c>
      <c r="L39" s="93"/>
      <c r="M39" s="93"/>
      <c r="N39" s="93"/>
      <c r="O39" s="93"/>
      <c r="P39" s="92">
        <v>3548</v>
      </c>
      <c r="Q39" s="92">
        <v>645</v>
      </c>
      <c r="R39" s="92"/>
      <c r="S39" s="97">
        <v>30</v>
      </c>
      <c r="T39" s="97">
        <v>100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3718</v>
      </c>
      <c r="F40" s="96" t="s">
        <v>3793</v>
      </c>
      <c r="G40" s="97">
        <v>4</v>
      </c>
      <c r="H40" s="96">
        <v>0</v>
      </c>
      <c r="I40" s="96"/>
      <c r="J40" s="96" t="s">
        <v>3794</v>
      </c>
      <c r="K40" s="93" t="s">
        <v>3795</v>
      </c>
      <c r="L40" s="93"/>
      <c r="M40" s="93"/>
      <c r="N40" s="93"/>
      <c r="O40" s="93"/>
      <c r="P40" s="92">
        <v>6908</v>
      </c>
      <c r="Q40" s="92">
        <v>1256</v>
      </c>
      <c r="R40" s="92"/>
      <c r="S40" s="97">
        <v>0</v>
      </c>
      <c r="T40" s="97">
        <v>96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3718</v>
      </c>
      <c r="F41" s="96" t="s">
        <v>3793</v>
      </c>
      <c r="G41" s="97">
        <v>3</v>
      </c>
      <c r="H41" s="96">
        <v>0</v>
      </c>
      <c r="I41" s="96"/>
      <c r="J41" s="96" t="s">
        <v>3796</v>
      </c>
      <c r="K41" s="93" t="s">
        <v>3797</v>
      </c>
      <c r="L41" s="93"/>
      <c r="M41" s="93"/>
      <c r="N41" s="93"/>
      <c r="O41" s="93"/>
      <c r="P41" s="92">
        <v>7750</v>
      </c>
      <c r="Q41" s="92">
        <v>1409</v>
      </c>
      <c r="R41" s="92"/>
      <c r="S41" s="97">
        <v>0</v>
      </c>
      <c r="T41" s="97">
        <v>107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3718</v>
      </c>
      <c r="F42" s="96" t="s">
        <v>3793</v>
      </c>
      <c r="G42" s="97">
        <v>5</v>
      </c>
      <c r="H42" s="96">
        <v>0</v>
      </c>
      <c r="I42" s="96"/>
      <c r="J42" s="96" t="s">
        <v>3798</v>
      </c>
      <c r="K42" s="93" t="s">
        <v>3793</v>
      </c>
      <c r="L42" s="93"/>
      <c r="M42" s="93"/>
      <c r="N42" s="93"/>
      <c r="O42" s="93"/>
      <c r="P42" s="92">
        <v>4300</v>
      </c>
      <c r="Q42" s="92">
        <v>670</v>
      </c>
      <c r="R42" s="92"/>
      <c r="S42" s="97">
        <v>0</v>
      </c>
      <c r="T42" s="97">
        <v>97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3718</v>
      </c>
      <c r="F43" s="96" t="s">
        <v>3793</v>
      </c>
      <c r="G43" s="97">
        <v>2</v>
      </c>
      <c r="H43" s="96">
        <v>0</v>
      </c>
      <c r="I43" s="96"/>
      <c r="J43" s="96" t="s">
        <v>3799</v>
      </c>
      <c r="K43" s="93" t="s">
        <v>3800</v>
      </c>
      <c r="L43" s="93"/>
      <c r="M43" s="93"/>
      <c r="N43" s="93"/>
      <c r="O43" s="93"/>
      <c r="P43" s="92">
        <v>6606</v>
      </c>
      <c r="Q43" s="92">
        <v>1201</v>
      </c>
      <c r="R43" s="92"/>
      <c r="S43" s="97">
        <v>0</v>
      </c>
      <c r="T43" s="97">
        <v>112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3718</v>
      </c>
      <c r="F44" s="96" t="s">
        <v>3718</v>
      </c>
      <c r="G44" s="97">
        <v>1</v>
      </c>
      <c r="H44" s="96" t="s">
        <v>3801</v>
      </c>
      <c r="I44" s="96"/>
      <c r="J44" s="96" t="s">
        <v>3597</v>
      </c>
      <c r="K44" s="93" t="s">
        <v>3802</v>
      </c>
      <c r="L44" s="93"/>
      <c r="M44" s="93"/>
      <c r="N44" s="93"/>
      <c r="O44" s="93"/>
      <c r="P44" s="92">
        <v>6787</v>
      </c>
      <c r="Q44" s="92">
        <v>1234</v>
      </c>
      <c r="R44" s="92"/>
      <c r="S44" s="97">
        <v>0</v>
      </c>
      <c r="T44" s="97">
        <v>113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3718</v>
      </c>
      <c r="F45" s="96" t="s">
        <v>3718</v>
      </c>
      <c r="G45" s="97">
        <v>6</v>
      </c>
      <c r="H45" s="96" t="s">
        <v>3801</v>
      </c>
      <c r="I45" s="96"/>
      <c r="J45" s="96" t="s">
        <v>3803</v>
      </c>
      <c r="K45" s="93" t="s">
        <v>3804</v>
      </c>
      <c r="L45" s="93"/>
      <c r="M45" s="93"/>
      <c r="N45" s="93"/>
      <c r="O45" s="93"/>
      <c r="P45" s="92">
        <v>6969</v>
      </c>
      <c r="Q45" s="92">
        <v>1267</v>
      </c>
      <c r="R45" s="92"/>
      <c r="S45" s="97">
        <v>0</v>
      </c>
      <c r="T45" s="97">
        <v>100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3718</v>
      </c>
      <c r="F46" s="96" t="s">
        <v>3718</v>
      </c>
      <c r="G46" s="97">
        <v>4</v>
      </c>
      <c r="H46" s="96" t="s">
        <v>3801</v>
      </c>
      <c r="I46" s="96"/>
      <c r="J46" s="96" t="s">
        <v>3805</v>
      </c>
      <c r="K46" s="93" t="s">
        <v>3806</v>
      </c>
      <c r="L46" s="93"/>
      <c r="M46" s="93"/>
      <c r="N46" s="93"/>
      <c r="O46" s="93"/>
      <c r="P46" s="92">
        <v>4835</v>
      </c>
      <c r="Q46" s="92">
        <v>879</v>
      </c>
      <c r="R46" s="92"/>
      <c r="S46" s="97">
        <v>0</v>
      </c>
      <c r="T46" s="97">
        <v>72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3718</v>
      </c>
      <c r="F47" s="96" t="s">
        <v>3718</v>
      </c>
      <c r="G47" s="97">
        <v>5</v>
      </c>
      <c r="H47" s="96" t="s">
        <v>3801</v>
      </c>
      <c r="I47" s="96"/>
      <c r="J47" s="96" t="s">
        <v>3807</v>
      </c>
      <c r="K47" s="93" t="s">
        <v>3808</v>
      </c>
      <c r="L47" s="93"/>
      <c r="M47" s="93"/>
      <c r="N47" s="93"/>
      <c r="O47" s="93"/>
      <c r="P47" s="92">
        <v>8250</v>
      </c>
      <c r="Q47" s="92">
        <v>1500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3718</v>
      </c>
      <c r="F48" s="96" t="s">
        <v>3718</v>
      </c>
      <c r="G48" s="97">
        <v>8</v>
      </c>
      <c r="H48" s="96" t="s">
        <v>3801</v>
      </c>
      <c r="I48" s="96"/>
      <c r="J48" s="96" t="s">
        <v>3809</v>
      </c>
      <c r="K48" s="93" t="s">
        <v>3810</v>
      </c>
      <c r="L48" s="93"/>
      <c r="M48" s="93"/>
      <c r="N48" s="93"/>
      <c r="O48" s="93"/>
      <c r="P48" s="92">
        <v>4950</v>
      </c>
      <c r="Q48" s="92">
        <v>900</v>
      </c>
      <c r="R48" s="92"/>
      <c r="S48" s="97">
        <v>0</v>
      </c>
      <c r="T48" s="97">
        <v>114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3718</v>
      </c>
      <c r="F49" s="96" t="s">
        <v>3718</v>
      </c>
      <c r="G49" s="97">
        <v>2</v>
      </c>
      <c r="H49" s="96" t="s">
        <v>3801</v>
      </c>
      <c r="I49" s="96"/>
      <c r="J49" s="96" t="s">
        <v>3811</v>
      </c>
      <c r="K49" s="93" t="s">
        <v>3812</v>
      </c>
      <c r="L49" s="93"/>
      <c r="M49" s="93"/>
      <c r="N49" s="93"/>
      <c r="O49" s="93"/>
      <c r="P49" s="92">
        <v>6600</v>
      </c>
      <c r="Q49" s="92">
        <v>1200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3718</v>
      </c>
      <c r="F50" s="96" t="s">
        <v>3718</v>
      </c>
      <c r="G50" s="97">
        <v>9</v>
      </c>
      <c r="H50" s="96" t="s">
        <v>3801</v>
      </c>
      <c r="I50" s="96"/>
      <c r="J50" s="96" t="s">
        <v>3813</v>
      </c>
      <c r="K50" s="93" t="s">
        <v>3814</v>
      </c>
      <c r="L50" s="93"/>
      <c r="M50" s="93"/>
      <c r="N50" s="93"/>
      <c r="O50" s="93"/>
      <c r="P50" s="92">
        <v>4950</v>
      </c>
      <c r="Q50" s="92">
        <v>900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3718</v>
      </c>
      <c r="F51" s="96" t="s">
        <v>3718</v>
      </c>
      <c r="G51" s="97">
        <v>7</v>
      </c>
      <c r="H51" s="96" t="s">
        <v>3801</v>
      </c>
      <c r="I51" s="96"/>
      <c r="J51" s="96" t="s">
        <v>3815</v>
      </c>
      <c r="K51" s="93" t="s">
        <v>3816</v>
      </c>
      <c r="L51" s="93"/>
      <c r="M51" s="93"/>
      <c r="N51" s="93"/>
      <c r="O51" s="93"/>
      <c r="P51" s="92">
        <v>6050</v>
      </c>
      <c r="Q51" s="92">
        <v>1100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3718</v>
      </c>
      <c r="F52" s="96" t="s">
        <v>3817</v>
      </c>
      <c r="G52" s="97">
        <v>5</v>
      </c>
      <c r="H52" s="96">
        <v>0</v>
      </c>
      <c r="I52" s="96"/>
      <c r="J52" s="96" t="s">
        <v>3818</v>
      </c>
      <c r="K52" s="93" t="s">
        <v>3819</v>
      </c>
      <c r="L52" s="93"/>
      <c r="M52" s="93"/>
      <c r="N52" s="93"/>
      <c r="O52" s="93"/>
      <c r="P52" s="92">
        <v>4950</v>
      </c>
      <c r="Q52" s="92">
        <v>900</v>
      </c>
      <c r="R52" s="92"/>
      <c r="S52" s="97">
        <v>0</v>
      </c>
      <c r="T52" s="97">
        <v>163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3718</v>
      </c>
      <c r="F53" s="96" t="s">
        <v>3817</v>
      </c>
      <c r="G53" s="97">
        <v>2</v>
      </c>
      <c r="H53" s="96">
        <v>0</v>
      </c>
      <c r="I53" s="96"/>
      <c r="J53" s="96" t="s">
        <v>3820</v>
      </c>
      <c r="K53" s="93" t="s">
        <v>3817</v>
      </c>
      <c r="L53" s="93"/>
      <c r="M53" s="93"/>
      <c r="N53" s="93"/>
      <c r="O53" s="93"/>
      <c r="P53" s="92">
        <v>5429</v>
      </c>
      <c r="Q53" s="92">
        <v>987</v>
      </c>
      <c r="R53" s="92"/>
      <c r="S53" s="97">
        <v>20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3718</v>
      </c>
      <c r="F54" s="96" t="s">
        <v>3817</v>
      </c>
      <c r="G54" s="97">
        <v>3</v>
      </c>
      <c r="H54" s="96">
        <v>0</v>
      </c>
      <c r="I54" s="96"/>
      <c r="J54" s="96" t="s">
        <v>3821</v>
      </c>
      <c r="K54" s="93" t="s">
        <v>3822</v>
      </c>
      <c r="L54" s="93"/>
      <c r="M54" s="93"/>
      <c r="N54" s="93"/>
      <c r="O54" s="93"/>
      <c r="P54" s="92">
        <v>5390</v>
      </c>
      <c r="Q54" s="92">
        <v>980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3718</v>
      </c>
      <c r="F55" s="96" t="s">
        <v>3817</v>
      </c>
      <c r="G55" s="97">
        <v>1</v>
      </c>
      <c r="H55" s="96">
        <v>0</v>
      </c>
      <c r="I55" s="96"/>
      <c r="J55" s="96" t="s">
        <v>3823</v>
      </c>
      <c r="K55" s="93" t="s">
        <v>3824</v>
      </c>
      <c r="L55" s="93"/>
      <c r="M55" s="93"/>
      <c r="N55" s="93"/>
      <c r="O55" s="93"/>
      <c r="P55" s="92">
        <v>7150</v>
      </c>
      <c r="Q55" s="92">
        <v>1300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3718</v>
      </c>
      <c r="F56" s="96" t="s">
        <v>3825</v>
      </c>
      <c r="G56" s="97">
        <v>4</v>
      </c>
      <c r="H56" s="96" t="s">
        <v>3826</v>
      </c>
      <c r="I56" s="96"/>
      <c r="J56" s="96" t="s">
        <v>3827</v>
      </c>
      <c r="K56" s="93" t="s">
        <v>3828</v>
      </c>
      <c r="L56" s="93"/>
      <c r="M56" s="93"/>
      <c r="N56" s="93"/>
      <c r="O56" s="93"/>
      <c r="P56" s="92">
        <v>5720</v>
      </c>
      <c r="Q56" s="92">
        <v>1040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3718</v>
      </c>
      <c r="F57" s="96" t="s">
        <v>3825</v>
      </c>
      <c r="G57" s="97">
        <v>3</v>
      </c>
      <c r="H57" s="96" t="s">
        <v>3826</v>
      </c>
      <c r="I57" s="96"/>
      <c r="J57" s="96" t="s">
        <v>3829</v>
      </c>
      <c r="K57" s="93" t="s">
        <v>3830</v>
      </c>
      <c r="L57" s="93"/>
      <c r="M57" s="93"/>
      <c r="N57" s="93"/>
      <c r="O57" s="93"/>
      <c r="P57" s="92">
        <v>5115</v>
      </c>
      <c r="Q57" s="92">
        <v>930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3718</v>
      </c>
      <c r="F58" s="96" t="s">
        <v>3825</v>
      </c>
      <c r="G58" s="97">
        <v>5</v>
      </c>
      <c r="H58" s="96" t="s">
        <v>3831</v>
      </c>
      <c r="I58" s="96"/>
      <c r="J58" s="96" t="s">
        <v>3832</v>
      </c>
      <c r="K58" s="93" t="s">
        <v>3833</v>
      </c>
      <c r="L58" s="93"/>
      <c r="M58" s="93"/>
      <c r="N58" s="93"/>
      <c r="O58" s="93"/>
      <c r="P58" s="92">
        <v>4620</v>
      </c>
      <c r="Q58" s="92">
        <v>840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3718</v>
      </c>
      <c r="F59" s="96" t="s">
        <v>3825</v>
      </c>
      <c r="G59" s="97">
        <v>2</v>
      </c>
      <c r="H59" s="96" t="s">
        <v>3831</v>
      </c>
      <c r="I59" s="96"/>
      <c r="J59" s="96" t="s">
        <v>3834</v>
      </c>
      <c r="K59" s="93" t="s">
        <v>3835</v>
      </c>
      <c r="L59" s="93"/>
      <c r="M59" s="93"/>
      <c r="N59" s="93"/>
      <c r="O59" s="93"/>
      <c r="P59" s="92">
        <v>4860</v>
      </c>
      <c r="Q59" s="92">
        <v>520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3718</v>
      </c>
      <c r="F60" s="96" t="s">
        <v>3836</v>
      </c>
      <c r="G60" s="97">
        <v>1</v>
      </c>
      <c r="H60" s="96" t="s">
        <v>3837</v>
      </c>
      <c r="I60" s="96"/>
      <c r="J60" s="96" t="s">
        <v>3838</v>
      </c>
      <c r="K60" s="93" t="s">
        <v>3839</v>
      </c>
      <c r="L60" s="93"/>
      <c r="M60" s="93"/>
      <c r="N60" s="93"/>
      <c r="O60" s="93"/>
      <c r="P60" s="92">
        <v>4813</v>
      </c>
      <c r="Q60" s="92">
        <v>875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3718</v>
      </c>
      <c r="F61" s="96" t="s">
        <v>3836</v>
      </c>
      <c r="G61" s="97">
        <v>6</v>
      </c>
      <c r="H61" s="96" t="s">
        <v>3837</v>
      </c>
      <c r="I61" s="96"/>
      <c r="J61" s="96" t="s">
        <v>3840</v>
      </c>
      <c r="K61" s="93" t="s">
        <v>3841</v>
      </c>
      <c r="L61" s="93"/>
      <c r="M61" s="93"/>
      <c r="N61" s="93"/>
      <c r="O61" s="93"/>
      <c r="P61" s="92">
        <v>4565</v>
      </c>
      <c r="Q61" s="92">
        <v>830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3718</v>
      </c>
      <c r="F62" s="96" t="s">
        <v>3836</v>
      </c>
      <c r="G62" s="97">
        <v>4</v>
      </c>
      <c r="H62" s="96" t="s">
        <v>3837</v>
      </c>
      <c r="I62" s="96"/>
      <c r="J62" s="96" t="s">
        <v>3842</v>
      </c>
      <c r="K62" s="93" t="s">
        <v>3843</v>
      </c>
      <c r="L62" s="93"/>
      <c r="M62" s="93"/>
      <c r="N62" s="93"/>
      <c r="O62" s="93"/>
      <c r="P62" s="92">
        <v>3245</v>
      </c>
      <c r="Q62" s="92">
        <v>590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3718</v>
      </c>
      <c r="F63" s="96" t="s">
        <v>3844</v>
      </c>
      <c r="G63" s="97">
        <v>5</v>
      </c>
      <c r="H63" s="96" t="s">
        <v>3845</v>
      </c>
      <c r="I63" s="96"/>
      <c r="J63" s="96" t="s">
        <v>3846</v>
      </c>
      <c r="K63" s="93" t="s">
        <v>3847</v>
      </c>
      <c r="L63" s="93"/>
      <c r="M63" s="93"/>
      <c r="N63" s="93"/>
      <c r="O63" s="93"/>
      <c r="P63" s="92">
        <v>5253</v>
      </c>
      <c r="Q63" s="92">
        <v>955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3718</v>
      </c>
      <c r="F64" s="96" t="s">
        <v>3844</v>
      </c>
      <c r="G64" s="97">
        <v>8</v>
      </c>
      <c r="H64" s="96" t="s">
        <v>3845</v>
      </c>
      <c r="I64" s="96"/>
      <c r="J64" s="96" t="s">
        <v>3848</v>
      </c>
      <c r="K64" s="93" t="s">
        <v>3844</v>
      </c>
      <c r="L64" s="93"/>
      <c r="M64" s="93"/>
      <c r="N64" s="93"/>
      <c r="O64" s="93"/>
      <c r="P64" s="92">
        <v>4290</v>
      </c>
      <c r="Q64" s="92">
        <v>780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3718</v>
      </c>
      <c r="F65" s="96" t="s">
        <v>3844</v>
      </c>
      <c r="G65" s="97">
        <v>2</v>
      </c>
      <c r="H65" s="96" t="s">
        <v>3845</v>
      </c>
      <c r="I65" s="96"/>
      <c r="J65" s="96" t="s">
        <v>3849</v>
      </c>
      <c r="K65" s="93" t="s">
        <v>3850</v>
      </c>
      <c r="L65" s="93"/>
      <c r="M65" s="93"/>
      <c r="N65" s="93"/>
      <c r="O65" s="93"/>
      <c r="P65" s="92">
        <v>4895</v>
      </c>
      <c r="Q65" s="92">
        <v>890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3718</v>
      </c>
      <c r="F66" s="96" t="s">
        <v>3851</v>
      </c>
      <c r="G66" s="97">
        <v>9</v>
      </c>
      <c r="H66" s="96" t="s">
        <v>3852</v>
      </c>
      <c r="I66" s="96"/>
      <c r="J66" s="96" t="s">
        <v>3853</v>
      </c>
      <c r="K66" s="93" t="s">
        <v>3854</v>
      </c>
      <c r="L66" s="93"/>
      <c r="M66" s="93"/>
      <c r="N66" s="93"/>
      <c r="O66" s="93"/>
      <c r="P66" s="92">
        <v>8100</v>
      </c>
      <c r="Q66" s="92">
        <v>830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3718</v>
      </c>
      <c r="F67" s="96" t="s">
        <v>3851</v>
      </c>
      <c r="G67" s="97">
        <v>7</v>
      </c>
      <c r="H67" s="96" t="s">
        <v>3852</v>
      </c>
      <c r="I67" s="96"/>
      <c r="J67" s="96" t="s">
        <v>3855</v>
      </c>
      <c r="K67" s="93" t="s">
        <v>3856</v>
      </c>
      <c r="L67" s="93"/>
      <c r="M67" s="93"/>
      <c r="N67" s="93"/>
      <c r="O67" s="93"/>
      <c r="P67" s="92">
        <v>4950</v>
      </c>
      <c r="Q67" s="92">
        <v>590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3718</v>
      </c>
      <c r="F68" s="96" t="s">
        <v>3851</v>
      </c>
      <c r="G68" s="97">
        <v>1</v>
      </c>
      <c r="H68" s="96" t="s">
        <v>3852</v>
      </c>
      <c r="I68" s="96"/>
      <c r="J68" s="96" t="s">
        <v>3857</v>
      </c>
      <c r="K68" s="93" t="s">
        <v>3858</v>
      </c>
      <c r="L68" s="93"/>
      <c r="M68" s="93"/>
      <c r="N68" s="93"/>
      <c r="O68" s="93"/>
      <c r="P68" s="92">
        <v>4950</v>
      </c>
      <c r="Q68" s="92">
        <v>470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3718</v>
      </c>
      <c r="F69" s="96" t="s">
        <v>3851</v>
      </c>
      <c r="G69" s="97">
        <v>6</v>
      </c>
      <c r="H69" s="96" t="s">
        <v>3852</v>
      </c>
      <c r="I69" s="96"/>
      <c r="J69" s="96" t="s">
        <v>3859</v>
      </c>
      <c r="K69" s="93" t="s">
        <v>3851</v>
      </c>
      <c r="L69" s="93"/>
      <c r="M69" s="93"/>
      <c r="N69" s="93"/>
      <c r="O69" s="93"/>
      <c r="P69" s="92">
        <v>4950</v>
      </c>
      <c r="Q69" s="92">
        <v>580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3718</v>
      </c>
      <c r="F70" s="96" t="s">
        <v>3851</v>
      </c>
      <c r="G70" s="97">
        <v>4</v>
      </c>
      <c r="H70" s="96" t="s">
        <v>3852</v>
      </c>
      <c r="I70" s="96"/>
      <c r="J70" s="96" t="s">
        <v>3860</v>
      </c>
      <c r="K70" s="93" t="s">
        <v>3861</v>
      </c>
      <c r="L70" s="93"/>
      <c r="M70" s="93"/>
      <c r="N70" s="93"/>
      <c r="O70" s="93"/>
      <c r="P70" s="92">
        <v>4945</v>
      </c>
      <c r="Q70" s="92">
        <v>890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3718</v>
      </c>
      <c r="F71" s="96" t="s">
        <v>3851</v>
      </c>
      <c r="G71" s="97">
        <v>5</v>
      </c>
      <c r="H71" s="96" t="s">
        <v>3852</v>
      </c>
      <c r="I71" s="96"/>
      <c r="J71" s="96" t="s">
        <v>3862</v>
      </c>
      <c r="K71" s="93" t="s">
        <v>3863</v>
      </c>
      <c r="L71" s="93"/>
      <c r="M71" s="93"/>
      <c r="N71" s="93"/>
      <c r="O71" s="93"/>
      <c r="P71" s="92">
        <v>4950</v>
      </c>
      <c r="Q71" s="92">
        <v>645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3718</v>
      </c>
      <c r="F72" s="96" t="s">
        <v>3851</v>
      </c>
      <c r="G72" s="97">
        <v>8</v>
      </c>
      <c r="H72" s="96" t="s">
        <v>3852</v>
      </c>
      <c r="I72" s="96"/>
      <c r="J72" s="96" t="s">
        <v>3864</v>
      </c>
      <c r="K72" s="93" t="s">
        <v>3865</v>
      </c>
      <c r="L72" s="93"/>
      <c r="M72" s="93"/>
      <c r="N72" s="93"/>
      <c r="O72" s="93"/>
      <c r="P72" s="92">
        <v>3117</v>
      </c>
      <c r="Q72" s="92">
        <v>830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3718</v>
      </c>
      <c r="F73" s="96" t="s">
        <v>3851</v>
      </c>
      <c r="G73" s="97">
        <v>2</v>
      </c>
      <c r="H73" s="96" t="s">
        <v>3852</v>
      </c>
      <c r="I73" s="96"/>
      <c r="J73" s="96" t="s">
        <v>3866</v>
      </c>
      <c r="K73" s="93" t="s">
        <v>3867</v>
      </c>
      <c r="L73" s="93"/>
      <c r="M73" s="93"/>
      <c r="N73" s="93"/>
      <c r="O73" s="93"/>
      <c r="P73" s="92">
        <v>4950</v>
      </c>
      <c r="Q73" s="92">
        <v>590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3718</v>
      </c>
      <c r="F74" s="96" t="s">
        <v>3851</v>
      </c>
      <c r="G74" s="97">
        <v>9</v>
      </c>
      <c r="H74" s="96" t="s">
        <v>3852</v>
      </c>
      <c r="I74" s="96"/>
      <c r="J74" s="96" t="s">
        <v>3868</v>
      </c>
      <c r="K74" s="93" t="s">
        <v>3869</v>
      </c>
      <c r="L74" s="93"/>
      <c r="M74" s="93"/>
      <c r="N74" s="93"/>
      <c r="O74" s="93"/>
      <c r="P74" s="92">
        <v>5495</v>
      </c>
      <c r="Q74" s="92">
        <v>470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3718</v>
      </c>
      <c r="F75" s="96" t="s">
        <v>3870</v>
      </c>
      <c r="G75" s="97">
        <v>7</v>
      </c>
      <c r="H75" s="96" t="s">
        <v>3871</v>
      </c>
      <c r="I75" s="96"/>
      <c r="J75" s="96" t="s">
        <v>3872</v>
      </c>
      <c r="K75" s="93" t="s">
        <v>3873</v>
      </c>
      <c r="L75" s="93"/>
      <c r="M75" s="93"/>
      <c r="N75" s="93"/>
      <c r="O75" s="93"/>
      <c r="P75" s="92">
        <v>4950</v>
      </c>
      <c r="Q75" s="92">
        <v>580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3718</v>
      </c>
      <c r="F76" s="96" t="s">
        <v>3870</v>
      </c>
      <c r="G76" s="97">
        <v>1</v>
      </c>
      <c r="H76" s="96" t="s">
        <v>3871</v>
      </c>
      <c r="I76" s="96"/>
      <c r="J76" s="96" t="s">
        <v>3874</v>
      </c>
      <c r="K76" s="93" t="s">
        <v>3870</v>
      </c>
      <c r="L76" s="93"/>
      <c r="M76" s="93"/>
      <c r="N76" s="93"/>
      <c r="O76" s="93"/>
      <c r="P76" s="92">
        <v>4950</v>
      </c>
      <c r="Q76" s="92">
        <v>890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3718</v>
      </c>
      <c r="F77" s="96" t="s">
        <v>3875</v>
      </c>
      <c r="G77" s="97">
        <v>6</v>
      </c>
      <c r="H77" s="96">
        <v>0</v>
      </c>
      <c r="I77" s="96"/>
      <c r="J77" s="96" t="s">
        <v>3876</v>
      </c>
      <c r="K77" s="93" t="s">
        <v>3875</v>
      </c>
      <c r="L77" s="93"/>
      <c r="M77" s="93"/>
      <c r="N77" s="93"/>
      <c r="O77" s="93"/>
      <c r="P77" s="92">
        <v>4950</v>
      </c>
      <c r="Q77" s="92">
        <v>645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3718</v>
      </c>
      <c r="F78" s="96" t="s">
        <v>3875</v>
      </c>
      <c r="G78" s="97">
        <v>4</v>
      </c>
      <c r="H78" s="96">
        <v>0</v>
      </c>
      <c r="I78" s="96"/>
      <c r="J78" s="96" t="s">
        <v>3877</v>
      </c>
      <c r="K78" s="93" t="s">
        <v>3878</v>
      </c>
      <c r="L78" s="93"/>
      <c r="M78" s="93"/>
      <c r="N78" s="93"/>
      <c r="O78" s="93"/>
      <c r="P78" s="92">
        <v>7890</v>
      </c>
      <c r="Q78" s="92">
        <v>830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3718</v>
      </c>
      <c r="F79" s="96" t="s">
        <v>3875</v>
      </c>
      <c r="G79" s="97">
        <v>5</v>
      </c>
      <c r="H79" s="96">
        <v>0</v>
      </c>
      <c r="I79" s="96"/>
      <c r="J79" s="96" t="s">
        <v>3879</v>
      </c>
      <c r="K79" s="93" t="s">
        <v>3880</v>
      </c>
      <c r="L79" s="93"/>
      <c r="M79" s="93"/>
      <c r="N79" s="93"/>
      <c r="O79" s="93"/>
      <c r="P79" s="92">
        <v>5390</v>
      </c>
      <c r="Q79" s="92">
        <v>590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3718</v>
      </c>
      <c r="F80" s="96" t="s">
        <v>2773</v>
      </c>
      <c r="G80" s="97">
        <v>8</v>
      </c>
      <c r="H80" s="96">
        <v>0</v>
      </c>
      <c r="I80" s="96"/>
      <c r="J80" s="96" t="s">
        <v>3881</v>
      </c>
      <c r="K80" s="93" t="s">
        <v>3882</v>
      </c>
      <c r="L80" s="93"/>
      <c r="M80" s="93"/>
      <c r="N80" s="93"/>
      <c r="O80" s="93"/>
      <c r="P80" s="92">
        <v>4860</v>
      </c>
      <c r="Q80" s="92">
        <v>470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3718</v>
      </c>
      <c r="F81" s="96" t="s">
        <v>2773</v>
      </c>
      <c r="G81" s="97">
        <v>2</v>
      </c>
      <c r="H81" s="96">
        <v>0</v>
      </c>
      <c r="I81" s="96"/>
      <c r="J81" s="96" t="s">
        <v>3883</v>
      </c>
      <c r="K81" s="93" t="s">
        <v>3884</v>
      </c>
      <c r="L81" s="93"/>
      <c r="M81" s="93"/>
      <c r="N81" s="93"/>
      <c r="O81" s="93"/>
      <c r="P81" s="92">
        <v>4813</v>
      </c>
      <c r="Q81" s="92">
        <v>580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3718</v>
      </c>
      <c r="F82" s="96" t="s">
        <v>2773</v>
      </c>
      <c r="G82" s="97">
        <v>9</v>
      </c>
      <c r="H82" s="96">
        <v>0</v>
      </c>
      <c r="I82" s="96"/>
      <c r="J82" s="96" t="s">
        <v>3885</v>
      </c>
      <c r="K82" s="93" t="s">
        <v>3886</v>
      </c>
      <c r="L82" s="93"/>
      <c r="M82" s="93"/>
      <c r="N82" s="93"/>
      <c r="O82" s="93"/>
      <c r="P82" s="92">
        <v>4565</v>
      </c>
      <c r="Q82" s="92">
        <v>890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</sheetData>
  <mergeCells count="3">
    <mergeCell ref="G1:G2"/>
    <mergeCell ref="A5:D5"/>
    <mergeCell ref="U5:AF5"/>
  </mergeCells>
  <conditionalFormatting sqref="M7:M82">
    <cfRule type="duplicateValues" dxfId="2" priority="9"/>
  </conditionalFormatting>
  <dataValidations count="1">
    <dataValidation type="list" allowBlank="1" showInputMessage="1" showErrorMessage="1" sqref="E7:E82">
      <formula1>INDIRECT($B7)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"/>
  <sheetViews>
    <sheetView workbookViewId="0">
      <pane xSplit="12" ySplit="6" topLeftCell="U7" activePane="bottomRight" state="frozen"/>
      <selection pane="topRight" activeCell="M1" sqref="M1"/>
      <selection pane="bottomLeft" activeCell="A6" sqref="A6"/>
      <selection pane="bottomRight" activeCell="U5" sqref="U5:AF5"/>
    </sheetView>
  </sheetViews>
  <sheetFormatPr defaultRowHeight="14.4" x14ac:dyDescent="0.3"/>
  <cols>
    <col min="2" max="2" width="12.44140625" customWidth="1"/>
    <col min="3" max="3" width="14.5546875" customWidth="1"/>
    <col min="4" max="4" width="12.88671875" customWidth="1"/>
    <col min="8" max="8" width="17.88671875" customWidth="1"/>
    <col min="11" max="11" width="26.5546875" customWidth="1"/>
    <col min="12" max="12" width="16.10937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COUNTIF(I7:I276,"SK(H)")</f>
        <v>0</v>
      </c>
      <c r="J1" s="50" t="s">
        <v>1</v>
      </c>
      <c r="K1" s="50">
        <f>COUNTA(J7:J292)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COUNTIF(I7:I277,"SHW(H)")</f>
        <v>0</v>
      </c>
      <c r="J2" s="50" t="s">
        <v>5</v>
      </c>
      <c r="K2" s="50">
        <f>COUNTA(K7:K76)</f>
        <v>70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7</v>
      </c>
      <c r="B5" s="114"/>
      <c r="C5" s="114"/>
      <c r="D5" s="114"/>
      <c r="E5" s="80" t="s">
        <v>3887</v>
      </c>
      <c r="F5" s="80"/>
      <c r="G5" s="80"/>
      <c r="H5" s="2"/>
      <c r="I5" s="1"/>
      <c r="J5" s="1"/>
      <c r="K5" s="15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82.8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3887</v>
      </c>
      <c r="F7" s="91" t="s">
        <v>3888</v>
      </c>
      <c r="G7" s="92">
        <v>5</v>
      </c>
      <c r="H7" s="91" t="s">
        <v>3889</v>
      </c>
      <c r="I7" s="91"/>
      <c r="J7" s="91"/>
      <c r="K7" s="93" t="s">
        <v>3890</v>
      </c>
      <c r="L7" s="93"/>
      <c r="M7" s="93"/>
      <c r="N7" s="93"/>
      <c r="O7" s="93"/>
      <c r="P7" s="92">
        <v>1015</v>
      </c>
      <c r="Q7" s="92">
        <v>239</v>
      </c>
      <c r="R7" s="94"/>
      <c r="S7" s="95">
        <v>55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3887</v>
      </c>
      <c r="F8" s="91" t="s">
        <v>3888</v>
      </c>
      <c r="G8" s="92">
        <v>6</v>
      </c>
      <c r="H8" s="91" t="s">
        <v>3889</v>
      </c>
      <c r="I8" s="91"/>
      <c r="J8" s="96"/>
      <c r="K8" s="93" t="s">
        <v>3891</v>
      </c>
      <c r="L8" s="93"/>
      <c r="M8" s="93"/>
      <c r="N8" s="93"/>
      <c r="O8" s="93"/>
      <c r="P8" s="92">
        <v>1012</v>
      </c>
      <c r="Q8" s="92">
        <v>302</v>
      </c>
      <c r="R8" s="92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3887</v>
      </c>
      <c r="F9" s="91" t="s">
        <v>3888</v>
      </c>
      <c r="G9" s="92">
        <v>9</v>
      </c>
      <c r="H9" s="91" t="s">
        <v>3889</v>
      </c>
      <c r="I9" s="91"/>
      <c r="J9" s="96"/>
      <c r="K9" s="93" t="s">
        <v>3892</v>
      </c>
      <c r="L9" s="93"/>
      <c r="M9" s="93"/>
      <c r="N9" s="93"/>
      <c r="O9" s="93"/>
      <c r="P9" s="92">
        <v>725</v>
      </c>
      <c r="Q9" s="92">
        <v>142</v>
      </c>
      <c r="R9" s="92"/>
      <c r="S9" s="97"/>
      <c r="T9" s="97">
        <v>600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3887</v>
      </c>
      <c r="F10" s="91" t="s">
        <v>3888</v>
      </c>
      <c r="G10" s="92">
        <v>8</v>
      </c>
      <c r="H10" s="91" t="s">
        <v>3889</v>
      </c>
      <c r="I10" s="91"/>
      <c r="J10" s="96"/>
      <c r="K10" s="93" t="s">
        <v>3893</v>
      </c>
      <c r="L10" s="93"/>
      <c r="M10" s="93"/>
      <c r="N10" s="93"/>
      <c r="O10" s="93"/>
      <c r="P10" s="92">
        <v>1325</v>
      </c>
      <c r="Q10" s="92">
        <v>326</v>
      </c>
      <c r="R10" s="92"/>
      <c r="S10" s="97"/>
      <c r="T10" s="97">
        <v>1000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3887</v>
      </c>
      <c r="F11" s="91" t="s">
        <v>3894</v>
      </c>
      <c r="G11" s="92">
        <v>7</v>
      </c>
      <c r="H11" s="91" t="s">
        <v>3895</v>
      </c>
      <c r="I11" s="91"/>
      <c r="J11" s="96"/>
      <c r="K11" s="93" t="s">
        <v>3896</v>
      </c>
      <c r="L11" s="93"/>
      <c r="M11" s="93"/>
      <c r="N11" s="93"/>
      <c r="O11" s="93"/>
      <c r="P11" s="92">
        <v>1508</v>
      </c>
      <c r="Q11" s="92">
        <v>405</v>
      </c>
      <c r="R11" s="92"/>
      <c r="S11" s="97"/>
      <c r="T11" s="97">
        <v>1800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3887</v>
      </c>
      <c r="F12" s="91" t="s">
        <v>3894</v>
      </c>
      <c r="G12" s="92">
        <v>2</v>
      </c>
      <c r="H12" s="96" t="s">
        <v>3897</v>
      </c>
      <c r="I12" s="96"/>
      <c r="J12" s="96"/>
      <c r="K12" s="93" t="s">
        <v>3898</v>
      </c>
      <c r="L12" s="93"/>
      <c r="M12" s="93"/>
      <c r="N12" s="93"/>
      <c r="O12" s="93"/>
      <c r="P12" s="92">
        <v>1159</v>
      </c>
      <c r="Q12" s="92">
        <v>306</v>
      </c>
      <c r="R12" s="92"/>
      <c r="S12" s="97">
        <v>0</v>
      </c>
      <c r="T12" s="97">
        <v>1350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3887</v>
      </c>
      <c r="F13" s="91" t="s">
        <v>3894</v>
      </c>
      <c r="G13" s="92">
        <v>9</v>
      </c>
      <c r="H13" s="96" t="s">
        <v>3895</v>
      </c>
      <c r="I13" s="96"/>
      <c r="J13" s="96"/>
      <c r="K13" s="93" t="s">
        <v>3899</v>
      </c>
      <c r="L13" s="93"/>
      <c r="M13" s="93"/>
      <c r="N13" s="93"/>
      <c r="O13" s="93"/>
      <c r="P13" s="92">
        <v>489</v>
      </c>
      <c r="Q13" s="92">
        <v>119</v>
      </c>
      <c r="R13" s="92"/>
      <c r="S13" s="97"/>
      <c r="T13" s="97">
        <v>500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3887</v>
      </c>
      <c r="F14" s="91" t="s">
        <v>3894</v>
      </c>
      <c r="G14" s="92">
        <v>7</v>
      </c>
      <c r="H14" s="96" t="s">
        <v>3895</v>
      </c>
      <c r="I14" s="96"/>
      <c r="J14" s="96"/>
      <c r="K14" s="93" t="s">
        <v>3900</v>
      </c>
      <c r="L14" s="93"/>
      <c r="M14" s="93"/>
      <c r="N14" s="93"/>
      <c r="O14" s="93"/>
      <c r="P14" s="92">
        <v>502</v>
      </c>
      <c r="Q14" s="92">
        <v>122</v>
      </c>
      <c r="R14" s="92"/>
      <c r="S14" s="97">
        <v>120</v>
      </c>
      <c r="T14" s="97">
        <v>500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3887</v>
      </c>
      <c r="F15" s="91" t="s">
        <v>3894</v>
      </c>
      <c r="G15" s="92">
        <v>3</v>
      </c>
      <c r="H15" s="96" t="s">
        <v>3897</v>
      </c>
      <c r="I15" s="96"/>
      <c r="J15" s="96"/>
      <c r="K15" s="93" t="s">
        <v>3901</v>
      </c>
      <c r="L15" s="93"/>
      <c r="M15" s="93"/>
      <c r="N15" s="93"/>
      <c r="O15" s="93"/>
      <c r="P15" s="92">
        <v>589</v>
      </c>
      <c r="Q15" s="92">
        <v>149</v>
      </c>
      <c r="R15" s="92"/>
      <c r="S15" s="97"/>
      <c r="T15" s="97">
        <v>652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3887</v>
      </c>
      <c r="F16" s="91" t="s">
        <v>3894</v>
      </c>
      <c r="G16" s="92">
        <v>3</v>
      </c>
      <c r="H16" s="96" t="s">
        <v>3897</v>
      </c>
      <c r="I16" s="96"/>
      <c r="J16" s="96"/>
      <c r="K16" s="93" t="s">
        <v>3902</v>
      </c>
      <c r="L16" s="93"/>
      <c r="M16" s="93"/>
      <c r="N16" s="93"/>
      <c r="O16" s="93"/>
      <c r="P16" s="92">
        <v>988</v>
      </c>
      <c r="Q16" s="92">
        <v>250</v>
      </c>
      <c r="R16" s="92"/>
      <c r="S16" s="97"/>
      <c r="T16" s="97">
        <v>620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3887</v>
      </c>
      <c r="F17" s="91" t="s">
        <v>3903</v>
      </c>
      <c r="G17" s="92">
        <v>2</v>
      </c>
      <c r="H17" s="96" t="s">
        <v>3030</v>
      </c>
      <c r="I17" s="96"/>
      <c r="J17" s="96"/>
      <c r="K17" s="93" t="s">
        <v>3904</v>
      </c>
      <c r="L17" s="93"/>
      <c r="M17" s="93"/>
      <c r="N17" s="93"/>
      <c r="O17" s="93"/>
      <c r="P17" s="92">
        <v>2715</v>
      </c>
      <c r="Q17" s="92">
        <v>654</v>
      </c>
      <c r="R17" s="92"/>
      <c r="S17" s="97"/>
      <c r="T17" s="97">
        <v>1100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3887</v>
      </c>
      <c r="F18" s="91" t="s">
        <v>3903</v>
      </c>
      <c r="G18" s="92">
        <v>8</v>
      </c>
      <c r="H18" s="96" t="s">
        <v>3030</v>
      </c>
      <c r="I18" s="96"/>
      <c r="J18" s="96"/>
      <c r="K18" s="93" t="s">
        <v>3905</v>
      </c>
      <c r="L18" s="93"/>
      <c r="M18" s="93"/>
      <c r="N18" s="93"/>
      <c r="O18" s="93"/>
      <c r="P18" s="92">
        <v>2875</v>
      </c>
      <c r="Q18" s="92">
        <v>689</v>
      </c>
      <c r="R18" s="92"/>
      <c r="S18" s="97"/>
      <c r="T18" s="97">
        <v>1750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3887</v>
      </c>
      <c r="F19" s="91" t="s">
        <v>3903</v>
      </c>
      <c r="G19" s="92">
        <v>6</v>
      </c>
      <c r="H19" s="96" t="s">
        <v>3030</v>
      </c>
      <c r="I19" s="96"/>
      <c r="J19" s="96"/>
      <c r="K19" s="93" t="s">
        <v>3899</v>
      </c>
      <c r="L19" s="93"/>
      <c r="M19" s="93"/>
      <c r="N19" s="93"/>
      <c r="O19" s="93"/>
      <c r="P19" s="92">
        <v>458</v>
      </c>
      <c r="Q19" s="92">
        <v>115</v>
      </c>
      <c r="R19" s="92"/>
      <c r="S19" s="97"/>
      <c r="T19" s="97">
        <v>450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3887</v>
      </c>
      <c r="F20" s="91" t="s">
        <v>3903</v>
      </c>
      <c r="G20" s="92">
        <v>6</v>
      </c>
      <c r="H20" s="96" t="s">
        <v>3030</v>
      </c>
      <c r="I20" s="96"/>
      <c r="J20" s="96"/>
      <c r="K20" s="93" t="s">
        <v>3906</v>
      </c>
      <c r="L20" s="93"/>
      <c r="M20" s="93"/>
      <c r="N20" s="93"/>
      <c r="O20" s="93"/>
      <c r="P20" s="92">
        <v>788</v>
      </c>
      <c r="Q20" s="92">
        <v>196</v>
      </c>
      <c r="R20" s="92"/>
      <c r="S20" s="97">
        <v>125</v>
      </c>
      <c r="T20" s="97">
        <v>510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3887</v>
      </c>
      <c r="F21" s="91" t="s">
        <v>3903</v>
      </c>
      <c r="G21" s="97">
        <v>3</v>
      </c>
      <c r="H21" s="96" t="s">
        <v>3030</v>
      </c>
      <c r="I21" s="96"/>
      <c r="J21" s="96"/>
      <c r="K21" s="93" t="s">
        <v>3907</v>
      </c>
      <c r="L21" s="93"/>
      <c r="M21" s="93"/>
      <c r="N21" s="93"/>
      <c r="O21" s="93"/>
      <c r="P21" s="92">
        <v>2425</v>
      </c>
      <c r="Q21" s="92">
        <v>625</v>
      </c>
      <c r="R21" s="92"/>
      <c r="S21" s="97">
        <v>142</v>
      </c>
      <c r="T21" s="97">
        <v>1400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3887</v>
      </c>
      <c r="F22" s="91" t="s">
        <v>3903</v>
      </c>
      <c r="G22" s="92">
        <v>1</v>
      </c>
      <c r="H22" s="96" t="s">
        <v>3030</v>
      </c>
      <c r="I22" s="96"/>
      <c r="J22" s="96"/>
      <c r="K22" s="93" t="s">
        <v>3908</v>
      </c>
      <c r="L22" s="93"/>
      <c r="M22" s="93"/>
      <c r="N22" s="93"/>
      <c r="O22" s="93"/>
      <c r="P22" s="92">
        <v>1859</v>
      </c>
      <c r="Q22" s="92">
        <v>497</v>
      </c>
      <c r="R22" s="92"/>
      <c r="S22" s="97">
        <v>400</v>
      </c>
      <c r="T22" s="97">
        <v>1500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3887</v>
      </c>
      <c r="F23" s="91" t="s">
        <v>3903</v>
      </c>
      <c r="G23" s="92">
        <v>9</v>
      </c>
      <c r="H23" s="96" t="s">
        <v>3909</v>
      </c>
      <c r="I23" s="96"/>
      <c r="J23" s="96"/>
      <c r="K23" s="93" t="s">
        <v>3910</v>
      </c>
      <c r="L23" s="93"/>
      <c r="M23" s="93"/>
      <c r="N23" s="93"/>
      <c r="O23" s="93"/>
      <c r="P23" s="92">
        <v>1012</v>
      </c>
      <c r="Q23" s="92">
        <v>259</v>
      </c>
      <c r="R23" s="92"/>
      <c r="S23" s="97"/>
      <c r="T23" s="97">
        <v>1150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3887</v>
      </c>
      <c r="F24" s="91" t="s">
        <v>3911</v>
      </c>
      <c r="G24" s="92">
        <v>6</v>
      </c>
      <c r="H24" s="96"/>
      <c r="I24" s="96"/>
      <c r="J24" s="96"/>
      <c r="K24" s="93" t="s">
        <v>3912</v>
      </c>
      <c r="L24" s="93"/>
      <c r="M24" s="93"/>
      <c r="N24" s="93"/>
      <c r="O24" s="93"/>
      <c r="P24" s="92">
        <v>682</v>
      </c>
      <c r="Q24" s="92">
        <v>179</v>
      </c>
      <c r="R24" s="92"/>
      <c r="S24" s="97"/>
      <c r="T24" s="97">
        <v>770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3887</v>
      </c>
      <c r="F25" s="91" t="s">
        <v>3911</v>
      </c>
      <c r="G25" s="97">
        <v>1</v>
      </c>
      <c r="H25" s="96"/>
      <c r="I25" s="96"/>
      <c r="J25" s="96"/>
      <c r="K25" s="93" t="s">
        <v>3913</v>
      </c>
      <c r="L25" s="93"/>
      <c r="M25" s="93"/>
      <c r="N25" s="93"/>
      <c r="O25" s="93"/>
      <c r="P25" s="92">
        <v>1515</v>
      </c>
      <c r="Q25" s="92">
        <v>426</v>
      </c>
      <c r="R25" s="92"/>
      <c r="S25" s="97"/>
      <c r="T25" s="97">
        <v>1100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3887</v>
      </c>
      <c r="F26" s="91" t="s">
        <v>3911</v>
      </c>
      <c r="G26" s="97">
        <v>2</v>
      </c>
      <c r="H26" s="96"/>
      <c r="I26" s="96"/>
      <c r="J26" s="96"/>
      <c r="K26" s="93" t="s">
        <v>3914</v>
      </c>
      <c r="L26" s="93"/>
      <c r="M26" s="93"/>
      <c r="N26" s="93"/>
      <c r="O26" s="93"/>
      <c r="P26" s="92">
        <v>988</v>
      </c>
      <c r="Q26" s="92">
        <v>251</v>
      </c>
      <c r="R26" s="92"/>
      <c r="S26" s="97"/>
      <c r="T26" s="97">
        <v>1100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3887</v>
      </c>
      <c r="F27" s="91" t="s">
        <v>3911</v>
      </c>
      <c r="G27" s="97">
        <v>9</v>
      </c>
      <c r="H27" s="96"/>
      <c r="I27" s="96"/>
      <c r="J27" s="96"/>
      <c r="K27" s="93" t="s">
        <v>3915</v>
      </c>
      <c r="L27" s="93"/>
      <c r="M27" s="93"/>
      <c r="N27" s="93"/>
      <c r="O27" s="93"/>
      <c r="P27" s="92">
        <v>890</v>
      </c>
      <c r="Q27" s="92">
        <v>205</v>
      </c>
      <c r="R27" s="92"/>
      <c r="S27" s="97"/>
      <c r="T27" s="97">
        <v>900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3887</v>
      </c>
      <c r="F28" s="91" t="s">
        <v>3916</v>
      </c>
      <c r="G28" s="97">
        <v>4</v>
      </c>
      <c r="H28" s="96" t="s">
        <v>2809</v>
      </c>
      <c r="I28" s="96"/>
      <c r="J28" s="96"/>
      <c r="K28" s="93" t="s">
        <v>3917</v>
      </c>
      <c r="L28" s="93"/>
      <c r="M28" s="93"/>
      <c r="N28" s="93"/>
      <c r="O28" s="93"/>
      <c r="P28" s="92">
        <v>1014</v>
      </c>
      <c r="Q28" s="92">
        <v>296</v>
      </c>
      <c r="R28" s="92"/>
      <c r="S28" s="97"/>
      <c r="T28" s="97">
        <v>1300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3887</v>
      </c>
      <c r="F29" s="91" t="s">
        <v>3916</v>
      </c>
      <c r="G29" s="97">
        <v>3</v>
      </c>
      <c r="H29" s="96" t="s">
        <v>2809</v>
      </c>
      <c r="I29" s="96"/>
      <c r="J29" s="96"/>
      <c r="K29" s="93" t="s">
        <v>3918</v>
      </c>
      <c r="L29" s="93"/>
      <c r="M29" s="93"/>
      <c r="N29" s="93"/>
      <c r="O29" s="93"/>
      <c r="P29" s="92">
        <v>1098</v>
      </c>
      <c r="Q29" s="92">
        <v>252</v>
      </c>
      <c r="R29" s="92"/>
      <c r="S29" s="97"/>
      <c r="T29" s="97">
        <v>1000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3887</v>
      </c>
      <c r="F30" s="91" t="s">
        <v>3919</v>
      </c>
      <c r="G30" s="97">
        <v>9</v>
      </c>
      <c r="H30" s="96"/>
      <c r="I30" s="96"/>
      <c r="J30" s="96"/>
      <c r="K30" s="93" t="s">
        <v>3920</v>
      </c>
      <c r="L30" s="93"/>
      <c r="M30" s="93"/>
      <c r="N30" s="93"/>
      <c r="O30" s="93"/>
      <c r="P30" s="92">
        <v>678</v>
      </c>
      <c r="Q30" s="92">
        <v>159</v>
      </c>
      <c r="R30" s="92"/>
      <c r="S30" s="97"/>
      <c r="T30" s="97">
        <v>690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3887</v>
      </c>
      <c r="F31" s="91" t="s">
        <v>3921</v>
      </c>
      <c r="G31" s="97">
        <v>8</v>
      </c>
      <c r="H31" s="96" t="s">
        <v>3922</v>
      </c>
      <c r="I31" s="96"/>
      <c r="J31" s="96"/>
      <c r="K31" s="93" t="s">
        <v>55</v>
      </c>
      <c r="L31" s="93"/>
      <c r="M31" s="93"/>
      <c r="N31" s="93"/>
      <c r="O31" s="93"/>
      <c r="P31" s="92">
        <v>728</v>
      </c>
      <c r="Q31" s="92">
        <v>162</v>
      </c>
      <c r="R31" s="92"/>
      <c r="S31" s="97">
        <v>120</v>
      </c>
      <c r="T31" s="97">
        <v>700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3887</v>
      </c>
      <c r="F32" s="96" t="s">
        <v>3921</v>
      </c>
      <c r="G32" s="97">
        <v>7</v>
      </c>
      <c r="H32" s="96" t="s">
        <v>3922</v>
      </c>
      <c r="I32" s="96"/>
      <c r="J32" s="96"/>
      <c r="K32" s="93" t="s">
        <v>981</v>
      </c>
      <c r="L32" s="93"/>
      <c r="M32" s="93"/>
      <c r="N32" s="93"/>
      <c r="O32" s="93"/>
      <c r="P32" s="92">
        <v>602</v>
      </c>
      <c r="Q32" s="92">
        <v>144</v>
      </c>
      <c r="R32" s="92"/>
      <c r="S32" s="97"/>
      <c r="T32" s="97">
        <v>600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3887</v>
      </c>
      <c r="F33" s="96" t="s">
        <v>3923</v>
      </c>
      <c r="G33" s="97">
        <v>1</v>
      </c>
      <c r="H33" s="96" t="s">
        <v>3924</v>
      </c>
      <c r="I33" s="96"/>
      <c r="J33" s="96"/>
      <c r="K33" s="93" t="s">
        <v>3925</v>
      </c>
      <c r="L33" s="93"/>
      <c r="M33" s="93"/>
      <c r="N33" s="93"/>
      <c r="O33" s="93"/>
      <c r="P33" s="92">
        <v>1728</v>
      </c>
      <c r="Q33" s="92">
        <v>485</v>
      </c>
      <c r="R33" s="92"/>
      <c r="S33" s="97"/>
      <c r="T33" s="97">
        <v>2150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3887</v>
      </c>
      <c r="F34" s="96" t="s">
        <v>3887</v>
      </c>
      <c r="G34" s="97">
        <v>9</v>
      </c>
      <c r="H34" s="96"/>
      <c r="I34" s="96"/>
      <c r="J34" s="96"/>
      <c r="K34" s="93" t="s">
        <v>3926</v>
      </c>
      <c r="L34" s="93"/>
      <c r="M34" s="93"/>
      <c r="N34" s="93"/>
      <c r="O34" s="93"/>
      <c r="P34" s="92">
        <v>1587</v>
      </c>
      <c r="Q34" s="92">
        <v>395</v>
      </c>
      <c r="R34" s="92"/>
      <c r="S34" s="97"/>
      <c r="T34" s="97">
        <v>1100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3887</v>
      </c>
      <c r="F35" s="96" t="s">
        <v>3927</v>
      </c>
      <c r="G35" s="97">
        <v>5</v>
      </c>
      <c r="H35" s="96" t="s">
        <v>3928</v>
      </c>
      <c r="I35" s="96"/>
      <c r="J35" s="96"/>
      <c r="K35" s="93" t="s">
        <v>3929</v>
      </c>
      <c r="L35" s="93"/>
      <c r="M35" s="93"/>
      <c r="N35" s="93"/>
      <c r="O35" s="93"/>
      <c r="P35" s="92">
        <v>622</v>
      </c>
      <c r="Q35" s="92">
        <v>152</v>
      </c>
      <c r="R35" s="92"/>
      <c r="S35" s="97"/>
      <c r="T35" s="97">
        <v>650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3887</v>
      </c>
      <c r="F36" s="96" t="s">
        <v>3927</v>
      </c>
      <c r="G36" s="97">
        <v>5</v>
      </c>
      <c r="H36" s="96" t="s">
        <v>3928</v>
      </c>
      <c r="I36" s="96"/>
      <c r="J36" s="96"/>
      <c r="K36" s="93" t="s">
        <v>3930</v>
      </c>
      <c r="L36" s="93"/>
      <c r="M36" s="93"/>
      <c r="N36" s="93"/>
      <c r="O36" s="93"/>
      <c r="P36" s="92">
        <v>721</v>
      </c>
      <c r="Q36" s="92">
        <v>165</v>
      </c>
      <c r="R36" s="92"/>
      <c r="S36" s="97"/>
      <c r="T36" s="97">
        <v>650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3887</v>
      </c>
      <c r="F37" s="96" t="s">
        <v>3888</v>
      </c>
      <c r="G37" s="97">
        <v>9</v>
      </c>
      <c r="H37" s="96" t="s">
        <v>3889</v>
      </c>
      <c r="I37" s="96"/>
      <c r="J37" s="96"/>
      <c r="K37" s="93" t="s">
        <v>3931</v>
      </c>
      <c r="L37" s="93"/>
      <c r="M37" s="93"/>
      <c r="N37" s="93"/>
      <c r="O37" s="93"/>
      <c r="P37" s="92">
        <v>488</v>
      </c>
      <c r="Q37" s="92">
        <v>102</v>
      </c>
      <c r="R37" s="92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3887</v>
      </c>
      <c r="F38" s="96" t="s">
        <v>3932</v>
      </c>
      <c r="G38" s="97">
        <v>4</v>
      </c>
      <c r="H38" s="96"/>
      <c r="I38" s="96"/>
      <c r="J38" s="96"/>
      <c r="K38" s="93" t="s">
        <v>3933</v>
      </c>
      <c r="L38" s="93"/>
      <c r="M38" s="93"/>
      <c r="N38" s="93"/>
      <c r="O38" s="93"/>
      <c r="P38" s="92">
        <v>426</v>
      </c>
      <c r="Q38" s="92">
        <v>119</v>
      </c>
      <c r="R38" s="92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3887</v>
      </c>
      <c r="F39" s="96" t="s">
        <v>3932</v>
      </c>
      <c r="G39" s="97">
        <v>5</v>
      </c>
      <c r="H39" s="96"/>
      <c r="I39" s="96"/>
      <c r="J39" s="96"/>
      <c r="K39" s="93" t="s">
        <v>3934</v>
      </c>
      <c r="L39" s="93"/>
      <c r="M39" s="93"/>
      <c r="N39" s="93"/>
      <c r="O39" s="93"/>
      <c r="P39" s="92">
        <v>889</v>
      </c>
      <c r="Q39" s="92">
        <v>235</v>
      </c>
      <c r="R39" s="92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3887</v>
      </c>
      <c r="F40" s="96" t="s">
        <v>3919</v>
      </c>
      <c r="G40" s="97">
        <v>3</v>
      </c>
      <c r="H40" s="96"/>
      <c r="I40" s="96"/>
      <c r="J40" s="96"/>
      <c r="K40" s="93" t="s">
        <v>3935</v>
      </c>
      <c r="L40" s="93"/>
      <c r="M40" s="93"/>
      <c r="N40" s="93"/>
      <c r="O40" s="93"/>
      <c r="P40" s="92">
        <v>902</v>
      </c>
      <c r="Q40" s="92">
        <v>235</v>
      </c>
      <c r="R40" s="92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3887</v>
      </c>
      <c r="F41" s="96" t="s">
        <v>3936</v>
      </c>
      <c r="G41" s="97">
        <v>3</v>
      </c>
      <c r="H41" s="96" t="s">
        <v>3937</v>
      </c>
      <c r="I41" s="96"/>
      <c r="J41" s="96"/>
      <c r="K41" s="93" t="s">
        <v>3938</v>
      </c>
      <c r="L41" s="93"/>
      <c r="M41" s="93"/>
      <c r="N41" s="93"/>
      <c r="O41" s="93"/>
      <c r="P41" s="92">
        <v>498</v>
      </c>
      <c r="Q41" s="92">
        <v>110</v>
      </c>
      <c r="R41" s="92"/>
      <c r="S41" s="97">
        <v>2</v>
      </c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3887</v>
      </c>
      <c r="F42" s="96" t="s">
        <v>3916</v>
      </c>
      <c r="G42" s="97">
        <v>1</v>
      </c>
      <c r="H42" s="96" t="s">
        <v>3939</v>
      </c>
      <c r="I42" s="96"/>
      <c r="J42" s="96"/>
      <c r="K42" s="93" t="s">
        <v>3940</v>
      </c>
      <c r="L42" s="93"/>
      <c r="M42" s="93"/>
      <c r="N42" s="93"/>
      <c r="O42" s="93"/>
      <c r="P42" s="92">
        <v>725</v>
      </c>
      <c r="Q42" s="92">
        <v>179</v>
      </c>
      <c r="R42" s="92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3887</v>
      </c>
      <c r="F43" s="96" t="s">
        <v>3916</v>
      </c>
      <c r="G43" s="97">
        <v>2</v>
      </c>
      <c r="H43" s="96" t="s">
        <v>2809</v>
      </c>
      <c r="I43" s="96"/>
      <c r="J43" s="96"/>
      <c r="K43" s="93" t="s">
        <v>184</v>
      </c>
      <c r="L43" s="93"/>
      <c r="M43" s="93"/>
      <c r="N43" s="93"/>
      <c r="O43" s="93"/>
      <c r="P43" s="92">
        <v>960</v>
      </c>
      <c r="Q43" s="92">
        <v>236</v>
      </c>
      <c r="R43" s="92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3887</v>
      </c>
      <c r="F44" s="96" t="s">
        <v>3916</v>
      </c>
      <c r="G44" s="97">
        <v>3</v>
      </c>
      <c r="H44" s="96" t="s">
        <v>2809</v>
      </c>
      <c r="I44" s="96"/>
      <c r="J44" s="96"/>
      <c r="K44" s="93" t="s">
        <v>3917</v>
      </c>
      <c r="L44" s="93"/>
      <c r="M44" s="93"/>
      <c r="N44" s="93"/>
      <c r="O44" s="93"/>
      <c r="P44" s="92">
        <v>235</v>
      </c>
      <c r="Q44" s="92">
        <v>49</v>
      </c>
      <c r="R44" s="92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3887</v>
      </c>
      <c r="F45" s="96" t="s">
        <v>3916</v>
      </c>
      <c r="G45" s="97">
        <v>5</v>
      </c>
      <c r="H45" s="96" t="s">
        <v>2809</v>
      </c>
      <c r="I45" s="96"/>
      <c r="J45" s="96"/>
      <c r="K45" s="93" t="s">
        <v>3916</v>
      </c>
      <c r="L45" s="93"/>
      <c r="M45" s="93"/>
      <c r="N45" s="93"/>
      <c r="O45" s="93"/>
      <c r="P45" s="92">
        <v>1578</v>
      </c>
      <c r="Q45" s="92">
        <v>389</v>
      </c>
      <c r="R45" s="92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3887</v>
      </c>
      <c r="F46" s="96" t="s">
        <v>3916</v>
      </c>
      <c r="G46" s="97">
        <v>6</v>
      </c>
      <c r="H46" s="96" t="s">
        <v>3941</v>
      </c>
      <c r="I46" s="96"/>
      <c r="J46" s="96"/>
      <c r="K46" s="93" t="s">
        <v>3916</v>
      </c>
      <c r="L46" s="93"/>
      <c r="M46" s="93"/>
      <c r="N46" s="93"/>
      <c r="O46" s="93"/>
      <c r="P46" s="92">
        <v>892</v>
      </c>
      <c r="Q46" s="92">
        <v>215</v>
      </c>
      <c r="R46" s="92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3887</v>
      </c>
      <c r="F47" s="96" t="s">
        <v>3916</v>
      </c>
      <c r="G47" s="97">
        <v>9</v>
      </c>
      <c r="H47" s="96" t="s">
        <v>3941</v>
      </c>
      <c r="I47" s="96"/>
      <c r="J47" s="96"/>
      <c r="K47" s="93" t="s">
        <v>3917</v>
      </c>
      <c r="L47" s="93"/>
      <c r="M47" s="93"/>
      <c r="N47" s="93"/>
      <c r="O47" s="93"/>
      <c r="P47" s="92">
        <v>1589</v>
      </c>
      <c r="Q47" s="92">
        <v>425</v>
      </c>
      <c r="R47" s="92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3887</v>
      </c>
      <c r="F48" s="96" t="s">
        <v>3916</v>
      </c>
      <c r="G48" s="97">
        <v>8</v>
      </c>
      <c r="H48" s="96" t="s">
        <v>2809</v>
      </c>
      <c r="I48" s="96"/>
      <c r="J48" s="96"/>
      <c r="K48" s="93" t="s">
        <v>3942</v>
      </c>
      <c r="L48" s="93"/>
      <c r="M48" s="93"/>
      <c r="N48" s="93"/>
      <c r="O48" s="93"/>
      <c r="P48" s="92">
        <v>1245</v>
      </c>
      <c r="Q48" s="92">
        <v>319</v>
      </c>
      <c r="R48" s="92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3887</v>
      </c>
      <c r="F49" s="96" t="s">
        <v>3894</v>
      </c>
      <c r="G49" s="97">
        <v>2</v>
      </c>
      <c r="H49" s="96" t="s">
        <v>3895</v>
      </c>
      <c r="I49" s="96"/>
      <c r="J49" s="96"/>
      <c r="K49" s="93" t="s">
        <v>3943</v>
      </c>
      <c r="L49" s="93"/>
      <c r="M49" s="93"/>
      <c r="N49" s="93"/>
      <c r="O49" s="93"/>
      <c r="P49" s="92">
        <v>502</v>
      </c>
      <c r="Q49" s="92">
        <v>129</v>
      </c>
      <c r="R49" s="92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3887</v>
      </c>
      <c r="F50" s="96" t="s">
        <v>3894</v>
      </c>
      <c r="G50" s="97">
        <v>7</v>
      </c>
      <c r="H50" s="96" t="s">
        <v>3897</v>
      </c>
      <c r="I50" s="96"/>
      <c r="J50" s="96"/>
      <c r="K50" s="93" t="s">
        <v>3943</v>
      </c>
      <c r="L50" s="93"/>
      <c r="M50" s="93"/>
      <c r="N50" s="93"/>
      <c r="O50" s="93"/>
      <c r="P50" s="92">
        <v>599</v>
      </c>
      <c r="Q50" s="92">
        <v>131</v>
      </c>
      <c r="R50" s="92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3887</v>
      </c>
      <c r="F51" s="96" t="s">
        <v>3894</v>
      </c>
      <c r="G51" s="97">
        <v>9</v>
      </c>
      <c r="H51" s="96" t="s">
        <v>3897</v>
      </c>
      <c r="I51" s="96"/>
      <c r="J51" s="96"/>
      <c r="K51" s="93" t="s">
        <v>3894</v>
      </c>
      <c r="L51" s="93"/>
      <c r="M51" s="93"/>
      <c r="N51" s="93"/>
      <c r="O51" s="93"/>
      <c r="P51" s="92">
        <v>625</v>
      </c>
      <c r="Q51" s="92">
        <v>162</v>
      </c>
      <c r="R51" s="92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3887</v>
      </c>
      <c r="F52" s="96" t="s">
        <v>3894</v>
      </c>
      <c r="G52" s="97">
        <v>4</v>
      </c>
      <c r="H52" s="96" t="s">
        <v>3895</v>
      </c>
      <c r="I52" s="96"/>
      <c r="J52" s="96"/>
      <c r="K52" s="93" t="s">
        <v>3894</v>
      </c>
      <c r="L52" s="93"/>
      <c r="M52" s="93"/>
      <c r="N52" s="93"/>
      <c r="O52" s="93"/>
      <c r="P52" s="92">
        <v>354</v>
      </c>
      <c r="Q52" s="92">
        <v>78</v>
      </c>
      <c r="R52" s="92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3887</v>
      </c>
      <c r="F53" s="96" t="s">
        <v>3894</v>
      </c>
      <c r="G53" s="97">
        <v>3</v>
      </c>
      <c r="H53" s="96" t="s">
        <v>3895</v>
      </c>
      <c r="I53" s="96"/>
      <c r="J53" s="96"/>
      <c r="K53" s="93" t="s">
        <v>3894</v>
      </c>
      <c r="L53" s="93"/>
      <c r="M53" s="93"/>
      <c r="N53" s="93"/>
      <c r="O53" s="93"/>
      <c r="P53" s="92">
        <v>1315</v>
      </c>
      <c r="Q53" s="92">
        <v>358</v>
      </c>
      <c r="R53" s="92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3887</v>
      </c>
      <c r="F54" s="96" t="s">
        <v>3927</v>
      </c>
      <c r="G54" s="97">
        <v>2</v>
      </c>
      <c r="H54" s="96" t="s">
        <v>3928</v>
      </c>
      <c r="I54" s="96"/>
      <c r="J54" s="96"/>
      <c r="K54" s="93" t="s">
        <v>3944</v>
      </c>
      <c r="L54" s="93"/>
      <c r="M54" s="93"/>
      <c r="N54" s="93"/>
      <c r="O54" s="93"/>
      <c r="P54" s="92">
        <v>356</v>
      </c>
      <c r="Q54" s="92">
        <v>72</v>
      </c>
      <c r="R54" s="92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3887</v>
      </c>
      <c r="F55" s="96" t="s">
        <v>3927</v>
      </c>
      <c r="G55" s="97">
        <v>3</v>
      </c>
      <c r="H55" s="96" t="s">
        <v>3928</v>
      </c>
      <c r="I55" s="96"/>
      <c r="J55" s="96"/>
      <c r="K55" s="93" t="s">
        <v>3945</v>
      </c>
      <c r="L55" s="93"/>
      <c r="M55" s="93"/>
      <c r="N55" s="93"/>
      <c r="O55" s="93"/>
      <c r="P55" s="92">
        <v>412</v>
      </c>
      <c r="Q55" s="92">
        <v>83</v>
      </c>
      <c r="R55" s="92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3887</v>
      </c>
      <c r="F56" s="96" t="s">
        <v>3927</v>
      </c>
      <c r="G56" s="97">
        <v>2</v>
      </c>
      <c r="H56" s="96" t="s">
        <v>3928</v>
      </c>
      <c r="I56" s="96"/>
      <c r="J56" s="96"/>
      <c r="K56" s="93" t="s">
        <v>3926</v>
      </c>
      <c r="L56" s="93"/>
      <c r="M56" s="93"/>
      <c r="N56" s="93"/>
      <c r="O56" s="93"/>
      <c r="P56" s="92">
        <v>459</v>
      </c>
      <c r="Q56" s="92">
        <v>106</v>
      </c>
      <c r="R56" s="92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3887</v>
      </c>
      <c r="F57" s="96" t="s">
        <v>3927</v>
      </c>
      <c r="G57" s="97">
        <v>2</v>
      </c>
      <c r="H57" s="96" t="s">
        <v>3928</v>
      </c>
      <c r="I57" s="96"/>
      <c r="J57" s="96"/>
      <c r="K57" s="93" t="s">
        <v>3946</v>
      </c>
      <c r="L57" s="93"/>
      <c r="M57" s="93"/>
      <c r="N57" s="93"/>
      <c r="O57" s="93"/>
      <c r="P57" s="92">
        <v>463</v>
      </c>
      <c r="Q57" s="92">
        <v>119</v>
      </c>
      <c r="R57" s="92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3887</v>
      </c>
      <c r="F58" s="96" t="s">
        <v>3947</v>
      </c>
      <c r="G58" s="97">
        <v>5</v>
      </c>
      <c r="H58" s="96" t="s">
        <v>3928</v>
      </c>
      <c r="I58" s="96"/>
      <c r="J58" s="96"/>
      <c r="K58" s="93" t="s">
        <v>3948</v>
      </c>
      <c r="L58" s="93"/>
      <c r="M58" s="93"/>
      <c r="N58" s="93"/>
      <c r="O58" s="93"/>
      <c r="P58" s="92">
        <v>698</v>
      </c>
      <c r="Q58" s="92">
        <v>165</v>
      </c>
      <c r="R58" s="92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3887</v>
      </c>
      <c r="F59" s="96" t="s">
        <v>3947</v>
      </c>
      <c r="G59" s="97">
        <v>7</v>
      </c>
      <c r="H59" s="96" t="s">
        <v>3030</v>
      </c>
      <c r="I59" s="96"/>
      <c r="J59" s="96"/>
      <c r="K59" s="93" t="s">
        <v>3949</v>
      </c>
      <c r="L59" s="93"/>
      <c r="M59" s="93"/>
      <c r="N59" s="93"/>
      <c r="O59" s="93"/>
      <c r="P59" s="92">
        <v>711</v>
      </c>
      <c r="Q59" s="92">
        <v>159</v>
      </c>
      <c r="R59" s="92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3887</v>
      </c>
      <c r="F60" s="96" t="s">
        <v>3947</v>
      </c>
      <c r="G60" s="97">
        <v>7</v>
      </c>
      <c r="H60" s="96" t="s">
        <v>3030</v>
      </c>
      <c r="I60" s="96"/>
      <c r="J60" s="96"/>
      <c r="K60" s="93" t="s">
        <v>3637</v>
      </c>
      <c r="L60" s="93"/>
      <c r="M60" s="93"/>
      <c r="N60" s="93"/>
      <c r="O60" s="93"/>
      <c r="P60" s="92">
        <v>302</v>
      </c>
      <c r="Q60" s="92">
        <v>59</v>
      </c>
      <c r="R60" s="92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3887</v>
      </c>
      <c r="F61" s="96" t="s">
        <v>3947</v>
      </c>
      <c r="G61" s="97">
        <v>4</v>
      </c>
      <c r="H61" s="96" t="s">
        <v>3030</v>
      </c>
      <c r="I61" s="96"/>
      <c r="J61" s="96"/>
      <c r="K61" s="93" t="s">
        <v>3950</v>
      </c>
      <c r="L61" s="93"/>
      <c r="M61" s="93"/>
      <c r="N61" s="93"/>
      <c r="O61" s="93"/>
      <c r="P61" s="92">
        <v>2718</v>
      </c>
      <c r="Q61" s="92">
        <v>669</v>
      </c>
      <c r="R61" s="92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3887</v>
      </c>
      <c r="F62" s="96" t="s">
        <v>3911</v>
      </c>
      <c r="G62" s="97">
        <v>4</v>
      </c>
      <c r="H62" s="96"/>
      <c r="I62" s="96"/>
      <c r="J62" s="96"/>
      <c r="K62" s="93" t="s">
        <v>3899</v>
      </c>
      <c r="L62" s="93"/>
      <c r="M62" s="93"/>
      <c r="N62" s="93"/>
      <c r="O62" s="93"/>
      <c r="P62" s="92">
        <v>789</v>
      </c>
      <c r="Q62" s="92">
        <v>162</v>
      </c>
      <c r="R62" s="92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3887</v>
      </c>
      <c r="F63" s="96" t="s">
        <v>3911</v>
      </c>
      <c r="G63" s="97">
        <v>7</v>
      </c>
      <c r="H63" s="96"/>
      <c r="I63" s="96"/>
      <c r="J63" s="96"/>
      <c r="K63" s="93" t="s">
        <v>3911</v>
      </c>
      <c r="L63" s="93"/>
      <c r="M63" s="93"/>
      <c r="N63" s="93"/>
      <c r="O63" s="93"/>
      <c r="P63" s="92">
        <v>1118</v>
      </c>
      <c r="Q63" s="92">
        <v>258</v>
      </c>
      <c r="R63" s="92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3887</v>
      </c>
      <c r="F64" s="96" t="s">
        <v>3911</v>
      </c>
      <c r="G64" s="97">
        <v>4</v>
      </c>
      <c r="H64" s="96"/>
      <c r="I64" s="96"/>
      <c r="J64" s="96"/>
      <c r="K64" s="93" t="s">
        <v>3951</v>
      </c>
      <c r="L64" s="93"/>
      <c r="M64" s="93"/>
      <c r="N64" s="93"/>
      <c r="O64" s="93"/>
      <c r="P64" s="92">
        <v>1915</v>
      </c>
      <c r="Q64" s="92">
        <v>499</v>
      </c>
      <c r="R64" s="92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3887</v>
      </c>
      <c r="F65" s="96" t="s">
        <v>3911</v>
      </c>
      <c r="G65" s="97">
        <v>8</v>
      </c>
      <c r="H65" s="96"/>
      <c r="I65" s="96"/>
      <c r="J65" s="96"/>
      <c r="K65" s="93" t="s">
        <v>3952</v>
      </c>
      <c r="L65" s="93"/>
      <c r="M65" s="93"/>
      <c r="N65" s="93"/>
      <c r="O65" s="93"/>
      <c r="P65" s="92">
        <v>518</v>
      </c>
      <c r="Q65" s="92">
        <v>113</v>
      </c>
      <c r="R65" s="92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3887</v>
      </c>
      <c r="F66" s="96" t="s">
        <v>2445</v>
      </c>
      <c r="G66" s="97">
        <v>1</v>
      </c>
      <c r="H66" s="96" t="s">
        <v>3937</v>
      </c>
      <c r="I66" s="96"/>
      <c r="J66" s="96"/>
      <c r="K66" s="93" t="s">
        <v>3953</v>
      </c>
      <c r="L66" s="93"/>
      <c r="M66" s="93"/>
      <c r="N66" s="93"/>
      <c r="O66" s="93"/>
      <c r="P66" s="92">
        <v>718</v>
      </c>
      <c r="Q66" s="92">
        <v>159</v>
      </c>
      <c r="R66" s="92"/>
      <c r="S66" s="97">
        <v>675</v>
      </c>
      <c r="T66" s="97">
        <v>675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3887</v>
      </c>
      <c r="F67" s="96" t="s">
        <v>3887</v>
      </c>
      <c r="G67" s="97">
        <v>7</v>
      </c>
      <c r="H67" s="96"/>
      <c r="I67" s="96"/>
      <c r="J67" s="96"/>
      <c r="K67" s="93" t="s">
        <v>3954</v>
      </c>
      <c r="L67" s="93"/>
      <c r="M67" s="93"/>
      <c r="N67" s="93"/>
      <c r="O67" s="93"/>
      <c r="P67" s="92">
        <v>589</v>
      </c>
      <c r="Q67" s="92">
        <v>129</v>
      </c>
      <c r="R67" s="92"/>
      <c r="S67" s="97">
        <v>562</v>
      </c>
      <c r="T67" s="97">
        <v>562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3887</v>
      </c>
      <c r="F68" s="96" t="s">
        <v>3955</v>
      </c>
      <c r="G68" s="97">
        <v>6</v>
      </c>
      <c r="H68" s="96"/>
      <c r="I68" s="96"/>
      <c r="J68" s="96"/>
      <c r="K68" s="93" t="s">
        <v>3956</v>
      </c>
      <c r="L68" s="93"/>
      <c r="M68" s="93"/>
      <c r="N68" s="93"/>
      <c r="O68" s="93"/>
      <c r="P68" s="92">
        <v>301</v>
      </c>
      <c r="Q68" s="92">
        <v>63</v>
      </c>
      <c r="R68" s="92"/>
      <c r="S68" s="97">
        <v>15</v>
      </c>
      <c r="T68" s="97">
        <v>302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3887</v>
      </c>
      <c r="F69" s="96" t="s">
        <v>3916</v>
      </c>
      <c r="G69" s="97">
        <v>7</v>
      </c>
      <c r="H69" s="96" t="s">
        <v>2809</v>
      </c>
      <c r="I69" s="96"/>
      <c r="J69" s="96"/>
      <c r="K69" s="93" t="s">
        <v>3957</v>
      </c>
      <c r="L69" s="93"/>
      <c r="M69" s="93"/>
      <c r="N69" s="93"/>
      <c r="O69" s="93"/>
      <c r="P69" s="92">
        <v>50</v>
      </c>
      <c r="Q69" s="92">
        <v>10</v>
      </c>
      <c r="R69" s="92"/>
      <c r="S69" s="97">
        <v>113</v>
      </c>
      <c r="T69" s="97">
        <v>20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3887</v>
      </c>
      <c r="F70" s="96" t="s">
        <v>3958</v>
      </c>
      <c r="G70" s="97">
        <v>7</v>
      </c>
      <c r="H70" s="96" t="s">
        <v>3959</v>
      </c>
      <c r="I70" s="96"/>
      <c r="J70" s="96"/>
      <c r="K70" s="93" t="s">
        <v>3960</v>
      </c>
      <c r="L70" s="93"/>
      <c r="M70" s="93"/>
      <c r="N70" s="93"/>
      <c r="O70" s="93"/>
      <c r="P70" s="92">
        <v>59</v>
      </c>
      <c r="Q70" s="92">
        <v>15</v>
      </c>
      <c r="R70" s="92"/>
      <c r="S70" s="97">
        <v>41</v>
      </c>
      <c r="T70" s="97">
        <v>41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3887</v>
      </c>
      <c r="F71" s="96" t="s">
        <v>3961</v>
      </c>
      <c r="G71" s="97">
        <v>6</v>
      </c>
      <c r="H71" s="96"/>
      <c r="I71" s="96"/>
      <c r="J71" s="96"/>
      <c r="K71" s="93" t="s">
        <v>3962</v>
      </c>
      <c r="L71" s="93"/>
      <c r="M71" s="93"/>
      <c r="N71" s="93"/>
      <c r="O71" s="93"/>
      <c r="P71" s="92">
        <v>1419</v>
      </c>
      <c r="Q71" s="92">
        <v>315</v>
      </c>
      <c r="R71" s="92"/>
      <c r="S71" s="97">
        <v>28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3887</v>
      </c>
      <c r="F72" s="96" t="s">
        <v>3961</v>
      </c>
      <c r="G72" s="97">
        <v>8</v>
      </c>
      <c r="H72" s="96"/>
      <c r="I72" s="96"/>
      <c r="J72" s="96"/>
      <c r="K72" s="93" t="s">
        <v>3963</v>
      </c>
      <c r="L72" s="93"/>
      <c r="M72" s="93"/>
      <c r="N72" s="93"/>
      <c r="O72" s="93"/>
      <c r="P72" s="92">
        <v>1254</v>
      </c>
      <c r="Q72" s="92">
        <v>225</v>
      </c>
      <c r="R72" s="92"/>
      <c r="S72" s="97">
        <v>20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3887</v>
      </c>
      <c r="F73" s="96" t="s">
        <v>3961</v>
      </c>
      <c r="G73" s="97">
        <v>8</v>
      </c>
      <c r="H73" s="96"/>
      <c r="I73" s="96"/>
      <c r="J73" s="96"/>
      <c r="K73" s="93" t="s">
        <v>1570</v>
      </c>
      <c r="L73" s="93"/>
      <c r="M73" s="93"/>
      <c r="N73" s="93"/>
      <c r="O73" s="93"/>
      <c r="P73" s="92">
        <v>1619</v>
      </c>
      <c r="Q73" s="92">
        <v>335</v>
      </c>
      <c r="R73" s="92"/>
      <c r="S73" s="97">
        <v>12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3887</v>
      </c>
      <c r="F74" s="96" t="s">
        <v>3916</v>
      </c>
      <c r="G74" s="97">
        <v>7</v>
      </c>
      <c r="H74" s="96" t="s">
        <v>2809</v>
      </c>
      <c r="I74" s="96"/>
      <c r="J74" s="96"/>
      <c r="K74" s="93" t="s">
        <v>3964</v>
      </c>
      <c r="L74" s="93"/>
      <c r="M74" s="93"/>
      <c r="N74" s="93"/>
      <c r="O74" s="93"/>
      <c r="P74" s="92">
        <v>1598</v>
      </c>
      <c r="Q74" s="92">
        <v>398</v>
      </c>
      <c r="R74" s="92"/>
      <c r="S74" s="97"/>
      <c r="T74" s="97">
        <v>113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3887</v>
      </c>
      <c r="F75" s="96" t="s">
        <v>3936</v>
      </c>
      <c r="G75" s="97">
        <v>1</v>
      </c>
      <c r="H75" s="96" t="s">
        <v>3937</v>
      </c>
      <c r="I75" s="96"/>
      <c r="J75" s="96"/>
      <c r="K75" s="93" t="s">
        <v>981</v>
      </c>
      <c r="L75" s="93"/>
      <c r="M75" s="93"/>
      <c r="N75" s="93"/>
      <c r="O75" s="93"/>
      <c r="P75" s="92">
        <v>789</v>
      </c>
      <c r="Q75" s="92">
        <v>155</v>
      </c>
      <c r="R75" s="92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3887</v>
      </c>
      <c r="F76" s="96" t="s">
        <v>3955</v>
      </c>
      <c r="G76" s="97">
        <v>8</v>
      </c>
      <c r="H76" s="96"/>
      <c r="I76" s="96"/>
      <c r="J76" s="96"/>
      <c r="K76" s="93" t="s">
        <v>3965</v>
      </c>
      <c r="L76" s="93"/>
      <c r="M76" s="93"/>
      <c r="N76" s="93"/>
      <c r="O76" s="93"/>
      <c r="P76" s="92">
        <v>859</v>
      </c>
      <c r="Q76" s="92">
        <v>215</v>
      </c>
      <c r="R76" s="92"/>
      <c r="S76" s="97">
        <v>35</v>
      </c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</sheetData>
  <mergeCells count="3">
    <mergeCell ref="G1:G2"/>
    <mergeCell ref="A5:D5"/>
    <mergeCell ref="U5:AF5"/>
  </mergeCells>
  <conditionalFormatting sqref="M7:M76">
    <cfRule type="duplicateValues" dxfId="1" priority="10"/>
  </conditionalFormatting>
  <dataValidations count="1">
    <dataValidation type="list" allowBlank="1" showInputMessage="1" showErrorMessage="1" sqref="E7:E76">
      <formula1>INDIRECT($B7)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6"/>
  <sheetViews>
    <sheetView tabSelected="1" workbookViewId="0">
      <pane xSplit="12" ySplit="6" topLeftCell="M7" activePane="bottomRight" state="frozen"/>
      <selection pane="topRight" activeCell="M1" sqref="M1"/>
      <selection pane="bottomLeft" activeCell="A6" sqref="A6"/>
      <selection pane="bottomRight" activeCell="AB15" sqref="AB15"/>
    </sheetView>
  </sheetViews>
  <sheetFormatPr defaultRowHeight="14.4" x14ac:dyDescent="0.3"/>
  <cols>
    <col min="1" max="1" width="6" customWidth="1"/>
    <col min="2" max="2" width="14.33203125" customWidth="1"/>
    <col min="3" max="3" width="15.44140625" customWidth="1"/>
    <col min="4" max="4" width="14.77734375" customWidth="1"/>
    <col min="5" max="5" width="12.88671875" customWidth="1"/>
    <col min="6" max="6" width="10.77734375" customWidth="1"/>
    <col min="8" max="8" width="13" customWidth="1"/>
    <col min="11" max="11" width="24.33203125" customWidth="1"/>
    <col min="21" max="32" width="4.77734375" customWidth="1"/>
  </cols>
  <sheetData>
    <row r="1" spans="1:36" x14ac:dyDescent="0.3">
      <c r="A1" s="55"/>
      <c r="B1" s="55"/>
      <c r="C1" s="55"/>
      <c r="D1" s="55"/>
      <c r="E1" s="55"/>
      <c r="F1" s="55"/>
      <c r="G1" s="113" t="s">
        <v>23</v>
      </c>
      <c r="H1" s="50" t="s">
        <v>0</v>
      </c>
      <c r="I1" s="51">
        <f>COUNTIF(I7:I393,"SK(H)")</f>
        <v>0</v>
      </c>
      <c r="J1" s="50" t="s">
        <v>1</v>
      </c>
      <c r="K1" s="50">
        <f>COUNTA(J7:J409)</f>
        <v>0</v>
      </c>
      <c r="L1" s="9"/>
      <c r="M1" s="9"/>
      <c r="N1" s="9"/>
      <c r="O1" s="9"/>
      <c r="P1" s="13"/>
      <c r="Q1" s="13"/>
      <c r="R1" s="13"/>
      <c r="S1" s="13"/>
      <c r="T1" s="13"/>
      <c r="U1" s="13"/>
      <c r="V1" s="13"/>
      <c r="W1" s="13"/>
      <c r="X1" s="13"/>
      <c r="Y1" s="13"/>
      <c r="Z1" s="11"/>
      <c r="AA1" s="8"/>
      <c r="AB1" s="8"/>
      <c r="AC1" s="8"/>
      <c r="AD1" s="11"/>
      <c r="AE1" s="11"/>
      <c r="AF1" s="11" t="s">
        <v>2</v>
      </c>
      <c r="AG1" s="11"/>
      <c r="AH1" s="10"/>
      <c r="AI1" s="12"/>
      <c r="AJ1" s="8"/>
    </row>
    <row r="2" spans="1:36" x14ac:dyDescent="0.3">
      <c r="A2" s="55"/>
      <c r="B2" s="55"/>
      <c r="C2" s="55"/>
      <c r="D2" s="56"/>
      <c r="E2" s="57"/>
      <c r="F2" s="57"/>
      <c r="G2" s="113"/>
      <c r="H2" s="50" t="s">
        <v>3</v>
      </c>
      <c r="I2" s="51">
        <f>COUNTIF(I7:I394,"SHW(H)")</f>
        <v>0</v>
      </c>
      <c r="J2" s="50" t="s">
        <v>5</v>
      </c>
      <c r="K2" s="50">
        <f>COUNTA(K7:K126)</f>
        <v>120</v>
      </c>
      <c r="L2" s="9"/>
      <c r="M2" s="9"/>
      <c r="N2" s="9"/>
      <c r="O2" s="9"/>
      <c r="P2" s="13"/>
      <c r="Q2" s="13"/>
      <c r="R2" s="13"/>
      <c r="S2" s="13"/>
      <c r="T2" s="13"/>
      <c r="U2" s="13"/>
      <c r="V2" s="13"/>
      <c r="W2" s="13"/>
      <c r="X2" s="13"/>
      <c r="Y2" s="13"/>
      <c r="Z2" s="11"/>
      <c r="AA2" s="8"/>
      <c r="AB2" s="8"/>
      <c r="AC2" s="8"/>
      <c r="AD2" s="11"/>
      <c r="AE2" s="11"/>
      <c r="AF2" s="11" t="s">
        <v>4</v>
      </c>
      <c r="AG2" s="11"/>
      <c r="AH2" s="10"/>
      <c r="AI2" s="8"/>
      <c r="AJ2" s="8"/>
    </row>
    <row r="3" spans="1:36" x14ac:dyDescent="0.3">
      <c r="A3" s="55"/>
      <c r="B3" s="55"/>
      <c r="C3" s="55"/>
      <c r="D3" s="56"/>
      <c r="E3" s="57"/>
      <c r="F3" s="57"/>
      <c r="G3" s="111"/>
      <c r="H3" s="9"/>
      <c r="I3" s="115"/>
      <c r="J3" s="9"/>
      <c r="K3" s="9"/>
      <c r="L3" s="9"/>
      <c r="M3" s="9"/>
      <c r="N3" s="9"/>
      <c r="O3" s="9"/>
      <c r="P3" s="13"/>
      <c r="Q3" s="13"/>
      <c r="R3" s="13"/>
      <c r="S3" s="13"/>
      <c r="T3" s="13"/>
      <c r="U3" s="13"/>
      <c r="V3" s="13"/>
      <c r="W3" s="13"/>
      <c r="X3" s="13"/>
      <c r="Y3" s="13"/>
      <c r="Z3" s="11"/>
      <c r="AA3" s="8"/>
      <c r="AB3" s="8"/>
      <c r="AC3" s="8"/>
      <c r="AD3" s="11"/>
      <c r="AE3" s="11"/>
      <c r="AF3" s="11" t="s">
        <v>6</v>
      </c>
      <c r="AG3" s="11"/>
      <c r="AH3" s="10"/>
      <c r="AI3" s="8"/>
      <c r="AJ3" s="8"/>
    </row>
    <row r="4" spans="1:36" x14ac:dyDescent="0.3">
      <c r="A4" s="55"/>
      <c r="B4" s="55"/>
      <c r="C4" s="55"/>
      <c r="D4" s="55"/>
      <c r="E4" s="58"/>
      <c r="F4" s="58"/>
      <c r="G4" s="55"/>
      <c r="H4" s="8"/>
      <c r="I4" s="8"/>
      <c r="J4" s="13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1"/>
      <c r="AA4" s="8"/>
      <c r="AB4" s="8"/>
      <c r="AC4" s="8"/>
      <c r="AD4" s="11"/>
      <c r="AE4" s="11"/>
      <c r="AG4" s="11"/>
      <c r="AH4" s="10"/>
      <c r="AI4" s="13"/>
      <c r="AJ4" s="13"/>
    </row>
    <row r="5" spans="1:36" x14ac:dyDescent="0.3">
      <c r="A5" s="114" t="s">
        <v>4091</v>
      </c>
      <c r="B5" s="114"/>
      <c r="C5" s="114"/>
      <c r="D5" s="114"/>
      <c r="E5" s="80" t="s">
        <v>3966</v>
      </c>
      <c r="F5" s="80"/>
      <c r="G5" s="114"/>
      <c r="H5" s="114"/>
      <c r="I5" s="114"/>
      <c r="J5" s="114"/>
      <c r="K5" s="80"/>
      <c r="L5" s="15"/>
      <c r="M5" s="15"/>
      <c r="N5" s="15"/>
      <c r="O5" s="15"/>
      <c r="P5" s="5"/>
      <c r="Q5" s="5"/>
      <c r="R5" s="5"/>
      <c r="S5" s="5"/>
      <c r="T5" s="1"/>
      <c r="U5" s="116" t="s">
        <v>4092</v>
      </c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6"/>
      <c r="AH5" s="3"/>
      <c r="AI5" s="7"/>
      <c r="AJ5" s="7"/>
    </row>
    <row r="6" spans="1:36" ht="91.8" customHeight="1" x14ac:dyDescent="0.3">
      <c r="A6" s="81" t="s">
        <v>8</v>
      </c>
      <c r="B6" s="78" t="s">
        <v>2437</v>
      </c>
      <c r="C6" s="78" t="s">
        <v>2438</v>
      </c>
      <c r="D6" s="78" t="s">
        <v>9</v>
      </c>
      <c r="E6" s="78" t="s">
        <v>10</v>
      </c>
      <c r="F6" s="78" t="s">
        <v>11</v>
      </c>
      <c r="G6" s="82" t="s">
        <v>2441</v>
      </c>
      <c r="H6" s="19" t="s">
        <v>12</v>
      </c>
      <c r="I6" s="19" t="s">
        <v>13</v>
      </c>
      <c r="J6" s="52" t="s">
        <v>14</v>
      </c>
      <c r="K6" s="53" t="s">
        <v>34</v>
      </c>
      <c r="L6" s="83" t="s">
        <v>35</v>
      </c>
      <c r="M6" s="53" t="s">
        <v>40</v>
      </c>
      <c r="N6" s="53" t="s">
        <v>36</v>
      </c>
      <c r="O6" s="53" t="s">
        <v>37</v>
      </c>
      <c r="P6" s="19" t="s">
        <v>15</v>
      </c>
      <c r="Q6" s="19" t="s">
        <v>2440</v>
      </c>
      <c r="R6" s="19" t="s">
        <v>33</v>
      </c>
      <c r="S6" s="19" t="s">
        <v>38</v>
      </c>
      <c r="T6" s="19" t="s">
        <v>39</v>
      </c>
      <c r="U6" s="84" t="s">
        <v>26</v>
      </c>
      <c r="V6" s="85" t="s">
        <v>27</v>
      </c>
      <c r="W6" s="85" t="s">
        <v>16</v>
      </c>
      <c r="X6" s="85" t="s">
        <v>17</v>
      </c>
      <c r="Y6" s="85" t="s">
        <v>18</v>
      </c>
      <c r="Z6" s="85" t="s">
        <v>19</v>
      </c>
      <c r="AA6" s="85" t="s">
        <v>20</v>
      </c>
      <c r="AB6" s="85" t="s">
        <v>28</v>
      </c>
      <c r="AC6" s="85" t="s">
        <v>29</v>
      </c>
      <c r="AD6" s="85" t="s">
        <v>30</v>
      </c>
      <c r="AE6" s="85" t="s">
        <v>31</v>
      </c>
      <c r="AF6" s="85" t="s">
        <v>32</v>
      </c>
      <c r="AG6" s="86" t="s">
        <v>25</v>
      </c>
      <c r="AH6" s="87" t="s">
        <v>24</v>
      </c>
      <c r="AI6" s="88" t="s">
        <v>21</v>
      </c>
      <c r="AJ6" s="89" t="s">
        <v>22</v>
      </c>
    </row>
    <row r="7" spans="1:36" x14ac:dyDescent="0.3">
      <c r="A7" s="90">
        <v>1</v>
      </c>
      <c r="B7" s="79" t="s">
        <v>2439</v>
      </c>
      <c r="C7" s="79" t="s">
        <v>117</v>
      </c>
      <c r="D7" s="79" t="s">
        <v>117</v>
      </c>
      <c r="E7" s="91" t="s">
        <v>3966</v>
      </c>
      <c r="F7" s="91" t="s">
        <v>3967</v>
      </c>
      <c r="G7" s="92">
        <v>1</v>
      </c>
      <c r="H7" s="91" t="s">
        <v>3968</v>
      </c>
      <c r="I7" s="91"/>
      <c r="J7" s="91"/>
      <c r="K7" s="93" t="s">
        <v>3969</v>
      </c>
      <c r="L7" s="93"/>
      <c r="M7" s="93"/>
      <c r="N7" s="93"/>
      <c r="O7" s="93"/>
      <c r="P7" s="92">
        <v>7430</v>
      </c>
      <c r="Q7" s="92">
        <v>1225</v>
      </c>
      <c r="R7" s="94"/>
      <c r="S7" s="95">
        <v>0</v>
      </c>
      <c r="T7" s="95">
        <v>0</v>
      </c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16"/>
      <c r="AH7" s="24"/>
      <c r="AI7" s="25"/>
      <c r="AJ7" s="25"/>
    </row>
    <row r="8" spans="1:36" x14ac:dyDescent="0.3">
      <c r="A8" s="90">
        <v>2</v>
      </c>
      <c r="B8" s="79" t="s">
        <v>2439</v>
      </c>
      <c r="C8" s="79" t="s">
        <v>117</v>
      </c>
      <c r="D8" s="79" t="s">
        <v>117</v>
      </c>
      <c r="E8" s="91" t="s">
        <v>3966</v>
      </c>
      <c r="F8" s="91" t="s">
        <v>3967</v>
      </c>
      <c r="G8" s="92">
        <v>2</v>
      </c>
      <c r="H8" s="91" t="s">
        <v>3968</v>
      </c>
      <c r="I8" s="91"/>
      <c r="J8" s="96"/>
      <c r="K8" s="93" t="s">
        <v>3970</v>
      </c>
      <c r="L8" s="93"/>
      <c r="M8" s="93"/>
      <c r="N8" s="93"/>
      <c r="O8" s="93"/>
      <c r="P8" s="92">
        <v>5774</v>
      </c>
      <c r="Q8" s="92">
        <v>995</v>
      </c>
      <c r="R8" s="92"/>
      <c r="S8" s="97">
        <v>0</v>
      </c>
      <c r="T8" s="97">
        <v>0</v>
      </c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17"/>
      <c r="AH8" s="24"/>
      <c r="AI8" s="25"/>
      <c r="AJ8" s="25"/>
    </row>
    <row r="9" spans="1:36" x14ac:dyDescent="0.3">
      <c r="A9" s="90">
        <v>3</v>
      </c>
      <c r="B9" s="79" t="s">
        <v>2439</v>
      </c>
      <c r="C9" s="79" t="s">
        <v>117</v>
      </c>
      <c r="D9" s="79" t="s">
        <v>117</v>
      </c>
      <c r="E9" s="91" t="s">
        <v>3966</v>
      </c>
      <c r="F9" s="91" t="s">
        <v>3967</v>
      </c>
      <c r="G9" s="92">
        <v>3</v>
      </c>
      <c r="H9" s="91" t="s">
        <v>3971</v>
      </c>
      <c r="I9" s="91"/>
      <c r="J9" s="96"/>
      <c r="K9" s="93" t="s">
        <v>2835</v>
      </c>
      <c r="L9" s="93"/>
      <c r="M9" s="93"/>
      <c r="N9" s="93"/>
      <c r="O9" s="93"/>
      <c r="P9" s="92">
        <v>6904</v>
      </c>
      <c r="Q9" s="92">
        <v>1053</v>
      </c>
      <c r="R9" s="92"/>
      <c r="S9" s="97">
        <v>0</v>
      </c>
      <c r="T9" s="97">
        <v>0</v>
      </c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17"/>
      <c r="AH9" s="24"/>
      <c r="AI9" s="25"/>
      <c r="AJ9" s="25"/>
    </row>
    <row r="10" spans="1:36" x14ac:dyDescent="0.3">
      <c r="A10" s="90">
        <v>4</v>
      </c>
      <c r="B10" s="79" t="s">
        <v>2439</v>
      </c>
      <c r="C10" s="79" t="s">
        <v>117</v>
      </c>
      <c r="D10" s="79" t="s">
        <v>117</v>
      </c>
      <c r="E10" s="91" t="s">
        <v>3966</v>
      </c>
      <c r="F10" s="91" t="s">
        <v>3967</v>
      </c>
      <c r="G10" s="92">
        <v>4</v>
      </c>
      <c r="H10" s="91" t="s">
        <v>3971</v>
      </c>
      <c r="I10" s="91"/>
      <c r="J10" s="96"/>
      <c r="K10" s="93" t="s">
        <v>3972</v>
      </c>
      <c r="L10" s="93"/>
      <c r="M10" s="93"/>
      <c r="N10" s="93"/>
      <c r="O10" s="93"/>
      <c r="P10" s="92">
        <v>6012</v>
      </c>
      <c r="Q10" s="92">
        <v>987</v>
      </c>
      <c r="R10" s="92"/>
      <c r="S10" s="97">
        <v>0</v>
      </c>
      <c r="T10" s="97">
        <v>0</v>
      </c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17"/>
      <c r="AH10" s="24"/>
      <c r="AI10" s="25"/>
      <c r="AJ10" s="25"/>
    </row>
    <row r="11" spans="1:36" x14ac:dyDescent="0.3">
      <c r="A11" s="90">
        <v>5</v>
      </c>
      <c r="B11" s="79" t="s">
        <v>2439</v>
      </c>
      <c r="C11" s="79" t="s">
        <v>117</v>
      </c>
      <c r="D11" s="79" t="s">
        <v>117</v>
      </c>
      <c r="E11" s="91" t="s">
        <v>3966</v>
      </c>
      <c r="F11" s="91" t="s">
        <v>3967</v>
      </c>
      <c r="G11" s="92">
        <v>5</v>
      </c>
      <c r="H11" s="91" t="s">
        <v>3968</v>
      </c>
      <c r="I11" s="91"/>
      <c r="J11" s="96"/>
      <c r="K11" s="93" t="s">
        <v>3973</v>
      </c>
      <c r="L11" s="93"/>
      <c r="M11" s="93"/>
      <c r="N11" s="93"/>
      <c r="O11" s="93"/>
      <c r="P11" s="92">
        <v>7061</v>
      </c>
      <c r="Q11" s="92">
        <v>1201</v>
      </c>
      <c r="R11" s="92"/>
      <c r="S11" s="97">
        <v>0</v>
      </c>
      <c r="T11" s="97">
        <v>0</v>
      </c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16"/>
      <c r="AH11" s="24"/>
      <c r="AI11" s="25"/>
      <c r="AJ11" s="25"/>
    </row>
    <row r="12" spans="1:36" x14ac:dyDescent="0.3">
      <c r="A12" s="90">
        <v>6</v>
      </c>
      <c r="B12" s="79" t="s">
        <v>2439</v>
      </c>
      <c r="C12" s="79" t="s">
        <v>117</v>
      </c>
      <c r="D12" s="79" t="s">
        <v>117</v>
      </c>
      <c r="E12" s="91" t="s">
        <v>3966</v>
      </c>
      <c r="F12" s="91" t="s">
        <v>3967</v>
      </c>
      <c r="G12" s="92">
        <v>6</v>
      </c>
      <c r="H12" s="96" t="s">
        <v>3971</v>
      </c>
      <c r="I12" s="96"/>
      <c r="J12" s="96"/>
      <c r="K12" s="93" t="s">
        <v>3974</v>
      </c>
      <c r="L12" s="93"/>
      <c r="M12" s="93"/>
      <c r="N12" s="93"/>
      <c r="O12" s="93"/>
      <c r="P12" s="92">
        <v>4307</v>
      </c>
      <c r="Q12" s="92">
        <v>817</v>
      </c>
      <c r="R12" s="92"/>
      <c r="S12" s="97">
        <v>0</v>
      </c>
      <c r="T12" s="97">
        <v>0</v>
      </c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17"/>
      <c r="AH12" s="24"/>
      <c r="AI12" s="25"/>
      <c r="AJ12" s="25"/>
    </row>
    <row r="13" spans="1:36" x14ac:dyDescent="0.3">
      <c r="A13" s="90">
        <v>7</v>
      </c>
      <c r="B13" s="79" t="s">
        <v>2439</v>
      </c>
      <c r="C13" s="79" t="s">
        <v>117</v>
      </c>
      <c r="D13" s="79" t="s">
        <v>117</v>
      </c>
      <c r="E13" s="91" t="s">
        <v>3966</v>
      </c>
      <c r="F13" s="91" t="s">
        <v>3967</v>
      </c>
      <c r="G13" s="92">
        <v>6</v>
      </c>
      <c r="H13" s="96" t="s">
        <v>3971</v>
      </c>
      <c r="I13" s="96"/>
      <c r="J13" s="96"/>
      <c r="K13" s="93" t="s">
        <v>3975</v>
      </c>
      <c r="L13" s="93"/>
      <c r="M13" s="93"/>
      <c r="N13" s="93"/>
      <c r="O13" s="93"/>
      <c r="P13" s="92">
        <v>1735</v>
      </c>
      <c r="Q13" s="92">
        <v>269</v>
      </c>
      <c r="R13" s="92"/>
      <c r="S13" s="97">
        <v>0</v>
      </c>
      <c r="T13" s="97">
        <v>0</v>
      </c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17"/>
      <c r="AH13" s="24"/>
      <c r="AI13" s="25"/>
      <c r="AJ13" s="25"/>
    </row>
    <row r="14" spans="1:36" x14ac:dyDescent="0.3">
      <c r="A14" s="90">
        <v>8</v>
      </c>
      <c r="B14" s="79" t="s">
        <v>2439</v>
      </c>
      <c r="C14" s="79" t="s">
        <v>117</v>
      </c>
      <c r="D14" s="79" t="s">
        <v>117</v>
      </c>
      <c r="E14" s="91" t="s">
        <v>3966</v>
      </c>
      <c r="F14" s="91" t="s">
        <v>3967</v>
      </c>
      <c r="G14" s="92">
        <v>6</v>
      </c>
      <c r="H14" s="96" t="s">
        <v>3968</v>
      </c>
      <c r="I14" s="96"/>
      <c r="J14" s="96"/>
      <c r="K14" s="93" t="s">
        <v>3976</v>
      </c>
      <c r="L14" s="93"/>
      <c r="M14" s="93"/>
      <c r="N14" s="93"/>
      <c r="O14" s="93"/>
      <c r="P14" s="92">
        <v>2871</v>
      </c>
      <c r="Q14" s="92">
        <v>456</v>
      </c>
      <c r="R14" s="92"/>
      <c r="S14" s="97">
        <v>0</v>
      </c>
      <c r="T14" s="97">
        <v>0</v>
      </c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16"/>
      <c r="AH14" s="24"/>
      <c r="AI14" s="25"/>
      <c r="AJ14" s="25"/>
    </row>
    <row r="15" spans="1:36" x14ac:dyDescent="0.3">
      <c r="A15" s="90">
        <v>9</v>
      </c>
      <c r="B15" s="79" t="s">
        <v>2439</v>
      </c>
      <c r="C15" s="79" t="s">
        <v>117</v>
      </c>
      <c r="D15" s="79" t="s">
        <v>117</v>
      </c>
      <c r="E15" s="91" t="s">
        <v>3966</v>
      </c>
      <c r="F15" s="91" t="s">
        <v>3967</v>
      </c>
      <c r="G15" s="92">
        <v>7</v>
      </c>
      <c r="H15" s="96" t="s">
        <v>3968</v>
      </c>
      <c r="I15" s="96"/>
      <c r="J15" s="96"/>
      <c r="K15" s="93" t="s">
        <v>3977</v>
      </c>
      <c r="L15" s="93"/>
      <c r="M15" s="93"/>
      <c r="N15" s="93"/>
      <c r="O15" s="93"/>
      <c r="P15" s="92">
        <v>2312</v>
      </c>
      <c r="Q15" s="92">
        <v>368</v>
      </c>
      <c r="R15" s="92"/>
      <c r="S15" s="97">
        <v>0</v>
      </c>
      <c r="T15" s="97">
        <v>0</v>
      </c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17"/>
      <c r="AH15" s="24"/>
      <c r="AI15" s="25"/>
      <c r="AJ15" s="25"/>
    </row>
    <row r="16" spans="1:36" x14ac:dyDescent="0.3">
      <c r="A16" s="90">
        <v>10</v>
      </c>
      <c r="B16" s="79" t="s">
        <v>2439</v>
      </c>
      <c r="C16" s="79" t="s">
        <v>117</v>
      </c>
      <c r="D16" s="79" t="s">
        <v>117</v>
      </c>
      <c r="E16" s="91" t="s">
        <v>3966</v>
      </c>
      <c r="F16" s="91" t="s">
        <v>3967</v>
      </c>
      <c r="G16" s="92">
        <v>7</v>
      </c>
      <c r="H16" s="96" t="s">
        <v>3968</v>
      </c>
      <c r="I16" s="96"/>
      <c r="J16" s="96"/>
      <c r="K16" s="93" t="s">
        <v>3978</v>
      </c>
      <c r="L16" s="93"/>
      <c r="M16" s="93"/>
      <c r="N16" s="93"/>
      <c r="O16" s="93"/>
      <c r="P16" s="92">
        <v>2420</v>
      </c>
      <c r="Q16" s="92">
        <v>474</v>
      </c>
      <c r="R16" s="92"/>
      <c r="S16" s="97">
        <v>0</v>
      </c>
      <c r="T16" s="97">
        <v>0</v>
      </c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17"/>
      <c r="AH16" s="24"/>
      <c r="AI16" s="25"/>
      <c r="AJ16" s="25"/>
    </row>
    <row r="17" spans="1:36" x14ac:dyDescent="0.3">
      <c r="A17" s="90">
        <v>11</v>
      </c>
      <c r="B17" s="79" t="s">
        <v>2439</v>
      </c>
      <c r="C17" s="79" t="s">
        <v>117</v>
      </c>
      <c r="D17" s="79" t="s">
        <v>117</v>
      </c>
      <c r="E17" s="91" t="s">
        <v>3966</v>
      </c>
      <c r="F17" s="91" t="s">
        <v>3967</v>
      </c>
      <c r="G17" s="92">
        <v>8</v>
      </c>
      <c r="H17" s="96" t="s">
        <v>3968</v>
      </c>
      <c r="I17" s="96"/>
      <c r="J17" s="96"/>
      <c r="K17" s="93" t="s">
        <v>3979</v>
      </c>
      <c r="L17" s="93"/>
      <c r="M17" s="93"/>
      <c r="N17" s="93"/>
      <c r="O17" s="93"/>
      <c r="P17" s="92">
        <v>5066</v>
      </c>
      <c r="Q17" s="92">
        <v>822</v>
      </c>
      <c r="R17" s="92"/>
      <c r="S17" s="97">
        <v>0</v>
      </c>
      <c r="T17" s="97">
        <v>0</v>
      </c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17"/>
      <c r="AH17" s="24"/>
      <c r="AI17" s="25"/>
      <c r="AJ17" s="25"/>
    </row>
    <row r="18" spans="1:36" x14ac:dyDescent="0.3">
      <c r="A18" s="90">
        <v>12</v>
      </c>
      <c r="B18" s="79" t="s">
        <v>2439</v>
      </c>
      <c r="C18" s="79" t="s">
        <v>117</v>
      </c>
      <c r="D18" s="79" t="s">
        <v>117</v>
      </c>
      <c r="E18" s="91" t="s">
        <v>3966</v>
      </c>
      <c r="F18" s="91" t="s">
        <v>3967</v>
      </c>
      <c r="G18" s="92">
        <v>9</v>
      </c>
      <c r="H18" s="96" t="s">
        <v>3968</v>
      </c>
      <c r="I18" s="96"/>
      <c r="J18" s="96"/>
      <c r="K18" s="93" t="s">
        <v>3980</v>
      </c>
      <c r="L18" s="93"/>
      <c r="M18" s="93"/>
      <c r="N18" s="93"/>
      <c r="O18" s="93"/>
      <c r="P18" s="92">
        <v>5495</v>
      </c>
      <c r="Q18" s="92">
        <v>981</v>
      </c>
      <c r="R18" s="92"/>
      <c r="S18" s="97">
        <v>0</v>
      </c>
      <c r="T18" s="97">
        <v>0</v>
      </c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17"/>
      <c r="AH18" s="24"/>
      <c r="AI18" s="25"/>
      <c r="AJ18" s="25"/>
    </row>
    <row r="19" spans="1:36" x14ac:dyDescent="0.3">
      <c r="A19" s="90">
        <v>13</v>
      </c>
      <c r="B19" s="79" t="s">
        <v>2439</v>
      </c>
      <c r="C19" s="79" t="s">
        <v>117</v>
      </c>
      <c r="D19" s="79" t="s">
        <v>117</v>
      </c>
      <c r="E19" s="91" t="s">
        <v>3966</v>
      </c>
      <c r="F19" s="91" t="s">
        <v>3981</v>
      </c>
      <c r="G19" s="92">
        <v>1</v>
      </c>
      <c r="H19" s="96" t="s">
        <v>3982</v>
      </c>
      <c r="I19" s="96"/>
      <c r="J19" s="96"/>
      <c r="K19" s="93" t="s">
        <v>3983</v>
      </c>
      <c r="L19" s="93"/>
      <c r="M19" s="93"/>
      <c r="N19" s="93"/>
      <c r="O19" s="93"/>
      <c r="P19" s="92">
        <v>5055</v>
      </c>
      <c r="Q19" s="92">
        <v>882</v>
      </c>
      <c r="R19" s="92"/>
      <c r="S19" s="97">
        <v>0</v>
      </c>
      <c r="T19" s="97">
        <v>0</v>
      </c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17"/>
      <c r="AH19" s="24"/>
      <c r="AI19" s="25"/>
      <c r="AJ19" s="25"/>
    </row>
    <row r="20" spans="1:36" x14ac:dyDescent="0.3">
      <c r="A20" s="90">
        <v>14</v>
      </c>
      <c r="B20" s="79" t="s">
        <v>2439</v>
      </c>
      <c r="C20" s="79" t="s">
        <v>117</v>
      </c>
      <c r="D20" s="79" t="s">
        <v>117</v>
      </c>
      <c r="E20" s="91" t="s">
        <v>3966</v>
      </c>
      <c r="F20" s="91" t="s">
        <v>3981</v>
      </c>
      <c r="G20" s="92">
        <v>2</v>
      </c>
      <c r="H20" s="96" t="s">
        <v>3982</v>
      </c>
      <c r="I20" s="96"/>
      <c r="J20" s="96"/>
      <c r="K20" s="93" t="s">
        <v>3984</v>
      </c>
      <c r="L20" s="93"/>
      <c r="M20" s="93"/>
      <c r="N20" s="93"/>
      <c r="O20" s="93"/>
      <c r="P20" s="92">
        <v>4006</v>
      </c>
      <c r="Q20" s="92">
        <v>803</v>
      </c>
      <c r="R20" s="92"/>
      <c r="S20" s="97">
        <v>0</v>
      </c>
      <c r="T20" s="97">
        <v>0</v>
      </c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7"/>
      <c r="AH20" s="24"/>
      <c r="AI20" s="25"/>
      <c r="AJ20" s="25"/>
    </row>
    <row r="21" spans="1:36" x14ac:dyDescent="0.3">
      <c r="A21" s="90">
        <v>15</v>
      </c>
      <c r="B21" s="79" t="s">
        <v>2439</v>
      </c>
      <c r="C21" s="79" t="s">
        <v>117</v>
      </c>
      <c r="D21" s="79" t="s">
        <v>117</v>
      </c>
      <c r="E21" s="91" t="s">
        <v>3966</v>
      </c>
      <c r="F21" s="91" t="s">
        <v>3981</v>
      </c>
      <c r="G21" s="97">
        <v>3</v>
      </c>
      <c r="H21" s="96" t="s">
        <v>3982</v>
      </c>
      <c r="I21" s="96"/>
      <c r="J21" s="96"/>
      <c r="K21" s="93" t="s">
        <v>3985</v>
      </c>
      <c r="L21" s="93"/>
      <c r="M21" s="93"/>
      <c r="N21" s="93"/>
      <c r="O21" s="93"/>
      <c r="P21" s="92">
        <v>3562</v>
      </c>
      <c r="Q21" s="92">
        <v>631</v>
      </c>
      <c r="R21" s="92"/>
      <c r="S21" s="97">
        <v>0</v>
      </c>
      <c r="T21" s="97">
        <v>0</v>
      </c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17"/>
      <c r="AH21" s="24"/>
      <c r="AI21" s="25"/>
      <c r="AJ21" s="25"/>
    </row>
    <row r="22" spans="1:36" x14ac:dyDescent="0.3">
      <c r="A22" s="90">
        <v>16</v>
      </c>
      <c r="B22" s="79" t="s">
        <v>2439</v>
      </c>
      <c r="C22" s="79" t="s">
        <v>117</v>
      </c>
      <c r="D22" s="79" t="s">
        <v>117</v>
      </c>
      <c r="E22" s="91" t="s">
        <v>3966</v>
      </c>
      <c r="F22" s="91" t="s">
        <v>3981</v>
      </c>
      <c r="G22" s="92">
        <v>4</v>
      </c>
      <c r="H22" s="96" t="s">
        <v>3982</v>
      </c>
      <c r="I22" s="96"/>
      <c r="J22" s="96"/>
      <c r="K22" s="93" t="s">
        <v>885</v>
      </c>
      <c r="L22" s="93"/>
      <c r="M22" s="93"/>
      <c r="N22" s="93"/>
      <c r="O22" s="93"/>
      <c r="P22" s="92">
        <v>587</v>
      </c>
      <c r="Q22" s="92">
        <v>96</v>
      </c>
      <c r="R22" s="92"/>
      <c r="S22" s="97">
        <v>0</v>
      </c>
      <c r="T22" s="97">
        <v>0</v>
      </c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7"/>
      <c r="AH22" s="24"/>
      <c r="AI22" s="25"/>
      <c r="AJ22" s="25"/>
    </row>
    <row r="23" spans="1:36" x14ac:dyDescent="0.3">
      <c r="A23" s="90">
        <v>17</v>
      </c>
      <c r="B23" s="79" t="s">
        <v>2439</v>
      </c>
      <c r="C23" s="79" t="s">
        <v>117</v>
      </c>
      <c r="D23" s="79" t="s">
        <v>117</v>
      </c>
      <c r="E23" s="91" t="s">
        <v>3966</v>
      </c>
      <c r="F23" s="91" t="s">
        <v>3981</v>
      </c>
      <c r="G23" s="92">
        <v>4</v>
      </c>
      <c r="H23" s="96" t="s">
        <v>3982</v>
      </c>
      <c r="I23" s="96"/>
      <c r="J23" s="96"/>
      <c r="K23" s="93" t="s">
        <v>3986</v>
      </c>
      <c r="L23" s="93"/>
      <c r="M23" s="93"/>
      <c r="N23" s="93"/>
      <c r="O23" s="93"/>
      <c r="P23" s="92">
        <v>1291</v>
      </c>
      <c r="Q23" s="92">
        <v>297</v>
      </c>
      <c r="R23" s="92"/>
      <c r="S23" s="97">
        <v>0</v>
      </c>
      <c r="T23" s="97">
        <v>0</v>
      </c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17"/>
      <c r="AH23" s="24"/>
      <c r="AI23" s="25"/>
      <c r="AJ23" s="25"/>
    </row>
    <row r="24" spans="1:36" x14ac:dyDescent="0.3">
      <c r="A24" s="90">
        <v>18</v>
      </c>
      <c r="B24" s="79" t="s">
        <v>2439</v>
      </c>
      <c r="C24" s="79" t="s">
        <v>117</v>
      </c>
      <c r="D24" s="79" t="s">
        <v>117</v>
      </c>
      <c r="E24" s="91" t="s">
        <v>3966</v>
      </c>
      <c r="F24" s="91" t="s">
        <v>3981</v>
      </c>
      <c r="G24" s="92">
        <v>4</v>
      </c>
      <c r="H24" s="96" t="s">
        <v>3982</v>
      </c>
      <c r="I24" s="96"/>
      <c r="J24" s="96"/>
      <c r="K24" s="93" t="s">
        <v>3987</v>
      </c>
      <c r="L24" s="93"/>
      <c r="M24" s="93"/>
      <c r="N24" s="93"/>
      <c r="O24" s="93"/>
      <c r="P24" s="92">
        <v>2573</v>
      </c>
      <c r="Q24" s="92">
        <v>398</v>
      </c>
      <c r="R24" s="92"/>
      <c r="S24" s="97">
        <v>0</v>
      </c>
      <c r="T24" s="97">
        <v>0</v>
      </c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7"/>
      <c r="AH24" s="24"/>
      <c r="AI24" s="25"/>
      <c r="AJ24" s="25"/>
    </row>
    <row r="25" spans="1:36" x14ac:dyDescent="0.3">
      <c r="A25" s="90">
        <v>19</v>
      </c>
      <c r="B25" s="79" t="s">
        <v>2439</v>
      </c>
      <c r="C25" s="79" t="s">
        <v>117</v>
      </c>
      <c r="D25" s="79" t="s">
        <v>117</v>
      </c>
      <c r="E25" s="91" t="s">
        <v>3966</v>
      </c>
      <c r="F25" s="91" t="s">
        <v>3981</v>
      </c>
      <c r="G25" s="97">
        <v>4</v>
      </c>
      <c r="H25" s="96" t="s">
        <v>3982</v>
      </c>
      <c r="I25" s="96"/>
      <c r="J25" s="96"/>
      <c r="K25" s="93" t="s">
        <v>3988</v>
      </c>
      <c r="L25" s="93"/>
      <c r="M25" s="93"/>
      <c r="N25" s="93"/>
      <c r="O25" s="93"/>
      <c r="P25" s="92">
        <v>1085</v>
      </c>
      <c r="Q25" s="92">
        <v>297</v>
      </c>
      <c r="R25" s="92"/>
      <c r="S25" s="97">
        <v>0</v>
      </c>
      <c r="T25" s="97">
        <v>0</v>
      </c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17"/>
      <c r="AH25" s="24"/>
      <c r="AI25" s="25"/>
      <c r="AJ25" s="25"/>
    </row>
    <row r="26" spans="1:36" x14ac:dyDescent="0.3">
      <c r="A26" s="90">
        <v>20</v>
      </c>
      <c r="B26" s="79" t="s">
        <v>2439</v>
      </c>
      <c r="C26" s="79" t="s">
        <v>117</v>
      </c>
      <c r="D26" s="79" t="s">
        <v>117</v>
      </c>
      <c r="E26" s="91" t="s">
        <v>3966</v>
      </c>
      <c r="F26" s="91" t="s">
        <v>3981</v>
      </c>
      <c r="G26" s="97">
        <v>5</v>
      </c>
      <c r="H26" s="96" t="s">
        <v>3982</v>
      </c>
      <c r="I26" s="96"/>
      <c r="J26" s="96"/>
      <c r="K26" s="93" t="s">
        <v>3989</v>
      </c>
      <c r="L26" s="93"/>
      <c r="M26" s="93"/>
      <c r="N26" s="93"/>
      <c r="O26" s="93"/>
      <c r="P26" s="92">
        <v>4232</v>
      </c>
      <c r="Q26" s="92">
        <v>738</v>
      </c>
      <c r="R26" s="92"/>
      <c r="S26" s="97">
        <v>0</v>
      </c>
      <c r="T26" s="97">
        <v>0</v>
      </c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17"/>
      <c r="AH26" s="24"/>
      <c r="AI26" s="25"/>
      <c r="AJ26" s="25"/>
    </row>
    <row r="27" spans="1:36" x14ac:dyDescent="0.3">
      <c r="A27" s="90">
        <v>21</v>
      </c>
      <c r="B27" s="79" t="s">
        <v>2439</v>
      </c>
      <c r="C27" s="79" t="s">
        <v>117</v>
      </c>
      <c r="D27" s="79" t="s">
        <v>117</v>
      </c>
      <c r="E27" s="91" t="s">
        <v>3966</v>
      </c>
      <c r="F27" s="91" t="s">
        <v>3981</v>
      </c>
      <c r="G27" s="97">
        <v>6</v>
      </c>
      <c r="H27" s="96" t="s">
        <v>3982</v>
      </c>
      <c r="I27" s="96"/>
      <c r="J27" s="96"/>
      <c r="K27" s="93" t="s">
        <v>3990</v>
      </c>
      <c r="L27" s="93"/>
      <c r="M27" s="93"/>
      <c r="N27" s="93"/>
      <c r="O27" s="93"/>
      <c r="P27" s="92">
        <v>5212</v>
      </c>
      <c r="Q27" s="92">
        <v>750</v>
      </c>
      <c r="R27" s="92"/>
      <c r="S27" s="97">
        <v>0</v>
      </c>
      <c r="T27" s="97">
        <v>0</v>
      </c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17"/>
      <c r="AH27" s="24"/>
      <c r="AI27" s="25"/>
      <c r="AJ27" s="25"/>
    </row>
    <row r="28" spans="1:36" x14ac:dyDescent="0.3">
      <c r="A28" s="90">
        <v>22</v>
      </c>
      <c r="B28" s="79" t="s">
        <v>2439</v>
      </c>
      <c r="C28" s="79" t="s">
        <v>117</v>
      </c>
      <c r="D28" s="79" t="s">
        <v>117</v>
      </c>
      <c r="E28" s="91" t="s">
        <v>3966</v>
      </c>
      <c r="F28" s="91" t="s">
        <v>3981</v>
      </c>
      <c r="G28" s="97">
        <v>7</v>
      </c>
      <c r="H28" s="96" t="s">
        <v>3982</v>
      </c>
      <c r="I28" s="96"/>
      <c r="J28" s="96"/>
      <c r="K28" s="93" t="s">
        <v>3991</v>
      </c>
      <c r="L28" s="93"/>
      <c r="M28" s="93"/>
      <c r="N28" s="93"/>
      <c r="O28" s="93"/>
      <c r="P28" s="92">
        <v>4270</v>
      </c>
      <c r="Q28" s="92">
        <v>698</v>
      </c>
      <c r="R28" s="92"/>
      <c r="S28" s="97">
        <v>0</v>
      </c>
      <c r="T28" s="97">
        <v>0</v>
      </c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17"/>
      <c r="AH28" s="24"/>
      <c r="AI28" s="25"/>
      <c r="AJ28" s="25"/>
    </row>
    <row r="29" spans="1:36" x14ac:dyDescent="0.3">
      <c r="A29" s="90">
        <v>23</v>
      </c>
      <c r="B29" s="79" t="s">
        <v>2439</v>
      </c>
      <c r="C29" s="79" t="s">
        <v>117</v>
      </c>
      <c r="D29" s="79" t="s">
        <v>117</v>
      </c>
      <c r="E29" s="91" t="s">
        <v>3966</v>
      </c>
      <c r="F29" s="91" t="s">
        <v>3981</v>
      </c>
      <c r="G29" s="97">
        <v>8</v>
      </c>
      <c r="H29" s="96" t="s">
        <v>3982</v>
      </c>
      <c r="I29" s="96"/>
      <c r="J29" s="96"/>
      <c r="K29" s="93" t="s">
        <v>3992</v>
      </c>
      <c r="L29" s="93"/>
      <c r="M29" s="93"/>
      <c r="N29" s="93"/>
      <c r="O29" s="93"/>
      <c r="P29" s="92">
        <v>4132</v>
      </c>
      <c r="Q29" s="92">
        <v>629</v>
      </c>
      <c r="R29" s="92"/>
      <c r="S29" s="97">
        <v>0</v>
      </c>
      <c r="T29" s="97">
        <v>0</v>
      </c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17"/>
      <c r="AH29" s="24"/>
      <c r="AI29" s="25"/>
      <c r="AJ29" s="25"/>
    </row>
    <row r="30" spans="1:36" x14ac:dyDescent="0.3">
      <c r="A30" s="90">
        <v>24</v>
      </c>
      <c r="B30" s="79" t="s">
        <v>2439</v>
      </c>
      <c r="C30" s="79" t="s">
        <v>117</v>
      </c>
      <c r="D30" s="79" t="s">
        <v>117</v>
      </c>
      <c r="E30" s="91" t="s">
        <v>3966</v>
      </c>
      <c r="F30" s="91" t="s">
        <v>3981</v>
      </c>
      <c r="G30" s="97">
        <v>9</v>
      </c>
      <c r="H30" s="96" t="s">
        <v>3982</v>
      </c>
      <c r="I30" s="96"/>
      <c r="J30" s="96"/>
      <c r="K30" s="93" t="s">
        <v>3993</v>
      </c>
      <c r="L30" s="93"/>
      <c r="M30" s="93"/>
      <c r="N30" s="93"/>
      <c r="O30" s="93"/>
      <c r="P30" s="92">
        <v>2620</v>
      </c>
      <c r="Q30" s="92">
        <v>454</v>
      </c>
      <c r="R30" s="92"/>
      <c r="S30" s="97">
        <v>0</v>
      </c>
      <c r="T30" s="97">
        <v>0</v>
      </c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17"/>
      <c r="AH30" s="24"/>
      <c r="AI30" s="25"/>
      <c r="AJ30" s="25"/>
    </row>
    <row r="31" spans="1:36" x14ac:dyDescent="0.3">
      <c r="A31" s="90">
        <v>25</v>
      </c>
      <c r="B31" s="79" t="s">
        <v>2439</v>
      </c>
      <c r="C31" s="79" t="s">
        <v>117</v>
      </c>
      <c r="D31" s="79" t="s">
        <v>117</v>
      </c>
      <c r="E31" s="91" t="s">
        <v>3966</v>
      </c>
      <c r="F31" s="91" t="s">
        <v>3981</v>
      </c>
      <c r="G31" s="97">
        <v>9</v>
      </c>
      <c r="H31" s="96" t="s">
        <v>3982</v>
      </c>
      <c r="I31" s="96"/>
      <c r="J31" s="96"/>
      <c r="K31" s="93" t="s">
        <v>3994</v>
      </c>
      <c r="L31" s="93"/>
      <c r="M31" s="93"/>
      <c r="N31" s="93"/>
      <c r="O31" s="93"/>
      <c r="P31" s="92">
        <v>1800</v>
      </c>
      <c r="Q31" s="92">
        <v>280</v>
      </c>
      <c r="R31" s="92"/>
      <c r="S31" s="97">
        <v>0</v>
      </c>
      <c r="T31" s="97">
        <v>0</v>
      </c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17"/>
      <c r="AH31" s="24"/>
      <c r="AI31" s="25"/>
      <c r="AJ31" s="25"/>
    </row>
    <row r="32" spans="1:36" x14ac:dyDescent="0.3">
      <c r="A32" s="90">
        <v>26</v>
      </c>
      <c r="B32" s="79" t="s">
        <v>2439</v>
      </c>
      <c r="C32" s="79" t="s">
        <v>117</v>
      </c>
      <c r="D32" s="79" t="s">
        <v>117</v>
      </c>
      <c r="E32" s="91" t="s">
        <v>3966</v>
      </c>
      <c r="F32" s="96" t="s">
        <v>3981</v>
      </c>
      <c r="G32" s="97">
        <v>9</v>
      </c>
      <c r="H32" s="96" t="s">
        <v>3982</v>
      </c>
      <c r="I32" s="96"/>
      <c r="J32" s="96"/>
      <c r="K32" s="93" t="s">
        <v>3995</v>
      </c>
      <c r="L32" s="93"/>
      <c r="M32" s="93"/>
      <c r="N32" s="93"/>
      <c r="O32" s="93"/>
      <c r="P32" s="92">
        <v>381</v>
      </c>
      <c r="Q32" s="92">
        <v>62</v>
      </c>
      <c r="R32" s="92"/>
      <c r="S32" s="97">
        <v>0</v>
      </c>
      <c r="T32" s="97">
        <v>0</v>
      </c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7"/>
      <c r="AH32" s="24"/>
      <c r="AI32" s="25"/>
      <c r="AJ32" s="25"/>
    </row>
    <row r="33" spans="1:36" x14ac:dyDescent="0.3">
      <c r="A33" s="90">
        <v>27</v>
      </c>
      <c r="B33" s="79" t="s">
        <v>2439</v>
      </c>
      <c r="C33" s="79" t="s">
        <v>117</v>
      </c>
      <c r="D33" s="79" t="s">
        <v>117</v>
      </c>
      <c r="E33" s="91" t="s">
        <v>3966</v>
      </c>
      <c r="F33" s="96" t="s">
        <v>3981</v>
      </c>
      <c r="G33" s="97">
        <v>9</v>
      </c>
      <c r="H33" s="96" t="s">
        <v>3982</v>
      </c>
      <c r="I33" s="96"/>
      <c r="J33" s="96"/>
      <c r="K33" s="93" t="s">
        <v>3996</v>
      </c>
      <c r="L33" s="93"/>
      <c r="M33" s="93"/>
      <c r="N33" s="93"/>
      <c r="O33" s="93"/>
      <c r="P33" s="92">
        <v>662</v>
      </c>
      <c r="Q33" s="92">
        <v>102</v>
      </c>
      <c r="R33" s="92"/>
      <c r="S33" s="97">
        <v>0</v>
      </c>
      <c r="T33" s="97">
        <v>0</v>
      </c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17"/>
      <c r="AH33" s="24"/>
      <c r="AI33" s="25"/>
      <c r="AJ33" s="25"/>
    </row>
    <row r="34" spans="1:36" x14ac:dyDescent="0.3">
      <c r="A34" s="90">
        <v>28</v>
      </c>
      <c r="B34" s="79" t="s">
        <v>2439</v>
      </c>
      <c r="C34" s="79" t="s">
        <v>117</v>
      </c>
      <c r="D34" s="79" t="s">
        <v>117</v>
      </c>
      <c r="E34" s="91" t="s">
        <v>3966</v>
      </c>
      <c r="F34" s="96" t="s">
        <v>3981</v>
      </c>
      <c r="G34" s="97">
        <v>9</v>
      </c>
      <c r="H34" s="96" t="s">
        <v>3982</v>
      </c>
      <c r="I34" s="96"/>
      <c r="J34" s="96"/>
      <c r="K34" s="93" t="s">
        <v>3997</v>
      </c>
      <c r="L34" s="93"/>
      <c r="M34" s="93"/>
      <c r="N34" s="93"/>
      <c r="O34" s="93"/>
      <c r="P34" s="92">
        <v>1128</v>
      </c>
      <c r="Q34" s="92">
        <v>193</v>
      </c>
      <c r="R34" s="92"/>
      <c r="S34" s="97">
        <v>0</v>
      </c>
      <c r="T34" s="97">
        <v>0</v>
      </c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17"/>
      <c r="AH34" s="24"/>
      <c r="AI34" s="25"/>
      <c r="AJ34" s="25"/>
    </row>
    <row r="35" spans="1:36" x14ac:dyDescent="0.3">
      <c r="A35" s="90">
        <v>29</v>
      </c>
      <c r="B35" s="79" t="s">
        <v>2439</v>
      </c>
      <c r="C35" s="79" t="s">
        <v>117</v>
      </c>
      <c r="D35" s="79" t="s">
        <v>117</v>
      </c>
      <c r="E35" s="91" t="s">
        <v>3966</v>
      </c>
      <c r="F35" s="96" t="s">
        <v>3981</v>
      </c>
      <c r="G35" s="97">
        <v>9</v>
      </c>
      <c r="H35" s="96" t="s">
        <v>3982</v>
      </c>
      <c r="I35" s="96"/>
      <c r="J35" s="96"/>
      <c r="K35" s="93" t="s">
        <v>3998</v>
      </c>
      <c r="L35" s="93"/>
      <c r="M35" s="93"/>
      <c r="N35" s="93"/>
      <c r="O35" s="93"/>
      <c r="P35" s="92">
        <v>708</v>
      </c>
      <c r="Q35" s="92">
        <v>97</v>
      </c>
      <c r="R35" s="92"/>
      <c r="S35" s="97">
        <v>0</v>
      </c>
      <c r="T35" s="97">
        <v>0</v>
      </c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17"/>
      <c r="AH35" s="24"/>
      <c r="AI35" s="29"/>
      <c r="AJ35" s="29"/>
    </row>
    <row r="36" spans="1:36" x14ac:dyDescent="0.3">
      <c r="A36" s="90">
        <v>30</v>
      </c>
      <c r="B36" s="79" t="s">
        <v>2439</v>
      </c>
      <c r="C36" s="79" t="s">
        <v>117</v>
      </c>
      <c r="D36" s="79" t="s">
        <v>117</v>
      </c>
      <c r="E36" s="91" t="s">
        <v>3966</v>
      </c>
      <c r="F36" s="96" t="s">
        <v>3999</v>
      </c>
      <c r="G36" s="97">
        <v>1</v>
      </c>
      <c r="H36" s="96" t="s">
        <v>3030</v>
      </c>
      <c r="I36" s="96"/>
      <c r="J36" s="96"/>
      <c r="K36" s="93" t="s">
        <v>4000</v>
      </c>
      <c r="L36" s="93"/>
      <c r="M36" s="93"/>
      <c r="N36" s="93"/>
      <c r="O36" s="93"/>
      <c r="P36" s="92">
        <v>4692</v>
      </c>
      <c r="Q36" s="92">
        <v>838</v>
      </c>
      <c r="R36" s="92"/>
      <c r="S36" s="97">
        <v>0</v>
      </c>
      <c r="T36" s="97">
        <v>0</v>
      </c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17"/>
      <c r="AH36" s="24"/>
      <c r="AI36" s="30"/>
      <c r="AJ36" s="30"/>
    </row>
    <row r="37" spans="1:36" x14ac:dyDescent="0.3">
      <c r="A37" s="90">
        <v>31</v>
      </c>
      <c r="B37" s="79" t="s">
        <v>2439</v>
      </c>
      <c r="C37" s="79" t="s">
        <v>117</v>
      </c>
      <c r="D37" s="79" t="s">
        <v>117</v>
      </c>
      <c r="E37" s="91" t="s">
        <v>3966</v>
      </c>
      <c r="F37" s="96" t="s">
        <v>3999</v>
      </c>
      <c r="G37" s="97">
        <v>1</v>
      </c>
      <c r="H37" s="96" t="s">
        <v>3030</v>
      </c>
      <c r="I37" s="96"/>
      <c r="J37" s="96"/>
      <c r="K37" s="93" t="s">
        <v>4001</v>
      </c>
      <c r="L37" s="93"/>
      <c r="M37" s="93"/>
      <c r="N37" s="93"/>
      <c r="O37" s="93"/>
      <c r="P37" s="92">
        <v>1810</v>
      </c>
      <c r="Q37" s="92">
        <v>227</v>
      </c>
      <c r="R37" s="92"/>
      <c r="S37" s="97">
        <v>0</v>
      </c>
      <c r="T37" s="97">
        <v>0</v>
      </c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17"/>
      <c r="AH37" s="24"/>
      <c r="AI37" s="31"/>
      <c r="AJ37" s="31"/>
    </row>
    <row r="38" spans="1:36" x14ac:dyDescent="0.3">
      <c r="A38" s="90">
        <v>32</v>
      </c>
      <c r="B38" s="79" t="s">
        <v>2439</v>
      </c>
      <c r="C38" s="79" t="s">
        <v>117</v>
      </c>
      <c r="D38" s="79" t="s">
        <v>117</v>
      </c>
      <c r="E38" s="91" t="s">
        <v>3966</v>
      </c>
      <c r="F38" s="96" t="s">
        <v>3999</v>
      </c>
      <c r="G38" s="97">
        <v>2</v>
      </c>
      <c r="H38" s="96" t="s">
        <v>4002</v>
      </c>
      <c r="I38" s="96"/>
      <c r="J38" s="96"/>
      <c r="K38" s="93" t="s">
        <v>4003</v>
      </c>
      <c r="L38" s="93"/>
      <c r="M38" s="93"/>
      <c r="N38" s="93"/>
      <c r="O38" s="93"/>
      <c r="P38" s="92">
        <v>2047</v>
      </c>
      <c r="Q38" s="92">
        <v>356</v>
      </c>
      <c r="R38" s="92"/>
      <c r="S38" s="97">
        <v>0</v>
      </c>
      <c r="T38" s="97">
        <v>0</v>
      </c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17"/>
      <c r="AH38" s="24"/>
      <c r="AI38" s="31"/>
      <c r="AJ38" s="31"/>
    </row>
    <row r="39" spans="1:36" x14ac:dyDescent="0.3">
      <c r="A39" s="90">
        <v>33</v>
      </c>
      <c r="B39" s="79" t="s">
        <v>2439</v>
      </c>
      <c r="C39" s="79" t="s">
        <v>117</v>
      </c>
      <c r="D39" s="79" t="s">
        <v>117</v>
      </c>
      <c r="E39" s="91" t="s">
        <v>3966</v>
      </c>
      <c r="F39" s="96" t="s">
        <v>3999</v>
      </c>
      <c r="G39" s="97">
        <v>2</v>
      </c>
      <c r="H39" s="96" t="s">
        <v>4002</v>
      </c>
      <c r="I39" s="96"/>
      <c r="J39" s="96"/>
      <c r="K39" s="93" t="s">
        <v>4004</v>
      </c>
      <c r="L39" s="93"/>
      <c r="M39" s="93"/>
      <c r="N39" s="93"/>
      <c r="O39" s="93"/>
      <c r="P39" s="92">
        <v>2528</v>
      </c>
      <c r="Q39" s="92">
        <v>434</v>
      </c>
      <c r="R39" s="92"/>
      <c r="S39" s="97">
        <v>0</v>
      </c>
      <c r="T39" s="97">
        <v>0</v>
      </c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17"/>
      <c r="AH39" s="24"/>
      <c r="AI39" s="29"/>
      <c r="AJ39" s="29"/>
    </row>
    <row r="40" spans="1:36" x14ac:dyDescent="0.3">
      <c r="A40" s="90">
        <v>34</v>
      </c>
      <c r="B40" s="79" t="s">
        <v>2439</v>
      </c>
      <c r="C40" s="79" t="s">
        <v>117</v>
      </c>
      <c r="D40" s="79" t="s">
        <v>117</v>
      </c>
      <c r="E40" s="91" t="s">
        <v>3966</v>
      </c>
      <c r="F40" s="96" t="s">
        <v>3999</v>
      </c>
      <c r="G40" s="97">
        <v>3</v>
      </c>
      <c r="H40" s="96" t="s">
        <v>4002</v>
      </c>
      <c r="I40" s="96"/>
      <c r="J40" s="96"/>
      <c r="K40" s="93" t="s">
        <v>4005</v>
      </c>
      <c r="L40" s="93"/>
      <c r="M40" s="93"/>
      <c r="N40" s="93"/>
      <c r="O40" s="93"/>
      <c r="P40" s="92">
        <v>5022</v>
      </c>
      <c r="Q40" s="92">
        <v>895</v>
      </c>
      <c r="R40" s="92"/>
      <c r="S40" s="97">
        <v>0</v>
      </c>
      <c r="T40" s="97">
        <v>0</v>
      </c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17"/>
      <c r="AH40" s="24"/>
      <c r="AI40" s="29"/>
      <c r="AJ40" s="29"/>
    </row>
    <row r="41" spans="1:36" x14ac:dyDescent="0.3">
      <c r="A41" s="90">
        <v>35</v>
      </c>
      <c r="B41" s="79" t="s">
        <v>2439</v>
      </c>
      <c r="C41" s="79" t="s">
        <v>117</v>
      </c>
      <c r="D41" s="79" t="s">
        <v>117</v>
      </c>
      <c r="E41" s="91" t="s">
        <v>3966</v>
      </c>
      <c r="F41" s="96" t="s">
        <v>3999</v>
      </c>
      <c r="G41" s="97">
        <v>4</v>
      </c>
      <c r="H41" s="96" t="s">
        <v>3030</v>
      </c>
      <c r="I41" s="96"/>
      <c r="J41" s="96"/>
      <c r="K41" s="93" t="s">
        <v>4006</v>
      </c>
      <c r="L41" s="93"/>
      <c r="M41" s="93"/>
      <c r="N41" s="93"/>
      <c r="O41" s="93"/>
      <c r="P41" s="92">
        <v>1482</v>
      </c>
      <c r="Q41" s="92">
        <v>325</v>
      </c>
      <c r="R41" s="92"/>
      <c r="S41" s="97">
        <v>0</v>
      </c>
      <c r="T41" s="97">
        <v>0</v>
      </c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17"/>
      <c r="AH41" s="24"/>
      <c r="AI41" s="25"/>
      <c r="AJ41" s="25"/>
    </row>
    <row r="42" spans="1:36" x14ac:dyDescent="0.3">
      <c r="A42" s="90">
        <v>36</v>
      </c>
      <c r="B42" s="79" t="s">
        <v>2439</v>
      </c>
      <c r="C42" s="79" t="s">
        <v>117</v>
      </c>
      <c r="D42" s="79" t="s">
        <v>117</v>
      </c>
      <c r="E42" s="91" t="s">
        <v>3966</v>
      </c>
      <c r="F42" s="96" t="s">
        <v>3999</v>
      </c>
      <c r="G42" s="97">
        <v>4</v>
      </c>
      <c r="H42" s="96" t="s">
        <v>4002</v>
      </c>
      <c r="I42" s="96"/>
      <c r="J42" s="96"/>
      <c r="K42" s="93" t="s">
        <v>4007</v>
      </c>
      <c r="L42" s="93"/>
      <c r="M42" s="93"/>
      <c r="N42" s="93"/>
      <c r="O42" s="93"/>
      <c r="P42" s="92">
        <v>2157</v>
      </c>
      <c r="Q42" s="92">
        <v>365</v>
      </c>
      <c r="R42" s="92"/>
      <c r="S42" s="97">
        <v>0</v>
      </c>
      <c r="T42" s="97">
        <v>0</v>
      </c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17"/>
      <c r="AH42" s="24"/>
      <c r="AI42" s="25"/>
      <c r="AJ42" s="25"/>
    </row>
    <row r="43" spans="1:36" x14ac:dyDescent="0.3">
      <c r="A43" s="90">
        <v>37</v>
      </c>
      <c r="B43" s="79" t="s">
        <v>2439</v>
      </c>
      <c r="C43" s="79" t="s">
        <v>117</v>
      </c>
      <c r="D43" s="79" t="s">
        <v>117</v>
      </c>
      <c r="E43" s="91" t="s">
        <v>3966</v>
      </c>
      <c r="F43" s="96" t="s">
        <v>3999</v>
      </c>
      <c r="G43" s="97">
        <v>5</v>
      </c>
      <c r="H43" s="96" t="s">
        <v>3030</v>
      </c>
      <c r="I43" s="96"/>
      <c r="J43" s="96"/>
      <c r="K43" s="93" t="s">
        <v>4008</v>
      </c>
      <c r="L43" s="93"/>
      <c r="M43" s="93"/>
      <c r="N43" s="93"/>
      <c r="O43" s="93"/>
      <c r="P43" s="92">
        <v>3286</v>
      </c>
      <c r="Q43" s="92">
        <v>564</v>
      </c>
      <c r="R43" s="92"/>
      <c r="S43" s="97">
        <v>0</v>
      </c>
      <c r="T43" s="97">
        <v>0</v>
      </c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17"/>
      <c r="AH43" s="24"/>
      <c r="AI43" s="25"/>
      <c r="AJ43" s="25"/>
    </row>
    <row r="44" spans="1:36" x14ac:dyDescent="0.3">
      <c r="A44" s="90">
        <v>38</v>
      </c>
      <c r="B44" s="79" t="s">
        <v>2439</v>
      </c>
      <c r="C44" s="79" t="s">
        <v>117</v>
      </c>
      <c r="D44" s="79" t="s">
        <v>117</v>
      </c>
      <c r="E44" s="91" t="s">
        <v>3966</v>
      </c>
      <c r="F44" s="96" t="s">
        <v>3999</v>
      </c>
      <c r="G44" s="97">
        <v>6</v>
      </c>
      <c r="H44" s="96" t="s">
        <v>3030</v>
      </c>
      <c r="I44" s="96"/>
      <c r="J44" s="96"/>
      <c r="K44" s="93" t="s">
        <v>3999</v>
      </c>
      <c r="L44" s="93"/>
      <c r="M44" s="93"/>
      <c r="N44" s="93"/>
      <c r="O44" s="93"/>
      <c r="P44" s="92">
        <v>3312</v>
      </c>
      <c r="Q44" s="92">
        <v>555</v>
      </c>
      <c r="R44" s="92"/>
      <c r="S44" s="97">
        <v>0</v>
      </c>
      <c r="T44" s="97">
        <v>0</v>
      </c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17"/>
      <c r="AH44" s="24"/>
      <c r="AI44" s="32"/>
      <c r="AJ44" s="32"/>
    </row>
    <row r="45" spans="1:36" x14ac:dyDescent="0.3">
      <c r="A45" s="90">
        <v>39</v>
      </c>
      <c r="B45" s="79" t="s">
        <v>2439</v>
      </c>
      <c r="C45" s="79" t="s">
        <v>117</v>
      </c>
      <c r="D45" s="79" t="s">
        <v>117</v>
      </c>
      <c r="E45" s="91" t="s">
        <v>3966</v>
      </c>
      <c r="F45" s="96" t="s">
        <v>3999</v>
      </c>
      <c r="G45" s="97">
        <v>7</v>
      </c>
      <c r="H45" s="96" t="s">
        <v>4002</v>
      </c>
      <c r="I45" s="96"/>
      <c r="J45" s="96"/>
      <c r="K45" s="93" t="s">
        <v>4009</v>
      </c>
      <c r="L45" s="93"/>
      <c r="M45" s="93"/>
      <c r="N45" s="93"/>
      <c r="O45" s="93"/>
      <c r="P45" s="92">
        <v>2639</v>
      </c>
      <c r="Q45" s="92">
        <v>455</v>
      </c>
      <c r="R45" s="92"/>
      <c r="S45" s="97">
        <v>0</v>
      </c>
      <c r="T45" s="97">
        <v>0</v>
      </c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17"/>
      <c r="AH45" s="24"/>
      <c r="AI45" s="33"/>
      <c r="AJ45" s="33"/>
    </row>
    <row r="46" spans="1:36" x14ac:dyDescent="0.3">
      <c r="A46" s="90">
        <v>40</v>
      </c>
      <c r="B46" s="79" t="s">
        <v>2439</v>
      </c>
      <c r="C46" s="79" t="s">
        <v>117</v>
      </c>
      <c r="D46" s="79" t="s">
        <v>117</v>
      </c>
      <c r="E46" s="91" t="s">
        <v>3966</v>
      </c>
      <c r="F46" s="96" t="s">
        <v>3999</v>
      </c>
      <c r="G46" s="97">
        <v>8</v>
      </c>
      <c r="H46" s="96" t="s">
        <v>4002</v>
      </c>
      <c r="I46" s="96"/>
      <c r="J46" s="96"/>
      <c r="K46" s="93" t="s">
        <v>4009</v>
      </c>
      <c r="L46" s="93"/>
      <c r="M46" s="93"/>
      <c r="N46" s="93"/>
      <c r="O46" s="93"/>
      <c r="P46" s="92">
        <v>4342</v>
      </c>
      <c r="Q46" s="92">
        <v>792</v>
      </c>
      <c r="R46" s="92"/>
      <c r="S46" s="97">
        <v>0</v>
      </c>
      <c r="T46" s="97">
        <v>0</v>
      </c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17"/>
      <c r="AH46" s="24"/>
      <c r="AI46" s="33"/>
      <c r="AJ46" s="33"/>
    </row>
    <row r="47" spans="1:36" x14ac:dyDescent="0.3">
      <c r="A47" s="90">
        <v>41</v>
      </c>
      <c r="B47" s="79" t="s">
        <v>2439</v>
      </c>
      <c r="C47" s="79" t="s">
        <v>117</v>
      </c>
      <c r="D47" s="79" t="s">
        <v>117</v>
      </c>
      <c r="E47" s="91" t="s">
        <v>3966</v>
      </c>
      <c r="F47" s="96" t="s">
        <v>3999</v>
      </c>
      <c r="G47" s="97">
        <v>9</v>
      </c>
      <c r="H47" s="96" t="s">
        <v>4002</v>
      </c>
      <c r="I47" s="96"/>
      <c r="J47" s="96"/>
      <c r="K47" s="93" t="s">
        <v>1612</v>
      </c>
      <c r="L47" s="93"/>
      <c r="M47" s="93"/>
      <c r="N47" s="93"/>
      <c r="O47" s="93"/>
      <c r="P47" s="92">
        <v>3313</v>
      </c>
      <c r="Q47" s="92">
        <v>455</v>
      </c>
      <c r="R47" s="92"/>
      <c r="S47" s="97">
        <v>0</v>
      </c>
      <c r="T47" s="97">
        <v>0</v>
      </c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17"/>
      <c r="AH47" s="24"/>
      <c r="AI47" s="33"/>
      <c r="AJ47" s="33"/>
    </row>
    <row r="48" spans="1:36" x14ac:dyDescent="0.3">
      <c r="A48" s="90">
        <v>42</v>
      </c>
      <c r="B48" s="79" t="s">
        <v>2439</v>
      </c>
      <c r="C48" s="79" t="s">
        <v>117</v>
      </c>
      <c r="D48" s="79" t="s">
        <v>117</v>
      </c>
      <c r="E48" s="91" t="s">
        <v>3966</v>
      </c>
      <c r="F48" s="96" t="s">
        <v>4010</v>
      </c>
      <c r="G48" s="97">
        <v>1</v>
      </c>
      <c r="H48" s="96" t="s">
        <v>4011</v>
      </c>
      <c r="I48" s="96"/>
      <c r="J48" s="96"/>
      <c r="K48" s="93" t="s">
        <v>4012</v>
      </c>
      <c r="L48" s="93"/>
      <c r="M48" s="93"/>
      <c r="N48" s="93"/>
      <c r="O48" s="93"/>
      <c r="P48" s="92">
        <v>4414</v>
      </c>
      <c r="Q48" s="92">
        <v>718</v>
      </c>
      <c r="R48" s="92"/>
      <c r="S48" s="97">
        <v>0</v>
      </c>
      <c r="T48" s="97">
        <v>0</v>
      </c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34"/>
      <c r="AH48" s="24"/>
      <c r="AI48" s="35"/>
      <c r="AJ48" s="35"/>
    </row>
    <row r="49" spans="1:36" x14ac:dyDescent="0.3">
      <c r="A49" s="90">
        <v>43</v>
      </c>
      <c r="B49" s="79" t="s">
        <v>2439</v>
      </c>
      <c r="C49" s="79" t="s">
        <v>117</v>
      </c>
      <c r="D49" s="79" t="s">
        <v>117</v>
      </c>
      <c r="E49" s="91" t="s">
        <v>3966</v>
      </c>
      <c r="F49" s="96" t="s">
        <v>4010</v>
      </c>
      <c r="G49" s="97">
        <v>2</v>
      </c>
      <c r="H49" s="96" t="s">
        <v>4011</v>
      </c>
      <c r="I49" s="96"/>
      <c r="J49" s="96"/>
      <c r="K49" s="93" t="s">
        <v>4013</v>
      </c>
      <c r="L49" s="93"/>
      <c r="M49" s="93"/>
      <c r="N49" s="93"/>
      <c r="O49" s="93"/>
      <c r="P49" s="92">
        <v>7289</v>
      </c>
      <c r="Q49" s="92">
        <v>1225</v>
      </c>
      <c r="R49" s="92"/>
      <c r="S49" s="97">
        <v>0</v>
      </c>
      <c r="T49" s="97">
        <v>0</v>
      </c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17"/>
      <c r="AH49" s="24"/>
      <c r="AI49" s="33"/>
      <c r="AJ49" s="33"/>
    </row>
    <row r="50" spans="1:36" x14ac:dyDescent="0.3">
      <c r="A50" s="90">
        <v>44</v>
      </c>
      <c r="B50" s="79" t="s">
        <v>2439</v>
      </c>
      <c r="C50" s="79" t="s">
        <v>117</v>
      </c>
      <c r="D50" s="79" t="s">
        <v>117</v>
      </c>
      <c r="E50" s="91" t="s">
        <v>3966</v>
      </c>
      <c r="F50" s="96" t="s">
        <v>4010</v>
      </c>
      <c r="G50" s="97">
        <v>3</v>
      </c>
      <c r="H50" s="96" t="s">
        <v>4011</v>
      </c>
      <c r="I50" s="96"/>
      <c r="J50" s="96"/>
      <c r="K50" s="93" t="s">
        <v>4014</v>
      </c>
      <c r="L50" s="93"/>
      <c r="M50" s="93"/>
      <c r="N50" s="93"/>
      <c r="O50" s="93"/>
      <c r="P50" s="92">
        <v>7429</v>
      </c>
      <c r="Q50" s="92">
        <v>1228</v>
      </c>
      <c r="R50" s="92"/>
      <c r="S50" s="97">
        <v>0</v>
      </c>
      <c r="T50" s="97">
        <v>0</v>
      </c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17"/>
      <c r="AH50" s="24"/>
      <c r="AI50" s="33"/>
      <c r="AJ50" s="33"/>
    </row>
    <row r="51" spans="1:36" x14ac:dyDescent="0.3">
      <c r="A51" s="90">
        <v>45</v>
      </c>
      <c r="B51" s="79" t="s">
        <v>2439</v>
      </c>
      <c r="C51" s="79" t="s">
        <v>117</v>
      </c>
      <c r="D51" s="79" t="s">
        <v>117</v>
      </c>
      <c r="E51" s="91" t="s">
        <v>3966</v>
      </c>
      <c r="F51" s="96" t="s">
        <v>4010</v>
      </c>
      <c r="G51" s="97">
        <v>4</v>
      </c>
      <c r="H51" s="96" t="s">
        <v>4011</v>
      </c>
      <c r="I51" s="96"/>
      <c r="J51" s="96"/>
      <c r="K51" s="93" t="s">
        <v>4015</v>
      </c>
      <c r="L51" s="93"/>
      <c r="M51" s="93"/>
      <c r="N51" s="93"/>
      <c r="O51" s="93"/>
      <c r="P51" s="92">
        <v>3447</v>
      </c>
      <c r="Q51" s="92">
        <v>555</v>
      </c>
      <c r="R51" s="92"/>
      <c r="S51" s="97">
        <v>0</v>
      </c>
      <c r="T51" s="97">
        <v>0</v>
      </c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17"/>
      <c r="AH51" s="24"/>
      <c r="AI51" s="25"/>
      <c r="AJ51" s="25"/>
    </row>
    <row r="52" spans="1:36" x14ac:dyDescent="0.3">
      <c r="A52" s="90">
        <v>46</v>
      </c>
      <c r="B52" s="79" t="s">
        <v>2439</v>
      </c>
      <c r="C52" s="79" t="s">
        <v>117</v>
      </c>
      <c r="D52" s="79" t="s">
        <v>117</v>
      </c>
      <c r="E52" s="91" t="s">
        <v>3966</v>
      </c>
      <c r="F52" s="96" t="s">
        <v>4010</v>
      </c>
      <c r="G52" s="97">
        <v>4</v>
      </c>
      <c r="H52" s="96" t="s">
        <v>4011</v>
      </c>
      <c r="I52" s="96"/>
      <c r="J52" s="96"/>
      <c r="K52" s="93" t="s">
        <v>4016</v>
      </c>
      <c r="L52" s="93"/>
      <c r="M52" s="93"/>
      <c r="N52" s="93"/>
      <c r="O52" s="93"/>
      <c r="P52" s="92">
        <v>3352</v>
      </c>
      <c r="Q52" s="92">
        <v>597</v>
      </c>
      <c r="R52" s="92"/>
      <c r="S52" s="97">
        <v>0</v>
      </c>
      <c r="T52" s="97">
        <v>0</v>
      </c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17"/>
      <c r="AH52" s="24"/>
      <c r="AI52" s="25"/>
      <c r="AJ52" s="25"/>
    </row>
    <row r="53" spans="1:36" x14ac:dyDescent="0.3">
      <c r="A53" s="90">
        <v>47</v>
      </c>
      <c r="B53" s="79" t="s">
        <v>2439</v>
      </c>
      <c r="C53" s="79" t="s">
        <v>117</v>
      </c>
      <c r="D53" s="79" t="s">
        <v>117</v>
      </c>
      <c r="E53" s="91" t="s">
        <v>3966</v>
      </c>
      <c r="F53" s="96" t="s">
        <v>4010</v>
      </c>
      <c r="G53" s="97">
        <v>5</v>
      </c>
      <c r="H53" s="96" t="s">
        <v>4011</v>
      </c>
      <c r="I53" s="96"/>
      <c r="J53" s="96"/>
      <c r="K53" s="93" t="s">
        <v>4017</v>
      </c>
      <c r="L53" s="93"/>
      <c r="M53" s="93"/>
      <c r="N53" s="93"/>
      <c r="O53" s="93"/>
      <c r="P53" s="92">
        <v>4582</v>
      </c>
      <c r="Q53" s="92">
        <v>755</v>
      </c>
      <c r="R53" s="92"/>
      <c r="S53" s="97">
        <v>0</v>
      </c>
      <c r="T53" s="97">
        <v>0</v>
      </c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17"/>
      <c r="AH53" s="24"/>
      <c r="AI53" s="25"/>
      <c r="AJ53" s="25"/>
    </row>
    <row r="54" spans="1:36" x14ac:dyDescent="0.3">
      <c r="A54" s="90">
        <v>48</v>
      </c>
      <c r="B54" s="79" t="s">
        <v>2439</v>
      </c>
      <c r="C54" s="79" t="s">
        <v>117</v>
      </c>
      <c r="D54" s="79" t="s">
        <v>117</v>
      </c>
      <c r="E54" s="91" t="s">
        <v>3966</v>
      </c>
      <c r="F54" s="96" t="s">
        <v>4010</v>
      </c>
      <c r="G54" s="97">
        <v>6</v>
      </c>
      <c r="H54" s="96" t="s">
        <v>4011</v>
      </c>
      <c r="I54" s="96"/>
      <c r="J54" s="96"/>
      <c r="K54" s="93" t="s">
        <v>4015</v>
      </c>
      <c r="L54" s="93"/>
      <c r="M54" s="93"/>
      <c r="N54" s="93"/>
      <c r="O54" s="93"/>
      <c r="P54" s="92">
        <v>4416</v>
      </c>
      <c r="Q54" s="92">
        <v>717</v>
      </c>
      <c r="R54" s="92"/>
      <c r="S54" s="97">
        <v>0</v>
      </c>
      <c r="T54" s="97">
        <v>0</v>
      </c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17"/>
      <c r="AH54" s="24"/>
      <c r="AI54" s="25"/>
      <c r="AJ54" s="25"/>
    </row>
    <row r="55" spans="1:36" x14ac:dyDescent="0.3">
      <c r="A55" s="90">
        <v>49</v>
      </c>
      <c r="B55" s="79" t="s">
        <v>2439</v>
      </c>
      <c r="C55" s="79" t="s">
        <v>117</v>
      </c>
      <c r="D55" s="79" t="s">
        <v>117</v>
      </c>
      <c r="E55" s="91" t="s">
        <v>3966</v>
      </c>
      <c r="F55" s="96" t="s">
        <v>4010</v>
      </c>
      <c r="G55" s="97">
        <v>7</v>
      </c>
      <c r="H55" s="96" t="s">
        <v>4011</v>
      </c>
      <c r="I55" s="96"/>
      <c r="J55" s="96"/>
      <c r="K55" s="93" t="s">
        <v>4018</v>
      </c>
      <c r="L55" s="93"/>
      <c r="M55" s="93"/>
      <c r="N55" s="93"/>
      <c r="O55" s="93"/>
      <c r="P55" s="92">
        <v>5654</v>
      </c>
      <c r="Q55" s="92">
        <v>931</v>
      </c>
      <c r="R55" s="92"/>
      <c r="S55" s="97">
        <v>0</v>
      </c>
      <c r="T55" s="97">
        <v>0</v>
      </c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17"/>
      <c r="AH55" s="24"/>
      <c r="AI55" s="25"/>
      <c r="AJ55" s="25"/>
    </row>
    <row r="56" spans="1:36" x14ac:dyDescent="0.3">
      <c r="A56" s="90">
        <v>50</v>
      </c>
      <c r="B56" s="79" t="s">
        <v>2439</v>
      </c>
      <c r="C56" s="79" t="s">
        <v>117</v>
      </c>
      <c r="D56" s="79" t="s">
        <v>117</v>
      </c>
      <c r="E56" s="91" t="s">
        <v>3966</v>
      </c>
      <c r="F56" s="96" t="s">
        <v>4010</v>
      </c>
      <c r="G56" s="97">
        <v>8</v>
      </c>
      <c r="H56" s="96" t="s">
        <v>4011</v>
      </c>
      <c r="I56" s="96"/>
      <c r="J56" s="96"/>
      <c r="K56" s="93" t="s">
        <v>4019</v>
      </c>
      <c r="L56" s="93"/>
      <c r="M56" s="93"/>
      <c r="N56" s="93"/>
      <c r="O56" s="93"/>
      <c r="P56" s="92">
        <v>5608</v>
      </c>
      <c r="Q56" s="92">
        <v>894</v>
      </c>
      <c r="R56" s="92"/>
      <c r="S56" s="97">
        <v>0</v>
      </c>
      <c r="T56" s="97">
        <v>0</v>
      </c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17"/>
      <c r="AH56" s="24"/>
      <c r="AI56" s="25"/>
      <c r="AJ56" s="25"/>
    </row>
    <row r="57" spans="1:36" x14ac:dyDescent="0.3">
      <c r="A57" s="90">
        <v>51</v>
      </c>
      <c r="B57" s="79" t="s">
        <v>2439</v>
      </c>
      <c r="C57" s="79" t="s">
        <v>117</v>
      </c>
      <c r="D57" s="79" t="s">
        <v>117</v>
      </c>
      <c r="E57" s="91" t="s">
        <v>3966</v>
      </c>
      <c r="F57" s="96" t="s">
        <v>4010</v>
      </c>
      <c r="G57" s="97">
        <v>9</v>
      </c>
      <c r="H57" s="96" t="s">
        <v>4011</v>
      </c>
      <c r="I57" s="96"/>
      <c r="J57" s="96"/>
      <c r="K57" s="93" t="s">
        <v>4020</v>
      </c>
      <c r="L57" s="93"/>
      <c r="M57" s="93"/>
      <c r="N57" s="93"/>
      <c r="O57" s="93"/>
      <c r="P57" s="92">
        <v>4639</v>
      </c>
      <c r="Q57" s="92">
        <v>748</v>
      </c>
      <c r="R57" s="92"/>
      <c r="S57" s="97">
        <v>0</v>
      </c>
      <c r="T57" s="97">
        <v>0</v>
      </c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17"/>
      <c r="AH57" s="24"/>
      <c r="AI57" s="25"/>
      <c r="AJ57" s="25"/>
    </row>
    <row r="58" spans="1:36" x14ac:dyDescent="0.3">
      <c r="A58" s="90">
        <v>52</v>
      </c>
      <c r="B58" s="79" t="s">
        <v>2439</v>
      </c>
      <c r="C58" s="79" t="s">
        <v>117</v>
      </c>
      <c r="D58" s="79" t="s">
        <v>117</v>
      </c>
      <c r="E58" s="91" t="s">
        <v>3966</v>
      </c>
      <c r="F58" s="96" t="s">
        <v>4021</v>
      </c>
      <c r="G58" s="97">
        <v>1</v>
      </c>
      <c r="H58" s="96" t="s">
        <v>4022</v>
      </c>
      <c r="I58" s="96"/>
      <c r="J58" s="96"/>
      <c r="K58" s="93" t="s">
        <v>4023</v>
      </c>
      <c r="L58" s="93"/>
      <c r="M58" s="93"/>
      <c r="N58" s="93"/>
      <c r="O58" s="93"/>
      <c r="P58" s="92">
        <v>3219</v>
      </c>
      <c r="Q58" s="92">
        <v>555</v>
      </c>
      <c r="R58" s="92"/>
      <c r="S58" s="97">
        <v>0</v>
      </c>
      <c r="T58" s="97">
        <v>0</v>
      </c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17"/>
      <c r="AH58" s="24"/>
      <c r="AI58" s="25"/>
      <c r="AJ58" s="25"/>
    </row>
    <row r="59" spans="1:36" x14ac:dyDescent="0.3">
      <c r="A59" s="90">
        <v>53</v>
      </c>
      <c r="B59" s="79" t="s">
        <v>2439</v>
      </c>
      <c r="C59" s="79" t="s">
        <v>117</v>
      </c>
      <c r="D59" s="79" t="s">
        <v>117</v>
      </c>
      <c r="E59" s="91" t="s">
        <v>3966</v>
      </c>
      <c r="F59" s="96" t="s">
        <v>4021</v>
      </c>
      <c r="G59" s="97">
        <v>2</v>
      </c>
      <c r="H59" s="96" t="s">
        <v>4022</v>
      </c>
      <c r="I59" s="96"/>
      <c r="J59" s="96"/>
      <c r="K59" s="93" t="s">
        <v>4023</v>
      </c>
      <c r="L59" s="93"/>
      <c r="M59" s="93"/>
      <c r="N59" s="93"/>
      <c r="O59" s="93"/>
      <c r="P59" s="92">
        <v>3313</v>
      </c>
      <c r="Q59" s="92">
        <v>564</v>
      </c>
      <c r="R59" s="92"/>
      <c r="S59" s="97">
        <v>0</v>
      </c>
      <c r="T59" s="97">
        <v>0</v>
      </c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17"/>
      <c r="AH59" s="24"/>
      <c r="AI59" s="25"/>
      <c r="AJ59" s="25"/>
    </row>
    <row r="60" spans="1:36" x14ac:dyDescent="0.3">
      <c r="A60" s="90">
        <v>54</v>
      </c>
      <c r="B60" s="79" t="s">
        <v>2439</v>
      </c>
      <c r="C60" s="79" t="s">
        <v>117</v>
      </c>
      <c r="D60" s="79" t="s">
        <v>117</v>
      </c>
      <c r="E60" s="91" t="s">
        <v>3966</v>
      </c>
      <c r="F60" s="96" t="s">
        <v>4021</v>
      </c>
      <c r="G60" s="97">
        <v>3</v>
      </c>
      <c r="H60" s="96" t="s">
        <v>4022</v>
      </c>
      <c r="I60" s="96"/>
      <c r="J60" s="96"/>
      <c r="K60" s="93" t="s">
        <v>4023</v>
      </c>
      <c r="L60" s="93"/>
      <c r="M60" s="93"/>
      <c r="N60" s="93"/>
      <c r="O60" s="93"/>
      <c r="P60" s="92">
        <v>3537</v>
      </c>
      <c r="Q60" s="92">
        <v>525</v>
      </c>
      <c r="R60" s="92"/>
      <c r="S60" s="97">
        <v>0</v>
      </c>
      <c r="T60" s="97">
        <v>0</v>
      </c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17"/>
      <c r="AH60" s="24"/>
      <c r="AI60" s="25"/>
      <c r="AJ60" s="25"/>
    </row>
    <row r="61" spans="1:36" x14ac:dyDescent="0.3">
      <c r="A61" s="90">
        <v>55</v>
      </c>
      <c r="B61" s="79" t="s">
        <v>2439</v>
      </c>
      <c r="C61" s="79" t="s">
        <v>117</v>
      </c>
      <c r="D61" s="79" t="s">
        <v>117</v>
      </c>
      <c r="E61" s="91" t="s">
        <v>3966</v>
      </c>
      <c r="F61" s="96" t="s">
        <v>4021</v>
      </c>
      <c r="G61" s="97">
        <v>4</v>
      </c>
      <c r="H61" s="96" t="s">
        <v>4022</v>
      </c>
      <c r="I61" s="96"/>
      <c r="J61" s="96"/>
      <c r="K61" s="93" t="s">
        <v>4024</v>
      </c>
      <c r="L61" s="93"/>
      <c r="M61" s="93"/>
      <c r="N61" s="93"/>
      <c r="O61" s="93"/>
      <c r="P61" s="92">
        <v>2204</v>
      </c>
      <c r="Q61" s="92">
        <v>458</v>
      </c>
      <c r="R61" s="92"/>
      <c r="S61" s="97">
        <v>0</v>
      </c>
      <c r="T61" s="97">
        <v>0</v>
      </c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17"/>
      <c r="AH61" s="24"/>
      <c r="AI61" s="25"/>
      <c r="AJ61" s="25"/>
    </row>
    <row r="62" spans="1:36" x14ac:dyDescent="0.3">
      <c r="A62" s="90">
        <v>56</v>
      </c>
      <c r="B62" s="79" t="s">
        <v>2439</v>
      </c>
      <c r="C62" s="79" t="s">
        <v>117</v>
      </c>
      <c r="D62" s="79" t="s">
        <v>117</v>
      </c>
      <c r="E62" s="91" t="s">
        <v>3966</v>
      </c>
      <c r="F62" s="96" t="s">
        <v>4021</v>
      </c>
      <c r="G62" s="97">
        <v>4</v>
      </c>
      <c r="H62" s="96" t="s">
        <v>4022</v>
      </c>
      <c r="I62" s="96"/>
      <c r="J62" s="96"/>
      <c r="K62" s="93" t="s">
        <v>4025</v>
      </c>
      <c r="L62" s="93"/>
      <c r="M62" s="93"/>
      <c r="N62" s="93"/>
      <c r="O62" s="93"/>
      <c r="P62" s="92">
        <v>1171</v>
      </c>
      <c r="Q62" s="92">
        <v>186</v>
      </c>
      <c r="R62" s="92"/>
      <c r="S62" s="97">
        <v>0</v>
      </c>
      <c r="T62" s="97">
        <v>0</v>
      </c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17"/>
      <c r="AH62" s="24"/>
      <c r="AI62" s="25"/>
      <c r="AJ62" s="25"/>
    </row>
    <row r="63" spans="1:36" x14ac:dyDescent="0.3">
      <c r="A63" s="90">
        <v>57</v>
      </c>
      <c r="B63" s="79" t="s">
        <v>2439</v>
      </c>
      <c r="C63" s="79" t="s">
        <v>117</v>
      </c>
      <c r="D63" s="79" t="s">
        <v>117</v>
      </c>
      <c r="E63" s="91" t="s">
        <v>3966</v>
      </c>
      <c r="F63" s="96" t="s">
        <v>4021</v>
      </c>
      <c r="G63" s="97">
        <v>5</v>
      </c>
      <c r="H63" s="96" t="s">
        <v>4022</v>
      </c>
      <c r="I63" s="96"/>
      <c r="J63" s="96"/>
      <c r="K63" s="93" t="s">
        <v>4026</v>
      </c>
      <c r="L63" s="93"/>
      <c r="M63" s="93"/>
      <c r="N63" s="93"/>
      <c r="O63" s="93"/>
      <c r="P63" s="92">
        <v>3189</v>
      </c>
      <c r="Q63" s="92">
        <v>535</v>
      </c>
      <c r="R63" s="92"/>
      <c r="S63" s="97">
        <v>0</v>
      </c>
      <c r="T63" s="97">
        <v>0</v>
      </c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17"/>
      <c r="AH63" s="24"/>
      <c r="AI63" s="25"/>
      <c r="AJ63" s="25"/>
    </row>
    <row r="64" spans="1:36" x14ac:dyDescent="0.3">
      <c r="A64" s="90">
        <v>58</v>
      </c>
      <c r="B64" s="79" t="s">
        <v>2439</v>
      </c>
      <c r="C64" s="79" t="s">
        <v>117</v>
      </c>
      <c r="D64" s="79" t="s">
        <v>117</v>
      </c>
      <c r="E64" s="91" t="s">
        <v>3966</v>
      </c>
      <c r="F64" s="96" t="s">
        <v>4021</v>
      </c>
      <c r="G64" s="97">
        <v>6</v>
      </c>
      <c r="H64" s="96" t="s">
        <v>4022</v>
      </c>
      <c r="I64" s="96"/>
      <c r="J64" s="96"/>
      <c r="K64" s="93" t="s">
        <v>4027</v>
      </c>
      <c r="L64" s="93"/>
      <c r="M64" s="93"/>
      <c r="N64" s="93"/>
      <c r="O64" s="93"/>
      <c r="P64" s="92">
        <v>1677</v>
      </c>
      <c r="Q64" s="92">
        <v>318</v>
      </c>
      <c r="R64" s="92"/>
      <c r="S64" s="97">
        <v>0</v>
      </c>
      <c r="T64" s="97">
        <v>0</v>
      </c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17"/>
      <c r="AH64" s="24"/>
      <c r="AI64" s="25"/>
      <c r="AJ64" s="25"/>
    </row>
    <row r="65" spans="1:36" x14ac:dyDescent="0.3">
      <c r="A65" s="90">
        <v>59</v>
      </c>
      <c r="B65" s="79" t="s">
        <v>2439</v>
      </c>
      <c r="C65" s="79" t="s">
        <v>117</v>
      </c>
      <c r="D65" s="79" t="s">
        <v>117</v>
      </c>
      <c r="E65" s="91" t="s">
        <v>3966</v>
      </c>
      <c r="F65" s="96" t="s">
        <v>4021</v>
      </c>
      <c r="G65" s="97">
        <v>6</v>
      </c>
      <c r="H65" s="96" t="s">
        <v>4022</v>
      </c>
      <c r="I65" s="96"/>
      <c r="J65" s="96"/>
      <c r="K65" s="93" t="s">
        <v>4028</v>
      </c>
      <c r="L65" s="93"/>
      <c r="M65" s="93"/>
      <c r="N65" s="93"/>
      <c r="O65" s="93"/>
      <c r="P65" s="92">
        <v>1862</v>
      </c>
      <c r="Q65" s="92">
        <v>318</v>
      </c>
      <c r="R65" s="92"/>
      <c r="S65" s="97">
        <v>0</v>
      </c>
      <c r="T65" s="97">
        <v>0</v>
      </c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17"/>
      <c r="AH65" s="24"/>
      <c r="AI65" s="25"/>
      <c r="AJ65" s="25"/>
    </row>
    <row r="66" spans="1:36" x14ac:dyDescent="0.3">
      <c r="A66" s="90">
        <v>60</v>
      </c>
      <c r="B66" s="79" t="s">
        <v>2439</v>
      </c>
      <c r="C66" s="79" t="s">
        <v>117</v>
      </c>
      <c r="D66" s="79" t="s">
        <v>117</v>
      </c>
      <c r="E66" s="91" t="s">
        <v>3966</v>
      </c>
      <c r="F66" s="96" t="s">
        <v>4021</v>
      </c>
      <c r="G66" s="97">
        <v>6</v>
      </c>
      <c r="H66" s="96" t="s">
        <v>4022</v>
      </c>
      <c r="I66" s="96"/>
      <c r="J66" s="96"/>
      <c r="K66" s="93" t="s">
        <v>4029</v>
      </c>
      <c r="L66" s="93"/>
      <c r="M66" s="93"/>
      <c r="N66" s="93"/>
      <c r="O66" s="93"/>
      <c r="P66" s="92">
        <v>1378</v>
      </c>
      <c r="Q66" s="92">
        <v>294</v>
      </c>
      <c r="R66" s="92"/>
      <c r="S66" s="97">
        <v>0</v>
      </c>
      <c r="T66" s="97">
        <v>0</v>
      </c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17"/>
      <c r="AH66" s="24"/>
      <c r="AI66" s="25"/>
      <c r="AJ66" s="25"/>
    </row>
    <row r="67" spans="1:36" x14ac:dyDescent="0.3">
      <c r="A67" s="90">
        <v>61</v>
      </c>
      <c r="B67" s="79" t="s">
        <v>2439</v>
      </c>
      <c r="C67" s="79" t="s">
        <v>117</v>
      </c>
      <c r="D67" s="79" t="s">
        <v>117</v>
      </c>
      <c r="E67" s="91" t="s">
        <v>3966</v>
      </c>
      <c r="F67" s="96" t="s">
        <v>4021</v>
      </c>
      <c r="G67" s="97">
        <v>7</v>
      </c>
      <c r="H67" s="96" t="s">
        <v>4022</v>
      </c>
      <c r="I67" s="96"/>
      <c r="J67" s="96"/>
      <c r="K67" s="93" t="s">
        <v>4030</v>
      </c>
      <c r="L67" s="93"/>
      <c r="M67" s="93"/>
      <c r="N67" s="93"/>
      <c r="O67" s="93"/>
      <c r="P67" s="92">
        <v>3942</v>
      </c>
      <c r="Q67" s="92">
        <v>684</v>
      </c>
      <c r="R67" s="92"/>
      <c r="S67" s="97">
        <v>0</v>
      </c>
      <c r="T67" s="97">
        <v>0</v>
      </c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17"/>
      <c r="AH67" s="24"/>
      <c r="AI67" s="25"/>
      <c r="AJ67" s="25"/>
    </row>
    <row r="68" spans="1:36" x14ac:dyDescent="0.3">
      <c r="A68" s="90">
        <v>62</v>
      </c>
      <c r="B68" s="79" t="s">
        <v>2439</v>
      </c>
      <c r="C68" s="79" t="s">
        <v>117</v>
      </c>
      <c r="D68" s="79" t="s">
        <v>117</v>
      </c>
      <c r="E68" s="91" t="s">
        <v>3966</v>
      </c>
      <c r="F68" s="96" t="s">
        <v>4021</v>
      </c>
      <c r="G68" s="97">
        <v>8</v>
      </c>
      <c r="H68" s="96" t="s">
        <v>4022</v>
      </c>
      <c r="I68" s="96"/>
      <c r="J68" s="96"/>
      <c r="K68" s="93" t="s">
        <v>4029</v>
      </c>
      <c r="L68" s="93"/>
      <c r="M68" s="93"/>
      <c r="N68" s="93"/>
      <c r="O68" s="93"/>
      <c r="P68" s="92">
        <v>3232</v>
      </c>
      <c r="Q68" s="92">
        <v>517</v>
      </c>
      <c r="R68" s="92"/>
      <c r="S68" s="97">
        <v>0</v>
      </c>
      <c r="T68" s="97">
        <v>0</v>
      </c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17"/>
      <c r="AH68" s="24"/>
      <c r="AI68" s="25"/>
      <c r="AJ68" s="25"/>
    </row>
    <row r="69" spans="1:36" x14ac:dyDescent="0.3">
      <c r="A69" s="90">
        <v>63</v>
      </c>
      <c r="B69" s="79" t="s">
        <v>2439</v>
      </c>
      <c r="C69" s="79" t="s">
        <v>117</v>
      </c>
      <c r="D69" s="79" t="s">
        <v>117</v>
      </c>
      <c r="E69" s="91" t="s">
        <v>3966</v>
      </c>
      <c r="F69" s="96" t="s">
        <v>4021</v>
      </c>
      <c r="G69" s="97">
        <v>9</v>
      </c>
      <c r="H69" s="96" t="s">
        <v>4022</v>
      </c>
      <c r="I69" s="96"/>
      <c r="J69" s="96"/>
      <c r="K69" s="93" t="s">
        <v>4031</v>
      </c>
      <c r="L69" s="93"/>
      <c r="M69" s="93"/>
      <c r="N69" s="93"/>
      <c r="O69" s="93"/>
      <c r="P69" s="92">
        <v>4673</v>
      </c>
      <c r="Q69" s="92">
        <v>737</v>
      </c>
      <c r="R69" s="92"/>
      <c r="S69" s="97">
        <v>0</v>
      </c>
      <c r="T69" s="97">
        <v>0</v>
      </c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17"/>
      <c r="AH69" s="24"/>
      <c r="AI69" s="25"/>
      <c r="AJ69" s="25"/>
    </row>
    <row r="70" spans="1:36" x14ac:dyDescent="0.3">
      <c r="A70" s="90">
        <v>64</v>
      </c>
      <c r="B70" s="79" t="s">
        <v>2439</v>
      </c>
      <c r="C70" s="79" t="s">
        <v>117</v>
      </c>
      <c r="D70" s="79" t="s">
        <v>117</v>
      </c>
      <c r="E70" s="91" t="s">
        <v>3966</v>
      </c>
      <c r="F70" s="96" t="s">
        <v>4032</v>
      </c>
      <c r="G70" s="97">
        <v>1</v>
      </c>
      <c r="H70" s="96" t="s">
        <v>4033</v>
      </c>
      <c r="I70" s="96"/>
      <c r="J70" s="96"/>
      <c r="K70" s="93" t="s">
        <v>4034</v>
      </c>
      <c r="L70" s="93"/>
      <c r="M70" s="93"/>
      <c r="N70" s="93"/>
      <c r="O70" s="93"/>
      <c r="P70" s="92">
        <v>3714</v>
      </c>
      <c r="Q70" s="92">
        <v>638</v>
      </c>
      <c r="R70" s="92"/>
      <c r="S70" s="97">
        <v>0</v>
      </c>
      <c r="T70" s="97">
        <v>0</v>
      </c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17"/>
      <c r="AH70" s="24"/>
      <c r="AI70" s="25"/>
      <c r="AJ70" s="25"/>
    </row>
    <row r="71" spans="1:36" x14ac:dyDescent="0.3">
      <c r="A71" s="90">
        <v>65</v>
      </c>
      <c r="B71" s="79" t="s">
        <v>2439</v>
      </c>
      <c r="C71" s="79" t="s">
        <v>117</v>
      </c>
      <c r="D71" s="79" t="s">
        <v>117</v>
      </c>
      <c r="E71" s="91" t="s">
        <v>3966</v>
      </c>
      <c r="F71" s="96" t="s">
        <v>4032</v>
      </c>
      <c r="G71" s="97">
        <v>2</v>
      </c>
      <c r="H71" s="96" t="s">
        <v>4033</v>
      </c>
      <c r="I71" s="96"/>
      <c r="J71" s="96"/>
      <c r="K71" s="93" t="s">
        <v>4035</v>
      </c>
      <c r="L71" s="93"/>
      <c r="M71" s="93"/>
      <c r="N71" s="93"/>
      <c r="O71" s="93"/>
      <c r="P71" s="92">
        <v>4123</v>
      </c>
      <c r="Q71" s="92">
        <v>694</v>
      </c>
      <c r="R71" s="92"/>
      <c r="S71" s="97">
        <v>0</v>
      </c>
      <c r="T71" s="97">
        <v>0</v>
      </c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17"/>
      <c r="AH71" s="24"/>
      <c r="AI71" s="25"/>
      <c r="AJ71" s="25"/>
    </row>
    <row r="72" spans="1:36" x14ac:dyDescent="0.3">
      <c r="A72" s="90">
        <v>66</v>
      </c>
      <c r="B72" s="79" t="s">
        <v>2439</v>
      </c>
      <c r="C72" s="79" t="s">
        <v>117</v>
      </c>
      <c r="D72" s="79" t="s">
        <v>117</v>
      </c>
      <c r="E72" s="91" t="s">
        <v>3966</v>
      </c>
      <c r="F72" s="96" t="s">
        <v>4032</v>
      </c>
      <c r="G72" s="97">
        <v>3</v>
      </c>
      <c r="H72" s="96" t="s">
        <v>4033</v>
      </c>
      <c r="I72" s="96"/>
      <c r="J72" s="96"/>
      <c r="K72" s="93" t="s">
        <v>4036</v>
      </c>
      <c r="L72" s="93"/>
      <c r="M72" s="93"/>
      <c r="N72" s="93"/>
      <c r="O72" s="93"/>
      <c r="P72" s="92">
        <v>6203</v>
      </c>
      <c r="Q72" s="92">
        <v>992</v>
      </c>
      <c r="R72" s="92"/>
      <c r="S72" s="97">
        <v>0</v>
      </c>
      <c r="T72" s="97">
        <v>0</v>
      </c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17"/>
      <c r="AH72" s="24"/>
      <c r="AI72" s="25"/>
      <c r="AJ72" s="25"/>
    </row>
    <row r="73" spans="1:36" x14ac:dyDescent="0.3">
      <c r="A73" s="90">
        <v>67</v>
      </c>
      <c r="B73" s="79" t="s">
        <v>2439</v>
      </c>
      <c r="C73" s="79" t="s">
        <v>117</v>
      </c>
      <c r="D73" s="79" t="s">
        <v>117</v>
      </c>
      <c r="E73" s="91" t="s">
        <v>3966</v>
      </c>
      <c r="F73" s="96" t="s">
        <v>4032</v>
      </c>
      <c r="G73" s="97">
        <v>4</v>
      </c>
      <c r="H73" s="96" t="s">
        <v>4033</v>
      </c>
      <c r="I73" s="96"/>
      <c r="J73" s="96"/>
      <c r="K73" s="93" t="s">
        <v>4037</v>
      </c>
      <c r="L73" s="93"/>
      <c r="M73" s="93"/>
      <c r="N73" s="93"/>
      <c r="O73" s="93"/>
      <c r="P73" s="92">
        <v>3000</v>
      </c>
      <c r="Q73" s="92">
        <v>525</v>
      </c>
      <c r="R73" s="92"/>
      <c r="S73" s="97">
        <v>0</v>
      </c>
      <c r="T73" s="97">
        <v>0</v>
      </c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17"/>
      <c r="AH73" s="24"/>
      <c r="AI73" s="25"/>
      <c r="AJ73" s="25"/>
    </row>
    <row r="74" spans="1:36" x14ac:dyDescent="0.3">
      <c r="A74" s="90">
        <v>68</v>
      </c>
      <c r="B74" s="79" t="s">
        <v>2439</v>
      </c>
      <c r="C74" s="79" t="s">
        <v>117</v>
      </c>
      <c r="D74" s="79" t="s">
        <v>117</v>
      </c>
      <c r="E74" s="91" t="s">
        <v>3966</v>
      </c>
      <c r="F74" s="96" t="s">
        <v>4032</v>
      </c>
      <c r="G74" s="97">
        <v>5</v>
      </c>
      <c r="H74" s="96" t="s">
        <v>4033</v>
      </c>
      <c r="I74" s="96"/>
      <c r="J74" s="96"/>
      <c r="K74" s="93" t="s">
        <v>4038</v>
      </c>
      <c r="L74" s="93"/>
      <c r="M74" s="93"/>
      <c r="N74" s="93"/>
      <c r="O74" s="93"/>
      <c r="P74" s="92">
        <v>5021</v>
      </c>
      <c r="Q74" s="92">
        <v>761</v>
      </c>
      <c r="R74" s="92"/>
      <c r="S74" s="97">
        <v>0</v>
      </c>
      <c r="T74" s="97">
        <v>0</v>
      </c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17"/>
      <c r="AH74" s="24"/>
      <c r="AI74" s="25"/>
      <c r="AJ74" s="25"/>
    </row>
    <row r="75" spans="1:36" x14ac:dyDescent="0.3">
      <c r="A75" s="90">
        <v>69</v>
      </c>
      <c r="B75" s="79" t="s">
        <v>2439</v>
      </c>
      <c r="C75" s="79" t="s">
        <v>117</v>
      </c>
      <c r="D75" s="79" t="s">
        <v>117</v>
      </c>
      <c r="E75" s="91" t="s">
        <v>3966</v>
      </c>
      <c r="F75" s="96" t="s">
        <v>4032</v>
      </c>
      <c r="G75" s="97">
        <v>6</v>
      </c>
      <c r="H75" s="96" t="s">
        <v>4033</v>
      </c>
      <c r="I75" s="96"/>
      <c r="J75" s="96"/>
      <c r="K75" s="93" t="s">
        <v>4039</v>
      </c>
      <c r="L75" s="93"/>
      <c r="M75" s="93"/>
      <c r="N75" s="93"/>
      <c r="O75" s="93"/>
      <c r="P75" s="92">
        <v>4292</v>
      </c>
      <c r="Q75" s="92">
        <v>704</v>
      </c>
      <c r="R75" s="92"/>
      <c r="S75" s="97">
        <v>0</v>
      </c>
      <c r="T75" s="97">
        <v>0</v>
      </c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17"/>
      <c r="AH75" s="24"/>
      <c r="AI75" s="25"/>
      <c r="AJ75" s="25"/>
    </row>
    <row r="76" spans="1:36" x14ac:dyDescent="0.3">
      <c r="A76" s="90">
        <v>70</v>
      </c>
      <c r="B76" s="79" t="s">
        <v>2439</v>
      </c>
      <c r="C76" s="79" t="s">
        <v>117</v>
      </c>
      <c r="D76" s="79" t="s">
        <v>117</v>
      </c>
      <c r="E76" s="91" t="s">
        <v>3966</v>
      </c>
      <c r="F76" s="96" t="s">
        <v>4032</v>
      </c>
      <c r="G76" s="97">
        <v>7</v>
      </c>
      <c r="H76" s="96" t="s">
        <v>4033</v>
      </c>
      <c r="I76" s="96"/>
      <c r="J76" s="96"/>
      <c r="K76" s="93" t="s">
        <v>4040</v>
      </c>
      <c r="L76" s="93"/>
      <c r="M76" s="93"/>
      <c r="N76" s="93"/>
      <c r="O76" s="93"/>
      <c r="P76" s="92">
        <v>2755</v>
      </c>
      <c r="Q76" s="92">
        <v>500</v>
      </c>
      <c r="R76" s="92"/>
      <c r="S76" s="97">
        <v>0</v>
      </c>
      <c r="T76" s="97">
        <v>0</v>
      </c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17"/>
      <c r="AH76" s="24"/>
      <c r="AI76" s="25"/>
      <c r="AJ76" s="25"/>
    </row>
    <row r="77" spans="1:36" x14ac:dyDescent="0.3">
      <c r="A77" s="90">
        <v>71</v>
      </c>
      <c r="B77" s="79" t="s">
        <v>2439</v>
      </c>
      <c r="C77" s="79" t="s">
        <v>117</v>
      </c>
      <c r="D77" s="79" t="s">
        <v>117</v>
      </c>
      <c r="E77" s="91" t="s">
        <v>3966</v>
      </c>
      <c r="F77" s="96" t="s">
        <v>4032</v>
      </c>
      <c r="G77" s="97">
        <v>7</v>
      </c>
      <c r="H77" s="96" t="s">
        <v>4033</v>
      </c>
      <c r="I77" s="96"/>
      <c r="J77" s="96"/>
      <c r="K77" s="93" t="s">
        <v>4039</v>
      </c>
      <c r="L77" s="93"/>
      <c r="M77" s="93"/>
      <c r="N77" s="93"/>
      <c r="O77" s="93"/>
      <c r="P77" s="92">
        <v>4050</v>
      </c>
      <c r="Q77" s="92">
        <v>703</v>
      </c>
      <c r="R77" s="92"/>
      <c r="S77" s="97">
        <v>0</v>
      </c>
      <c r="T77" s="97">
        <v>0</v>
      </c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17"/>
      <c r="AH77" s="24"/>
      <c r="AI77" s="25"/>
      <c r="AJ77" s="25"/>
    </row>
    <row r="78" spans="1:36" x14ac:dyDescent="0.3">
      <c r="A78" s="90">
        <v>72</v>
      </c>
      <c r="B78" s="79" t="s">
        <v>2439</v>
      </c>
      <c r="C78" s="79" t="s">
        <v>117</v>
      </c>
      <c r="D78" s="79" t="s">
        <v>117</v>
      </c>
      <c r="E78" s="91" t="s">
        <v>3966</v>
      </c>
      <c r="F78" s="96" t="s">
        <v>4032</v>
      </c>
      <c r="G78" s="97">
        <v>8</v>
      </c>
      <c r="H78" s="96" t="s">
        <v>4033</v>
      </c>
      <c r="I78" s="96"/>
      <c r="J78" s="96"/>
      <c r="K78" s="93" t="s">
        <v>4041</v>
      </c>
      <c r="L78" s="93"/>
      <c r="M78" s="93"/>
      <c r="N78" s="93"/>
      <c r="O78" s="93"/>
      <c r="P78" s="92">
        <v>3596</v>
      </c>
      <c r="Q78" s="92">
        <v>647</v>
      </c>
      <c r="R78" s="92"/>
      <c r="S78" s="97">
        <v>0</v>
      </c>
      <c r="T78" s="97">
        <v>0</v>
      </c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17"/>
      <c r="AH78" s="24"/>
      <c r="AI78" s="25"/>
      <c r="AJ78" s="25"/>
    </row>
    <row r="79" spans="1:36" x14ac:dyDescent="0.3">
      <c r="A79" s="90">
        <v>73</v>
      </c>
      <c r="B79" s="79" t="s">
        <v>2439</v>
      </c>
      <c r="C79" s="79" t="s">
        <v>117</v>
      </c>
      <c r="D79" s="79" t="s">
        <v>117</v>
      </c>
      <c r="E79" s="91" t="s">
        <v>3966</v>
      </c>
      <c r="F79" s="96" t="s">
        <v>4032</v>
      </c>
      <c r="G79" s="97">
        <v>9</v>
      </c>
      <c r="H79" s="96" t="s">
        <v>4033</v>
      </c>
      <c r="I79" s="96"/>
      <c r="J79" s="96"/>
      <c r="K79" s="93" t="s">
        <v>4042</v>
      </c>
      <c r="L79" s="93"/>
      <c r="M79" s="93"/>
      <c r="N79" s="93"/>
      <c r="O79" s="93"/>
      <c r="P79" s="92">
        <v>2719</v>
      </c>
      <c r="Q79" s="92">
        <v>438</v>
      </c>
      <c r="R79" s="92"/>
      <c r="S79" s="97">
        <v>0</v>
      </c>
      <c r="T79" s="97">
        <v>0</v>
      </c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17"/>
      <c r="AH79" s="24"/>
      <c r="AI79" s="25"/>
      <c r="AJ79" s="25"/>
    </row>
    <row r="80" spans="1:36" x14ac:dyDescent="0.3">
      <c r="A80" s="90">
        <v>74</v>
      </c>
      <c r="B80" s="79" t="s">
        <v>2439</v>
      </c>
      <c r="C80" s="79" t="s">
        <v>117</v>
      </c>
      <c r="D80" s="79" t="s">
        <v>117</v>
      </c>
      <c r="E80" s="91" t="s">
        <v>3966</v>
      </c>
      <c r="F80" s="96" t="s">
        <v>4032</v>
      </c>
      <c r="G80" s="97">
        <v>9</v>
      </c>
      <c r="H80" s="96" t="s">
        <v>4033</v>
      </c>
      <c r="I80" s="96"/>
      <c r="J80" s="96"/>
      <c r="K80" s="93" t="s">
        <v>4043</v>
      </c>
      <c r="L80" s="93"/>
      <c r="M80" s="93"/>
      <c r="N80" s="93"/>
      <c r="O80" s="93"/>
      <c r="P80" s="92">
        <v>2370</v>
      </c>
      <c r="Q80" s="92">
        <v>395</v>
      </c>
      <c r="R80" s="92"/>
      <c r="S80" s="97">
        <v>0</v>
      </c>
      <c r="T80" s="97">
        <v>0</v>
      </c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17"/>
      <c r="AH80" s="24"/>
      <c r="AI80" s="25"/>
      <c r="AJ80" s="25"/>
    </row>
    <row r="81" spans="1:36" x14ac:dyDescent="0.3">
      <c r="A81" s="90">
        <v>75</v>
      </c>
      <c r="B81" s="79" t="s">
        <v>2439</v>
      </c>
      <c r="C81" s="79" t="s">
        <v>117</v>
      </c>
      <c r="D81" s="79" t="s">
        <v>117</v>
      </c>
      <c r="E81" s="91" t="s">
        <v>3966</v>
      </c>
      <c r="F81" s="96" t="s">
        <v>4044</v>
      </c>
      <c r="G81" s="97">
        <v>1</v>
      </c>
      <c r="H81" s="96" t="s">
        <v>4045</v>
      </c>
      <c r="I81" s="96"/>
      <c r="J81" s="96"/>
      <c r="K81" s="93" t="s">
        <v>4046</v>
      </c>
      <c r="L81" s="93"/>
      <c r="M81" s="93"/>
      <c r="N81" s="93"/>
      <c r="O81" s="93"/>
      <c r="P81" s="92">
        <v>6528</v>
      </c>
      <c r="Q81" s="92">
        <v>1122</v>
      </c>
      <c r="R81" s="92"/>
      <c r="S81" s="97">
        <v>0</v>
      </c>
      <c r="T81" s="97">
        <v>0</v>
      </c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17"/>
      <c r="AH81" s="24"/>
      <c r="AI81" s="25"/>
      <c r="AJ81" s="25"/>
    </row>
    <row r="82" spans="1:36" x14ac:dyDescent="0.3">
      <c r="A82" s="90">
        <v>76</v>
      </c>
      <c r="B82" s="79" t="s">
        <v>2439</v>
      </c>
      <c r="C82" s="79" t="s">
        <v>117</v>
      </c>
      <c r="D82" s="79" t="s">
        <v>117</v>
      </c>
      <c r="E82" s="91" t="s">
        <v>3966</v>
      </c>
      <c r="F82" s="96" t="s">
        <v>4044</v>
      </c>
      <c r="G82" s="97">
        <v>2</v>
      </c>
      <c r="H82" s="96" t="s">
        <v>4045</v>
      </c>
      <c r="I82" s="96"/>
      <c r="J82" s="96"/>
      <c r="K82" s="93" t="s">
        <v>4047</v>
      </c>
      <c r="L82" s="93"/>
      <c r="M82" s="93"/>
      <c r="N82" s="93"/>
      <c r="O82" s="93"/>
      <c r="P82" s="92">
        <v>6596</v>
      </c>
      <c r="Q82" s="92">
        <v>903</v>
      </c>
      <c r="R82" s="92"/>
      <c r="S82" s="97">
        <v>0</v>
      </c>
      <c r="T82" s="97">
        <v>0</v>
      </c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17"/>
      <c r="AH82" s="24"/>
      <c r="AI82" s="25"/>
      <c r="AJ82" s="25"/>
    </row>
    <row r="83" spans="1:36" x14ac:dyDescent="0.3">
      <c r="A83" s="90">
        <v>77</v>
      </c>
      <c r="B83" s="79" t="s">
        <v>2439</v>
      </c>
      <c r="C83" s="79" t="s">
        <v>117</v>
      </c>
      <c r="D83" s="79" t="s">
        <v>117</v>
      </c>
      <c r="E83" s="91" t="s">
        <v>3966</v>
      </c>
      <c r="F83" s="96" t="s">
        <v>4044</v>
      </c>
      <c r="G83" s="97">
        <v>3</v>
      </c>
      <c r="H83" s="96" t="s">
        <v>4045</v>
      </c>
      <c r="I83" s="96"/>
      <c r="J83" s="96"/>
      <c r="K83" s="93" t="s">
        <v>4048</v>
      </c>
      <c r="L83" s="93"/>
      <c r="M83" s="93"/>
      <c r="N83" s="93"/>
      <c r="O83" s="93"/>
      <c r="P83" s="92">
        <v>7878</v>
      </c>
      <c r="Q83" s="92">
        <v>1275</v>
      </c>
      <c r="R83" s="92"/>
      <c r="S83" s="97">
        <v>0</v>
      </c>
      <c r="T83" s="97">
        <v>0</v>
      </c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17"/>
      <c r="AH83" s="24"/>
      <c r="AI83" s="25"/>
      <c r="AJ83" s="25"/>
    </row>
    <row r="84" spans="1:36" x14ac:dyDescent="0.3">
      <c r="A84" s="90">
        <v>78</v>
      </c>
      <c r="B84" s="79" t="s">
        <v>2439</v>
      </c>
      <c r="C84" s="79" t="s">
        <v>117</v>
      </c>
      <c r="D84" s="79" t="s">
        <v>117</v>
      </c>
      <c r="E84" s="91" t="s">
        <v>3966</v>
      </c>
      <c r="F84" s="96" t="s">
        <v>4044</v>
      </c>
      <c r="G84" s="97">
        <v>4</v>
      </c>
      <c r="H84" s="96" t="s">
        <v>4045</v>
      </c>
      <c r="I84" s="96"/>
      <c r="J84" s="96"/>
      <c r="K84" s="93" t="s">
        <v>4049</v>
      </c>
      <c r="L84" s="93"/>
      <c r="M84" s="93"/>
      <c r="N84" s="93"/>
      <c r="O84" s="93"/>
      <c r="P84" s="92">
        <v>1670</v>
      </c>
      <c r="Q84" s="92">
        <v>285</v>
      </c>
      <c r="R84" s="92"/>
      <c r="S84" s="97">
        <v>0</v>
      </c>
      <c r="T84" s="97">
        <v>0</v>
      </c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17"/>
      <c r="AH84" s="24"/>
      <c r="AI84" s="25"/>
      <c r="AJ84" s="25"/>
    </row>
    <row r="85" spans="1:36" x14ac:dyDescent="0.3">
      <c r="A85" s="90">
        <v>79</v>
      </c>
      <c r="B85" s="79" t="s">
        <v>2439</v>
      </c>
      <c r="C85" s="79" t="s">
        <v>117</v>
      </c>
      <c r="D85" s="79" t="s">
        <v>117</v>
      </c>
      <c r="E85" s="91" t="s">
        <v>3966</v>
      </c>
      <c r="F85" s="96" t="s">
        <v>4044</v>
      </c>
      <c r="G85" s="97">
        <v>4</v>
      </c>
      <c r="H85" s="96" t="s">
        <v>4045</v>
      </c>
      <c r="I85" s="96"/>
      <c r="J85" s="96"/>
      <c r="K85" s="93" t="s">
        <v>4050</v>
      </c>
      <c r="L85" s="93"/>
      <c r="M85" s="93"/>
      <c r="N85" s="93"/>
      <c r="O85" s="93"/>
      <c r="P85" s="92">
        <v>1478</v>
      </c>
      <c r="Q85" s="92">
        <v>271</v>
      </c>
      <c r="R85" s="92"/>
      <c r="S85" s="97">
        <v>0</v>
      </c>
      <c r="T85" s="97">
        <v>0</v>
      </c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17"/>
      <c r="AH85" s="24"/>
      <c r="AI85" s="25"/>
      <c r="AJ85" s="25"/>
    </row>
    <row r="86" spans="1:36" x14ac:dyDescent="0.3">
      <c r="A86" s="90">
        <v>80</v>
      </c>
      <c r="B86" s="79" t="s">
        <v>2439</v>
      </c>
      <c r="C86" s="79" t="s">
        <v>117</v>
      </c>
      <c r="D86" s="79" t="s">
        <v>117</v>
      </c>
      <c r="E86" s="91" t="s">
        <v>3966</v>
      </c>
      <c r="F86" s="96" t="s">
        <v>4044</v>
      </c>
      <c r="G86" s="97">
        <v>5</v>
      </c>
      <c r="H86" s="96" t="s">
        <v>4045</v>
      </c>
      <c r="I86" s="96"/>
      <c r="J86" s="96"/>
      <c r="K86" s="93" t="s">
        <v>4051</v>
      </c>
      <c r="L86" s="93"/>
      <c r="M86" s="93"/>
      <c r="N86" s="93"/>
      <c r="O86" s="93"/>
      <c r="P86" s="92">
        <v>6330</v>
      </c>
      <c r="Q86" s="92">
        <v>1043</v>
      </c>
      <c r="R86" s="92"/>
      <c r="S86" s="97">
        <v>0</v>
      </c>
      <c r="T86" s="97">
        <v>0</v>
      </c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17"/>
      <c r="AH86" s="24"/>
      <c r="AI86" s="25"/>
      <c r="AJ86" s="25"/>
    </row>
    <row r="87" spans="1:36" x14ac:dyDescent="0.3">
      <c r="A87" s="90">
        <v>81</v>
      </c>
      <c r="B87" s="79" t="s">
        <v>2439</v>
      </c>
      <c r="C87" s="79" t="s">
        <v>117</v>
      </c>
      <c r="D87" s="79" t="s">
        <v>117</v>
      </c>
      <c r="E87" s="91" t="s">
        <v>3966</v>
      </c>
      <c r="F87" s="96" t="s">
        <v>4044</v>
      </c>
      <c r="G87" s="97">
        <v>6</v>
      </c>
      <c r="H87" s="96" t="s">
        <v>4045</v>
      </c>
      <c r="I87" s="96"/>
      <c r="J87" s="96"/>
      <c r="K87" s="93" t="s">
        <v>4051</v>
      </c>
      <c r="L87" s="93"/>
      <c r="M87" s="93"/>
      <c r="N87" s="93"/>
      <c r="O87" s="93"/>
      <c r="P87" s="92">
        <v>5970</v>
      </c>
      <c r="Q87" s="92">
        <v>1020</v>
      </c>
      <c r="R87" s="92"/>
      <c r="S87" s="97">
        <v>0</v>
      </c>
      <c r="T87" s="97">
        <v>0</v>
      </c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17"/>
      <c r="AH87" s="24"/>
      <c r="AI87" s="25"/>
      <c r="AJ87" s="25"/>
    </row>
    <row r="88" spans="1:36" x14ac:dyDescent="0.3">
      <c r="A88" s="90">
        <v>82</v>
      </c>
      <c r="B88" s="79" t="s">
        <v>2439</v>
      </c>
      <c r="C88" s="79" t="s">
        <v>117</v>
      </c>
      <c r="D88" s="79" t="s">
        <v>117</v>
      </c>
      <c r="E88" s="91" t="s">
        <v>3966</v>
      </c>
      <c r="F88" s="96" t="s">
        <v>4044</v>
      </c>
      <c r="G88" s="97">
        <v>7</v>
      </c>
      <c r="H88" s="96" t="s">
        <v>4045</v>
      </c>
      <c r="I88" s="96"/>
      <c r="J88" s="96"/>
      <c r="K88" s="93" t="s">
        <v>4052</v>
      </c>
      <c r="L88" s="93"/>
      <c r="M88" s="93"/>
      <c r="N88" s="93"/>
      <c r="O88" s="93"/>
      <c r="P88" s="92">
        <v>5028</v>
      </c>
      <c r="Q88" s="92">
        <v>861</v>
      </c>
      <c r="R88" s="92"/>
      <c r="S88" s="97">
        <v>0</v>
      </c>
      <c r="T88" s="97">
        <v>0</v>
      </c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16"/>
      <c r="AH88" s="24"/>
      <c r="AI88" s="25"/>
      <c r="AJ88" s="25"/>
    </row>
    <row r="89" spans="1:36" x14ac:dyDescent="0.3">
      <c r="A89" s="90">
        <v>83</v>
      </c>
      <c r="B89" s="79" t="s">
        <v>2439</v>
      </c>
      <c r="C89" s="79" t="s">
        <v>117</v>
      </c>
      <c r="D89" s="79" t="s">
        <v>117</v>
      </c>
      <c r="E89" s="91" t="s">
        <v>3966</v>
      </c>
      <c r="F89" s="96" t="s">
        <v>4044</v>
      </c>
      <c r="G89" s="97">
        <v>8</v>
      </c>
      <c r="H89" s="96" t="s">
        <v>4045</v>
      </c>
      <c r="I89" s="96"/>
      <c r="J89" s="96"/>
      <c r="K89" s="93" t="s">
        <v>4053</v>
      </c>
      <c r="L89" s="93"/>
      <c r="M89" s="93"/>
      <c r="N89" s="93"/>
      <c r="O89" s="93"/>
      <c r="P89" s="92">
        <v>5856</v>
      </c>
      <c r="Q89" s="92">
        <v>998</v>
      </c>
      <c r="R89" s="92"/>
      <c r="S89" s="97">
        <v>0</v>
      </c>
      <c r="T89" s="97">
        <v>0</v>
      </c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17"/>
      <c r="AH89" s="24"/>
      <c r="AI89" s="25"/>
      <c r="AJ89" s="25"/>
    </row>
    <row r="90" spans="1:36" x14ac:dyDescent="0.3">
      <c r="A90" s="90">
        <v>84</v>
      </c>
      <c r="B90" s="79" t="s">
        <v>2439</v>
      </c>
      <c r="C90" s="79" t="s">
        <v>117</v>
      </c>
      <c r="D90" s="79" t="s">
        <v>117</v>
      </c>
      <c r="E90" s="91" t="s">
        <v>3966</v>
      </c>
      <c r="F90" s="96" t="s">
        <v>4044</v>
      </c>
      <c r="G90" s="97">
        <v>8</v>
      </c>
      <c r="H90" s="96" t="s">
        <v>4045</v>
      </c>
      <c r="I90" s="96"/>
      <c r="J90" s="96"/>
      <c r="K90" s="93" t="s">
        <v>4054</v>
      </c>
      <c r="L90" s="93"/>
      <c r="M90" s="93"/>
      <c r="N90" s="93"/>
      <c r="O90" s="93"/>
      <c r="P90" s="92">
        <v>3231</v>
      </c>
      <c r="Q90" s="92">
        <v>522</v>
      </c>
      <c r="R90" s="92"/>
      <c r="S90" s="97">
        <v>0</v>
      </c>
      <c r="T90" s="97">
        <v>0</v>
      </c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17"/>
      <c r="AH90" s="24"/>
      <c r="AI90" s="25"/>
      <c r="AJ90" s="25"/>
    </row>
    <row r="91" spans="1:36" x14ac:dyDescent="0.3">
      <c r="A91" s="90">
        <v>85</v>
      </c>
      <c r="B91" s="79" t="s">
        <v>2439</v>
      </c>
      <c r="C91" s="79" t="s">
        <v>117</v>
      </c>
      <c r="D91" s="79" t="s">
        <v>117</v>
      </c>
      <c r="E91" s="91" t="s">
        <v>3966</v>
      </c>
      <c r="F91" s="96" t="s">
        <v>4044</v>
      </c>
      <c r="G91" s="97">
        <v>9</v>
      </c>
      <c r="H91" s="96" t="s">
        <v>4045</v>
      </c>
      <c r="I91" s="96"/>
      <c r="J91" s="96"/>
      <c r="K91" s="93" t="s">
        <v>4055</v>
      </c>
      <c r="L91" s="93"/>
      <c r="M91" s="93"/>
      <c r="N91" s="93"/>
      <c r="O91" s="93"/>
      <c r="P91" s="92">
        <v>2168</v>
      </c>
      <c r="Q91" s="92">
        <v>401</v>
      </c>
      <c r="R91" s="92"/>
      <c r="S91" s="97">
        <v>0</v>
      </c>
      <c r="T91" s="97">
        <v>0</v>
      </c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17"/>
      <c r="AH91" s="24"/>
      <c r="AI91" s="25"/>
      <c r="AJ91" s="25"/>
    </row>
    <row r="92" spans="1:36" x14ac:dyDescent="0.3">
      <c r="A92" s="90">
        <v>86</v>
      </c>
      <c r="B92" s="79" t="s">
        <v>2439</v>
      </c>
      <c r="C92" s="79" t="s">
        <v>117</v>
      </c>
      <c r="D92" s="79" t="s">
        <v>117</v>
      </c>
      <c r="E92" s="91" t="s">
        <v>3966</v>
      </c>
      <c r="F92" s="96" t="s">
        <v>4044</v>
      </c>
      <c r="G92" s="97">
        <v>9</v>
      </c>
      <c r="H92" s="96" t="s">
        <v>4045</v>
      </c>
      <c r="I92" s="96"/>
      <c r="J92" s="96"/>
      <c r="K92" s="93" t="s">
        <v>4056</v>
      </c>
      <c r="L92" s="93"/>
      <c r="M92" s="93"/>
      <c r="N92" s="93"/>
      <c r="O92" s="93"/>
      <c r="P92" s="92">
        <v>5971</v>
      </c>
      <c r="Q92" s="92">
        <v>1022</v>
      </c>
      <c r="R92" s="92"/>
      <c r="S92" s="97">
        <v>0</v>
      </c>
      <c r="T92" s="97">
        <v>0</v>
      </c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17"/>
      <c r="AH92" s="24"/>
      <c r="AI92" s="25"/>
      <c r="AJ92" s="25"/>
    </row>
    <row r="93" spans="1:36" x14ac:dyDescent="0.3">
      <c r="A93" s="90">
        <v>87</v>
      </c>
      <c r="B93" s="79" t="s">
        <v>2439</v>
      </c>
      <c r="C93" s="79" t="s">
        <v>117</v>
      </c>
      <c r="D93" s="79" t="s">
        <v>117</v>
      </c>
      <c r="E93" s="91" t="s">
        <v>3966</v>
      </c>
      <c r="F93" s="96" t="s">
        <v>4057</v>
      </c>
      <c r="G93" s="97">
        <v>1</v>
      </c>
      <c r="H93" s="96" t="s">
        <v>4058</v>
      </c>
      <c r="I93" s="96"/>
      <c r="J93" s="96"/>
      <c r="K93" s="93" t="s">
        <v>4059</v>
      </c>
      <c r="L93" s="93"/>
      <c r="M93" s="93"/>
      <c r="N93" s="93"/>
      <c r="O93" s="93"/>
      <c r="P93" s="92">
        <v>3079</v>
      </c>
      <c r="Q93" s="92">
        <v>736</v>
      </c>
      <c r="R93" s="92"/>
      <c r="S93" s="97">
        <v>0</v>
      </c>
      <c r="T93" s="97">
        <v>0</v>
      </c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17"/>
      <c r="AH93" s="24"/>
      <c r="AI93" s="25"/>
      <c r="AJ93" s="25"/>
    </row>
    <row r="94" spans="1:36" x14ac:dyDescent="0.3">
      <c r="A94" s="90">
        <v>88</v>
      </c>
      <c r="B94" s="79" t="s">
        <v>2439</v>
      </c>
      <c r="C94" s="79" t="s">
        <v>117</v>
      </c>
      <c r="D94" s="79" t="s">
        <v>117</v>
      </c>
      <c r="E94" s="91" t="s">
        <v>3966</v>
      </c>
      <c r="F94" s="96" t="s">
        <v>4057</v>
      </c>
      <c r="G94" s="97">
        <v>2</v>
      </c>
      <c r="H94" s="96" t="s">
        <v>4058</v>
      </c>
      <c r="I94" s="96"/>
      <c r="J94" s="96"/>
      <c r="K94" s="93" t="s">
        <v>4060</v>
      </c>
      <c r="L94" s="93"/>
      <c r="M94" s="93"/>
      <c r="N94" s="93"/>
      <c r="O94" s="93"/>
      <c r="P94" s="92">
        <v>7138</v>
      </c>
      <c r="Q94" s="92">
        <v>1021</v>
      </c>
      <c r="R94" s="92"/>
      <c r="S94" s="97">
        <v>0</v>
      </c>
      <c r="T94" s="97">
        <v>0</v>
      </c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17"/>
      <c r="AH94" s="24"/>
      <c r="AI94" s="25"/>
      <c r="AJ94" s="25"/>
    </row>
    <row r="95" spans="1:36" x14ac:dyDescent="0.3">
      <c r="A95" s="90">
        <v>89</v>
      </c>
      <c r="B95" s="79" t="s">
        <v>2439</v>
      </c>
      <c r="C95" s="79" t="s">
        <v>117</v>
      </c>
      <c r="D95" s="79" t="s">
        <v>117</v>
      </c>
      <c r="E95" s="91" t="s">
        <v>3966</v>
      </c>
      <c r="F95" s="96" t="s">
        <v>4057</v>
      </c>
      <c r="G95" s="97">
        <v>3</v>
      </c>
      <c r="H95" s="96" t="s">
        <v>4058</v>
      </c>
      <c r="I95" s="96"/>
      <c r="J95" s="96"/>
      <c r="K95" s="93" t="s">
        <v>4061</v>
      </c>
      <c r="L95" s="93"/>
      <c r="M95" s="93"/>
      <c r="N95" s="93"/>
      <c r="O95" s="93"/>
      <c r="P95" s="92">
        <v>4580</v>
      </c>
      <c r="Q95" s="92">
        <v>797</v>
      </c>
      <c r="R95" s="92"/>
      <c r="S95" s="97">
        <v>0</v>
      </c>
      <c r="T95" s="97">
        <v>0</v>
      </c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17"/>
      <c r="AH95" s="24"/>
      <c r="AI95" s="25"/>
      <c r="AJ95" s="25"/>
    </row>
    <row r="96" spans="1:36" x14ac:dyDescent="0.3">
      <c r="A96" s="90">
        <v>90</v>
      </c>
      <c r="B96" s="79" t="s">
        <v>2439</v>
      </c>
      <c r="C96" s="79" t="s">
        <v>117</v>
      </c>
      <c r="D96" s="79" t="s">
        <v>117</v>
      </c>
      <c r="E96" s="91" t="s">
        <v>3966</v>
      </c>
      <c r="F96" s="96" t="s">
        <v>4057</v>
      </c>
      <c r="G96" s="97">
        <v>4</v>
      </c>
      <c r="H96" s="96" t="s">
        <v>4058</v>
      </c>
      <c r="I96" s="96"/>
      <c r="J96" s="96"/>
      <c r="K96" s="93" t="s">
        <v>4062</v>
      </c>
      <c r="L96" s="93"/>
      <c r="M96" s="93"/>
      <c r="N96" s="93"/>
      <c r="O96" s="93"/>
      <c r="P96" s="92">
        <v>5437</v>
      </c>
      <c r="Q96" s="92">
        <v>1132</v>
      </c>
      <c r="R96" s="92"/>
      <c r="S96" s="97">
        <v>0</v>
      </c>
      <c r="T96" s="97">
        <v>0</v>
      </c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17"/>
      <c r="AH96" s="24"/>
      <c r="AI96" s="25"/>
      <c r="AJ96" s="25"/>
    </row>
    <row r="97" spans="1:36" x14ac:dyDescent="0.3">
      <c r="A97" s="90">
        <v>91</v>
      </c>
      <c r="B97" s="79" t="s">
        <v>2439</v>
      </c>
      <c r="C97" s="79" t="s">
        <v>117</v>
      </c>
      <c r="D97" s="79" t="s">
        <v>117</v>
      </c>
      <c r="E97" s="91" t="s">
        <v>3966</v>
      </c>
      <c r="F97" s="96" t="s">
        <v>4057</v>
      </c>
      <c r="G97" s="97">
        <v>5</v>
      </c>
      <c r="H97" s="96" t="s">
        <v>4058</v>
      </c>
      <c r="I97" s="96"/>
      <c r="J97" s="96"/>
      <c r="K97" s="93" t="s">
        <v>4063</v>
      </c>
      <c r="L97" s="93"/>
      <c r="M97" s="93"/>
      <c r="N97" s="93"/>
      <c r="O97" s="93"/>
      <c r="P97" s="92">
        <v>5977</v>
      </c>
      <c r="Q97" s="92">
        <v>753</v>
      </c>
      <c r="R97" s="92"/>
      <c r="S97" s="97">
        <v>0</v>
      </c>
      <c r="T97" s="97">
        <v>0</v>
      </c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17"/>
      <c r="AH97" s="24"/>
      <c r="AI97" s="25"/>
      <c r="AJ97" s="25"/>
    </row>
    <row r="98" spans="1:36" x14ac:dyDescent="0.3">
      <c r="A98" s="90">
        <v>92</v>
      </c>
      <c r="B98" s="79" t="s">
        <v>2439</v>
      </c>
      <c r="C98" s="79" t="s">
        <v>117</v>
      </c>
      <c r="D98" s="79" t="s">
        <v>117</v>
      </c>
      <c r="E98" s="91" t="s">
        <v>3966</v>
      </c>
      <c r="F98" s="96" t="s">
        <v>4057</v>
      </c>
      <c r="G98" s="97">
        <v>6</v>
      </c>
      <c r="H98" s="96" t="s">
        <v>4058</v>
      </c>
      <c r="I98" s="96"/>
      <c r="J98" s="96"/>
      <c r="K98" s="93" t="s">
        <v>4064</v>
      </c>
      <c r="L98" s="93"/>
      <c r="M98" s="93"/>
      <c r="N98" s="93"/>
      <c r="O98" s="93"/>
      <c r="P98" s="92">
        <v>3912</v>
      </c>
      <c r="Q98" s="92">
        <v>808</v>
      </c>
      <c r="R98" s="92"/>
      <c r="S98" s="97">
        <v>0</v>
      </c>
      <c r="T98" s="97">
        <v>0</v>
      </c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17"/>
      <c r="AH98" s="24"/>
      <c r="AI98" s="25"/>
      <c r="AJ98" s="25"/>
    </row>
    <row r="99" spans="1:36" x14ac:dyDescent="0.3">
      <c r="A99" s="90">
        <v>93</v>
      </c>
      <c r="B99" s="79" t="s">
        <v>2439</v>
      </c>
      <c r="C99" s="79" t="s">
        <v>117</v>
      </c>
      <c r="D99" s="79" t="s">
        <v>117</v>
      </c>
      <c r="E99" s="91" t="s">
        <v>3966</v>
      </c>
      <c r="F99" s="96" t="s">
        <v>4057</v>
      </c>
      <c r="G99" s="97">
        <v>7</v>
      </c>
      <c r="H99" s="96" t="s">
        <v>4058</v>
      </c>
      <c r="I99" s="96"/>
      <c r="J99" s="96"/>
      <c r="K99" s="93" t="s">
        <v>4065</v>
      </c>
      <c r="L99" s="93"/>
      <c r="M99" s="93"/>
      <c r="N99" s="93"/>
      <c r="O99" s="93"/>
      <c r="P99" s="92">
        <v>5129</v>
      </c>
      <c r="Q99" s="92">
        <v>832</v>
      </c>
      <c r="R99" s="92"/>
      <c r="S99" s="97">
        <v>0</v>
      </c>
      <c r="T99" s="97">
        <v>0</v>
      </c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17"/>
      <c r="AH99" s="24"/>
      <c r="AI99" s="25"/>
      <c r="AJ99" s="25"/>
    </row>
    <row r="100" spans="1:36" x14ac:dyDescent="0.3">
      <c r="A100" s="90">
        <v>94</v>
      </c>
      <c r="B100" s="79" t="s">
        <v>2439</v>
      </c>
      <c r="C100" s="79" t="s">
        <v>117</v>
      </c>
      <c r="D100" s="79" t="s">
        <v>117</v>
      </c>
      <c r="E100" s="91" t="s">
        <v>3966</v>
      </c>
      <c r="F100" s="96" t="s">
        <v>4057</v>
      </c>
      <c r="G100" s="97">
        <v>8</v>
      </c>
      <c r="H100" s="96" t="s">
        <v>4058</v>
      </c>
      <c r="I100" s="96"/>
      <c r="J100" s="96"/>
      <c r="K100" s="93" t="s">
        <v>4066</v>
      </c>
      <c r="L100" s="93"/>
      <c r="M100" s="93"/>
      <c r="N100" s="93"/>
      <c r="O100" s="93"/>
      <c r="P100" s="92">
        <v>4151</v>
      </c>
      <c r="Q100" s="92">
        <v>624</v>
      </c>
      <c r="R100" s="92"/>
      <c r="S100" s="97">
        <v>0</v>
      </c>
      <c r="T100" s="97">
        <v>0</v>
      </c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17"/>
      <c r="AH100" s="24"/>
      <c r="AI100" s="25"/>
      <c r="AJ100" s="25"/>
    </row>
    <row r="101" spans="1:36" x14ac:dyDescent="0.3">
      <c r="A101" s="90">
        <v>95</v>
      </c>
      <c r="B101" s="79" t="s">
        <v>2439</v>
      </c>
      <c r="C101" s="99" t="s">
        <v>117</v>
      </c>
      <c r="D101" s="99" t="s">
        <v>117</v>
      </c>
      <c r="E101" s="100" t="s">
        <v>3966</v>
      </c>
      <c r="F101" s="101" t="s">
        <v>4057</v>
      </c>
      <c r="G101" s="102">
        <v>9</v>
      </c>
      <c r="H101" s="101" t="s">
        <v>4058</v>
      </c>
      <c r="I101" s="101"/>
      <c r="J101" s="101"/>
      <c r="K101" s="103" t="s">
        <v>4067</v>
      </c>
      <c r="L101" s="103"/>
      <c r="M101" s="103"/>
      <c r="N101" s="103"/>
      <c r="O101" s="103"/>
      <c r="P101" s="104">
        <v>3441</v>
      </c>
      <c r="Q101" s="104">
        <v>603</v>
      </c>
      <c r="R101" s="104"/>
      <c r="S101" s="102">
        <v>0</v>
      </c>
      <c r="T101" s="102">
        <v>0</v>
      </c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5"/>
      <c r="AH101" s="106"/>
      <c r="AI101" s="107"/>
      <c r="AJ101" s="107"/>
    </row>
    <row r="102" spans="1:36" x14ac:dyDescent="0.3">
      <c r="A102" s="90">
        <v>96</v>
      </c>
      <c r="B102" s="79" t="s">
        <v>2439</v>
      </c>
      <c r="C102" s="108" t="s">
        <v>117</v>
      </c>
      <c r="D102" s="108" t="s">
        <v>117</v>
      </c>
      <c r="E102" s="96" t="s">
        <v>3966</v>
      </c>
      <c r="F102" s="96" t="s">
        <v>3772</v>
      </c>
      <c r="G102" s="97">
        <v>1</v>
      </c>
      <c r="H102" s="96" t="s">
        <v>4068</v>
      </c>
      <c r="I102" s="96"/>
      <c r="J102" s="96"/>
      <c r="K102" s="93" t="s">
        <v>4069</v>
      </c>
      <c r="L102" s="93"/>
      <c r="M102" s="93"/>
      <c r="N102" s="93"/>
      <c r="O102" s="93"/>
      <c r="P102" s="92">
        <v>4683</v>
      </c>
      <c r="Q102" s="92">
        <v>802</v>
      </c>
      <c r="R102" s="92"/>
      <c r="S102" s="97">
        <v>0</v>
      </c>
      <c r="T102" s="97">
        <v>0</v>
      </c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17"/>
      <c r="AH102" s="24"/>
      <c r="AI102" s="25"/>
      <c r="AJ102" s="25"/>
    </row>
    <row r="103" spans="1:36" x14ac:dyDescent="0.3">
      <c r="A103" s="90">
        <v>97</v>
      </c>
      <c r="B103" s="79" t="s">
        <v>2439</v>
      </c>
      <c r="C103" s="108" t="s">
        <v>117</v>
      </c>
      <c r="D103" s="108" t="s">
        <v>117</v>
      </c>
      <c r="E103" s="109" t="s">
        <v>3966</v>
      </c>
      <c r="F103" s="109" t="s">
        <v>3772</v>
      </c>
      <c r="G103" s="109">
        <v>1</v>
      </c>
      <c r="H103" s="109" t="s">
        <v>4068</v>
      </c>
      <c r="I103" s="109"/>
      <c r="J103" s="109"/>
      <c r="K103" s="109" t="s">
        <v>4070</v>
      </c>
      <c r="L103" s="109"/>
      <c r="M103" s="109"/>
      <c r="N103" s="109"/>
      <c r="O103" s="109"/>
      <c r="P103" s="109">
        <v>3737</v>
      </c>
      <c r="Q103" s="109">
        <v>645</v>
      </c>
      <c r="R103" s="109"/>
      <c r="S103" s="109">
        <v>0</v>
      </c>
      <c r="T103" s="109">
        <v>0</v>
      </c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</row>
    <row r="104" spans="1:36" x14ac:dyDescent="0.3">
      <c r="A104" s="90">
        <v>98</v>
      </c>
      <c r="B104" s="79" t="s">
        <v>2439</v>
      </c>
      <c r="C104" s="108" t="s">
        <v>117</v>
      </c>
      <c r="D104" s="108" t="s">
        <v>117</v>
      </c>
      <c r="E104" s="109" t="s">
        <v>3966</v>
      </c>
      <c r="F104" s="109" t="s">
        <v>3772</v>
      </c>
      <c r="G104" s="109">
        <v>2</v>
      </c>
      <c r="H104" s="109" t="s">
        <v>4068</v>
      </c>
      <c r="I104" s="109"/>
      <c r="J104" s="109"/>
      <c r="K104" s="109" t="s">
        <v>4071</v>
      </c>
      <c r="L104" s="109"/>
      <c r="M104" s="109"/>
      <c r="N104" s="109"/>
      <c r="O104" s="109"/>
      <c r="P104" s="109">
        <v>5808</v>
      </c>
      <c r="Q104" s="109">
        <v>995</v>
      </c>
      <c r="R104" s="109"/>
      <c r="S104" s="109">
        <v>0</v>
      </c>
      <c r="T104" s="109">
        <v>0</v>
      </c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</row>
    <row r="105" spans="1:36" x14ac:dyDescent="0.3">
      <c r="A105" s="90">
        <v>99</v>
      </c>
      <c r="B105" s="79" t="s">
        <v>2439</v>
      </c>
      <c r="C105" s="108" t="s">
        <v>117</v>
      </c>
      <c r="D105" s="108" t="s">
        <v>117</v>
      </c>
      <c r="E105" s="109" t="s">
        <v>3966</v>
      </c>
      <c r="F105" s="109" t="s">
        <v>3772</v>
      </c>
      <c r="G105" s="109">
        <v>2</v>
      </c>
      <c r="H105" s="109" t="s">
        <v>4068</v>
      </c>
      <c r="I105" s="109"/>
      <c r="J105" s="109"/>
      <c r="K105" s="109" t="s">
        <v>4025</v>
      </c>
      <c r="L105" s="109"/>
      <c r="M105" s="109"/>
      <c r="N105" s="109"/>
      <c r="O105" s="109"/>
      <c r="P105" s="109">
        <v>3684</v>
      </c>
      <c r="Q105" s="109">
        <v>634</v>
      </c>
      <c r="R105" s="109"/>
      <c r="S105" s="109">
        <v>0</v>
      </c>
      <c r="T105" s="109">
        <v>0</v>
      </c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</row>
    <row r="106" spans="1:36" x14ac:dyDescent="0.3">
      <c r="A106" s="90">
        <v>100</v>
      </c>
      <c r="B106" s="79" t="s">
        <v>2439</v>
      </c>
      <c r="C106" s="108" t="s">
        <v>117</v>
      </c>
      <c r="D106" s="108" t="s">
        <v>117</v>
      </c>
      <c r="E106" s="109" t="s">
        <v>3966</v>
      </c>
      <c r="F106" s="109" t="s">
        <v>3772</v>
      </c>
      <c r="G106" s="109">
        <v>3</v>
      </c>
      <c r="H106" s="109" t="s">
        <v>4068</v>
      </c>
      <c r="I106" s="109"/>
      <c r="J106" s="109"/>
      <c r="K106" s="109" t="s">
        <v>4072</v>
      </c>
      <c r="L106" s="109"/>
      <c r="M106" s="109"/>
      <c r="N106" s="109"/>
      <c r="O106" s="109"/>
      <c r="P106" s="109">
        <v>4587</v>
      </c>
      <c r="Q106" s="109">
        <v>840</v>
      </c>
      <c r="R106" s="109"/>
      <c r="S106" s="109">
        <v>0</v>
      </c>
      <c r="T106" s="109">
        <v>0</v>
      </c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</row>
    <row r="107" spans="1:36" x14ac:dyDescent="0.3">
      <c r="A107" s="90">
        <v>101</v>
      </c>
      <c r="B107" s="79" t="s">
        <v>2439</v>
      </c>
      <c r="C107" s="108" t="s">
        <v>117</v>
      </c>
      <c r="D107" s="108" t="s">
        <v>117</v>
      </c>
      <c r="E107" s="109" t="s">
        <v>3966</v>
      </c>
      <c r="F107" s="109" t="s">
        <v>3772</v>
      </c>
      <c r="G107" s="109">
        <v>3</v>
      </c>
      <c r="H107" s="109" t="s">
        <v>4068</v>
      </c>
      <c r="I107" s="109"/>
      <c r="J107" s="109"/>
      <c r="K107" s="109" t="s">
        <v>4073</v>
      </c>
      <c r="L107" s="109"/>
      <c r="M107" s="109"/>
      <c r="N107" s="109"/>
      <c r="O107" s="109"/>
      <c r="P107" s="109">
        <v>5250</v>
      </c>
      <c r="Q107" s="109">
        <v>968</v>
      </c>
      <c r="R107" s="109"/>
      <c r="S107" s="109">
        <v>0</v>
      </c>
      <c r="T107" s="109">
        <v>0</v>
      </c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</row>
    <row r="108" spans="1:36" x14ac:dyDescent="0.3">
      <c r="A108" s="90">
        <v>102</v>
      </c>
      <c r="B108" s="79" t="s">
        <v>2439</v>
      </c>
      <c r="C108" s="108" t="s">
        <v>117</v>
      </c>
      <c r="D108" s="108" t="s">
        <v>117</v>
      </c>
      <c r="E108" s="109" t="s">
        <v>3966</v>
      </c>
      <c r="F108" s="109" t="s">
        <v>3772</v>
      </c>
      <c r="G108" s="109">
        <v>4</v>
      </c>
      <c r="H108" s="109" t="s">
        <v>4068</v>
      </c>
      <c r="I108" s="109"/>
      <c r="J108" s="109"/>
      <c r="K108" s="109" t="s">
        <v>4074</v>
      </c>
      <c r="L108" s="109"/>
      <c r="M108" s="109"/>
      <c r="N108" s="109"/>
      <c r="O108" s="109"/>
      <c r="P108" s="109">
        <v>4980</v>
      </c>
      <c r="Q108" s="109">
        <v>900</v>
      </c>
      <c r="R108" s="109"/>
      <c r="S108" s="109">
        <v>0</v>
      </c>
      <c r="T108" s="109">
        <v>0</v>
      </c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</row>
    <row r="109" spans="1:36" x14ac:dyDescent="0.3">
      <c r="A109" s="90">
        <v>103</v>
      </c>
      <c r="B109" s="79" t="s">
        <v>2439</v>
      </c>
      <c r="C109" s="108" t="s">
        <v>117</v>
      </c>
      <c r="D109" s="108" t="s">
        <v>117</v>
      </c>
      <c r="E109" s="109" t="s">
        <v>3966</v>
      </c>
      <c r="F109" s="109" t="s">
        <v>3772</v>
      </c>
      <c r="G109" s="109">
        <v>4</v>
      </c>
      <c r="H109" s="109" t="s">
        <v>4068</v>
      </c>
      <c r="I109" s="109"/>
      <c r="J109" s="109"/>
      <c r="K109" s="109" t="s">
        <v>4075</v>
      </c>
      <c r="L109" s="109"/>
      <c r="M109" s="109"/>
      <c r="N109" s="109"/>
      <c r="O109" s="109"/>
      <c r="P109" s="109">
        <v>5368</v>
      </c>
      <c r="Q109" s="109">
        <v>880</v>
      </c>
      <c r="R109" s="109"/>
      <c r="S109" s="109">
        <v>0</v>
      </c>
      <c r="T109" s="109">
        <v>0</v>
      </c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</row>
    <row r="110" spans="1:36" x14ac:dyDescent="0.3">
      <c r="A110" s="90">
        <v>104</v>
      </c>
      <c r="B110" s="79" t="s">
        <v>2439</v>
      </c>
      <c r="C110" s="108" t="s">
        <v>117</v>
      </c>
      <c r="D110" s="108" t="s">
        <v>117</v>
      </c>
      <c r="E110" s="109" t="s">
        <v>3966</v>
      </c>
      <c r="F110" s="109" t="s">
        <v>3772</v>
      </c>
      <c r="G110" s="109">
        <v>5</v>
      </c>
      <c r="H110" s="109" t="s">
        <v>4068</v>
      </c>
      <c r="I110" s="109"/>
      <c r="J110" s="109"/>
      <c r="K110" s="109" t="s">
        <v>4076</v>
      </c>
      <c r="L110" s="109"/>
      <c r="M110" s="109"/>
      <c r="N110" s="109"/>
      <c r="O110" s="109"/>
      <c r="P110" s="109">
        <v>4123</v>
      </c>
      <c r="Q110" s="109">
        <v>724</v>
      </c>
      <c r="R110" s="109"/>
      <c r="S110" s="109">
        <v>0</v>
      </c>
      <c r="T110" s="109">
        <v>0</v>
      </c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</row>
    <row r="111" spans="1:36" x14ac:dyDescent="0.3">
      <c r="A111" s="90">
        <v>105</v>
      </c>
      <c r="B111" s="79" t="s">
        <v>2439</v>
      </c>
      <c r="C111" s="108" t="s">
        <v>117</v>
      </c>
      <c r="D111" s="108" t="s">
        <v>117</v>
      </c>
      <c r="E111" s="109" t="s">
        <v>3966</v>
      </c>
      <c r="F111" s="109" t="s">
        <v>3772</v>
      </c>
      <c r="G111" s="109">
        <v>6</v>
      </c>
      <c r="H111" s="109" t="s">
        <v>4068</v>
      </c>
      <c r="I111" s="109"/>
      <c r="J111" s="109"/>
      <c r="K111" s="109" t="s">
        <v>4077</v>
      </c>
      <c r="L111" s="109"/>
      <c r="M111" s="109"/>
      <c r="N111" s="109"/>
      <c r="O111" s="109"/>
      <c r="P111" s="109">
        <v>3049</v>
      </c>
      <c r="Q111" s="109">
        <v>687</v>
      </c>
      <c r="R111" s="109"/>
      <c r="S111" s="109">
        <v>0</v>
      </c>
      <c r="T111" s="109">
        <v>0</v>
      </c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</row>
    <row r="112" spans="1:36" x14ac:dyDescent="0.3">
      <c r="A112" s="90">
        <v>106</v>
      </c>
      <c r="B112" s="79" t="s">
        <v>2439</v>
      </c>
      <c r="C112" s="108" t="s">
        <v>117</v>
      </c>
      <c r="D112" s="108" t="s">
        <v>117</v>
      </c>
      <c r="E112" s="109" t="s">
        <v>3966</v>
      </c>
      <c r="F112" s="109" t="s">
        <v>3772</v>
      </c>
      <c r="G112" s="109">
        <v>6</v>
      </c>
      <c r="H112" s="109" t="s">
        <v>4068</v>
      </c>
      <c r="I112" s="109"/>
      <c r="J112" s="109"/>
      <c r="K112" s="109" t="s">
        <v>2733</v>
      </c>
      <c r="L112" s="109"/>
      <c r="M112" s="109"/>
      <c r="N112" s="109"/>
      <c r="O112" s="109"/>
      <c r="P112" s="109">
        <v>2487</v>
      </c>
      <c r="Q112" s="109">
        <v>548</v>
      </c>
      <c r="R112" s="109"/>
      <c r="S112" s="109">
        <v>0</v>
      </c>
      <c r="T112" s="109">
        <v>0</v>
      </c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</row>
    <row r="113" spans="1:36" x14ac:dyDescent="0.3">
      <c r="A113" s="90">
        <v>107</v>
      </c>
      <c r="B113" s="79" t="s">
        <v>2439</v>
      </c>
      <c r="C113" s="108" t="s">
        <v>117</v>
      </c>
      <c r="D113" s="108" t="s">
        <v>117</v>
      </c>
      <c r="E113" s="109" t="s">
        <v>3966</v>
      </c>
      <c r="F113" s="109" t="s">
        <v>3772</v>
      </c>
      <c r="G113" s="109">
        <v>6</v>
      </c>
      <c r="H113" s="109" t="s">
        <v>4068</v>
      </c>
      <c r="I113" s="109"/>
      <c r="J113" s="109"/>
      <c r="K113" s="109" t="s">
        <v>4078</v>
      </c>
      <c r="L113" s="109"/>
      <c r="M113" s="109"/>
      <c r="N113" s="109"/>
      <c r="O113" s="109"/>
      <c r="P113" s="109">
        <v>2643</v>
      </c>
      <c r="Q113" s="109">
        <v>600</v>
      </c>
      <c r="R113" s="109"/>
      <c r="S113" s="109">
        <v>0</v>
      </c>
      <c r="T113" s="109">
        <v>0</v>
      </c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</row>
    <row r="114" spans="1:36" x14ac:dyDescent="0.3">
      <c r="A114" s="90">
        <v>108</v>
      </c>
      <c r="B114" s="79" t="s">
        <v>2439</v>
      </c>
      <c r="C114" s="108" t="s">
        <v>117</v>
      </c>
      <c r="D114" s="108" t="s">
        <v>117</v>
      </c>
      <c r="E114" s="109" t="s">
        <v>3966</v>
      </c>
      <c r="F114" s="109" t="s">
        <v>3772</v>
      </c>
      <c r="G114" s="109">
        <v>7</v>
      </c>
      <c r="H114" s="109" t="s">
        <v>4068</v>
      </c>
      <c r="I114" s="109"/>
      <c r="J114" s="109"/>
      <c r="K114" s="109" t="s">
        <v>4079</v>
      </c>
      <c r="L114" s="109"/>
      <c r="M114" s="109"/>
      <c r="N114" s="109"/>
      <c r="O114" s="109"/>
      <c r="P114" s="109">
        <v>3006</v>
      </c>
      <c r="Q114" s="109">
        <v>515</v>
      </c>
      <c r="R114" s="109"/>
      <c r="S114" s="109">
        <v>0</v>
      </c>
      <c r="T114" s="109">
        <v>0</v>
      </c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</row>
    <row r="115" spans="1:36" x14ac:dyDescent="0.3">
      <c r="A115" s="90">
        <v>109</v>
      </c>
      <c r="B115" s="79" t="s">
        <v>2439</v>
      </c>
      <c r="C115" s="108" t="s">
        <v>117</v>
      </c>
      <c r="D115" s="108" t="s">
        <v>117</v>
      </c>
      <c r="E115" s="109" t="s">
        <v>3966</v>
      </c>
      <c r="F115" s="109" t="s">
        <v>3772</v>
      </c>
      <c r="G115" s="109">
        <v>7</v>
      </c>
      <c r="H115" s="109" t="s">
        <v>4068</v>
      </c>
      <c r="I115" s="109"/>
      <c r="J115" s="109"/>
      <c r="K115" s="109" t="s">
        <v>3214</v>
      </c>
      <c r="L115" s="109"/>
      <c r="M115" s="109"/>
      <c r="N115" s="109"/>
      <c r="O115" s="109"/>
      <c r="P115" s="109">
        <v>2862</v>
      </c>
      <c r="Q115" s="109">
        <v>522</v>
      </c>
      <c r="R115" s="109"/>
      <c r="S115" s="109">
        <v>0</v>
      </c>
      <c r="T115" s="109">
        <v>0</v>
      </c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</row>
    <row r="116" spans="1:36" x14ac:dyDescent="0.3">
      <c r="A116" s="90">
        <v>110</v>
      </c>
      <c r="B116" s="79" t="s">
        <v>2439</v>
      </c>
      <c r="C116" s="108" t="s">
        <v>117</v>
      </c>
      <c r="D116" s="108" t="s">
        <v>117</v>
      </c>
      <c r="E116" s="109" t="s">
        <v>3966</v>
      </c>
      <c r="F116" s="109" t="s">
        <v>3772</v>
      </c>
      <c r="G116" s="109">
        <v>8</v>
      </c>
      <c r="H116" s="109" t="s">
        <v>4068</v>
      </c>
      <c r="I116" s="109"/>
      <c r="J116" s="109"/>
      <c r="K116" s="109" t="s">
        <v>4080</v>
      </c>
      <c r="L116" s="109"/>
      <c r="M116" s="109"/>
      <c r="N116" s="109"/>
      <c r="O116" s="109"/>
      <c r="P116" s="109">
        <v>2534</v>
      </c>
      <c r="Q116" s="109">
        <v>477</v>
      </c>
      <c r="R116" s="109"/>
      <c r="S116" s="109">
        <v>0</v>
      </c>
      <c r="T116" s="109">
        <v>0</v>
      </c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</row>
    <row r="117" spans="1:36" x14ac:dyDescent="0.3">
      <c r="A117" s="90">
        <v>111</v>
      </c>
      <c r="B117" s="79" t="s">
        <v>2439</v>
      </c>
      <c r="C117" s="108" t="s">
        <v>117</v>
      </c>
      <c r="D117" s="108" t="s">
        <v>117</v>
      </c>
      <c r="E117" s="109" t="s">
        <v>3966</v>
      </c>
      <c r="F117" s="109" t="s">
        <v>3772</v>
      </c>
      <c r="G117" s="109">
        <v>9</v>
      </c>
      <c r="H117" s="109" t="s">
        <v>4068</v>
      </c>
      <c r="I117" s="109"/>
      <c r="J117" s="109"/>
      <c r="K117" s="109" t="s">
        <v>4081</v>
      </c>
      <c r="L117" s="109"/>
      <c r="M117" s="109"/>
      <c r="N117" s="109"/>
      <c r="O117" s="109"/>
      <c r="P117" s="109">
        <v>2328</v>
      </c>
      <c r="Q117" s="109">
        <v>443</v>
      </c>
      <c r="R117" s="109"/>
      <c r="S117" s="109">
        <v>0</v>
      </c>
      <c r="T117" s="109">
        <v>0</v>
      </c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</row>
    <row r="118" spans="1:36" x14ac:dyDescent="0.3">
      <c r="A118" s="90">
        <v>112</v>
      </c>
      <c r="B118" s="79" t="s">
        <v>2439</v>
      </c>
      <c r="C118" s="108" t="s">
        <v>117</v>
      </c>
      <c r="D118" s="108" t="s">
        <v>117</v>
      </c>
      <c r="E118" s="109" t="s">
        <v>3966</v>
      </c>
      <c r="F118" s="109" t="s">
        <v>4082</v>
      </c>
      <c r="G118" s="109">
        <v>1</v>
      </c>
      <c r="H118" s="109"/>
      <c r="I118" s="109"/>
      <c r="J118" s="109"/>
      <c r="K118" s="109" t="s">
        <v>4083</v>
      </c>
      <c r="L118" s="109"/>
      <c r="M118" s="109"/>
      <c r="N118" s="109"/>
      <c r="O118" s="109"/>
      <c r="P118" s="109">
        <v>4170</v>
      </c>
      <c r="Q118" s="109">
        <v>997</v>
      </c>
      <c r="R118" s="109"/>
      <c r="S118" s="109">
        <v>0</v>
      </c>
      <c r="T118" s="109">
        <v>0</v>
      </c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</row>
    <row r="119" spans="1:36" x14ac:dyDescent="0.3">
      <c r="A119" s="90">
        <v>113</v>
      </c>
      <c r="B119" s="79" t="s">
        <v>2439</v>
      </c>
      <c r="C119" s="108" t="s">
        <v>117</v>
      </c>
      <c r="D119" s="108" t="s">
        <v>117</v>
      </c>
      <c r="E119" s="109" t="s">
        <v>3966</v>
      </c>
      <c r="F119" s="109" t="s">
        <v>4082</v>
      </c>
      <c r="G119" s="109">
        <v>2</v>
      </c>
      <c r="H119" s="109"/>
      <c r="I119" s="109"/>
      <c r="J119" s="109"/>
      <c r="K119" s="109" t="s">
        <v>4084</v>
      </c>
      <c r="L119" s="109"/>
      <c r="M119" s="109"/>
      <c r="N119" s="109"/>
      <c r="O119" s="109"/>
      <c r="P119" s="109">
        <v>3602</v>
      </c>
      <c r="Q119" s="109">
        <v>955</v>
      </c>
      <c r="R119" s="109"/>
      <c r="S119" s="109">
        <v>0</v>
      </c>
      <c r="T119" s="109">
        <v>0</v>
      </c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</row>
    <row r="120" spans="1:36" x14ac:dyDescent="0.3">
      <c r="A120" s="90">
        <v>114</v>
      </c>
      <c r="B120" s="79" t="s">
        <v>2439</v>
      </c>
      <c r="C120" s="108" t="s">
        <v>117</v>
      </c>
      <c r="D120" s="108" t="s">
        <v>117</v>
      </c>
      <c r="E120" s="109" t="s">
        <v>3966</v>
      </c>
      <c r="F120" s="109" t="s">
        <v>4082</v>
      </c>
      <c r="G120" s="109">
        <v>3</v>
      </c>
      <c r="H120" s="109"/>
      <c r="I120" s="109"/>
      <c r="J120" s="109"/>
      <c r="K120" s="109" t="s">
        <v>4085</v>
      </c>
      <c r="L120" s="109"/>
      <c r="M120" s="109"/>
      <c r="N120" s="109"/>
      <c r="O120" s="109"/>
      <c r="P120" s="109">
        <v>5004</v>
      </c>
      <c r="Q120" s="109">
        <v>970</v>
      </c>
      <c r="R120" s="109"/>
      <c r="S120" s="109">
        <v>0</v>
      </c>
      <c r="T120" s="109">
        <v>0</v>
      </c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</row>
    <row r="121" spans="1:36" x14ac:dyDescent="0.3">
      <c r="A121" s="90">
        <v>115</v>
      </c>
      <c r="B121" s="79" t="s">
        <v>2439</v>
      </c>
      <c r="C121" s="108" t="s">
        <v>117</v>
      </c>
      <c r="D121" s="108" t="s">
        <v>117</v>
      </c>
      <c r="E121" s="109" t="s">
        <v>3966</v>
      </c>
      <c r="F121" s="109" t="s">
        <v>4082</v>
      </c>
      <c r="G121" s="109">
        <v>4</v>
      </c>
      <c r="H121" s="109"/>
      <c r="I121" s="109"/>
      <c r="J121" s="109"/>
      <c r="K121" s="109" t="s">
        <v>3389</v>
      </c>
      <c r="L121" s="109"/>
      <c r="M121" s="109"/>
      <c r="N121" s="109"/>
      <c r="O121" s="109"/>
      <c r="P121" s="109">
        <v>7307</v>
      </c>
      <c r="Q121" s="109">
        <v>1403</v>
      </c>
      <c r="R121" s="109"/>
      <c r="S121" s="109">
        <v>0</v>
      </c>
      <c r="T121" s="109">
        <v>0</v>
      </c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</row>
    <row r="122" spans="1:36" x14ac:dyDescent="0.3">
      <c r="A122" s="90">
        <v>116</v>
      </c>
      <c r="B122" s="79" t="s">
        <v>2439</v>
      </c>
      <c r="C122" s="108" t="s">
        <v>117</v>
      </c>
      <c r="D122" s="108" t="s">
        <v>117</v>
      </c>
      <c r="E122" s="109" t="s">
        <v>3966</v>
      </c>
      <c r="F122" s="109" t="s">
        <v>4082</v>
      </c>
      <c r="G122" s="109">
        <v>5</v>
      </c>
      <c r="H122" s="109"/>
      <c r="I122" s="109"/>
      <c r="J122" s="109"/>
      <c r="K122" s="109" t="s">
        <v>4086</v>
      </c>
      <c r="L122" s="109"/>
      <c r="M122" s="109"/>
      <c r="N122" s="109"/>
      <c r="O122" s="109"/>
      <c r="P122" s="109">
        <v>6036</v>
      </c>
      <c r="Q122" s="109">
        <v>1168</v>
      </c>
      <c r="R122" s="109"/>
      <c r="S122" s="109">
        <v>0</v>
      </c>
      <c r="T122" s="109">
        <v>0</v>
      </c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</row>
    <row r="123" spans="1:36" x14ac:dyDescent="0.3">
      <c r="A123" s="90">
        <v>117</v>
      </c>
      <c r="B123" s="79" t="s">
        <v>2439</v>
      </c>
      <c r="C123" s="108" t="s">
        <v>117</v>
      </c>
      <c r="D123" s="108" t="s">
        <v>117</v>
      </c>
      <c r="E123" s="109" t="s">
        <v>3966</v>
      </c>
      <c r="F123" s="109" t="s">
        <v>4082</v>
      </c>
      <c r="G123" s="109">
        <v>6</v>
      </c>
      <c r="H123" s="109"/>
      <c r="I123" s="109"/>
      <c r="J123" s="109"/>
      <c r="K123" s="109" t="s">
        <v>4087</v>
      </c>
      <c r="L123" s="109"/>
      <c r="M123" s="109"/>
      <c r="N123" s="109"/>
      <c r="O123" s="109"/>
      <c r="P123" s="109">
        <v>10264</v>
      </c>
      <c r="Q123" s="109">
        <v>1772</v>
      </c>
      <c r="R123" s="109"/>
      <c r="S123" s="109">
        <v>0</v>
      </c>
      <c r="T123" s="109">
        <v>0</v>
      </c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</row>
    <row r="124" spans="1:36" x14ac:dyDescent="0.3">
      <c r="A124" s="90">
        <v>118</v>
      </c>
      <c r="B124" s="79" t="s">
        <v>2439</v>
      </c>
      <c r="C124" s="108" t="s">
        <v>117</v>
      </c>
      <c r="D124" s="108" t="s">
        <v>117</v>
      </c>
      <c r="E124" s="109" t="s">
        <v>3966</v>
      </c>
      <c r="F124" s="109" t="s">
        <v>4082</v>
      </c>
      <c r="G124" s="109">
        <v>7</v>
      </c>
      <c r="H124" s="109"/>
      <c r="I124" s="109"/>
      <c r="J124" s="109"/>
      <c r="K124" s="109" t="s">
        <v>4088</v>
      </c>
      <c r="L124" s="109"/>
      <c r="M124" s="109"/>
      <c r="N124" s="109"/>
      <c r="O124" s="109"/>
      <c r="P124" s="109">
        <v>4085</v>
      </c>
      <c r="Q124" s="109">
        <v>680</v>
      </c>
      <c r="R124" s="109"/>
      <c r="S124" s="109">
        <v>0</v>
      </c>
      <c r="T124" s="109">
        <v>0</v>
      </c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</row>
    <row r="125" spans="1:36" x14ac:dyDescent="0.3">
      <c r="A125" s="90">
        <v>119</v>
      </c>
      <c r="B125" s="79" t="s">
        <v>2439</v>
      </c>
      <c r="C125" s="108" t="s">
        <v>117</v>
      </c>
      <c r="D125" s="108" t="s">
        <v>117</v>
      </c>
      <c r="E125" s="109" t="s">
        <v>3966</v>
      </c>
      <c r="F125" s="109" t="s">
        <v>4082</v>
      </c>
      <c r="G125" s="109">
        <v>8</v>
      </c>
      <c r="H125" s="109"/>
      <c r="I125" s="109"/>
      <c r="J125" s="109"/>
      <c r="K125" s="109" t="s">
        <v>4089</v>
      </c>
      <c r="L125" s="109"/>
      <c r="M125" s="109"/>
      <c r="N125" s="109"/>
      <c r="O125" s="109"/>
      <c r="P125" s="109">
        <v>7071</v>
      </c>
      <c r="Q125" s="109">
        <v>1246</v>
      </c>
      <c r="R125" s="109"/>
      <c r="S125" s="109">
        <v>0</v>
      </c>
      <c r="T125" s="109">
        <v>0</v>
      </c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</row>
    <row r="126" spans="1:36" x14ac:dyDescent="0.3">
      <c r="A126" s="90">
        <v>120</v>
      </c>
      <c r="B126" s="79" t="s">
        <v>2439</v>
      </c>
      <c r="C126" s="108" t="s">
        <v>117</v>
      </c>
      <c r="D126" s="108" t="s">
        <v>117</v>
      </c>
      <c r="E126" s="109" t="s">
        <v>3966</v>
      </c>
      <c r="F126" s="109" t="s">
        <v>4082</v>
      </c>
      <c r="G126" s="109">
        <v>9</v>
      </c>
      <c r="H126" s="109"/>
      <c r="I126" s="109"/>
      <c r="J126" s="109"/>
      <c r="K126" s="109" t="s">
        <v>4090</v>
      </c>
      <c r="L126" s="109"/>
      <c r="M126" s="109"/>
      <c r="N126" s="109"/>
      <c r="O126" s="109"/>
      <c r="P126" s="109">
        <v>3129</v>
      </c>
      <c r="Q126" s="109">
        <v>822</v>
      </c>
      <c r="R126" s="109"/>
      <c r="S126" s="109">
        <v>0</v>
      </c>
      <c r="T126" s="109">
        <v>0</v>
      </c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</row>
  </sheetData>
  <mergeCells count="4">
    <mergeCell ref="G1:G2"/>
    <mergeCell ref="A5:D5"/>
    <mergeCell ref="G5:J5"/>
    <mergeCell ref="U5:AF5"/>
  </mergeCells>
  <conditionalFormatting sqref="M7:M102">
    <cfRule type="duplicateValues" dxfId="0" priority="1"/>
  </conditionalFormatting>
  <dataValidations count="1">
    <dataValidation type="list" allowBlank="1" showInputMessage="1" showErrorMessage="1" sqref="E7:E102">
      <formula1>INDIRECT(#REF!)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Anowara</vt:lpstr>
      <vt:lpstr>Banskhali</vt:lpstr>
      <vt:lpstr>Boalkhali</vt:lpstr>
      <vt:lpstr>Chandanaish</vt:lpstr>
      <vt:lpstr>Fatikchhari</vt:lpstr>
      <vt:lpstr>Hathazari</vt:lpstr>
      <vt:lpstr>Karnafuli</vt:lpstr>
      <vt:lpstr>Lohagara</vt:lpstr>
      <vt:lpstr>Mirsharai</vt:lpstr>
      <vt:lpstr>Patiya</vt:lpstr>
      <vt:lpstr>Rangunia</vt:lpstr>
      <vt:lpstr>Raozan</vt:lpstr>
      <vt:lpstr>Satkania</vt:lpstr>
      <vt:lpstr>Sitakunda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</dc:creator>
  <cp:lastModifiedBy>DOLA</cp:lastModifiedBy>
  <dcterms:created xsi:type="dcterms:W3CDTF">2026-01-29T06:22:47Z</dcterms:created>
  <dcterms:modified xsi:type="dcterms:W3CDTF">2026-03-30T09:05:00Z</dcterms:modified>
</cp:coreProperties>
</file>