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Khagrachhari Sadar"/>
    <sheet r:id="rId2" sheetId="2" name="Mahalchhari"/>
    <sheet r:id="rId3" sheetId="3" name="Ramgarh"/>
    <sheet r:id="rId4" sheetId="4" name="Matiranga"/>
    <sheet r:id="rId5" sheetId="5" name="Dighinala"/>
    <sheet r:id="rId6" sheetId="6" name="Panchhari"/>
    <sheet r:id="rId7" sheetId="7" name="Manikchhari"/>
    <sheet r:id="rId8" sheetId="8" name="Lakkhichhari"/>
  </sheets>
  <definedNames>
    <definedName name="_xlnm._FilterDatabase" localSheetId="0">'Khagrachhari Sadar'!$A$6:$AJ$387</definedName>
  </definedNames>
  <calcPr fullCalcOnLoad="1"/>
</workbook>
</file>

<file path=xl/sharedStrings.xml><?xml version="1.0" encoding="utf-8"?>
<sst xmlns="http://schemas.openxmlformats.org/spreadsheetml/2006/main" count="16920" uniqueCount="4599">
  <si>
    <t>Total Count</t>
  </si>
  <si>
    <t>SK(H)</t>
  </si>
  <si>
    <t>SS</t>
  </si>
  <si>
    <t>BRAC</t>
  </si>
  <si>
    <t>SHW(H)</t>
  </si>
  <si>
    <t>Village</t>
  </si>
  <si>
    <t>Malaria Elimination Program</t>
  </si>
  <si>
    <t>Microstrafication</t>
  </si>
  <si>
    <t>Upazila Name:</t>
  </si>
  <si>
    <t>Lakkhichhari</t>
  </si>
  <si>
    <t>Malaria Case-2026</t>
  </si>
  <si>
    <t>SL</t>
  </si>
  <si>
    <t>Country</t>
  </si>
  <si>
    <t>Division</t>
  </si>
  <si>
    <t>District</t>
  </si>
  <si>
    <t>Upazila</t>
  </si>
  <si>
    <t>Union</t>
  </si>
  <si>
    <t>Ward No</t>
  </si>
  <si>
    <t>Name of SK/SHW</t>
  </si>
  <si>
    <t>Desig.</t>
  </si>
  <si>
    <t>Name of SS</t>
  </si>
  <si>
    <t>Village Name (English)</t>
  </si>
  <si>
    <t>Village Name 
(Bangla)</t>
  </si>
  <si>
    <t>Village 
Code</t>
  </si>
  <si>
    <t>Latitude</t>
  </si>
  <si>
    <t>Longitute</t>
  </si>
  <si>
    <t>Population</t>
  </si>
  <si>
    <t>HH Number</t>
  </si>
  <si>
    <t>2026 
(Active LLINs)</t>
  </si>
  <si>
    <t>2025
(Active LLINs)</t>
  </si>
  <si>
    <t>2024
(Active LLINs)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</si>
  <si>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</si>
  <si>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</si>
  <si>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</si>
  <si>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</si>
  <si>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</si>
  <si>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</si>
  <si>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</si>
  <si>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</si>
  <si>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</si>
  <si>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</si>
  <si>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</si>
  <si>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</si>
  <si>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 of
 MMW, 
Health 
post &amp;
CHW(C)</t>
  </si>
  <si>
    <t>Village 
Distance
 from 
upazila office (KM)</t>
  </si>
  <si>
    <t>Name of Border
 with others
 country</t>
  </si>
  <si>
    <t>Others
 Activities
(TDA/Dev care)</t>
  </si>
  <si>
    <t>Bangladesh</t>
  </si>
  <si>
    <t>Chattogram</t>
  </si>
  <si>
    <t>Khagrachhari</t>
  </si>
  <si>
    <t>Barmachari</t>
  </si>
  <si>
    <t>Barmachari muk</t>
  </si>
  <si>
    <t>Maddya barmachari</t>
  </si>
  <si>
    <t>Tanuram para</t>
  </si>
  <si>
    <t>Chowarasta more</t>
  </si>
  <si>
    <t>Kola Buniya</t>
  </si>
  <si>
    <t>Bagchari</t>
  </si>
  <si>
    <t>Dewan Para</t>
  </si>
  <si>
    <t>Boddo Para</t>
  </si>
  <si>
    <t>South Binajuri</t>
  </si>
  <si>
    <t>Naranmyachari</t>
  </si>
  <si>
    <t>Uttar Binajuri</t>
  </si>
  <si>
    <t>Binajori</t>
  </si>
  <si>
    <t>Shilchari</t>
  </si>
  <si>
    <t>Labuchari</t>
  </si>
  <si>
    <t>West Boddo Para</t>
  </si>
  <si>
    <t>Lamba Tila</t>
  </si>
  <si>
    <t>Tholi Para</t>
  </si>
  <si>
    <t>Marma Tila</t>
  </si>
  <si>
    <t>Kutubchari Bazar</t>
  </si>
  <si>
    <t>Notun Para</t>
  </si>
  <si>
    <t>Kutubchari Chakma Para</t>
  </si>
  <si>
    <t>Dula mura</t>
  </si>
  <si>
    <t>Dadonggo Chara</t>
  </si>
  <si>
    <t>Guichari</t>
  </si>
  <si>
    <t>East Suknachari</t>
  </si>
  <si>
    <t>Kola chari/mukh</t>
  </si>
  <si>
    <t>Kandop Para</t>
  </si>
  <si>
    <t>Boli Para</t>
  </si>
  <si>
    <t>Muktachari</t>
  </si>
  <si>
    <t>North Shuknachari</t>
  </si>
  <si>
    <t>Moddho shuknachari</t>
  </si>
  <si>
    <t>Hazachari</t>
  </si>
  <si>
    <t>South Shuknachari</t>
  </si>
  <si>
    <t>Lelang</t>
  </si>
  <si>
    <t>Bottali</t>
  </si>
  <si>
    <t>Jadu Para</t>
  </si>
  <si>
    <t>Korenga Tila</t>
  </si>
  <si>
    <t>Natun Para</t>
  </si>
  <si>
    <t>Futta Para</t>
  </si>
  <si>
    <t>Kolachari</t>
  </si>
  <si>
    <t>East baidya para</t>
  </si>
  <si>
    <t>Futtachari</t>
  </si>
  <si>
    <t>Keret Kata</t>
  </si>
  <si>
    <t>Bihar Para</t>
  </si>
  <si>
    <t>Ultachari</t>
  </si>
  <si>
    <t>Moromchari</t>
  </si>
  <si>
    <t>pekkuya para</t>
  </si>
  <si>
    <t>Dullatali</t>
  </si>
  <si>
    <t>Magrachari</t>
  </si>
  <si>
    <t>Nabanga para</t>
  </si>
  <si>
    <t>Duilatoli</t>
  </si>
  <si>
    <t>East chailatali</t>
  </si>
  <si>
    <t>West chailatali</t>
  </si>
  <si>
    <t>Kurumbanga</t>
  </si>
  <si>
    <t>Dongi para</t>
  </si>
  <si>
    <t>Bagan para</t>
  </si>
  <si>
    <t>Moguichari</t>
  </si>
  <si>
    <t>Mejarpara</t>
  </si>
  <si>
    <t>West Jarulchari Chakma Para</t>
  </si>
  <si>
    <t>1 No tila</t>
  </si>
  <si>
    <t>Uzan para</t>
  </si>
  <si>
    <t>Natun Marma Para</t>
  </si>
  <si>
    <t>Jarulchari Bangali Para</t>
  </si>
  <si>
    <t>Marma para</t>
  </si>
  <si>
    <t>Muslim para</t>
  </si>
  <si>
    <t>South Jarulchari</t>
  </si>
  <si>
    <t>Dewan para</t>
  </si>
  <si>
    <t>West hazachari</t>
  </si>
  <si>
    <t>Botgaspara</t>
  </si>
  <si>
    <t>Member para</t>
  </si>
  <si>
    <t>Guru bukke</t>
  </si>
  <si>
    <t>Gobo mara</t>
  </si>
  <si>
    <t>Tripura chari</t>
  </si>
  <si>
    <t>Durchari para</t>
  </si>
  <si>
    <t>Khailasmahajan para</t>
  </si>
  <si>
    <t>Barodona</t>
  </si>
  <si>
    <t>Masterpara</t>
  </si>
  <si>
    <t>Tejendra para</t>
  </si>
  <si>
    <t>Rannyama chara</t>
  </si>
  <si>
    <t>Vatto para</t>
  </si>
  <si>
    <t>Dane banor kata</t>
  </si>
  <si>
    <t>Bame banar kata</t>
  </si>
  <si>
    <t>Digalchari</t>
  </si>
  <si>
    <t>Tullya para</t>
  </si>
  <si>
    <t>Vija kiching</t>
  </si>
  <si>
    <t>Simana para</t>
  </si>
  <si>
    <t>Dajor para</t>
  </si>
  <si>
    <t>Moddo para</t>
  </si>
  <si>
    <t>Juro moni para</t>
  </si>
  <si>
    <t>Beltali Para</t>
  </si>
  <si>
    <t>বেলতলি পাড়া</t>
  </si>
  <si>
    <t>LAX101</t>
  </si>
  <si>
    <t>Lakkhichhari Guccha Gram</t>
  </si>
  <si>
    <t>লক্ষ্মীছড়ি গুচ্ছ গ্রাম</t>
  </si>
  <si>
    <t>LAX102</t>
  </si>
  <si>
    <t>Banarkata Para</t>
  </si>
  <si>
    <t>বানরকাটা পাড়া</t>
  </si>
  <si>
    <t>LAX103</t>
  </si>
  <si>
    <t>Bagan Para</t>
  </si>
  <si>
    <t>বাগান পাড়া</t>
  </si>
  <si>
    <t>LAX104</t>
  </si>
  <si>
    <t>Bijoy Karbari Para</t>
  </si>
  <si>
    <t xml:space="preserve">বিজয় কারবারি পাড়া </t>
  </si>
  <si>
    <t>LAX105</t>
  </si>
  <si>
    <t>Simana Para</t>
  </si>
  <si>
    <t>সীমানা পাড়া</t>
  </si>
  <si>
    <t>LAX106</t>
  </si>
  <si>
    <t>Lakkhichhari Army Camp</t>
  </si>
  <si>
    <t xml:space="preserve">লক্ষ্মীছড়ি আর্মি ক্যাম্প </t>
  </si>
  <si>
    <t>LAX107</t>
  </si>
  <si>
    <t>Lakkhichhari Thana</t>
  </si>
  <si>
    <t>লক্ষ্মীছড়ি থানা</t>
  </si>
  <si>
    <t>LAX108</t>
  </si>
  <si>
    <t>Hatichhara Para</t>
  </si>
  <si>
    <t>হাতিছড়া পাড়া</t>
  </si>
  <si>
    <t>LAX201</t>
  </si>
  <si>
    <t>Jurgachhari</t>
  </si>
  <si>
    <t>জুর্গাছড়ি</t>
  </si>
  <si>
    <t>LAX202</t>
  </si>
  <si>
    <t>Purba Jurgachhari</t>
  </si>
  <si>
    <t>পূর্ব জুর্গাছড়ি</t>
  </si>
  <si>
    <t>LAX203</t>
  </si>
  <si>
    <t>Pashchim Jurgachhari</t>
  </si>
  <si>
    <t xml:space="preserve">পশ্চিম জুর্গাছড়ি </t>
  </si>
  <si>
    <t>LAX204</t>
  </si>
  <si>
    <t>Banarkata Mukhpara</t>
  </si>
  <si>
    <t>বানরকাটা মুখপাড়া</t>
  </si>
  <si>
    <t>LAX205</t>
  </si>
  <si>
    <t>Bukyachhara Para</t>
  </si>
  <si>
    <t>বুক্যাছড়া পাড়া</t>
  </si>
  <si>
    <t>LAX206</t>
  </si>
  <si>
    <t>Shilachhari Para</t>
  </si>
  <si>
    <t>শিলাছড়ি পাড়া</t>
  </si>
  <si>
    <t>LAX301</t>
  </si>
  <si>
    <t>Shilachhari Muslim Para</t>
  </si>
  <si>
    <t xml:space="preserve">শিলাছড়ি মুসলিম পাড়া </t>
  </si>
  <si>
    <t>LAX302</t>
  </si>
  <si>
    <t>Hazachhari Para</t>
  </si>
  <si>
    <t>হাজাছড়ি পাড়া</t>
  </si>
  <si>
    <t>LAX303</t>
  </si>
  <si>
    <t>Chota Dhurung Mukh Para</t>
  </si>
  <si>
    <t>ছোট ধুরুং মুখ পাড়া</t>
  </si>
  <si>
    <t>LAX304</t>
  </si>
  <si>
    <t>Tongtula Para</t>
  </si>
  <si>
    <t>টংতুলা পাড়া</t>
  </si>
  <si>
    <t>LAX305</t>
  </si>
  <si>
    <t>Thailya Para</t>
  </si>
  <si>
    <t>থাইল্যা পাড়া</t>
  </si>
  <si>
    <t>LAX306</t>
  </si>
  <si>
    <t>Bi Ja Coaching Para</t>
  </si>
  <si>
    <t>বি জা কোচিং পাড়া</t>
  </si>
  <si>
    <t>LAX307</t>
  </si>
  <si>
    <t>Maramchhari Mukh Para</t>
  </si>
  <si>
    <t xml:space="preserve">মরমছড়ি মুখ পাড়া </t>
  </si>
  <si>
    <t>LAX308</t>
  </si>
  <si>
    <t>Gargazyachhari Para</t>
  </si>
  <si>
    <t>গরগয্যাছড়ি পাড়া</t>
  </si>
  <si>
    <t>LAX309</t>
  </si>
  <si>
    <t>Indrasing Karbari Para</t>
  </si>
  <si>
    <t>ইন্দ্রসিং কারবারি পাড়া</t>
  </si>
  <si>
    <t>LAX310</t>
  </si>
  <si>
    <t>Monghla Para</t>
  </si>
  <si>
    <t>মংহ্লা পাড়া</t>
  </si>
  <si>
    <t>LAX401</t>
  </si>
  <si>
    <t>Mejar Para</t>
  </si>
  <si>
    <t>মেজার পাড়া</t>
  </si>
  <si>
    <t>LAX402</t>
  </si>
  <si>
    <t>Mahish Kata</t>
  </si>
  <si>
    <t>মহিষ কাটা</t>
  </si>
  <si>
    <t>LAX403</t>
  </si>
  <si>
    <t>Purba Debatali</t>
  </si>
  <si>
    <t>পূর্ব দেবাতলী</t>
  </si>
  <si>
    <t>LAX404</t>
  </si>
  <si>
    <t>Mayurkhil</t>
  </si>
  <si>
    <t>ময়ূরখীল</t>
  </si>
  <si>
    <t>LAX501</t>
  </si>
  <si>
    <t>10 No. Mayurkhil</t>
  </si>
  <si>
    <t xml:space="preserve">১০ নং ময়ূরখীল </t>
  </si>
  <si>
    <t>LAX502</t>
  </si>
  <si>
    <t>9 No. Muslim Para</t>
  </si>
  <si>
    <t xml:space="preserve">৯ নং মুসলিম পাড়া </t>
  </si>
  <si>
    <t>LAX503</t>
  </si>
  <si>
    <t>Mayurkhil Police Fari</t>
  </si>
  <si>
    <t>ময়ূরখীল পুলিশ ফাঁড়ি</t>
  </si>
  <si>
    <t>LAX504</t>
  </si>
  <si>
    <t>DP Para</t>
  </si>
  <si>
    <t>ডিপি পাড়া</t>
  </si>
  <si>
    <t>LAX601</t>
  </si>
  <si>
    <t>Bainyachola Para</t>
  </si>
  <si>
    <t>বাইন্যাছোলা পাড়া</t>
  </si>
  <si>
    <t>LAX602</t>
  </si>
  <si>
    <t>Chhamur Para</t>
  </si>
  <si>
    <t>ছমুর পাড়া</t>
  </si>
  <si>
    <t>LAX603</t>
  </si>
  <si>
    <t>Saontal Para</t>
  </si>
  <si>
    <t>সাঁওতাল পাড়া</t>
  </si>
  <si>
    <t>LAX604</t>
  </si>
  <si>
    <t>Indra Karbari Para</t>
  </si>
  <si>
    <t xml:space="preserve">ইন্দ্র কারবারি পাড়া </t>
  </si>
  <si>
    <t>LAX605</t>
  </si>
  <si>
    <t>LAX606</t>
  </si>
  <si>
    <t>Shuknachhari Para</t>
  </si>
  <si>
    <t>শুকনাছড়ি পাড়া</t>
  </si>
  <si>
    <t>LAX701</t>
  </si>
  <si>
    <t>Hatiachhara Para</t>
  </si>
  <si>
    <t>হাতিয়াছড়া পাড়া</t>
  </si>
  <si>
    <t>LAX702</t>
  </si>
  <si>
    <t>Daine Lakkhichhari Para</t>
  </si>
  <si>
    <t>ডাইনে লক্ষ্মীছড়ি পাড়া</t>
  </si>
  <si>
    <t>LAX703</t>
  </si>
  <si>
    <t>Belakka Para</t>
  </si>
  <si>
    <t>বেলক্ক পাড়া</t>
  </si>
  <si>
    <t>LAX704</t>
  </si>
  <si>
    <t>Maramchhari</t>
  </si>
  <si>
    <t>মরমছড়ি</t>
  </si>
  <si>
    <t>LAX705</t>
  </si>
  <si>
    <t>Pangu Para</t>
  </si>
  <si>
    <t>পাঙ্গু পাড়া</t>
  </si>
  <si>
    <t>LAX706</t>
  </si>
  <si>
    <t>Indrasing Para Army Camp</t>
  </si>
  <si>
    <t xml:space="preserve">ইন্দ্রসিং পাড়া আর্মি ক্যাম্প </t>
  </si>
  <si>
    <t>LAX707</t>
  </si>
  <si>
    <t>Mura Para</t>
  </si>
  <si>
    <t>মুড়া পাড়া</t>
  </si>
  <si>
    <t>LAX708</t>
  </si>
  <si>
    <t>Chengi Mukh Para</t>
  </si>
  <si>
    <t>চেঙ্গী মুখ পাড়া</t>
  </si>
  <si>
    <t>LAX801</t>
  </si>
  <si>
    <t>Jatindra Karbari Para</t>
  </si>
  <si>
    <t xml:space="preserve">যতীন্দ্র কারবারি পাড়া </t>
  </si>
  <si>
    <t>LAX802</t>
  </si>
  <si>
    <t>Baghya Para</t>
  </si>
  <si>
    <t>বাঘ্যা পাড়া</t>
  </si>
  <si>
    <t>LAX803</t>
  </si>
  <si>
    <t>Gabmara Para</t>
  </si>
  <si>
    <t>গবমারা পাড়া</t>
  </si>
  <si>
    <t>LAX804</t>
  </si>
  <si>
    <t>Bamchengi Para</t>
  </si>
  <si>
    <t>বামচেঙ্গী পাড়া</t>
  </si>
  <si>
    <t>LAX805</t>
  </si>
  <si>
    <t>Mitingachhari Para</t>
  </si>
  <si>
    <t>মিটিংগাছড়ি পাড়া</t>
  </si>
  <si>
    <t>LAX806</t>
  </si>
  <si>
    <t>Chota Dhurang Mukh Para</t>
  </si>
  <si>
    <t>ছোট ধুরং মূখ পাড়া</t>
  </si>
  <si>
    <t>LAX807</t>
  </si>
  <si>
    <t>Bamchengi Mukh Para</t>
  </si>
  <si>
    <t>বামচেঙ্গী মুখ পাড়া</t>
  </si>
  <si>
    <t>LAX808</t>
  </si>
  <si>
    <t>Nil Kumar Karbari Para</t>
  </si>
  <si>
    <t xml:space="preserve">নীল কুমার কারবারি পাড়া </t>
  </si>
  <si>
    <t>LAX901</t>
  </si>
  <si>
    <t>Durduri Para</t>
  </si>
  <si>
    <t>দুরদূরী পাড়া</t>
  </si>
  <si>
    <t>LAX902</t>
  </si>
  <si>
    <t>Sumanta Para</t>
  </si>
  <si>
    <t>সুমন্ত পাড়া</t>
  </si>
  <si>
    <t>LAX903</t>
  </si>
  <si>
    <t>Pashchim Sumanta Para</t>
  </si>
  <si>
    <t xml:space="preserve">পশ্চিম সুমন্ত পাড়া </t>
  </si>
  <si>
    <t>LAX904</t>
  </si>
  <si>
    <t>Raktacchari Para</t>
  </si>
  <si>
    <t>রক্তছড়ি পাড়া</t>
  </si>
  <si>
    <t>LAX905</t>
  </si>
  <si>
    <t>Dandi Para</t>
  </si>
  <si>
    <t>দন্ডি পাড়া</t>
  </si>
  <si>
    <t>LAX906</t>
  </si>
  <si>
    <t>Haludia Para</t>
  </si>
  <si>
    <t>হলুদিয়া পাড়া</t>
  </si>
  <si>
    <t>LAX907</t>
  </si>
  <si>
    <t>Dakkhin Chhamur Para</t>
  </si>
  <si>
    <t>দক্ষিণ ছমুর পাড়া</t>
  </si>
  <si>
    <t>LAX908</t>
  </si>
  <si>
    <t>Manikchhari</t>
  </si>
  <si>
    <t>Batnatoli</t>
  </si>
  <si>
    <t>Batna Bazar</t>
  </si>
  <si>
    <t>Baro Gram</t>
  </si>
  <si>
    <t>Headman Para</t>
  </si>
  <si>
    <t>Bouddo Para</t>
  </si>
  <si>
    <t>Jamineraga</t>
  </si>
  <si>
    <t>Badan Para</t>
  </si>
  <si>
    <t>Kanak Chandra para</t>
  </si>
  <si>
    <t>Tabala para</t>
  </si>
  <si>
    <t>Baikala</t>
  </si>
  <si>
    <t>Hujur Tila</t>
  </si>
  <si>
    <t>Hati Tila</t>
  </si>
  <si>
    <t>Potirong Para</t>
  </si>
  <si>
    <t>Bodung Para</t>
  </si>
  <si>
    <t>Panna Bil</t>
  </si>
  <si>
    <t>Panna Bill Uttar Para</t>
  </si>
  <si>
    <t>Nowa Para</t>
  </si>
  <si>
    <t>Dinechari</t>
  </si>
  <si>
    <t>Dinechari Dokkhin Para</t>
  </si>
  <si>
    <t>Dinechari Uttar Para</t>
  </si>
  <si>
    <t>Budung para</t>
  </si>
  <si>
    <t>Master Para</t>
  </si>
  <si>
    <t>Panjapru Para</t>
  </si>
  <si>
    <t>Tingojja Para</t>
  </si>
  <si>
    <t>Mohajan Para</t>
  </si>
  <si>
    <t>Sadu para</t>
  </si>
  <si>
    <t>Lipia Para</t>
  </si>
  <si>
    <t>Sempru Para</t>
  </si>
  <si>
    <t>Kasom Karbari para</t>
  </si>
  <si>
    <t>Sadar Khil Bazar</t>
  </si>
  <si>
    <t>Karichara</t>
  </si>
  <si>
    <t>Sadar Khil Chakma Para</t>
  </si>
  <si>
    <t>School Tila</t>
  </si>
  <si>
    <t>Moradulu</t>
  </si>
  <si>
    <t>Lal Tila</t>
  </si>
  <si>
    <t>Dakai Shibir</t>
  </si>
  <si>
    <t>Joggyo Sola</t>
  </si>
  <si>
    <t>Gila Tali</t>
  </si>
  <si>
    <t>Achalong para</t>
  </si>
  <si>
    <t>Muslim Para</t>
  </si>
  <si>
    <t>Hati Kumba</t>
  </si>
  <si>
    <t>Roasa Para</t>
  </si>
  <si>
    <t>Guza Para</t>
  </si>
  <si>
    <t>Panna Karbari Para</t>
  </si>
  <si>
    <t>Rainna Para</t>
  </si>
  <si>
    <t>Namar Para</t>
  </si>
  <si>
    <t>Asartoli</t>
  </si>
  <si>
    <t>Gas Field</t>
  </si>
  <si>
    <t>Kalapani</t>
  </si>
  <si>
    <t>Moni Para</t>
  </si>
  <si>
    <t>Dasbil</t>
  </si>
  <si>
    <t>Chariman para</t>
  </si>
  <si>
    <t>Pakka Tilla</t>
  </si>
  <si>
    <t>Gonjo Para</t>
  </si>
  <si>
    <t>Middle Sapmara</t>
  </si>
  <si>
    <t>Fakir Tila</t>
  </si>
  <si>
    <t>Dokkin Sapmara</t>
  </si>
  <si>
    <t>Nonabil</t>
  </si>
  <si>
    <t>Jia Nagar</t>
  </si>
  <si>
    <t>Garamchari</t>
  </si>
  <si>
    <t>Shapmara</t>
  </si>
  <si>
    <t>Manikchari</t>
  </si>
  <si>
    <t>Mohamuni</t>
  </si>
  <si>
    <t>Taltala</t>
  </si>
  <si>
    <t xml:space="preserve"> Adasa gramPurbo Mohamuni </t>
  </si>
  <si>
    <t>Hatimura</t>
  </si>
  <si>
    <t>Goba Mara</t>
  </si>
  <si>
    <t>Depuya</t>
  </si>
  <si>
    <t>Dulu Para</t>
  </si>
  <si>
    <t>Osman Polli</t>
  </si>
  <si>
    <t>Fakir Nala</t>
  </si>
  <si>
    <t>Jamtala</t>
  </si>
  <si>
    <t>Monachari</t>
  </si>
  <si>
    <t>Remra para</t>
  </si>
  <si>
    <t>Moulibi Para</t>
  </si>
  <si>
    <t>Mayour Khil</t>
  </si>
  <si>
    <t>Chokke Bil</t>
  </si>
  <si>
    <t>Purbo Gossha Bill</t>
  </si>
  <si>
    <t>P. Jamtala</t>
  </si>
  <si>
    <t>Chowdhury Para</t>
  </si>
  <si>
    <t>Gossha Bil</t>
  </si>
  <si>
    <t>Bokripara</t>
  </si>
  <si>
    <t>Wakchari</t>
  </si>
  <si>
    <t>Dokkin Hafchari</t>
  </si>
  <si>
    <t>Mona Dong</t>
  </si>
  <si>
    <t>Sadar Upazila</t>
  </si>
  <si>
    <t>Hazi Para</t>
  </si>
  <si>
    <t>Purbo Hazi Para</t>
  </si>
  <si>
    <t>KPM</t>
  </si>
  <si>
    <t>Mora Dhulu</t>
  </si>
  <si>
    <t>P Mora Dulu</t>
  </si>
  <si>
    <t>Zia Nagar</t>
  </si>
  <si>
    <t>Purbo Jia Nagar</t>
  </si>
  <si>
    <t>Nathpara</t>
  </si>
  <si>
    <t>Dharma Gargh</t>
  </si>
  <si>
    <t>Lemuya</t>
  </si>
  <si>
    <t>Rangapani godar Par</t>
  </si>
  <si>
    <t>Molonggi Para</t>
  </si>
  <si>
    <t>Sipahi Para</t>
  </si>
  <si>
    <t>Gaidong</t>
  </si>
  <si>
    <t>Khodang</t>
  </si>
  <si>
    <t>Goda Toli</t>
  </si>
  <si>
    <t>Durchari Para</t>
  </si>
  <si>
    <t>Lafai Dong</t>
  </si>
  <si>
    <t>Eyatalong para</t>
  </si>
  <si>
    <t>West Muslim Para</t>
  </si>
  <si>
    <t>Dokkin Muslim P.</t>
  </si>
  <si>
    <t>Raj Para</t>
  </si>
  <si>
    <t>Akshatta Para</t>
  </si>
  <si>
    <t>Rahman Nagar</t>
  </si>
  <si>
    <t>Dokkin Aksapta</t>
  </si>
  <si>
    <t>West Aksapta</t>
  </si>
  <si>
    <t>Cenguchara</t>
  </si>
  <si>
    <t>Panjaram</t>
  </si>
  <si>
    <t>Tin Tohori</t>
  </si>
  <si>
    <t>Gorkana</t>
  </si>
  <si>
    <t>Tulabil</t>
  </si>
  <si>
    <t>Barobil</t>
  </si>
  <si>
    <t>Cunguchara</t>
  </si>
  <si>
    <t>Banjaram</t>
  </si>
  <si>
    <t>Marma Para</t>
  </si>
  <si>
    <t>Adarsha Gram</t>
  </si>
  <si>
    <t>Sibir</t>
  </si>
  <si>
    <t>BaroDulu</t>
  </si>
  <si>
    <t>Bassa Para</t>
  </si>
  <si>
    <t>Tintohuri</t>
  </si>
  <si>
    <t>Godatoli</t>
  </si>
  <si>
    <t>Kumari</t>
  </si>
  <si>
    <t>Debatoli</t>
  </si>
  <si>
    <t>Baro Tila</t>
  </si>
  <si>
    <t>Baroi Tali</t>
  </si>
  <si>
    <t>Kakrachari</t>
  </si>
  <si>
    <t>Rangaiga para</t>
  </si>
  <si>
    <t>Bola chola</t>
  </si>
  <si>
    <t>Dajja Para</t>
  </si>
  <si>
    <t>Ranga Pani</t>
  </si>
  <si>
    <t xml:space="preserve">Baro Dulu </t>
  </si>
  <si>
    <t>Baro Dulu</t>
  </si>
  <si>
    <t>Butaichari</t>
  </si>
  <si>
    <t>Hindu Para</t>
  </si>
  <si>
    <t>Posim Dibi Para</t>
  </si>
  <si>
    <t>Panchari</t>
  </si>
  <si>
    <t>Chenggi</t>
  </si>
  <si>
    <t>Durgamoni Para</t>
  </si>
  <si>
    <t>Shrikuntimachara</t>
  </si>
  <si>
    <t>Batti Para</t>
  </si>
  <si>
    <t>Dighalchari</t>
  </si>
  <si>
    <t>Birkumar Para</t>
  </si>
  <si>
    <t>Ratnasen Para</t>
  </si>
  <si>
    <t>Karapchandra Para</t>
  </si>
  <si>
    <t>Subalchandra Para</t>
  </si>
  <si>
    <t>Matuli Para</t>
  </si>
  <si>
    <t>Buddharam Para</t>
  </si>
  <si>
    <t>Ulthachari</t>
  </si>
  <si>
    <t>Kharanshing Para</t>
  </si>
  <si>
    <t>Lambu Para</t>
  </si>
  <si>
    <t>Surjomohon Para</t>
  </si>
  <si>
    <t>Kinamuni Para</t>
  </si>
  <si>
    <t>Kharga Para</t>
  </si>
  <si>
    <t>Pettuya Para</t>
  </si>
  <si>
    <t>Karuna Para</t>
  </si>
  <si>
    <t>Ramani Para</t>
  </si>
  <si>
    <t>Jagat Mohon Para</t>
  </si>
  <si>
    <t>Jitendra Para</t>
  </si>
  <si>
    <t>Atikmoni Para</t>
  </si>
  <si>
    <t>Rajkumar Para</t>
  </si>
  <si>
    <t>Borkalak</t>
  </si>
  <si>
    <t>Lendiya Para</t>
  </si>
  <si>
    <t>Chandra Karbari Para</t>
  </si>
  <si>
    <t>Kinadhan Boiddo Para</t>
  </si>
  <si>
    <t>Mudhu Mangal Para</t>
  </si>
  <si>
    <t>Nilamoni Para</t>
  </si>
  <si>
    <t>Latiban</t>
  </si>
  <si>
    <t>Karigor Para</t>
  </si>
  <si>
    <t>Rejamoni Para</t>
  </si>
  <si>
    <t>Porabari</t>
  </si>
  <si>
    <t>Dukkhiram Para</t>
  </si>
  <si>
    <t>Horisadhan Para</t>
  </si>
  <si>
    <t>Mudhu Para</t>
  </si>
  <si>
    <t>Pradip Para</t>
  </si>
  <si>
    <t>Konarai Para</t>
  </si>
  <si>
    <t>Durchari</t>
  </si>
  <si>
    <t>Gongaram</t>
  </si>
  <si>
    <t>Akkolaima Chara</t>
  </si>
  <si>
    <t>Jurchari</t>
  </si>
  <si>
    <t>Horendra Para</t>
  </si>
  <si>
    <t>Nabinchandra Para</t>
  </si>
  <si>
    <t>Pulinpur</t>
  </si>
  <si>
    <t>Uggajai Para</t>
  </si>
  <si>
    <t>Shuknachari</t>
  </si>
  <si>
    <t>Babura Para</t>
  </si>
  <si>
    <t>Poranne Para</t>
  </si>
  <si>
    <t>Vaggo Majhon Para</t>
  </si>
  <si>
    <t>Dokkin Nalkata</t>
  </si>
  <si>
    <t>Uttar Nalkata</t>
  </si>
  <si>
    <t>Purba Nalkata</t>
  </si>
  <si>
    <t>Bidhan Chandra Para</t>
  </si>
  <si>
    <t>Shantiranjan Para</t>
  </si>
  <si>
    <t>Kisti Mohon Para</t>
  </si>
  <si>
    <t>Lila Mohon Para</t>
  </si>
  <si>
    <t>Chandranath Para</t>
  </si>
  <si>
    <t>Principal Para</t>
  </si>
  <si>
    <t>Lakki Ranjan Para</t>
  </si>
  <si>
    <t>Kongchairi Para</t>
  </si>
  <si>
    <t>Gunadhar Para</t>
  </si>
  <si>
    <t>Bambu Para</t>
  </si>
  <si>
    <t>Anak Chara</t>
  </si>
  <si>
    <t>Chatobari</t>
  </si>
  <si>
    <t>Heladula Para</t>
  </si>
  <si>
    <t>Khamar para</t>
  </si>
  <si>
    <t>Barmura</t>
  </si>
  <si>
    <t>Dewanpara</t>
  </si>
  <si>
    <t>Nabin Para</t>
  </si>
  <si>
    <t>Logang</t>
  </si>
  <si>
    <t>Puraton Shon Khola</t>
  </si>
  <si>
    <t>Kalaram Para</t>
  </si>
  <si>
    <t>Madhuranjan Para</t>
  </si>
  <si>
    <t>Lalmohon Para</t>
  </si>
  <si>
    <t>Ghilatului</t>
  </si>
  <si>
    <t>Prashanta Para</t>
  </si>
  <si>
    <t>Uttor Dudukchara</t>
  </si>
  <si>
    <t>Dokkhin Dudukchara</t>
  </si>
  <si>
    <t>Hatimara</t>
  </si>
  <si>
    <t>Tangupeda Para</t>
  </si>
  <si>
    <t>Premkumar Para</t>
  </si>
  <si>
    <t>Bharot Borsha Para</t>
  </si>
  <si>
    <t>Sukhamoni Para</t>
  </si>
  <si>
    <t>Biranjai Para</t>
  </si>
  <si>
    <t>Shantinagar</t>
  </si>
  <si>
    <t>Logang Bazar</t>
  </si>
  <si>
    <t>Maccechara</t>
  </si>
  <si>
    <t>Krishna Para</t>
  </si>
  <si>
    <t>Suchandra Para</t>
  </si>
  <si>
    <t>Rajendra Para</t>
  </si>
  <si>
    <t>Amtoli</t>
  </si>
  <si>
    <t>Chikonchan Para</t>
  </si>
  <si>
    <t>Madhuram Para</t>
  </si>
  <si>
    <t>Rajan Kumar Para</t>
  </si>
  <si>
    <t>Muni Para</t>
  </si>
  <si>
    <t>Anil Para</t>
  </si>
  <si>
    <t>Avinash Para</t>
  </si>
  <si>
    <t>Pharchan Para</t>
  </si>
  <si>
    <t>Jotish Para</t>
  </si>
  <si>
    <t>Sindu Para</t>
  </si>
  <si>
    <t>Biddamohon Para</t>
  </si>
  <si>
    <t>Riyang Chara</t>
  </si>
  <si>
    <t>Kiladhan Para</t>
  </si>
  <si>
    <t>Tukkhupeda Para</t>
  </si>
  <si>
    <t>Mildhan Para</t>
  </si>
  <si>
    <t>Benga Para</t>
  </si>
  <si>
    <t>Birendra Para</t>
  </si>
  <si>
    <t>Chitta Ranjan Para</t>
  </si>
  <si>
    <t>Horigopal Para</t>
  </si>
  <si>
    <t>Jyotho Khamar</t>
  </si>
  <si>
    <t>Dinabandu Para</t>
  </si>
  <si>
    <t>Ramtunu Para</t>
  </si>
  <si>
    <t>Kashipara</t>
  </si>
  <si>
    <t>Alendra Para</t>
  </si>
  <si>
    <t>Monda Para</t>
  </si>
  <si>
    <t>Buddhamuni Para</t>
  </si>
  <si>
    <t>Haladhar Para</t>
  </si>
  <si>
    <t>Kupuchan Para</t>
  </si>
  <si>
    <t>Tapida Para</t>
  </si>
  <si>
    <t>Davendra Para</t>
  </si>
  <si>
    <t>Nandalal Para</t>
  </si>
  <si>
    <t>Beshak Kumar Para</t>
  </si>
  <si>
    <t>Ratnamoy Para</t>
  </si>
  <si>
    <t>Sumoti Para</t>
  </si>
  <si>
    <t>Udaysonkar Para</t>
  </si>
  <si>
    <t>Debamitra Para</t>
  </si>
  <si>
    <t>Shontila</t>
  </si>
  <si>
    <t>Jugessor Para</t>
  </si>
  <si>
    <t>Alicharan Para</t>
  </si>
  <si>
    <t>Kinachan Para</t>
  </si>
  <si>
    <t>Mohammadpur</t>
  </si>
  <si>
    <t>Madanpara</t>
  </si>
  <si>
    <t>Islampur</t>
  </si>
  <si>
    <t>Kanungo Para</t>
  </si>
  <si>
    <t>Mog Para</t>
  </si>
  <si>
    <t>Saotal Para</t>
  </si>
  <si>
    <t>T&amp;T</t>
  </si>
  <si>
    <t>Sawtal Para</t>
  </si>
  <si>
    <t>Colony Para</t>
  </si>
  <si>
    <t>Domdom</t>
  </si>
  <si>
    <t>Kalanal</t>
  </si>
  <si>
    <t>Headman Tila</t>
  </si>
  <si>
    <t>Tetul Tola</t>
  </si>
  <si>
    <t>Alichan Para</t>
  </si>
  <si>
    <t>Brishamohon Para</t>
  </si>
  <si>
    <t>Sujendro Para</t>
  </si>
  <si>
    <t>Manju Adam</t>
  </si>
  <si>
    <t>Bazar</t>
  </si>
  <si>
    <t>Ashai Mohajon Para</t>
  </si>
  <si>
    <t>Hasan Nagar</t>
  </si>
  <si>
    <t>Kolabagan</t>
  </si>
  <si>
    <t>Ratnamonipara</t>
  </si>
  <si>
    <t>Rangapanichara</t>
  </si>
  <si>
    <t>Akkoi Para</t>
  </si>
  <si>
    <t>Napita Para</t>
  </si>
  <si>
    <t>Lambachara</t>
  </si>
  <si>
    <t>Jubonessa Para</t>
  </si>
  <si>
    <t>Mangal Dhan Para</t>
  </si>
  <si>
    <t>Takkhirai Para</t>
  </si>
  <si>
    <t>Kestomuni Para</t>
  </si>
  <si>
    <t>Kamini Member Para</t>
  </si>
  <si>
    <t>Adi Tripura Para</t>
  </si>
  <si>
    <t>Jotish Member Para</t>
  </si>
  <si>
    <t>Pilotfirm</t>
  </si>
  <si>
    <t>Aiyub Nagar</t>
  </si>
  <si>
    <t>Rabishingpara</t>
  </si>
  <si>
    <t>Sottodhan Para</t>
  </si>
  <si>
    <t>Mirzatila</t>
  </si>
  <si>
    <t>Sures Chandra Para</t>
  </si>
  <si>
    <t>Bhakta Para</t>
  </si>
  <si>
    <t>Braza Mohon Para</t>
  </si>
  <si>
    <t>Kripacharan Para</t>
  </si>
  <si>
    <t>Jotimoy Para</t>
  </si>
  <si>
    <t>Aboni Para</t>
  </si>
  <si>
    <t>Molla Para</t>
  </si>
  <si>
    <t>Jiya Nagar</t>
  </si>
  <si>
    <t>Moddo Nagar</t>
  </si>
  <si>
    <t>Muslim Nagar</t>
  </si>
  <si>
    <t>Ali Nagar</t>
  </si>
  <si>
    <t>Rasul Pur</t>
  </si>
  <si>
    <t>Omor Pur</t>
  </si>
  <si>
    <t>Manikka Para</t>
  </si>
  <si>
    <t>Sutakorma Para</t>
  </si>
  <si>
    <t>Talukdar Para</t>
  </si>
  <si>
    <t>Rahindra Tripura</t>
  </si>
  <si>
    <t>Subal Para</t>
  </si>
  <si>
    <t>Nabaratna Para</t>
  </si>
  <si>
    <t>Prafulla Para</t>
  </si>
  <si>
    <t>Payong Para</t>
  </si>
  <si>
    <t>Paddani Para</t>
  </si>
  <si>
    <t>Badsha Para</t>
  </si>
  <si>
    <t>Jirani Khola</t>
  </si>
  <si>
    <t>Brick Field</t>
  </si>
  <si>
    <t>Ugolchari</t>
  </si>
  <si>
    <t>Jhagurnala</t>
  </si>
  <si>
    <t>Nalindra Para</t>
  </si>
  <si>
    <t>Kongchai Para</t>
  </si>
  <si>
    <t>Jagannath Para</t>
  </si>
  <si>
    <t>Dokkin Shantipur</t>
  </si>
  <si>
    <t>Uttor Shantipur</t>
  </si>
  <si>
    <t>Noyapara</t>
  </si>
  <si>
    <t>Kunjaram Para</t>
  </si>
  <si>
    <t>Kuthir Noyapara</t>
  </si>
  <si>
    <t>Katal Moni Para</t>
  </si>
  <si>
    <t>Singsa Para</t>
  </si>
  <si>
    <t>Fatema Nagar</t>
  </si>
  <si>
    <t>Dighinala</t>
  </si>
  <si>
    <t>Babuchhara</t>
  </si>
  <si>
    <t>01</t>
  </si>
  <si>
    <t>Dadan Karbari Para</t>
  </si>
  <si>
    <t>দাদন কারবারি পাড়া</t>
  </si>
  <si>
    <t>BAB101</t>
  </si>
  <si>
    <t>Babuchhara Bazar</t>
  </si>
  <si>
    <t>বাবুছড়া বাজার</t>
  </si>
  <si>
    <t>BAB102</t>
  </si>
  <si>
    <t>02</t>
  </si>
  <si>
    <t>Moggya Karbari Para</t>
  </si>
  <si>
    <t>মগ্যা কারবারি পাড়া</t>
  </si>
  <si>
    <t>BAB201</t>
  </si>
  <si>
    <t>Sahadeb Karbari Para</t>
  </si>
  <si>
    <t>সহদেব কারবারি পাড়া</t>
  </si>
  <si>
    <t>BAB202</t>
  </si>
  <si>
    <t>Rokchandra Mahajon Para</t>
  </si>
  <si>
    <t>রোকচন্দ্র মহাজন পাড়া</t>
  </si>
  <si>
    <t>BAB203</t>
  </si>
  <si>
    <t>Kandara Karbari Para</t>
  </si>
  <si>
    <t>কান্দারা কারবারি পাড়া</t>
  </si>
  <si>
    <t>BAB204</t>
  </si>
  <si>
    <t>03</t>
  </si>
  <si>
    <t>Shachindra Karbari Para</t>
  </si>
  <si>
    <t>শচীন্দ্র কারবারি পাড়া</t>
  </si>
  <si>
    <t>BAB301</t>
  </si>
  <si>
    <t>Rabichandra Karbari Para</t>
  </si>
  <si>
    <t>রবিচন্দ্র কারবারি পাড়া</t>
  </si>
  <si>
    <t>BAB302</t>
  </si>
  <si>
    <t>Natun Chandra Karbari Para</t>
  </si>
  <si>
    <t>নতুন চন্দ্র কারবারি পাড়া</t>
  </si>
  <si>
    <t>BAB303</t>
  </si>
  <si>
    <t>04</t>
  </si>
  <si>
    <t>Badan Kumar Karbari Para</t>
  </si>
  <si>
    <t>বদন কুমার কারবারি পাড়া</t>
  </si>
  <si>
    <t>BAB401</t>
  </si>
  <si>
    <t>Khonsing Karbari Para</t>
  </si>
  <si>
    <t>খনসিং কারবারি পাড়া</t>
  </si>
  <si>
    <t>BAB402</t>
  </si>
  <si>
    <t>Biddya Kumar Karbari Para</t>
  </si>
  <si>
    <t>বিদ্যা কুমার কারবারি পাড়া</t>
  </si>
  <si>
    <t>BAB403</t>
  </si>
  <si>
    <t>Ketuchandra Karbari Para</t>
  </si>
  <si>
    <t>কেতুচন্দ্র কারবারি পাড়া</t>
  </si>
  <si>
    <t>BAB404</t>
  </si>
  <si>
    <t>Nunchhari DP Para</t>
  </si>
  <si>
    <t>নুনছড়ি ডিপি পাড়া</t>
  </si>
  <si>
    <t>BAB405</t>
  </si>
  <si>
    <t>Nunchhari Chowdhury Para</t>
  </si>
  <si>
    <t>নুনছড়ি চৌধুরী পাড়া</t>
  </si>
  <si>
    <t>BAB406</t>
  </si>
  <si>
    <t>05</t>
  </si>
  <si>
    <t>Tarit Kanti Karbari Para</t>
  </si>
  <si>
    <t>তড়িত কান্তি কারবারি পাড়া</t>
  </si>
  <si>
    <t>BAB501</t>
  </si>
  <si>
    <t>Sursen Karbari Para</t>
  </si>
  <si>
    <t>সুরসেন কারবারি পাড়া</t>
  </si>
  <si>
    <t>BAB502</t>
  </si>
  <si>
    <t>Indramoni Karbari Para</t>
  </si>
  <si>
    <t>ইন্দ্রমণি কারবারি পাড়া</t>
  </si>
  <si>
    <t>BAB503</t>
  </si>
  <si>
    <t>Sadhanchandra Karbari Para</t>
  </si>
  <si>
    <t>সাধনচন্দ্র কারবারি পাড়া</t>
  </si>
  <si>
    <t>BAB504</t>
  </si>
  <si>
    <t>Kiron Kumar Karbari Para</t>
  </si>
  <si>
    <t>কিরণ কুমার কারবারি পাড়া</t>
  </si>
  <si>
    <t>BAB505</t>
  </si>
  <si>
    <t>06</t>
  </si>
  <si>
    <t>Bagan Kumar Karbari Para</t>
  </si>
  <si>
    <t>বাগান কুমার কারবারি পাড়া</t>
  </si>
  <si>
    <t>BAB601</t>
  </si>
  <si>
    <t>Gandhi Kumar Karbari Para</t>
  </si>
  <si>
    <t>গান্ধী কুমার কারবারি পাড়া</t>
  </si>
  <si>
    <t>BAB602</t>
  </si>
  <si>
    <t>Gadachan Karbarei Para</t>
  </si>
  <si>
    <t>গদাচান কারবারি পাড়া</t>
  </si>
  <si>
    <t>BAB603</t>
  </si>
  <si>
    <t>Birendra Headman Para</t>
  </si>
  <si>
    <t>বীরেন্দ্র হেডম্যান পাড়া</t>
  </si>
  <si>
    <t>BAB604</t>
  </si>
  <si>
    <t>Bangali Chan Karbari Para</t>
  </si>
  <si>
    <t>বাঙালি চান কারবারি পাড়া</t>
  </si>
  <si>
    <t>BAB605</t>
  </si>
  <si>
    <t>Nandalal Karbari Para</t>
  </si>
  <si>
    <t>নন্দলাল কারবারি পাড়া</t>
  </si>
  <si>
    <t>BAB606</t>
  </si>
  <si>
    <t>07</t>
  </si>
  <si>
    <t>Jogesh Chandra Karbari Para</t>
  </si>
  <si>
    <t>যোগেশ চন্দ্র কারবারি পাড়া</t>
  </si>
  <si>
    <t>BAB701</t>
  </si>
  <si>
    <t>Bhuddhadhan Karbari Para</t>
  </si>
  <si>
    <t>বুদ্ধধান কারবারি পাড়া</t>
  </si>
  <si>
    <t>BAB702</t>
  </si>
  <si>
    <t>BAB703</t>
  </si>
  <si>
    <t>Purnojoy Karbari Para</t>
  </si>
  <si>
    <t>পূর্ণজয় কারবারি পাড়া</t>
  </si>
  <si>
    <t>BAB704</t>
  </si>
  <si>
    <t>Kalendra Karbari Para</t>
  </si>
  <si>
    <t>কালেন্দ্র কারবারি পাড়া</t>
  </si>
  <si>
    <t>BAB705</t>
  </si>
  <si>
    <t>Shaluya Karbari Para</t>
  </si>
  <si>
    <t>শালুয়া কারবারি পাড়া</t>
  </si>
  <si>
    <t>BAB706</t>
  </si>
  <si>
    <t>Binanda Kumar Karbari Para</t>
  </si>
  <si>
    <t>বিনন্দ কুমার কারবারি পাড়া</t>
  </si>
  <si>
    <t>BAB707</t>
  </si>
  <si>
    <t>08</t>
  </si>
  <si>
    <t>Ashwini Karbari Para</t>
  </si>
  <si>
    <t>অশ্বিনী কারবারি পাড়া</t>
  </si>
  <si>
    <t>BAB801</t>
  </si>
  <si>
    <t>Manorath Talukdar Para</t>
  </si>
  <si>
    <t>মনোরথ তালুকদার পাড়া</t>
  </si>
  <si>
    <t>BAB802</t>
  </si>
  <si>
    <t>Ashwini Kumar Karbari Para</t>
  </si>
  <si>
    <t>অশ্বিনী কুমার কারবারি পাড়া</t>
  </si>
  <si>
    <t>BAB803</t>
  </si>
  <si>
    <t>Shyamachharan Karbari Para</t>
  </si>
  <si>
    <t>শ্যামাচরণ কারবারি পাড়া</t>
  </si>
  <si>
    <t>BAB804</t>
  </si>
  <si>
    <t>Chandra Mohan Karbari Parea</t>
  </si>
  <si>
    <t>চন্দ্র মোহন কারবারি পাড়া</t>
  </si>
  <si>
    <t>BAB805</t>
  </si>
  <si>
    <t>09</t>
  </si>
  <si>
    <t>Akasya Karbari Para</t>
  </si>
  <si>
    <t>অকস্যা কারবারি পাড়া</t>
  </si>
  <si>
    <t>BAB901</t>
  </si>
  <si>
    <t>Aralya Karbari Para</t>
  </si>
  <si>
    <t>আরাল্যা কারবারি পাড়া</t>
  </si>
  <si>
    <t>BAB902</t>
  </si>
  <si>
    <t>দেওয়ান পাড়া</t>
  </si>
  <si>
    <t>BAB903</t>
  </si>
  <si>
    <t>Usharam Karbari Para</t>
  </si>
  <si>
    <t>ঊষারাম কারবারি পাড়া</t>
  </si>
  <si>
    <t>BAB904</t>
  </si>
  <si>
    <t>Dharash Chandra Karbari Para</t>
  </si>
  <si>
    <t>ধারাস চন্দ্র কারবারি পাড়া</t>
  </si>
  <si>
    <t>BAB905</t>
  </si>
  <si>
    <t>Kukiya Tali Camp</t>
  </si>
  <si>
    <t>কুকিয়া তলি ক্যাম্প</t>
  </si>
  <si>
    <t>BAB906</t>
  </si>
  <si>
    <t>Uttar Lakkachhari BGB Camp</t>
  </si>
  <si>
    <t>উত্তর লক্কাছড়ি বিজিবি ক্যাম্প</t>
  </si>
  <si>
    <t>BAB907</t>
  </si>
  <si>
    <t>BGB Camp</t>
  </si>
  <si>
    <t>বিজিবি ক্যাম্প</t>
  </si>
  <si>
    <t>BAB908</t>
  </si>
  <si>
    <t>BAB909</t>
  </si>
  <si>
    <t>Kukiyatali Para</t>
  </si>
  <si>
    <t>কুকিয়াতলি পাড়া</t>
  </si>
  <si>
    <t>BAB910</t>
  </si>
  <si>
    <t>Shamukchhari</t>
  </si>
  <si>
    <t>শামুকছড়ি</t>
  </si>
  <si>
    <t>BAB911</t>
  </si>
  <si>
    <t>Babuchhara BGB Camp</t>
  </si>
  <si>
    <t>বাবুছড়া বিজিবি ক্যাম্প</t>
  </si>
  <si>
    <t>BAB912</t>
  </si>
  <si>
    <t>BAB913</t>
  </si>
  <si>
    <t>BAB914</t>
  </si>
  <si>
    <t>BAB915</t>
  </si>
  <si>
    <t>Boalkhali</t>
  </si>
  <si>
    <t>Battali</t>
  </si>
  <si>
    <t>বটতলী</t>
  </si>
  <si>
    <t>BOA101</t>
  </si>
  <si>
    <t>Dakkhin Katarung</t>
  </si>
  <si>
    <t>দক্ষিণ কাটারুং</t>
  </si>
  <si>
    <t>BOA102</t>
  </si>
  <si>
    <t>Uttar Katarong</t>
  </si>
  <si>
    <t>উত্তর কাটারঙ</t>
  </si>
  <si>
    <t>BOA103</t>
  </si>
  <si>
    <t>4 No. Joutha Khamar</t>
  </si>
  <si>
    <t>৪ নং যৌথ খামার</t>
  </si>
  <si>
    <t>BOA104</t>
  </si>
  <si>
    <t>Ramratan Para</t>
  </si>
  <si>
    <t>রামরতন পাড়া</t>
  </si>
  <si>
    <t>BOA105</t>
  </si>
  <si>
    <t>Tevanchhara</t>
  </si>
  <si>
    <t>তেভানছড়া</t>
  </si>
  <si>
    <t>BOA201</t>
  </si>
  <si>
    <t>Nil Para</t>
  </si>
  <si>
    <t>নীল পাড়া</t>
  </si>
  <si>
    <t>BOA202</t>
  </si>
  <si>
    <t>Uttar Chatok Chhara</t>
  </si>
  <si>
    <t>উত্তর ছাতক ছড়া</t>
  </si>
  <si>
    <t>BOA203</t>
  </si>
  <si>
    <t>Karaitali Para</t>
  </si>
  <si>
    <t>কড়ইতলি পাড়া</t>
  </si>
  <si>
    <t>BOA204</t>
  </si>
  <si>
    <t>Rangi Para</t>
  </si>
  <si>
    <t>রাঙ্গি পাড়া</t>
  </si>
  <si>
    <t>BOA301</t>
  </si>
  <si>
    <t>Birbahu Karbari Para</t>
  </si>
  <si>
    <t>বীরবাহু কারবারি পাড়া</t>
  </si>
  <si>
    <t>BOA302</t>
  </si>
  <si>
    <t>1 No. Katarung Joutha Khamar</t>
  </si>
  <si>
    <t>১ নং কাটারুং যৌথ খামার</t>
  </si>
  <si>
    <t>BOA303</t>
  </si>
  <si>
    <t>2 No.Katarung Joutha Khamar</t>
  </si>
  <si>
    <t>২ নং কাটারুং যৌথ খামার</t>
  </si>
  <si>
    <t>BOA304</t>
  </si>
  <si>
    <t>3 No. Katarung Joutha Khamar</t>
  </si>
  <si>
    <t>৩ নং কাটারুং যৌথ খামার</t>
  </si>
  <si>
    <t>BOA305</t>
  </si>
  <si>
    <t>Babhrubahan Headman Para</t>
  </si>
  <si>
    <t>বভ্রুবাহন হেডম্যান পাড়া</t>
  </si>
  <si>
    <t>BOA306</t>
  </si>
  <si>
    <t>Dakkhin Nowka chhara</t>
  </si>
  <si>
    <t>দক্ষিণ নৌকা ছড়া</t>
  </si>
  <si>
    <t>BOA307</t>
  </si>
  <si>
    <t>Uttar Nowka chhara Para</t>
  </si>
  <si>
    <t>উত্তর নৌকা ছড়া পাড়া</t>
  </si>
  <si>
    <t>BOA308</t>
  </si>
  <si>
    <t>Nouka chhara Master Para</t>
  </si>
  <si>
    <t>নৌকা ছড়া মাস্টার পাড়া</t>
  </si>
  <si>
    <t>BOA309</t>
  </si>
  <si>
    <t>Bhitar Boalkhali</t>
  </si>
  <si>
    <t>ভিতর বোয়ালখালী</t>
  </si>
  <si>
    <t>BOA310</t>
  </si>
  <si>
    <t>Thana Bazar</t>
  </si>
  <si>
    <t>থানা বাজার</t>
  </si>
  <si>
    <t>BOA401</t>
  </si>
  <si>
    <t>Uttar Thana Para</t>
  </si>
  <si>
    <t>উত্তর থানা পাড়া</t>
  </si>
  <si>
    <t>BOA402</t>
  </si>
  <si>
    <t>Pashchim Thana Para</t>
  </si>
  <si>
    <t>পশ্চিম থানা পাড়া</t>
  </si>
  <si>
    <t>BOA403</t>
  </si>
  <si>
    <t>Madhya Thana Para</t>
  </si>
  <si>
    <t>মধ্য থানা পাড়া</t>
  </si>
  <si>
    <t>BOA404</t>
  </si>
  <si>
    <t>College Tila</t>
  </si>
  <si>
    <t>কলেজ টিলা</t>
  </si>
  <si>
    <t>BOA405</t>
  </si>
  <si>
    <t>Purba Thana Para</t>
  </si>
  <si>
    <t>পূর্ব থানা পাড়া</t>
  </si>
  <si>
    <t>BOA406</t>
  </si>
  <si>
    <t>Pomangpara</t>
  </si>
  <si>
    <t>পোমাংপাড়া</t>
  </si>
  <si>
    <t>BOA501</t>
  </si>
  <si>
    <t>Chappa Para</t>
  </si>
  <si>
    <t>চাপ্পা পাড়া</t>
  </si>
  <si>
    <t>BOA502</t>
  </si>
  <si>
    <t>Ashwini Mahajan Para</t>
  </si>
  <si>
    <t>অশ্বিনী মহাজন পাড়া</t>
  </si>
  <si>
    <t>BOA503</t>
  </si>
  <si>
    <t>Chitta Membar Para</t>
  </si>
  <si>
    <t>চিত্ত মেম্বার পাড়া</t>
  </si>
  <si>
    <t>BOA504</t>
  </si>
  <si>
    <t>Vogirath Para</t>
  </si>
  <si>
    <t>ভগীরথ পাড়া</t>
  </si>
  <si>
    <t>BOA601</t>
  </si>
  <si>
    <t>Kurighar Para</t>
  </si>
  <si>
    <t>কুড়িঘর পাড়া</t>
  </si>
  <si>
    <t>BOA602</t>
  </si>
  <si>
    <t>3 No. Joutha Khamar</t>
  </si>
  <si>
    <t>৩ নং যৌথ খামার</t>
  </si>
  <si>
    <t>BOA603</t>
  </si>
  <si>
    <t>Nilbaron Karbari Para</t>
  </si>
  <si>
    <t>নীলবরন কারবারি পাড়া</t>
  </si>
  <si>
    <t>BOA604</t>
  </si>
  <si>
    <t>Chandrajoi Mastar Para</t>
  </si>
  <si>
    <t>চন্দ্রজয় মাস্টার পাড়া</t>
  </si>
  <si>
    <t>BOA605</t>
  </si>
  <si>
    <t>Tula Para</t>
  </si>
  <si>
    <t>তুলা পাড়া</t>
  </si>
  <si>
    <t>BOA606</t>
  </si>
  <si>
    <t>Boalkhali Puratan Bazar</t>
  </si>
  <si>
    <t>বোয়ালখালী পুরাতন বাজার</t>
  </si>
  <si>
    <t>BOA701</t>
  </si>
  <si>
    <t>Boalkhali Natun Bazar</t>
  </si>
  <si>
    <t>বোয়ালখালী নতুন বাজার</t>
  </si>
  <si>
    <t>BOA702</t>
  </si>
  <si>
    <t>Purba Kanthaltali</t>
  </si>
  <si>
    <t>পূর্ব কাঁঠালতলী</t>
  </si>
  <si>
    <t>BOA703</t>
  </si>
  <si>
    <t>Babu Para</t>
  </si>
  <si>
    <t>বাবু পাড়া</t>
  </si>
  <si>
    <t>BOA704</t>
  </si>
  <si>
    <t>Suresh Headman Para</t>
  </si>
  <si>
    <t>সুরেশ হেডম্যান পাড়া</t>
  </si>
  <si>
    <t>BOA801</t>
  </si>
  <si>
    <t>Islam Shibir</t>
  </si>
  <si>
    <t>ইসলাম শিবির</t>
  </si>
  <si>
    <t>BOA802</t>
  </si>
  <si>
    <t>Sudhir Member Para</t>
  </si>
  <si>
    <t>সুধীর মেম্বার পাড়া</t>
  </si>
  <si>
    <t>BOA803</t>
  </si>
  <si>
    <t>Pashchim Kanthaltali</t>
  </si>
  <si>
    <t>পশ্চিম কাঁঠালতলী</t>
  </si>
  <si>
    <t>BOA804</t>
  </si>
  <si>
    <t>Purna Kumar Karbari Para</t>
  </si>
  <si>
    <t>পূর্ণ কুমার কারবারি পাড়া</t>
  </si>
  <si>
    <t>BOA901</t>
  </si>
  <si>
    <t>Rajendra Karbari Para</t>
  </si>
  <si>
    <t>রাজেন্দ্র কারবারি পাড়া</t>
  </si>
  <si>
    <t>BOA902</t>
  </si>
  <si>
    <t>1 No. Joutha Kahamar</t>
  </si>
  <si>
    <t>১ নং যৌথ খামার</t>
  </si>
  <si>
    <t>BOA903</t>
  </si>
  <si>
    <t>Jamtali Ansar Camp Para</t>
  </si>
  <si>
    <t>জামতলী আনসার ক্যাম্প পাড়া</t>
  </si>
  <si>
    <t>BOA904</t>
  </si>
  <si>
    <t>Ansar Camp</t>
  </si>
  <si>
    <t>আনসার ক্যাম্প</t>
  </si>
  <si>
    <t>BOA905</t>
  </si>
  <si>
    <t>বাগান পাড়া</t>
  </si>
  <si>
    <t>DIG101</t>
  </si>
  <si>
    <t>Chinal chhara</t>
  </si>
  <si>
    <t>চিনাল ছড়া</t>
  </si>
  <si>
    <t>DIG102</t>
  </si>
  <si>
    <t xml:space="preserve">Thali Para </t>
  </si>
  <si>
    <t>থলি পাড়া</t>
  </si>
  <si>
    <t>DIG103</t>
  </si>
  <si>
    <t>Dhanuddar Karbari Para</t>
  </si>
  <si>
    <t>ধনুদ্দর কারবারি পাড়া</t>
  </si>
  <si>
    <t>DIG104</t>
  </si>
  <si>
    <t>Jatna Kumar Karbari Para</t>
  </si>
  <si>
    <t>যত্ন কুমার কারবারি পাড়া</t>
  </si>
  <si>
    <t>DIG105</t>
  </si>
  <si>
    <t>Gobinda Karbari Para</t>
  </si>
  <si>
    <t>গোবিন্দ কারবারি পাড়া</t>
  </si>
  <si>
    <t>DIG106</t>
  </si>
  <si>
    <t>Sontosh Karbari Para</t>
  </si>
  <si>
    <t>সন্তোষ কারবারি পাড়া</t>
  </si>
  <si>
    <t>DIG107</t>
  </si>
  <si>
    <t>DIG108</t>
  </si>
  <si>
    <t>Jamini Mohan Karbari Para</t>
  </si>
  <si>
    <t>যামিনী মোহন কারবারি পাড়া</t>
  </si>
  <si>
    <t>DIG201</t>
  </si>
  <si>
    <t>Baghaichhari Mukh</t>
  </si>
  <si>
    <t>বাঘাইছড়ি মুখ</t>
  </si>
  <si>
    <t>DIG202</t>
  </si>
  <si>
    <t>Dakkhin Udal Bagan</t>
  </si>
  <si>
    <t>দক্ষিণ উদাল বাগান</t>
  </si>
  <si>
    <t>DIG301</t>
  </si>
  <si>
    <t>Udal Bagan</t>
  </si>
  <si>
    <t>উদাল বাগান</t>
  </si>
  <si>
    <t>DIG302</t>
  </si>
  <si>
    <t>Banchhara Dilchan Karbari Para</t>
  </si>
  <si>
    <t>বানছড়া দিলচান কারবারি পাড়া</t>
  </si>
  <si>
    <t>DIG303</t>
  </si>
  <si>
    <t>Khamar Para</t>
  </si>
  <si>
    <t>খামার পাড়া</t>
  </si>
  <si>
    <t>DIG304</t>
  </si>
  <si>
    <t>Rangapanirchhara Robichandra Karbari Para</t>
  </si>
  <si>
    <t>রাঙাপানিরছড়া রবিচন্দ্র কারবারি পাড়া</t>
  </si>
  <si>
    <t>DIG401</t>
  </si>
  <si>
    <t>Rangapanirchhara Chandra Mohan Karbari Para</t>
  </si>
  <si>
    <t>রাঙাপানিরছড়া চন্দ্র মোহন কারবারি পাড়া</t>
  </si>
  <si>
    <t>DIG402</t>
  </si>
  <si>
    <t>Rangapanirchhara Munindra Karbari Para</t>
  </si>
  <si>
    <t>রাঙাপানিরছড়া মুনীন্দ্র কারবারি পাড়া</t>
  </si>
  <si>
    <t>DIG403</t>
  </si>
  <si>
    <t>Kathal Bagan</t>
  </si>
  <si>
    <t>কাঁঠাল বাগান</t>
  </si>
  <si>
    <t>DIG404</t>
  </si>
  <si>
    <t>Bhitar Banchhara</t>
  </si>
  <si>
    <t>ভিতর বানছড়া</t>
  </si>
  <si>
    <t>DIG405</t>
  </si>
  <si>
    <t>Uttar Pukur Ghat</t>
  </si>
  <si>
    <t>উত্তর পুকুর ঘাট</t>
  </si>
  <si>
    <t>DIG501</t>
  </si>
  <si>
    <t>1 No. Noa Para</t>
  </si>
  <si>
    <t>১ নং নোয়া পাড়া</t>
  </si>
  <si>
    <t>DIG502</t>
  </si>
  <si>
    <t>2 No. Noa Para</t>
  </si>
  <si>
    <t>২ নং নোয়া পাড়া</t>
  </si>
  <si>
    <t>DIG503</t>
  </si>
  <si>
    <t>Uttar Banchhara</t>
  </si>
  <si>
    <t>উত্তর বানছড়া</t>
  </si>
  <si>
    <t>DIG504</t>
  </si>
  <si>
    <t>Baradom</t>
  </si>
  <si>
    <t>বড়াদম</t>
  </si>
  <si>
    <t>DIG601</t>
  </si>
  <si>
    <t>Dakkhin Baradom</t>
  </si>
  <si>
    <t>দক্ষিণ বড়াদম</t>
  </si>
  <si>
    <t>DIG602</t>
  </si>
  <si>
    <t>Dakkhin Pukur Ghat</t>
  </si>
  <si>
    <t>দক্ষিণ পুকুর ঘাট</t>
  </si>
  <si>
    <t>DIG603</t>
  </si>
  <si>
    <t>Dane Banchhara</t>
  </si>
  <si>
    <t>ডানে বানছড়া</t>
  </si>
  <si>
    <t>DIG701</t>
  </si>
  <si>
    <t>Banchhara</t>
  </si>
  <si>
    <t>বানছড়া</t>
  </si>
  <si>
    <t>DIG702</t>
  </si>
  <si>
    <t>Madhya Banchhara</t>
  </si>
  <si>
    <t>মধ্য বানছড়া</t>
  </si>
  <si>
    <t>DIG703</t>
  </si>
  <si>
    <t>ইন্দ্রমণি কারবারি পাড়া</t>
  </si>
  <si>
    <t>DIG801</t>
  </si>
  <si>
    <t>Nondesshor Karbari Para</t>
  </si>
  <si>
    <t>নন্দেশ্বর কারবারি পাড়া</t>
  </si>
  <si>
    <t>DIG802</t>
  </si>
  <si>
    <t>Shonkhola Para</t>
  </si>
  <si>
    <t>শনখোলা পাড়া</t>
  </si>
  <si>
    <t>DIG803</t>
  </si>
  <si>
    <t>Tukk Karbaripara</t>
  </si>
  <si>
    <t>টুক কারবারিপাড়া</t>
  </si>
  <si>
    <t>DIG901</t>
  </si>
  <si>
    <t>হেডম্যান পাড়া</t>
  </si>
  <si>
    <t>DIG902</t>
  </si>
  <si>
    <t>DIG903</t>
  </si>
  <si>
    <t>Baidya Para</t>
  </si>
  <si>
    <t>বৈদ্য পাড়া</t>
  </si>
  <si>
    <t>DIG904</t>
  </si>
  <si>
    <t>Banchhara Mukh</t>
  </si>
  <si>
    <t>বানছড়া মুখ</t>
  </si>
  <si>
    <t>DIG905</t>
  </si>
  <si>
    <t>Kabakhali</t>
  </si>
  <si>
    <t>মুসলিম পাড়া</t>
  </si>
  <si>
    <t>KAB101</t>
  </si>
  <si>
    <t>Dighinala Army Camp</t>
  </si>
  <si>
    <t>দীঘিনালা আর্মি ক্যাম্প</t>
  </si>
  <si>
    <t>KAB102</t>
  </si>
  <si>
    <t>Joy Kumar Karbari Para</t>
  </si>
  <si>
    <t>জয় কুমার কারবারি পাড়া</t>
  </si>
  <si>
    <t>KAB201</t>
  </si>
  <si>
    <t>Durga Karbari Para</t>
  </si>
  <si>
    <t>দুর্গা কারবারি পাড়া</t>
  </si>
  <si>
    <t>KAB202</t>
  </si>
  <si>
    <t>KAB203</t>
  </si>
  <si>
    <t>Kangerima Chhara</t>
  </si>
  <si>
    <t>কাঙেরীমা ছড়া</t>
  </si>
  <si>
    <t>KAB301</t>
  </si>
  <si>
    <t>Hazachhara Jora Bridge</t>
  </si>
  <si>
    <t>হাজাছড়া জোড়া ব্রীজ</t>
  </si>
  <si>
    <t>KAB302</t>
  </si>
  <si>
    <t>Jambura Para</t>
  </si>
  <si>
    <t>জাম্বুরা পাড়া</t>
  </si>
  <si>
    <t>KAB303</t>
  </si>
  <si>
    <t>Ranashova Karbaripara (Dane Kabakhali)</t>
  </si>
  <si>
    <t>রণশোভা কারবারিপাড়া (ডানে কবাখালী)</t>
  </si>
  <si>
    <t>KAB304</t>
  </si>
  <si>
    <t>Kriparanjan Karbaripara (Bame Kabakhali)</t>
  </si>
  <si>
    <t>কৃপারঞ্জন কারবারিপাড়া ( বামে কবাখালী)</t>
  </si>
  <si>
    <t>KAB305</t>
  </si>
  <si>
    <t>Reserve Chhara</t>
  </si>
  <si>
    <t>রিজার্ভ ছড়া</t>
  </si>
  <si>
    <t>KAB306</t>
  </si>
  <si>
    <t>Shukna Bansh Daba Karbaripara</t>
  </si>
  <si>
    <t>শুকনা বাঁশ দাবা কারবারিপাড়া</t>
  </si>
  <si>
    <t>KAB307</t>
  </si>
  <si>
    <t>Nalkata Chhara Para</t>
  </si>
  <si>
    <t>নালকাটা ছড়া পাড়া</t>
  </si>
  <si>
    <t>KAB308</t>
  </si>
  <si>
    <t>Shukna Chhara Para</t>
  </si>
  <si>
    <t>শুকনা ছড়া পাড়া</t>
  </si>
  <si>
    <t>KAB309</t>
  </si>
  <si>
    <t>Noapara</t>
  </si>
  <si>
    <t>নোয়াপাড়া</t>
  </si>
  <si>
    <t>KAB310</t>
  </si>
  <si>
    <t>Uttar Hutchinsonpur</t>
  </si>
  <si>
    <t>উত্তর হাচিনসনপুর</t>
  </si>
  <si>
    <t>KAB401</t>
  </si>
  <si>
    <t>Purba Hutchinsonpur</t>
  </si>
  <si>
    <t>পুর্ব হাচিনসনপুর</t>
  </si>
  <si>
    <t>KAB402</t>
  </si>
  <si>
    <t>Bhitar Tarabania</t>
  </si>
  <si>
    <t>ভিতর তারাবনিয়া</t>
  </si>
  <si>
    <t>KAB501</t>
  </si>
  <si>
    <t>Uttar Tarabania</t>
  </si>
  <si>
    <t>উত্তর তারাবনিয়া</t>
  </si>
  <si>
    <t>KAB502</t>
  </si>
  <si>
    <t>Uttar Tarabania Madhyavita Para</t>
  </si>
  <si>
    <t>উত্তর তারাবনিয়া মধ্যভিটা পাড়া</t>
  </si>
  <si>
    <t>KAB503</t>
  </si>
  <si>
    <t>Purba Hutchisonpur</t>
  </si>
  <si>
    <t>পূর্ব হাচিসনপুর</t>
  </si>
  <si>
    <t>KAB504</t>
  </si>
  <si>
    <t>Dakkhin Hutchinsonpur</t>
  </si>
  <si>
    <t>দক্ষিণ হাচিসনপুর</t>
  </si>
  <si>
    <t>KAB505</t>
  </si>
  <si>
    <t>Dakkhin Tarabania</t>
  </si>
  <si>
    <t>দক্ষিণ তারাবনিয়া</t>
  </si>
  <si>
    <t>KAB601</t>
  </si>
  <si>
    <t>Duluchhari</t>
  </si>
  <si>
    <t>দুলুছড়ি</t>
  </si>
  <si>
    <t>KAB602</t>
  </si>
  <si>
    <t>Khalkulpara</t>
  </si>
  <si>
    <t>খালকুলপাড়া</t>
  </si>
  <si>
    <t>KAB603</t>
  </si>
  <si>
    <t>Pagujya Chharipara</t>
  </si>
  <si>
    <t>পাগুজ্যা ছড়িপাড়া</t>
  </si>
  <si>
    <t>KAB604</t>
  </si>
  <si>
    <t>Khetrapur</t>
  </si>
  <si>
    <t>ক্ষেত্রপুর</t>
  </si>
  <si>
    <t>KAB605</t>
  </si>
  <si>
    <t>Bajepata Chhara</t>
  </si>
  <si>
    <t>বাজেপাতা ছড়া</t>
  </si>
  <si>
    <t>KAB606</t>
  </si>
  <si>
    <t>Battala</t>
  </si>
  <si>
    <t>বটতলা</t>
  </si>
  <si>
    <t>KAB607</t>
  </si>
  <si>
    <t>Uttar Milanpur</t>
  </si>
  <si>
    <t>উত্তর মিলনপুর</t>
  </si>
  <si>
    <t>KAB701</t>
  </si>
  <si>
    <t>Dakkhin Milanpur</t>
  </si>
  <si>
    <t>দক্ষিণ মিলনপুর</t>
  </si>
  <si>
    <t>KAB801</t>
  </si>
  <si>
    <t>Gubajoy Karbaripara</t>
  </si>
  <si>
    <t>গুবজয় কারবারিপাড়া</t>
  </si>
  <si>
    <t>KAB901</t>
  </si>
  <si>
    <t>Dajarpara</t>
  </si>
  <si>
    <t>দজরপাড়া</t>
  </si>
  <si>
    <t>KAB902</t>
  </si>
  <si>
    <t>Kripapur</t>
  </si>
  <si>
    <t>কৃপাপুর</t>
  </si>
  <si>
    <t>KAB903</t>
  </si>
  <si>
    <t>Rasyamani Karbari Para</t>
  </si>
  <si>
    <t>রস্যামণি কারবারি পাড়া</t>
  </si>
  <si>
    <t>KAB904</t>
  </si>
  <si>
    <t>Battala Para</t>
  </si>
  <si>
    <t>বটতলা পাড়া</t>
  </si>
  <si>
    <t>KAB905</t>
  </si>
  <si>
    <t>Shantipur</t>
  </si>
  <si>
    <t>শান্তিপুর</t>
  </si>
  <si>
    <t>KAB906</t>
  </si>
  <si>
    <t>Narikel Baganpara</t>
  </si>
  <si>
    <t>নারিকেল বাগানপাড়া</t>
  </si>
  <si>
    <t>KAB907</t>
  </si>
  <si>
    <t>নালকাটা ছড়া পাড়া</t>
  </si>
  <si>
    <t>KAB908</t>
  </si>
  <si>
    <t>Merung</t>
  </si>
  <si>
    <t>Shadhan Moni Karbari Para</t>
  </si>
  <si>
    <t>সাধন মনি কারবারি পাড়া</t>
  </si>
  <si>
    <t>MER101</t>
  </si>
  <si>
    <t>Mayafa Para</t>
  </si>
  <si>
    <t>মায়াফা পাড়া</t>
  </si>
  <si>
    <t>MER102</t>
  </si>
  <si>
    <t>Puratan Bhairafa Para</t>
  </si>
  <si>
    <t>পুরাতন ভৈরফা পাড়া</t>
  </si>
  <si>
    <t>MER103</t>
  </si>
  <si>
    <t>Bhairafa Bridge Para</t>
  </si>
  <si>
    <t>ভৈরফা ব্রিজ পাড়া</t>
  </si>
  <si>
    <t>MER104</t>
  </si>
  <si>
    <t>9 Mile Joutha Khamar Para</t>
  </si>
  <si>
    <t>৯ মাইল যৌথ খামার পাড়া</t>
  </si>
  <si>
    <t>MER105</t>
  </si>
  <si>
    <t>Milon Karbari Para</t>
  </si>
  <si>
    <t>মিলন কারবারি পাড়া</t>
  </si>
  <si>
    <t>MER106</t>
  </si>
  <si>
    <t>সীমানা পাড়া</t>
  </si>
  <si>
    <t>MER107</t>
  </si>
  <si>
    <t>Rothichandra Karbari Para</t>
  </si>
  <si>
    <t>রথিচন্দ্র কারবারি পাড়া</t>
  </si>
  <si>
    <t>MER108</t>
  </si>
  <si>
    <t>Toidu chhara Para</t>
  </si>
  <si>
    <t>তৈদু ছড়া পাড়া</t>
  </si>
  <si>
    <t>MER109</t>
  </si>
  <si>
    <t>Bishnu Karbari Para</t>
  </si>
  <si>
    <t>বিষ্ণু কারবারি পাড়া</t>
  </si>
  <si>
    <t>MER110</t>
  </si>
  <si>
    <t>10 Mile Beltoli Para</t>
  </si>
  <si>
    <t>১০ মাইল বেলতলি পাড়া</t>
  </si>
  <si>
    <t>MER111</t>
  </si>
  <si>
    <t>Gonda Para</t>
  </si>
  <si>
    <t>গণ্ডা পাড়া</t>
  </si>
  <si>
    <t>MER112</t>
  </si>
  <si>
    <t>Bhairafa Natun Para</t>
  </si>
  <si>
    <t>ভৈরফা নতুন পাড়া</t>
  </si>
  <si>
    <t>MER201</t>
  </si>
  <si>
    <t>Bhairafa Mukh Para</t>
  </si>
  <si>
    <t>ভৈরফা মুখ পাড়া</t>
  </si>
  <si>
    <t>MER202</t>
  </si>
  <si>
    <t>Jamtali Bangali Para</t>
  </si>
  <si>
    <t>জামতলি বাঙালি পাড়া</t>
  </si>
  <si>
    <t>MER203</t>
  </si>
  <si>
    <t>Madhya Boalkhali</t>
  </si>
  <si>
    <t>মধ্য বোয়ালখালী</t>
  </si>
  <si>
    <t>MER204</t>
  </si>
  <si>
    <t>Shanti Lakshmipur</t>
  </si>
  <si>
    <t>শান্তি লক্ষ্মীপুর</t>
  </si>
  <si>
    <t>MER205</t>
  </si>
  <si>
    <t>Ratna Mohan Member Para</t>
  </si>
  <si>
    <t>রত্ন মোহন মেম্বার পাড়া</t>
  </si>
  <si>
    <t>MER206</t>
  </si>
  <si>
    <t>Bindu Barua Para</t>
  </si>
  <si>
    <t>বিন্দু বড়ুয়া পাড়া</t>
  </si>
  <si>
    <t>MER207</t>
  </si>
  <si>
    <t>MER208</t>
  </si>
  <si>
    <t>Anath Asrom Para</t>
  </si>
  <si>
    <t>অনাথ আশ্রম পাড়া</t>
  </si>
  <si>
    <t>MER209</t>
  </si>
  <si>
    <t>Gopal Member Para</t>
  </si>
  <si>
    <t>গোপাল মেম্বার পাড়া</t>
  </si>
  <si>
    <t>MER210</t>
  </si>
  <si>
    <t>Tara Charon Karbari Para</t>
  </si>
  <si>
    <t>তারা চরন কারবারি পাড়া</t>
  </si>
  <si>
    <t>MER301</t>
  </si>
  <si>
    <t>Gulchhari</t>
  </si>
  <si>
    <t>গুলছড়ি</t>
  </si>
  <si>
    <t>MER302</t>
  </si>
  <si>
    <t>Rashidnagar</t>
  </si>
  <si>
    <t>রশিদনগর</t>
  </si>
  <si>
    <t>MER303</t>
  </si>
  <si>
    <t>Uttar Rashidnagar</t>
  </si>
  <si>
    <t>উত্তর রশিদনগর</t>
  </si>
  <si>
    <t>MER304</t>
  </si>
  <si>
    <t>Madhya Betchhari</t>
  </si>
  <si>
    <t>মধ্য বেতছড়ি</t>
  </si>
  <si>
    <t>MER305</t>
  </si>
  <si>
    <t>Gorasthan Para</t>
  </si>
  <si>
    <t>গোরস্থান পাড়া</t>
  </si>
  <si>
    <t>MER306</t>
  </si>
  <si>
    <t>Belchhari Kalachad Mohajon Para</t>
  </si>
  <si>
    <t>বেলছড়ি কালাচাঁদ মহাজন পাড়া</t>
  </si>
  <si>
    <t>MER401</t>
  </si>
  <si>
    <t>Betchhari Bivuti Karbari Para</t>
  </si>
  <si>
    <t>বেতছড়ি বিভূতি কারবারি পাড়া</t>
  </si>
  <si>
    <t>MER402</t>
  </si>
  <si>
    <t>Bacha Merung</t>
  </si>
  <si>
    <t>বাঁচা মেরুং</t>
  </si>
  <si>
    <t>MER403</t>
  </si>
  <si>
    <t>Kalachad Mohajon Para</t>
  </si>
  <si>
    <t>কালাচাঁদ মহাজন পাড়া</t>
  </si>
  <si>
    <t>MER404</t>
  </si>
  <si>
    <t>Pagujyachhara</t>
  </si>
  <si>
    <t>পাগুইজ্জ্যাছড়া</t>
  </si>
  <si>
    <t>MER405</t>
  </si>
  <si>
    <t>Betchhari Army Camp</t>
  </si>
  <si>
    <t>বেতছড়ি আর্মি ক্যাম্প</t>
  </si>
  <si>
    <t>MER406</t>
  </si>
  <si>
    <t>Dakkhin Bacha Merung</t>
  </si>
  <si>
    <t>দক্ষিণ বাঁচা মেরুং</t>
  </si>
  <si>
    <t>MER501</t>
  </si>
  <si>
    <t>Chowddagram</t>
  </si>
  <si>
    <t>চৌদ্দগ্রাম</t>
  </si>
  <si>
    <t>MER502</t>
  </si>
  <si>
    <t>MER503</t>
  </si>
  <si>
    <t>Chota Merung</t>
  </si>
  <si>
    <t>ছোট মেরুং</t>
  </si>
  <si>
    <t>MER504</t>
  </si>
  <si>
    <t>Lambachhara</t>
  </si>
  <si>
    <t>লম্বাছড়া</t>
  </si>
  <si>
    <t>MER505</t>
  </si>
  <si>
    <t>Lambachhara Tripura Para</t>
  </si>
  <si>
    <t>লম্বাছড়া ত্রিপুরা পাড়া</t>
  </si>
  <si>
    <t>MER506</t>
  </si>
  <si>
    <t>Joutha Khamar Para</t>
  </si>
  <si>
    <t>যৌথ খামার পাড়া</t>
  </si>
  <si>
    <t>MER507</t>
  </si>
  <si>
    <t>Jalbanda Para</t>
  </si>
  <si>
    <t>জলবান্দা পাড়া</t>
  </si>
  <si>
    <t>MER508</t>
  </si>
  <si>
    <t>Vhutachhara</t>
  </si>
  <si>
    <t>ভুতাছড়া</t>
  </si>
  <si>
    <t>MER509</t>
  </si>
  <si>
    <t>Jurjuri Para</t>
  </si>
  <si>
    <t>জুরজুরি পাড়া</t>
  </si>
  <si>
    <t>MER510</t>
  </si>
  <si>
    <t>14 No. Ansar Battalion Headquarter</t>
  </si>
  <si>
    <t>১৪ নং আন্সার ব্যাটালিয়ন সদর দপ্তর</t>
  </si>
  <si>
    <t>MER511</t>
  </si>
  <si>
    <t>Gonggartek</t>
  </si>
  <si>
    <t>গঙ্গারটেক</t>
  </si>
  <si>
    <t>MER601</t>
  </si>
  <si>
    <t>Bhuiya Chhara</t>
  </si>
  <si>
    <t>ভুইয়া ছড়া</t>
  </si>
  <si>
    <t>MER602</t>
  </si>
  <si>
    <t>Kinachaan Karbari Para</t>
  </si>
  <si>
    <t>কিনাচাঁন কারবারি পাড়া</t>
  </si>
  <si>
    <t>MER603</t>
  </si>
  <si>
    <t>Bajei Chhara</t>
  </si>
  <si>
    <t>বাজেই ছড়া</t>
  </si>
  <si>
    <t>MER604</t>
  </si>
  <si>
    <t>Shibanga Chhara</t>
  </si>
  <si>
    <t>শিবঙ্গ ছড়া</t>
  </si>
  <si>
    <t>MER605</t>
  </si>
  <si>
    <t>Bashiram Para</t>
  </si>
  <si>
    <t>বাঁশিরাম পাড়া</t>
  </si>
  <si>
    <t>MER606</t>
  </si>
  <si>
    <t>2 No. Kolani</t>
  </si>
  <si>
    <t>২ নং কলোনি</t>
  </si>
  <si>
    <t>MER607</t>
  </si>
  <si>
    <t>Chameni Chhara</t>
  </si>
  <si>
    <t>চামেনি ছড়া</t>
  </si>
  <si>
    <t>MER608</t>
  </si>
  <si>
    <t>1 No. Calony</t>
  </si>
  <si>
    <t>১ নং কলোনি</t>
  </si>
  <si>
    <t>MER609</t>
  </si>
  <si>
    <t>রাইন্যা পাড়া</t>
  </si>
  <si>
    <t>MER610</t>
  </si>
  <si>
    <t>Purba Bacha Merung</t>
  </si>
  <si>
    <t>পূর্ব বাঁচা মেরুং</t>
  </si>
  <si>
    <t>MER701</t>
  </si>
  <si>
    <t>Angada Master Para</t>
  </si>
  <si>
    <t>অঙ্গদা মাস্টার পাড়া</t>
  </si>
  <si>
    <t>MER702</t>
  </si>
  <si>
    <t>Birbahu Headman Para</t>
  </si>
  <si>
    <t>বীরবাহু হেডম্যান পাড়া</t>
  </si>
  <si>
    <t>MER703</t>
  </si>
  <si>
    <t>Chota Hazra Bangali Para</t>
  </si>
  <si>
    <t>ছোট হাজরা বাঙালি পাড়া</t>
  </si>
  <si>
    <t>MER704</t>
  </si>
  <si>
    <t>Dakkhin Headman Para</t>
  </si>
  <si>
    <t>দক্ষিণ হেডম্যান পাড়া</t>
  </si>
  <si>
    <t>MER705</t>
  </si>
  <si>
    <t>Chakabachhara</t>
  </si>
  <si>
    <t>চাকাবাছারা</t>
  </si>
  <si>
    <t>MER706</t>
  </si>
  <si>
    <t>Badolchhari</t>
  </si>
  <si>
    <t>বদলছড়ি</t>
  </si>
  <si>
    <t>MER707</t>
  </si>
  <si>
    <t>Chowdogichhara</t>
  </si>
  <si>
    <t>চৌদগিছড়া</t>
  </si>
  <si>
    <t>MER708</t>
  </si>
  <si>
    <t>Anenda Karbari Para</t>
  </si>
  <si>
    <t>অনেন্দ কারবারি পাড়া</t>
  </si>
  <si>
    <t>MER709</t>
  </si>
  <si>
    <t>Panchhari Netrajoy Karbari Para</t>
  </si>
  <si>
    <t>পনছড়িনেত্র জয় কারবারি পাড়া</t>
  </si>
  <si>
    <t>MER710</t>
  </si>
  <si>
    <t>Proshikkshan Tila</t>
  </si>
  <si>
    <t>প্রশিক্ষণ টিলা</t>
  </si>
  <si>
    <t>MER711</t>
  </si>
  <si>
    <t>Ranjan Moni Karbari Para</t>
  </si>
  <si>
    <t>রঞ্জন মনি কারবারি পাড়া</t>
  </si>
  <si>
    <t>MER801</t>
  </si>
  <si>
    <t>Indrajoy Karbari Para</t>
  </si>
  <si>
    <t>ইন্দ্রজয় কারবারি পাড়া</t>
  </si>
  <si>
    <t>MER802</t>
  </si>
  <si>
    <t>Joyanta Mohan Karbari Para</t>
  </si>
  <si>
    <t>জয়ন্ত মোহন কারবারি পাড়া</t>
  </si>
  <si>
    <t>MER803</t>
  </si>
  <si>
    <t>Upendra Karbari Para</t>
  </si>
  <si>
    <t>উপেন্দ্র কারবারি পাড়া</t>
  </si>
  <si>
    <t>MER804</t>
  </si>
  <si>
    <t>Sorendra Karbari Para</t>
  </si>
  <si>
    <t>সোরেন্দ্র কারবারি পাড়া</t>
  </si>
  <si>
    <t>MER805</t>
  </si>
  <si>
    <t>Bichitra Karbaripara</t>
  </si>
  <si>
    <t>বিচিত্র কারবারি পাড়া</t>
  </si>
  <si>
    <t>MER806</t>
  </si>
  <si>
    <t>Rasulpur</t>
  </si>
  <si>
    <t>রসুলপুর</t>
  </si>
  <si>
    <t>MER807</t>
  </si>
  <si>
    <t>Fulchan Karbari Para</t>
  </si>
  <si>
    <t>ফুলচাঁন কারবারি পাড়া</t>
  </si>
  <si>
    <t>MER808</t>
  </si>
  <si>
    <t>Sushil Hedman Para</t>
  </si>
  <si>
    <t>সুশীল হেডম্যান পাড়া</t>
  </si>
  <si>
    <t>MER809</t>
  </si>
  <si>
    <t>Daya Mohan Karbari Para</t>
  </si>
  <si>
    <t>দয়া মোহন কারবারি পাড়া</t>
  </si>
  <si>
    <t>MER810</t>
  </si>
  <si>
    <t>Kolok Para</t>
  </si>
  <si>
    <t>কলক পাড়া</t>
  </si>
  <si>
    <t>MER811</t>
  </si>
  <si>
    <t>Ajyama chhara Para</t>
  </si>
  <si>
    <t>আজ্যামা ছড়া পাড়া</t>
  </si>
  <si>
    <t>MER812</t>
  </si>
  <si>
    <t>Kabtola</t>
  </si>
  <si>
    <t>কাবতলা</t>
  </si>
  <si>
    <t>MER813</t>
  </si>
  <si>
    <t>Paglamohajon Para</t>
  </si>
  <si>
    <t>পাগলামহাজন পাড়া</t>
  </si>
  <si>
    <t>MER814</t>
  </si>
  <si>
    <t>Islam Nagor</t>
  </si>
  <si>
    <t>ইসলাম নগর</t>
  </si>
  <si>
    <t>MER815</t>
  </si>
  <si>
    <t>Dhonnacharan Karbari Para</t>
  </si>
  <si>
    <t>ধন্যাচরন কারবারি পাড়া</t>
  </si>
  <si>
    <t>MER901</t>
  </si>
  <si>
    <t>চৌধুরী পাড়া</t>
  </si>
  <si>
    <t>MER902</t>
  </si>
  <si>
    <t>Probhat Karbari Para</t>
  </si>
  <si>
    <t>প্রভাত কারবারি পাড়া</t>
  </si>
  <si>
    <t>MER903</t>
  </si>
  <si>
    <t>Jura Panir Chhara</t>
  </si>
  <si>
    <t>জুরা পানির ছড়া</t>
  </si>
  <si>
    <t>MER904</t>
  </si>
  <si>
    <t>Bogapara</t>
  </si>
  <si>
    <t>বগাপাড়া</t>
  </si>
  <si>
    <t>MER905</t>
  </si>
  <si>
    <t>Rangapanirchhara Sarnokumar Karbari Para</t>
  </si>
  <si>
    <t>রাঙ্গাপানিরছড়া স্বর্ণকুমার কারবারি পাড়া</t>
  </si>
  <si>
    <t>MER906</t>
  </si>
  <si>
    <t>Chota Kangrakhiya Natun Chandra Karbari Para</t>
  </si>
  <si>
    <t>ছোট কাংড়াখিয়া নতুন চন্দ্র কারবারি পাড়া</t>
  </si>
  <si>
    <t>MER907</t>
  </si>
  <si>
    <t>Bara Kangrakhiya Manik Chandra Karbari Para</t>
  </si>
  <si>
    <t>বড় কাংড়াখিয়া মানিক চন্দ্র কারবারি পাড়া</t>
  </si>
  <si>
    <t>MER908</t>
  </si>
  <si>
    <t>Dane Atarak Chhara</t>
  </si>
  <si>
    <t>ডানে আতারাক ছড়া</t>
  </si>
  <si>
    <t>MER909</t>
  </si>
  <si>
    <t>Dakkhin Rengkarjya</t>
  </si>
  <si>
    <t>দক্ষিণ রেংকার্য্যা</t>
  </si>
  <si>
    <t>MER910</t>
  </si>
  <si>
    <t>Matiranga</t>
  </si>
  <si>
    <t>Amtali</t>
  </si>
  <si>
    <t>Amtali Mathu Mag Para</t>
  </si>
  <si>
    <t>আমতলি মথু মগ পাড়া</t>
  </si>
  <si>
    <t>AMT101</t>
  </si>
  <si>
    <t>Taher Sardar Para</t>
  </si>
  <si>
    <t>তাহের সর্দার পাড়া</t>
  </si>
  <si>
    <t>AMT102</t>
  </si>
  <si>
    <t>Amtali Adarsha Para</t>
  </si>
  <si>
    <t>আমতলি আদর্শ পাড়া</t>
  </si>
  <si>
    <t>AMT103</t>
  </si>
  <si>
    <t>Amtali Natun Para</t>
  </si>
  <si>
    <t>আমতলি নতুন পাড়া</t>
  </si>
  <si>
    <t>AMT104</t>
  </si>
  <si>
    <t>Amtali Chauddagram Para</t>
  </si>
  <si>
    <t>আমতলি চৌদ্দগ্রাম পাড়া</t>
  </si>
  <si>
    <t>AMT105</t>
  </si>
  <si>
    <t>Abbas Sardar Para</t>
  </si>
  <si>
    <t>আব্বাস সর্দার পাড়া</t>
  </si>
  <si>
    <t>AMT201</t>
  </si>
  <si>
    <t>Sat Bhaiya Para</t>
  </si>
  <si>
    <t>সাত ভাইয়া পাড়া</t>
  </si>
  <si>
    <t>AMT202</t>
  </si>
  <si>
    <t>Wadud Member Para</t>
  </si>
  <si>
    <t xml:space="preserve">ওয়াদুদ মেম্বার পাড়া </t>
  </si>
  <si>
    <t>AMT203</t>
  </si>
  <si>
    <t>Jafar Para</t>
  </si>
  <si>
    <t>জাফর পাড়া</t>
  </si>
  <si>
    <t>AMT204</t>
  </si>
  <si>
    <t>Writer Para</t>
  </si>
  <si>
    <t>রাইটার পাড়া</t>
  </si>
  <si>
    <t>AMT301</t>
  </si>
  <si>
    <t>Dewan Bazar Para</t>
  </si>
  <si>
    <t>দেওয়ান বাজার পাড়া</t>
  </si>
  <si>
    <t>AMT302</t>
  </si>
  <si>
    <t>Yasin Member Para</t>
  </si>
  <si>
    <t>ইয়াছিন মেম্বার পাড়া</t>
  </si>
  <si>
    <t>AMT303</t>
  </si>
  <si>
    <t>Dewan Bazar BGB Camp</t>
  </si>
  <si>
    <t>দেওয়ান বাজার বিজিবি ক্যাম্প</t>
  </si>
  <si>
    <t>AMT304</t>
  </si>
  <si>
    <t>Bashri Nagar</t>
  </si>
  <si>
    <t>বাশরি নগর</t>
  </si>
  <si>
    <t>AMT401</t>
  </si>
  <si>
    <t>Jalil Memebr Para</t>
  </si>
  <si>
    <t>জলিল মেম্বার পাড়া</t>
  </si>
  <si>
    <t>AMT402</t>
  </si>
  <si>
    <t>Farid Sardar Para</t>
  </si>
  <si>
    <t>ফরিদ সর্দার পাড়া</t>
  </si>
  <si>
    <t>AMT403</t>
  </si>
  <si>
    <t>Karalyachhari Bazar Para</t>
  </si>
  <si>
    <t>করল্যাছড়ি বাজার পাড়া</t>
  </si>
  <si>
    <t>AMT404</t>
  </si>
  <si>
    <t>Karalyachhari BGB Camp</t>
  </si>
  <si>
    <t>করল্যাছড়ি বিজিবি ক্যাম্প</t>
  </si>
  <si>
    <t>AMT405</t>
  </si>
  <si>
    <t>Nuru Sardar Para</t>
  </si>
  <si>
    <t>নূ্রু সর্দার পাড়া</t>
  </si>
  <si>
    <t>AMT501</t>
  </si>
  <si>
    <t>Hakim Para</t>
  </si>
  <si>
    <t>হাকিম পাড়া</t>
  </si>
  <si>
    <t>AMT502</t>
  </si>
  <si>
    <t>Rashid Mistri Para</t>
  </si>
  <si>
    <t>রশিদ মিস্ত্রি পাড়া</t>
  </si>
  <si>
    <t>AMT503</t>
  </si>
  <si>
    <t>Upasing Para</t>
  </si>
  <si>
    <t>উপাসিং পাড়া</t>
  </si>
  <si>
    <t>AMT504</t>
  </si>
  <si>
    <t>Harun Headman Para</t>
  </si>
  <si>
    <t>হারুন হেডম্যান পাড়া</t>
  </si>
  <si>
    <t>AMT601</t>
  </si>
  <si>
    <t>Jalil Sardar</t>
  </si>
  <si>
    <t>জলিল সর্দার</t>
  </si>
  <si>
    <t>AMT602</t>
  </si>
  <si>
    <t>Rahim Sardar Para</t>
  </si>
  <si>
    <t>রহিম সর্দার পাড়া</t>
  </si>
  <si>
    <t>AMT603</t>
  </si>
  <si>
    <t>Jali Para/ Jahur Ali Sardar Para</t>
  </si>
  <si>
    <t>জালি পাড়া/ জহুর আলী সর্দার পাড়া</t>
  </si>
  <si>
    <t>AMT604</t>
  </si>
  <si>
    <t>Pati Karbari Para</t>
  </si>
  <si>
    <t>পতি কারবারি পাড়া</t>
  </si>
  <si>
    <t>AMT605</t>
  </si>
  <si>
    <t>Bishwaram Karbari Para</t>
  </si>
  <si>
    <t>বিশ্বরাম কারবারি পাড়া</t>
  </si>
  <si>
    <t>AMT701</t>
  </si>
  <si>
    <t>Moidachhara Para</t>
  </si>
  <si>
    <t>মইদাছড়া পাড়া</t>
  </si>
  <si>
    <t>AMT702</t>
  </si>
  <si>
    <t>Narikel Para</t>
  </si>
  <si>
    <t>নারিকেল পাড়া</t>
  </si>
  <si>
    <t>AMT703</t>
  </si>
  <si>
    <t>Kamalabagan Para</t>
  </si>
  <si>
    <t>কমলাবাগান পাড়া</t>
  </si>
  <si>
    <t>AMT704</t>
  </si>
  <si>
    <t>Mahanta Headman Para</t>
  </si>
  <si>
    <t>মোহন্ত হেডম্যান পাড়া</t>
  </si>
  <si>
    <t>AMT801</t>
  </si>
  <si>
    <t>Shailya Kabari Para</t>
  </si>
  <si>
    <t>শৈল্য কারবারি পাড়া</t>
  </si>
  <si>
    <t>AMT802</t>
  </si>
  <si>
    <t>Ananta Karbari Para</t>
  </si>
  <si>
    <t>অনন্ত কারবারি পাড়া</t>
  </si>
  <si>
    <t>AMT803</t>
  </si>
  <si>
    <t>Kamini Karbari Para</t>
  </si>
  <si>
    <t>কামিনী কারবারি পাড়া</t>
  </si>
  <si>
    <t>AMT804</t>
  </si>
  <si>
    <t>Adarsha Para</t>
  </si>
  <si>
    <t>আদর্শ পাড়া</t>
  </si>
  <si>
    <t>AMT805</t>
  </si>
  <si>
    <t>Natun Para/ Para Katal</t>
  </si>
  <si>
    <t>নতুন পাড়া/ পাড়া কাতাল</t>
  </si>
  <si>
    <t>AMT806</t>
  </si>
  <si>
    <t>Haza Para</t>
  </si>
  <si>
    <t>হাজা পাড়া</t>
  </si>
  <si>
    <t>AMT807</t>
  </si>
  <si>
    <t>Apurna Para</t>
  </si>
  <si>
    <t>অপূর্ণ পাড়া</t>
  </si>
  <si>
    <t>AMT901</t>
  </si>
  <si>
    <t>Sarbasiddhi Para</t>
  </si>
  <si>
    <t>সর্বসিদ্ধি পাড়া</t>
  </si>
  <si>
    <t>AMT902</t>
  </si>
  <si>
    <t>Birashi Mura Para</t>
  </si>
  <si>
    <t>বিরাশি মুড়া পাড়া</t>
  </si>
  <si>
    <t>AMT903</t>
  </si>
  <si>
    <t>Uttar Raja Para</t>
  </si>
  <si>
    <t>উত্তর রাজা পাড়া</t>
  </si>
  <si>
    <t>AMT904</t>
  </si>
  <si>
    <t>Golachipa Para</t>
  </si>
  <si>
    <t>গলাচিপা পাড়া</t>
  </si>
  <si>
    <t>AMT905</t>
  </si>
  <si>
    <t>Dakkhin Raja Para</t>
  </si>
  <si>
    <t>দক্ষিণ রাজা পাড়া</t>
  </si>
  <si>
    <t>AMT906</t>
  </si>
  <si>
    <t>Baranal</t>
  </si>
  <si>
    <t>Surendra Headman Para</t>
  </si>
  <si>
    <t>সুরেন্দ্র হেডম্যান পাড়া</t>
  </si>
  <si>
    <t>BAR101</t>
  </si>
  <si>
    <t>ইসলামপুর</t>
  </si>
  <si>
    <t>BAR102</t>
  </si>
  <si>
    <t>Abdul Membar Para</t>
  </si>
  <si>
    <t>আব্দুল মেম্বার পাড়া</t>
  </si>
  <si>
    <t>BAR103</t>
  </si>
  <si>
    <t>Thowiaung Karbari Para</t>
  </si>
  <si>
    <t>থৈঅং কারবারি পাড়া</t>
  </si>
  <si>
    <t>BAR104</t>
  </si>
  <si>
    <t>Lalkumar Para</t>
  </si>
  <si>
    <t>লালকুমার পাড়া</t>
  </si>
  <si>
    <t>BAR105</t>
  </si>
  <si>
    <t>Rajdhar Para</t>
  </si>
  <si>
    <t>রাজধর পাড়া</t>
  </si>
  <si>
    <t>BAR201</t>
  </si>
  <si>
    <t>Jamini Para</t>
  </si>
  <si>
    <t>যামিনী পাড়া</t>
  </si>
  <si>
    <t>BAR202</t>
  </si>
  <si>
    <t>Gengratila Para</t>
  </si>
  <si>
    <t>গেংরাটিলা পাড়া</t>
  </si>
  <si>
    <t>BAR203</t>
  </si>
  <si>
    <t>Burbadhan Para</t>
  </si>
  <si>
    <t>বুরবাধন পাড়া</t>
  </si>
  <si>
    <t>BAR204</t>
  </si>
  <si>
    <t>Bara Para</t>
  </si>
  <si>
    <t>বড় পাড়া</t>
  </si>
  <si>
    <t>BAR205</t>
  </si>
  <si>
    <t>Lakkhibari</t>
  </si>
  <si>
    <t>লক্ষীবাড়ি</t>
  </si>
  <si>
    <t>BAR206</t>
  </si>
  <si>
    <t>Heladula</t>
  </si>
  <si>
    <t>হেলাদুলা</t>
  </si>
  <si>
    <t>BAR207</t>
  </si>
  <si>
    <t>BAR301</t>
  </si>
  <si>
    <t>Kulopru Baiddya Para</t>
  </si>
  <si>
    <t>কুলপ্রু বৈদ্য পাড়া</t>
  </si>
  <si>
    <t>BAR302</t>
  </si>
  <si>
    <t>Alauddin Member Para</t>
  </si>
  <si>
    <t>আলাউদ্দীন মেম্বার পাড়া</t>
  </si>
  <si>
    <t>BAR303</t>
  </si>
  <si>
    <t>Chairman Para</t>
  </si>
  <si>
    <t>চেয়ারম্যান পাড়া</t>
  </si>
  <si>
    <t>BAR304</t>
  </si>
  <si>
    <t>Riprusai Karbari Para</t>
  </si>
  <si>
    <t>রিপ্রুসাই কারবারি পাড়া</t>
  </si>
  <si>
    <t>BAR305</t>
  </si>
  <si>
    <t>Dakbangla Para</t>
  </si>
  <si>
    <t>ডাকবাংলা পাড়া</t>
  </si>
  <si>
    <t>BAR306</t>
  </si>
  <si>
    <t>Amin Sardar Para</t>
  </si>
  <si>
    <t>আমিন সর্দার পাড়া</t>
  </si>
  <si>
    <t>BAR307</t>
  </si>
  <si>
    <t>Ani Chairman Para</t>
  </si>
  <si>
    <t>আনি চেয়ারম্যান পাড়া</t>
  </si>
  <si>
    <t>BAR308</t>
  </si>
  <si>
    <t>Jamini Para Battalion-23</t>
  </si>
  <si>
    <t>যামিনী পাড়া ব্যাটালিয়ন-২৩</t>
  </si>
  <si>
    <t>BAR309</t>
  </si>
  <si>
    <t>Jamini Para (Belal Post)</t>
  </si>
  <si>
    <t>যামিনী পাড়া (বেলাল পোস্ট)</t>
  </si>
  <si>
    <t>BAR401</t>
  </si>
  <si>
    <t>Idrish Mia Para</t>
  </si>
  <si>
    <t>ইদ্রিস মিয়া পাড়া</t>
  </si>
  <si>
    <t>BAR402</t>
  </si>
  <si>
    <t>Haricharon Para</t>
  </si>
  <si>
    <t>হরিচরণ পাড়া</t>
  </si>
  <si>
    <t>BAR403</t>
  </si>
  <si>
    <t>Alek Chairman Para</t>
  </si>
  <si>
    <t>আলেক চেয়ারম্যান পাড়া</t>
  </si>
  <si>
    <t>BAR404</t>
  </si>
  <si>
    <t>Badu Mia Para</t>
  </si>
  <si>
    <t>বদু মিয়া পাড়া</t>
  </si>
  <si>
    <t>BAR405</t>
  </si>
  <si>
    <t>Madu Mia Para</t>
  </si>
  <si>
    <t>মাদু মিয়া পাড়া</t>
  </si>
  <si>
    <t>BAR406</t>
  </si>
  <si>
    <t>Ananta Sing Karbari Para</t>
  </si>
  <si>
    <t>অনন্ত সিং কারবারি পাড়া</t>
  </si>
  <si>
    <t>BAR407</t>
  </si>
  <si>
    <t>Ahid Member Para</t>
  </si>
  <si>
    <t>অহিদ মেম্বার পাড়া</t>
  </si>
  <si>
    <t>BAR408</t>
  </si>
  <si>
    <t>Karim Master Para</t>
  </si>
  <si>
    <t>করিম মাস্টার পাড়া</t>
  </si>
  <si>
    <t>BAR501</t>
  </si>
  <si>
    <t>Habib Member Para</t>
  </si>
  <si>
    <t>হাবিব মেম্বার পাড়া</t>
  </si>
  <si>
    <t>BAR502</t>
  </si>
  <si>
    <t>Minnat Ali Sardar Para</t>
  </si>
  <si>
    <t>মিন্নত আলী সর্দার পাড়া</t>
  </si>
  <si>
    <t>BAR601</t>
  </si>
  <si>
    <t>মাস্টার পাড়া</t>
  </si>
  <si>
    <t>BAR602</t>
  </si>
  <si>
    <t>Prankumar Para</t>
  </si>
  <si>
    <t>প্রাণকুমার পাড়া</t>
  </si>
  <si>
    <t>BAR603</t>
  </si>
  <si>
    <t>Baranal BOP BGB Camp</t>
  </si>
  <si>
    <t>বড়নাল বিওপি বিজিব ক্যাম্প</t>
  </si>
  <si>
    <t>BAR604</t>
  </si>
  <si>
    <t>Takka Muslim Para</t>
  </si>
  <si>
    <t>টাক্কা মুসলিম পাড়া</t>
  </si>
  <si>
    <t>BAR701</t>
  </si>
  <si>
    <t>Thaila Para</t>
  </si>
  <si>
    <t>থৈলা পাড়া</t>
  </si>
  <si>
    <t>BAR702</t>
  </si>
  <si>
    <t>Kadamtali Para</t>
  </si>
  <si>
    <t>কদমতলী পাড়া</t>
  </si>
  <si>
    <t>BAR703</t>
  </si>
  <si>
    <t>Kadamtali BOP BGB Camp</t>
  </si>
  <si>
    <t>কদমতলী বিওপি বিজিবি ক্যাম্প</t>
  </si>
  <si>
    <t>BAR704</t>
  </si>
  <si>
    <t>Fajal Member Para</t>
  </si>
  <si>
    <t>ফজল মেম্বার পাড়া</t>
  </si>
  <si>
    <t>BAR801</t>
  </si>
  <si>
    <t>Writer Hujur Para</t>
  </si>
  <si>
    <t>রাইটার হুজুর পাড়া</t>
  </si>
  <si>
    <t>BAR802</t>
  </si>
  <si>
    <t>Sawdagar Para</t>
  </si>
  <si>
    <t>সওদাগর পাড়া</t>
  </si>
  <si>
    <t>BAR803</t>
  </si>
  <si>
    <t>Maulavi Para</t>
  </si>
  <si>
    <t>মৌলভী পাড়া</t>
  </si>
  <si>
    <t>BAR901</t>
  </si>
  <si>
    <t>Kashem Member Para</t>
  </si>
  <si>
    <t>কাশেম মেম্বার পাড়া</t>
  </si>
  <si>
    <t>BAR902</t>
  </si>
  <si>
    <t>Ibrahim Para</t>
  </si>
  <si>
    <t>ইব্রাহিম পাড়া</t>
  </si>
  <si>
    <t>BAR903</t>
  </si>
  <si>
    <t>Garjantila Para</t>
  </si>
  <si>
    <t>গর্জনটিলা পাড়া</t>
  </si>
  <si>
    <t>BAR904</t>
  </si>
  <si>
    <t>Arun Barua Para</t>
  </si>
  <si>
    <t>অরুন বড়ুয়া পাড়া</t>
  </si>
  <si>
    <t>BAR905</t>
  </si>
  <si>
    <t>Pencha Karbari Para</t>
  </si>
  <si>
    <t>পেঁচা কারবারি পাড়া</t>
  </si>
  <si>
    <t>BAR906</t>
  </si>
  <si>
    <t>Amtali BGB Camp</t>
  </si>
  <si>
    <t>আমতলি বিজিবি ক্যাম্প</t>
  </si>
  <si>
    <t>BAR907</t>
  </si>
  <si>
    <t>Belchhari</t>
  </si>
  <si>
    <t>Habil Member Para</t>
  </si>
  <si>
    <t>হাবিল মেম্বার পাড়া</t>
  </si>
  <si>
    <t>BEL101</t>
  </si>
  <si>
    <t>চেয়ারম্যান পাড়া</t>
  </si>
  <si>
    <t>BEL102</t>
  </si>
  <si>
    <t>Nurul Islam Company Para</t>
  </si>
  <si>
    <t>নুরুল ইসলাম কোম্পানি পাড়া</t>
  </si>
  <si>
    <t>BEL103</t>
  </si>
  <si>
    <t>Basu Miya Para</t>
  </si>
  <si>
    <t>বসু মিয়া পাড়া</t>
  </si>
  <si>
    <t>BEL104</t>
  </si>
  <si>
    <t>Firoz Member Para</t>
  </si>
  <si>
    <t>ফিরোজ মেম্বার পাড়া</t>
  </si>
  <si>
    <t>BEL105</t>
  </si>
  <si>
    <t>Siddique Master Para</t>
  </si>
  <si>
    <t>ছিদ্দিক মাস্টার পাড়া</t>
  </si>
  <si>
    <t>BEL106</t>
  </si>
  <si>
    <t>Jayed Ali Para</t>
  </si>
  <si>
    <t>জায়েদ আলী পাড়া</t>
  </si>
  <si>
    <t>BEL107</t>
  </si>
  <si>
    <t>Rahmat Ullah Chairman Para</t>
  </si>
  <si>
    <t>রহমত উল্লাহ চেয়ারম্যান পাড়া</t>
  </si>
  <si>
    <t>BEL108</t>
  </si>
  <si>
    <t>Belchhari BGB Camp</t>
  </si>
  <si>
    <t>বেলছড়ি বিজিবি ক্যাম্প</t>
  </si>
  <si>
    <t>BEL109</t>
  </si>
  <si>
    <t>Madhya Para</t>
  </si>
  <si>
    <t>মধ্য পাড়া</t>
  </si>
  <si>
    <t>BEL110</t>
  </si>
  <si>
    <t>BEL201</t>
  </si>
  <si>
    <t>Badan Karbari Para</t>
  </si>
  <si>
    <t>বদন কারবারি পাড়া</t>
  </si>
  <si>
    <t>BEL202</t>
  </si>
  <si>
    <t>BEL203</t>
  </si>
  <si>
    <t>School Tila Para</t>
  </si>
  <si>
    <t>স্কুল টিলা পাড়া</t>
  </si>
  <si>
    <t>BEL204</t>
  </si>
  <si>
    <t>Jakir Hosen Para</t>
  </si>
  <si>
    <t>জাকির হোসেন পাড়া</t>
  </si>
  <si>
    <t>BEL205</t>
  </si>
  <si>
    <t>ডাকবাংলা পাড়া</t>
  </si>
  <si>
    <t>BEL206</t>
  </si>
  <si>
    <t>Safiullah Para</t>
  </si>
  <si>
    <t>সফিউল্লাহ পাড়া</t>
  </si>
  <si>
    <t>BEL207</t>
  </si>
  <si>
    <t>Shah Alam Para</t>
  </si>
  <si>
    <t>শাহ আলম পাড়া</t>
  </si>
  <si>
    <t>BEL208</t>
  </si>
  <si>
    <t>Safi Tila BGB Camp</t>
  </si>
  <si>
    <t>সফি টিলা বিজিবি ক্যাম্প</t>
  </si>
  <si>
    <t>BEL209</t>
  </si>
  <si>
    <t>Hamid Ali Para</t>
  </si>
  <si>
    <t>হামিদ আলী পাড়া</t>
  </si>
  <si>
    <t>BEL301</t>
  </si>
  <si>
    <t>Shubharanjan Headman Para</t>
  </si>
  <si>
    <t>শুভরঞ্জন হেডম্যান পাড়া</t>
  </si>
  <si>
    <t>BEL302</t>
  </si>
  <si>
    <t>Panjabi Tila</t>
  </si>
  <si>
    <t>পাঞ্জাবী টিলা</t>
  </si>
  <si>
    <t>BEL303</t>
  </si>
  <si>
    <t>Swarnaker Tila</t>
  </si>
  <si>
    <t>স্বর্ণকার টিলা</t>
  </si>
  <si>
    <t>BEL304</t>
  </si>
  <si>
    <t>Chabi Member Para</t>
  </si>
  <si>
    <t>ছবি মেম্বার পাড়া</t>
  </si>
  <si>
    <t>BEL305</t>
  </si>
  <si>
    <t>Jafar Membr Para</t>
  </si>
  <si>
    <t>জাফর মেম্বার পাড়া</t>
  </si>
  <si>
    <t>BEL306</t>
  </si>
  <si>
    <t>Ambagan</t>
  </si>
  <si>
    <t>আমবাগান</t>
  </si>
  <si>
    <t>BEL401</t>
  </si>
  <si>
    <t>BEL402</t>
  </si>
  <si>
    <t>Ashraf Leader Para</t>
  </si>
  <si>
    <t>আশ্রাফ লিডার পাড়া</t>
  </si>
  <si>
    <t>BEL403</t>
  </si>
  <si>
    <t>Obaidur Rahman Master Para</t>
  </si>
  <si>
    <t>ওবাইদুর রহমান মাস্টার পাড়া</t>
  </si>
  <si>
    <t>BEL404</t>
  </si>
  <si>
    <t>Khedacchara Bajar Para</t>
  </si>
  <si>
    <t>খেদাছড়া বাজার পাড়া</t>
  </si>
  <si>
    <t>BEL405</t>
  </si>
  <si>
    <t>Khedacchara DP Para</t>
  </si>
  <si>
    <t xml:space="preserve">খেদাছড়া ডিপি পাড়া </t>
  </si>
  <si>
    <t>BEL406</t>
  </si>
  <si>
    <t>Khedachhara 40 BGB Battalion Palashpur Zone</t>
  </si>
  <si>
    <t>খেদাছড়া ৪০ বিজিব ব্যাটালিয়ন পলাশপুর জোন</t>
  </si>
  <si>
    <t>BEL407</t>
  </si>
  <si>
    <t>Kalamiya Leader Para</t>
  </si>
  <si>
    <t>কালামিয়া লিডার পাড়া</t>
  </si>
  <si>
    <t>BEL501</t>
  </si>
  <si>
    <t>Dhakaiya Para</t>
  </si>
  <si>
    <t>ঢাকাইয়া পাড়া</t>
  </si>
  <si>
    <t>BEL502</t>
  </si>
  <si>
    <t>Manu Member Para</t>
  </si>
  <si>
    <t>মনু মেম্বার পাড়া</t>
  </si>
  <si>
    <t>BEL503</t>
  </si>
  <si>
    <t>Wajed Member Para</t>
  </si>
  <si>
    <t>ওয়াজেদ মেম্বার পাড়া</t>
  </si>
  <si>
    <t>BEL504</t>
  </si>
  <si>
    <t>Mansur Leader Para</t>
  </si>
  <si>
    <t>মনসুর লিডার পাড়া</t>
  </si>
  <si>
    <t>BEL505</t>
  </si>
  <si>
    <t>Upendra Headman Para</t>
  </si>
  <si>
    <t xml:space="preserve">উপেন্দ্র হেডম্যান পাড়া </t>
  </si>
  <si>
    <t>BEL506</t>
  </si>
  <si>
    <t>Bangali Para</t>
  </si>
  <si>
    <t>বাঙালি পাড়া</t>
  </si>
  <si>
    <t>BEL507</t>
  </si>
  <si>
    <t>Jagat Jyoti Headman Para</t>
  </si>
  <si>
    <t>জগৎ জ্যোতি হেডম্যান পাড়া</t>
  </si>
  <si>
    <t>BEL601</t>
  </si>
  <si>
    <t>Rebati Karbari Para</t>
  </si>
  <si>
    <t>রেবতী কারবারি পাড়া</t>
  </si>
  <si>
    <t>BEL602</t>
  </si>
  <si>
    <t>Taifa Para</t>
  </si>
  <si>
    <t>তাইফা পাড়া</t>
  </si>
  <si>
    <t>BEL603</t>
  </si>
  <si>
    <t>BEL604</t>
  </si>
  <si>
    <t>Shashi Karbari Para</t>
  </si>
  <si>
    <t>শশী কারবারি পাড়া</t>
  </si>
  <si>
    <t>BEL605</t>
  </si>
  <si>
    <t>Arjun Tila Para</t>
  </si>
  <si>
    <t>অর্জুন টিলা পাড়া</t>
  </si>
  <si>
    <t>BEL606</t>
  </si>
  <si>
    <t>Juddhakumar Para</t>
  </si>
  <si>
    <t>যুদ্ধকুমার পাড়া</t>
  </si>
  <si>
    <t>BEL607</t>
  </si>
  <si>
    <t>Hemanga Karbari Para</t>
  </si>
  <si>
    <t>হেমঙ্গ কারবারি পাড়া</t>
  </si>
  <si>
    <t>BEL608</t>
  </si>
  <si>
    <t>Rabisundar Para</t>
  </si>
  <si>
    <t>রবিসুন্দর পাড়া</t>
  </si>
  <si>
    <t>BEL609</t>
  </si>
  <si>
    <t>Haridhan Mog Para</t>
  </si>
  <si>
    <t>হরিধন মগ পাড়া</t>
  </si>
  <si>
    <t>BEL610</t>
  </si>
  <si>
    <t>Khada Para</t>
  </si>
  <si>
    <t>খাদা পাড়া</t>
  </si>
  <si>
    <t>BEL611</t>
  </si>
  <si>
    <t>BEL612</t>
  </si>
  <si>
    <t>Sangha Para</t>
  </si>
  <si>
    <t>সংঘ পাড়া</t>
  </si>
  <si>
    <t>BEL613</t>
  </si>
  <si>
    <t>Sudhir Kumar Para</t>
  </si>
  <si>
    <t xml:space="preserve">সুধীর কুমার পাড়া </t>
  </si>
  <si>
    <t>BEL614</t>
  </si>
  <si>
    <t>Maichachhara Para</t>
  </si>
  <si>
    <t>মাইছাছড়া পাড়া</t>
  </si>
  <si>
    <t>BEL615</t>
  </si>
  <si>
    <t>Nurnabi Para</t>
  </si>
  <si>
    <t>নূরনবী পাড়া</t>
  </si>
  <si>
    <t>BEL701</t>
  </si>
  <si>
    <t>Bazar Para</t>
  </si>
  <si>
    <t>বাজার পাড়া</t>
  </si>
  <si>
    <t>BEL702</t>
  </si>
  <si>
    <t>Jantur Ali Para</t>
  </si>
  <si>
    <t>জন্তুর আলী পাড়া</t>
  </si>
  <si>
    <t>BEL703</t>
  </si>
  <si>
    <t>Arshad Ali Master Para</t>
  </si>
  <si>
    <t>আরশাদ আলী মাষ্টার পাড়া</t>
  </si>
  <si>
    <t>BEL704</t>
  </si>
  <si>
    <t>Barachha Karbari Para</t>
  </si>
  <si>
    <t>বারাছা কারবারি পাড়া</t>
  </si>
  <si>
    <t>BEL705</t>
  </si>
  <si>
    <t>Khalil Member Para</t>
  </si>
  <si>
    <t>খলিল মেম্বার পাড়া</t>
  </si>
  <si>
    <t>BEL801</t>
  </si>
  <si>
    <t>Chankhola Para</t>
  </si>
  <si>
    <t>ছনখোলা পাড়া</t>
  </si>
  <si>
    <t>BEL802</t>
  </si>
  <si>
    <t>Malek Member Para</t>
  </si>
  <si>
    <t>মালেক মেম্বার পাড়া</t>
  </si>
  <si>
    <t>BEL803</t>
  </si>
  <si>
    <t>Tajul Islam Member Para</t>
  </si>
  <si>
    <t>তাজুল ইসলাম মেম্বার পাড়া</t>
  </si>
  <si>
    <t>BEL804</t>
  </si>
  <si>
    <t>New Ajodhya Para</t>
  </si>
  <si>
    <t>নিউ অযোধ্যা পাড়া</t>
  </si>
  <si>
    <t>BEL805</t>
  </si>
  <si>
    <t>New Ajodhya Dakkhin Para</t>
  </si>
  <si>
    <t>নিউ অযোধ্যা দক্ষিণ পাড়া</t>
  </si>
  <si>
    <t>BEL806</t>
  </si>
  <si>
    <t>Nasor Uddin Para</t>
  </si>
  <si>
    <t>নছর উদ্দীন পাড়া</t>
  </si>
  <si>
    <t>BEL807</t>
  </si>
  <si>
    <t>Aziz Para</t>
  </si>
  <si>
    <t>আজিজ পাড়া</t>
  </si>
  <si>
    <t>BEL901</t>
  </si>
  <si>
    <t>Akmat Ali Member Para</t>
  </si>
  <si>
    <t>আকমত আলী মেম্বার পাড়া</t>
  </si>
  <si>
    <t>BEL902</t>
  </si>
  <si>
    <t>Jaynal Member Para</t>
  </si>
  <si>
    <t>জয়নাল মেম্বার পাড়া</t>
  </si>
  <si>
    <t>BEL903</t>
  </si>
  <si>
    <t>Gumti</t>
  </si>
  <si>
    <t>Uttar Shantipur</t>
  </si>
  <si>
    <t>উত্তর শান্তিপুর</t>
  </si>
  <si>
    <t>GUM101</t>
  </si>
  <si>
    <t>Majumdar Para</t>
  </si>
  <si>
    <t>মজুমদার পাড়া</t>
  </si>
  <si>
    <t>GUM102</t>
  </si>
  <si>
    <t>Mansur Ali Contractor Para</t>
  </si>
  <si>
    <t>মনসুর আলী কন্ট্রাক্টর পাড়া</t>
  </si>
  <si>
    <t>GUM103</t>
  </si>
  <si>
    <t>Siru Sardarpara</t>
  </si>
  <si>
    <t>সিরু সর্দারপাড়া</t>
  </si>
  <si>
    <t>GUM104</t>
  </si>
  <si>
    <t>Shantipur BGB Camp</t>
  </si>
  <si>
    <t>শান্তিপুর বিজিবি ক্যাম্প</t>
  </si>
  <si>
    <t>GUM105</t>
  </si>
  <si>
    <t>Shantipur Bazar Para</t>
  </si>
  <si>
    <t>শান্তিপুর বাজার পাড়া</t>
  </si>
  <si>
    <t>GUM201</t>
  </si>
  <si>
    <t>Sadeq Chairman Para</t>
  </si>
  <si>
    <t>সাদেক চেয়ারম্যান পাড়া</t>
  </si>
  <si>
    <t>GUM202</t>
  </si>
  <si>
    <t>Nurul Islam Member Para</t>
  </si>
  <si>
    <t>নুরুল ইসলাম মেম্বার পাড়া</t>
  </si>
  <si>
    <t>GUM203</t>
  </si>
  <si>
    <t>Shantipur Haji Para</t>
  </si>
  <si>
    <t>শান্তিপুর হাজী পাড়া</t>
  </si>
  <si>
    <t>GUM204</t>
  </si>
  <si>
    <t>Shantipur Siddiq Tila</t>
  </si>
  <si>
    <t>শান্তিপুর সিদ্দিক টিলা</t>
  </si>
  <si>
    <t>GUM205</t>
  </si>
  <si>
    <t>Muslim Member Para</t>
  </si>
  <si>
    <t>মুসলিম মেম্বার পাড়া</t>
  </si>
  <si>
    <t>GUM206</t>
  </si>
  <si>
    <t>Majid Vandari Para</t>
  </si>
  <si>
    <t>মজিদ ভাণ্ডারী পাড়া</t>
  </si>
  <si>
    <t>GUM207</t>
  </si>
  <si>
    <t>Rahman Sardar Para</t>
  </si>
  <si>
    <t>রহমান সর্দার পাড়া</t>
  </si>
  <si>
    <t>GUM301</t>
  </si>
  <si>
    <t>Nayeb Ali Sardar Para</t>
  </si>
  <si>
    <t>নায়েব আলী সর্দার পাড়া</t>
  </si>
  <si>
    <t>GUM302</t>
  </si>
  <si>
    <t>Rang Miya Para</t>
  </si>
  <si>
    <t>রং মিঞা পাড়া</t>
  </si>
  <si>
    <t>GUM303</t>
  </si>
  <si>
    <t>Samsu Sardar Para</t>
  </si>
  <si>
    <t>সামছু সর্দার পাড়া</t>
  </si>
  <si>
    <t>GUM304</t>
  </si>
  <si>
    <t>Mona Member Para</t>
  </si>
  <si>
    <t>মনা মেম্বার পাড়া</t>
  </si>
  <si>
    <t>GUM401</t>
  </si>
  <si>
    <t>Ali Ahammod Master Para</t>
  </si>
  <si>
    <t>আলী আহাম্মদ মাস্টার পাড়া</t>
  </si>
  <si>
    <t>GUM402</t>
  </si>
  <si>
    <t>Malek Shikari Para</t>
  </si>
  <si>
    <t>মালেক শিকারী পাড়া</t>
  </si>
  <si>
    <t>GUM403</t>
  </si>
  <si>
    <t>Lakkhicharan Master Para</t>
  </si>
  <si>
    <t>লক্ষীচরণ মাস্টার পাড়া</t>
  </si>
  <si>
    <t>GUM404</t>
  </si>
  <si>
    <t>Ayet Ali Para</t>
  </si>
  <si>
    <t xml:space="preserve">আয়েত আলী পাড়া </t>
  </si>
  <si>
    <t>GUM405</t>
  </si>
  <si>
    <t>GUM406</t>
  </si>
  <si>
    <t>Taiyab Member Para</t>
  </si>
  <si>
    <t>তৈয়ব মেম্বার পাড়া</t>
  </si>
  <si>
    <t>GUM501</t>
  </si>
  <si>
    <t>Alim Writer Para</t>
  </si>
  <si>
    <t>আলীম রাইটার পাড়া</t>
  </si>
  <si>
    <t>GUM502</t>
  </si>
  <si>
    <t>Mahabub Member Para</t>
  </si>
  <si>
    <t>মাহবুব মেম্বার পাড়া</t>
  </si>
  <si>
    <t>GUM503</t>
  </si>
  <si>
    <t>Balichandra Para</t>
  </si>
  <si>
    <t>বলিচন্দ্র পাড়া</t>
  </si>
  <si>
    <t>GUM504</t>
  </si>
  <si>
    <t>Malek Master Para</t>
  </si>
  <si>
    <t>মালেক মাস্টার পাড়া</t>
  </si>
  <si>
    <t>GUM601</t>
  </si>
  <si>
    <t>GUM602</t>
  </si>
  <si>
    <t>Ratna Tila</t>
  </si>
  <si>
    <t>রত্না টিলা</t>
  </si>
  <si>
    <t>GUM603</t>
  </si>
  <si>
    <t>B.K Para</t>
  </si>
  <si>
    <t>বি.কে পাড়া</t>
  </si>
  <si>
    <t>GUM604</t>
  </si>
  <si>
    <t>Bahadur Sardar Para</t>
  </si>
  <si>
    <t>বাহাদুর সর্দার পাড়া</t>
  </si>
  <si>
    <t>GUM605</t>
  </si>
  <si>
    <t>GUM606</t>
  </si>
  <si>
    <t>GUM607</t>
  </si>
  <si>
    <t>Nurul Islam Sardar Para</t>
  </si>
  <si>
    <t>নুরুল ইসলাম সর্দার পাড়া</t>
  </si>
  <si>
    <t>GUM701</t>
  </si>
  <si>
    <t>Manirujjamn Master Para</t>
  </si>
  <si>
    <t>মনিরুজ্জামান মাস্টার পাড়া</t>
  </si>
  <si>
    <t>GUM702</t>
  </si>
  <si>
    <t>Munaf Munsi Para</t>
  </si>
  <si>
    <t>মুনাফ মুন্সী পাড়া</t>
  </si>
  <si>
    <t>GUM703</t>
  </si>
  <si>
    <t>Takar Mani Para</t>
  </si>
  <si>
    <t>তাকার মনি পাড়া</t>
  </si>
  <si>
    <t>GUM704</t>
  </si>
  <si>
    <t>Mohangazi Para</t>
  </si>
  <si>
    <t xml:space="preserve">মোহনগাজী পাড়া </t>
  </si>
  <si>
    <t>GUM705</t>
  </si>
  <si>
    <t>Uday Kumar Para</t>
  </si>
  <si>
    <t>উদয় কুমার পাড়া</t>
  </si>
  <si>
    <t>GUM706</t>
  </si>
  <si>
    <t>Kalinga Para</t>
  </si>
  <si>
    <t>কলিঙ্গ পাড়া</t>
  </si>
  <si>
    <t>GUM801</t>
  </si>
  <si>
    <t>Kewa Para</t>
  </si>
  <si>
    <t>কেওয়া পাড়া</t>
  </si>
  <si>
    <t>GUM802</t>
  </si>
  <si>
    <t>Lalindra Para</t>
  </si>
  <si>
    <t>ললিন্দ্র পাড়া</t>
  </si>
  <si>
    <t>GUM803</t>
  </si>
  <si>
    <t>Behadanto Para</t>
  </si>
  <si>
    <t>বেহাদান্ত পাড়া</t>
  </si>
  <si>
    <t>GUM804</t>
  </si>
  <si>
    <t>Galamoni Para</t>
  </si>
  <si>
    <t>গালামনি পাড়া</t>
  </si>
  <si>
    <t>GUM805</t>
  </si>
  <si>
    <t>Tarani Para</t>
  </si>
  <si>
    <t>তরণী পাড়া</t>
  </si>
  <si>
    <t>GUM806</t>
  </si>
  <si>
    <t>Mamtaj Sawdagor Para</t>
  </si>
  <si>
    <t>মমতাজ সওদাগর পাড়া</t>
  </si>
  <si>
    <t>GUM807</t>
  </si>
  <si>
    <t>Ansar Ali Para</t>
  </si>
  <si>
    <t xml:space="preserve">আনসার আলী পাড়া </t>
  </si>
  <si>
    <t>GUM808</t>
  </si>
  <si>
    <t>Abukha Para</t>
  </si>
  <si>
    <t>আবুখা পাড়া</t>
  </si>
  <si>
    <t>GUM809</t>
  </si>
  <si>
    <t>Kanchkau Para</t>
  </si>
  <si>
    <t>কাঁচকাউ পাড়া</t>
  </si>
  <si>
    <t>GUM901</t>
  </si>
  <si>
    <t>GUM902</t>
  </si>
  <si>
    <t>Bhangamura-1</t>
  </si>
  <si>
    <t>ভাঙ্গামুড়া-১</t>
  </si>
  <si>
    <t>GUM903</t>
  </si>
  <si>
    <t>Bhangamura-2</t>
  </si>
  <si>
    <t>ভাঙ্গামুড়া-২</t>
  </si>
  <si>
    <t>GUM904</t>
  </si>
  <si>
    <t>GUM905</t>
  </si>
  <si>
    <t>Rangajala Para</t>
  </si>
  <si>
    <t>রঙ্গজালা পাড়া</t>
  </si>
  <si>
    <t>GUM906</t>
  </si>
  <si>
    <t>Bumungkarai Para</t>
  </si>
  <si>
    <t>বুমুংকরই পাড়া</t>
  </si>
  <si>
    <t>GUM907</t>
  </si>
  <si>
    <t>Gokul Mani Para</t>
  </si>
  <si>
    <t>গকুল মনি পাড়া</t>
  </si>
  <si>
    <t>GUM908</t>
  </si>
  <si>
    <t>Gokul Mani Natun Para</t>
  </si>
  <si>
    <t>গকুল মনি নতুন পাড়া</t>
  </si>
  <si>
    <t>GUM909</t>
  </si>
  <si>
    <t>Gokul Mani BGB Camp</t>
  </si>
  <si>
    <t xml:space="preserve">গকুল মনি বিজিবি ক্যাম্প </t>
  </si>
  <si>
    <t>GUM910</t>
  </si>
  <si>
    <t>GUM911</t>
  </si>
  <si>
    <t>Daldali Chandrapurna Karbari Para</t>
  </si>
  <si>
    <t>দলদলী চন্দ্রপূর্ণ কারবারি পাড়া</t>
  </si>
  <si>
    <t>MAA101</t>
  </si>
  <si>
    <t>Haripurna Karbari Para</t>
  </si>
  <si>
    <t>হরিপূর্ণ কারবারি পাড়া</t>
  </si>
  <si>
    <t>MAA102</t>
  </si>
  <si>
    <t>Taikatang Ramananda Headman Para</t>
  </si>
  <si>
    <t>তৈকাতাং রামানন্দ হেডম্যান পাড়া</t>
  </si>
  <si>
    <t>MAA103</t>
  </si>
  <si>
    <t>Hetendra Karbari Para</t>
  </si>
  <si>
    <t>হেতেন্দ্র কারবারি পাড়া</t>
  </si>
  <si>
    <t>MAA104</t>
  </si>
  <si>
    <t>Narayan Sen Karbari Para</t>
  </si>
  <si>
    <t>নারায়ণ সেন কারবারি পাড়া</t>
  </si>
  <si>
    <t>MAA105</t>
  </si>
  <si>
    <t>Hayachandra Karbari Para</t>
  </si>
  <si>
    <t>হয়াচন্দ্র কারবারি পাড়া</t>
  </si>
  <si>
    <t>MAA106</t>
  </si>
  <si>
    <t>Hari Kumar Para</t>
  </si>
  <si>
    <t>হরি কুমার পাড়া</t>
  </si>
  <si>
    <t>MAA107</t>
  </si>
  <si>
    <t>Kappara</t>
  </si>
  <si>
    <t>কাপপাড়া</t>
  </si>
  <si>
    <t>MAA108</t>
  </si>
  <si>
    <t>Taikatang Para</t>
  </si>
  <si>
    <t>তৈকাতাং পাড়া</t>
  </si>
  <si>
    <t>MAA109</t>
  </si>
  <si>
    <t>Thapaipara</t>
  </si>
  <si>
    <t>থাপৈইপাড়া</t>
  </si>
  <si>
    <t>MAA110</t>
  </si>
  <si>
    <t>Taikatang Army Camp</t>
  </si>
  <si>
    <t>তৈকাতাং আর্মি ক্যাম্প</t>
  </si>
  <si>
    <t>MAA111</t>
  </si>
  <si>
    <t>Alutila Hridoy Member Para</t>
  </si>
  <si>
    <t>আলুটিলা হ্রদয় মেম্বার পাড়া</t>
  </si>
  <si>
    <t>MAA201</t>
  </si>
  <si>
    <t>Jharna Para</t>
  </si>
  <si>
    <t>ঝর্না পাড়া</t>
  </si>
  <si>
    <t>MAA202</t>
  </si>
  <si>
    <t>Hachuk Para</t>
  </si>
  <si>
    <t>হাচৌক পাড়া</t>
  </si>
  <si>
    <t>MAA203</t>
  </si>
  <si>
    <t>Jumia Punarbasan Para</t>
  </si>
  <si>
    <t>জুমিয়া পুনর্বাসন পাড়া</t>
  </si>
  <si>
    <t>MAA204</t>
  </si>
  <si>
    <t>Chouddakhar Para</t>
  </si>
  <si>
    <t>চৌদ্দখর পাড়া</t>
  </si>
  <si>
    <t>MAA205</t>
  </si>
  <si>
    <t>Khedapara</t>
  </si>
  <si>
    <t>খেদাপাড়া</t>
  </si>
  <si>
    <t>MAA206</t>
  </si>
  <si>
    <t>Dhalia Hajapara</t>
  </si>
  <si>
    <t>ধলিয়া হাজাপাড়া</t>
  </si>
  <si>
    <t>MAA207</t>
  </si>
  <si>
    <t>Kamalcharan Karbari Para</t>
  </si>
  <si>
    <t>কমলচরণ কারবারি পাড়া</t>
  </si>
  <si>
    <t>MAA208</t>
  </si>
  <si>
    <t>Beraichandra Karbari Para</t>
  </si>
  <si>
    <t>বেরাইচন্দ্র কারবারি পাড়া</t>
  </si>
  <si>
    <t>MAA209</t>
  </si>
  <si>
    <t>Alutila Army Camp</t>
  </si>
  <si>
    <t>আলুটিলা আর্মি ক্যাম্প</t>
  </si>
  <si>
    <t>MAA210</t>
  </si>
  <si>
    <t>Alutila Parzatan Pahar</t>
  </si>
  <si>
    <t>আলুটিলা পর্যটন পাড়া</t>
  </si>
  <si>
    <t>MAA211</t>
  </si>
  <si>
    <t>Bireandra Karbari Para</t>
  </si>
  <si>
    <t>বীরেন্দ্র কারবারি পাড়া</t>
  </si>
  <si>
    <t>MAA301</t>
  </si>
  <si>
    <t>Kul Para</t>
  </si>
  <si>
    <t>কুল পাড়া</t>
  </si>
  <si>
    <t>MAA302</t>
  </si>
  <si>
    <t>Tapta Master Para</t>
  </si>
  <si>
    <t>তপ্ত মাস্টার পাড়া</t>
  </si>
  <si>
    <t>MAA303</t>
  </si>
  <si>
    <t>Daya Headman Para</t>
  </si>
  <si>
    <t>দয়া হেডম্যান পাড়া</t>
  </si>
  <si>
    <t>MAA304</t>
  </si>
  <si>
    <t>Dharani Karbari Para</t>
  </si>
  <si>
    <t>ধরনী কারবারি পাড়া</t>
  </si>
  <si>
    <t>MAA305</t>
  </si>
  <si>
    <t>Kanthalpara</t>
  </si>
  <si>
    <t>কাঁঠালপাড়া</t>
  </si>
  <si>
    <t>MAA306</t>
  </si>
  <si>
    <t>Digendra Karbari Para</t>
  </si>
  <si>
    <t>দিগেন্দ্র কারবারি পাড়া</t>
  </si>
  <si>
    <t>MAA307</t>
  </si>
  <si>
    <t>Byangamara Para</t>
  </si>
  <si>
    <t>ব্যাঙমারা পাড়া</t>
  </si>
  <si>
    <t>MAA401</t>
  </si>
  <si>
    <t>Ashutosh Karbari Para</t>
  </si>
  <si>
    <t>আশুতোষ কারবারি পাড়া</t>
  </si>
  <si>
    <t>MAA402</t>
  </si>
  <si>
    <t>Khela Kumar Para</t>
  </si>
  <si>
    <t>খেলা কুমার পাড়া</t>
  </si>
  <si>
    <t>MAA403</t>
  </si>
  <si>
    <t>Ichachhara Para</t>
  </si>
  <si>
    <t>ইছাছড়া পাড়া</t>
  </si>
  <si>
    <t>MAA404</t>
  </si>
  <si>
    <t>Ichachhara Muslim Para</t>
  </si>
  <si>
    <t>ইছাছড়া মুসলিম পাড়া</t>
  </si>
  <si>
    <t>MAA405</t>
  </si>
  <si>
    <t>Doulchhari Para</t>
  </si>
  <si>
    <t>দৌলছড়ি পাড়া</t>
  </si>
  <si>
    <t>MAA406</t>
  </si>
  <si>
    <t>Sapmara Para</t>
  </si>
  <si>
    <t>সাপমারা পাড়া</t>
  </si>
  <si>
    <t>MAA407</t>
  </si>
  <si>
    <t>Jumia Para</t>
  </si>
  <si>
    <t>জুমিয়া পাড়া</t>
  </si>
  <si>
    <t>MAA408</t>
  </si>
  <si>
    <t>Ramdayal Para</t>
  </si>
  <si>
    <t>রামদয়াল পাড়া</t>
  </si>
  <si>
    <t>MAA409</t>
  </si>
  <si>
    <t>Sapmara Army Camp</t>
  </si>
  <si>
    <t>সাপমারা আর্মি পাড়া</t>
  </si>
  <si>
    <t>MAA410</t>
  </si>
  <si>
    <t>Brajendra Karbari Para</t>
  </si>
  <si>
    <t>ব্রজেন্দ্র কারবারি পাড়া</t>
  </si>
  <si>
    <t>MAA501</t>
  </si>
  <si>
    <t>Lambachhara Para</t>
  </si>
  <si>
    <t>লম্বাছড়া পাড়া</t>
  </si>
  <si>
    <t>MAA502</t>
  </si>
  <si>
    <t>Ajodhya BGB Camp</t>
  </si>
  <si>
    <t>অযোধ্যা বিজিবি ক্যাম্প</t>
  </si>
  <si>
    <t>MAA503</t>
  </si>
  <si>
    <t>ডিপি পাড়া</t>
  </si>
  <si>
    <t>MAA601</t>
  </si>
  <si>
    <t>Rengkhung Para</t>
  </si>
  <si>
    <t>রেংখুং পাড়া</t>
  </si>
  <si>
    <t>MAA602</t>
  </si>
  <si>
    <t>Bazar Chowdhury Para</t>
  </si>
  <si>
    <t>বাজার চৌধুরী পাড়া</t>
  </si>
  <si>
    <t>MAA603</t>
  </si>
  <si>
    <t>হেডম্যান পাড়া</t>
  </si>
  <si>
    <t>MAA604</t>
  </si>
  <si>
    <t>Gaganchandra Karbari Para</t>
  </si>
  <si>
    <t>গগনচন্দ্র কারবারি পাড়া</t>
  </si>
  <si>
    <t>MAA605</t>
  </si>
  <si>
    <t>2 No. Rubber Bagan</t>
  </si>
  <si>
    <t>২ নং রাবার বাগান</t>
  </si>
  <si>
    <t>MAA606</t>
  </si>
  <si>
    <t>1 No. Rubber Bagan</t>
  </si>
  <si>
    <t xml:space="preserve">১ নং রাবার বাগান  </t>
  </si>
  <si>
    <t>MAA607</t>
  </si>
  <si>
    <t>Chakra Para</t>
  </si>
  <si>
    <t>চক্র পাড়া</t>
  </si>
  <si>
    <t>MAA608</t>
  </si>
  <si>
    <t>Gokul Para</t>
  </si>
  <si>
    <t>গকুল পাড়া</t>
  </si>
  <si>
    <t>MAA701</t>
  </si>
  <si>
    <t>Chichak Para</t>
  </si>
  <si>
    <t>ছিচক পাড়া</t>
  </si>
  <si>
    <t>MAA702</t>
  </si>
  <si>
    <t>Hadok Para</t>
  </si>
  <si>
    <t>হাদোক পাড়া</t>
  </si>
  <si>
    <t>MAA703</t>
  </si>
  <si>
    <t>Saday Para</t>
  </si>
  <si>
    <t>সদায় পাড়া</t>
  </si>
  <si>
    <t>MAA704</t>
  </si>
  <si>
    <t>Dhantiram Para</t>
  </si>
  <si>
    <t>ধন্তিরাম পাড়া</t>
  </si>
  <si>
    <t>MAA705</t>
  </si>
  <si>
    <t>3 No. Rubber Bagan Para</t>
  </si>
  <si>
    <t>৩ নং রাবার বাগান পাড়া</t>
  </si>
  <si>
    <t>MAA706</t>
  </si>
  <si>
    <t>Thangtung Para</t>
  </si>
  <si>
    <t>থাংতুং পাড়া</t>
  </si>
  <si>
    <t>MAA707</t>
  </si>
  <si>
    <t>4 No. Rubber Bagan Para</t>
  </si>
  <si>
    <t>৪ নং রাবার বাগান পাড়া</t>
  </si>
  <si>
    <t>MAA708</t>
  </si>
  <si>
    <t>Kailashingpara</t>
  </si>
  <si>
    <t>কাইলাংশিপাড়া</t>
  </si>
  <si>
    <t>MAA709</t>
  </si>
  <si>
    <t>Munsipara</t>
  </si>
  <si>
    <t>মুন্সীপাড়া</t>
  </si>
  <si>
    <t>MAA710</t>
  </si>
  <si>
    <t>Chilok Para</t>
  </si>
  <si>
    <t>চিলোক পাড়া</t>
  </si>
  <si>
    <t>MAA711</t>
  </si>
  <si>
    <t>Bil Para</t>
  </si>
  <si>
    <t>বিল পাড়া</t>
  </si>
  <si>
    <t>MAA712</t>
  </si>
  <si>
    <t>Chichak Bari Army Camp</t>
  </si>
  <si>
    <t>ছিচক বাড়ি আর্মি ক্যাম্প</t>
  </si>
  <si>
    <t>MAA713</t>
  </si>
  <si>
    <t>Dhaniram Para</t>
  </si>
  <si>
    <t>ধনিরাম পাড়া</t>
  </si>
  <si>
    <t>MAA801</t>
  </si>
  <si>
    <t>Mach Para</t>
  </si>
  <si>
    <t>মাছ পাড়া</t>
  </si>
  <si>
    <t>MAA802</t>
  </si>
  <si>
    <t>Rastachhara Para</t>
  </si>
  <si>
    <t>রাস্তাছড়া পাড়া</t>
  </si>
  <si>
    <t>MAA803</t>
  </si>
  <si>
    <t>Lakkhichhara Para</t>
  </si>
  <si>
    <t>লক্ষীছড়া পাড়া</t>
  </si>
  <si>
    <t>MAA804</t>
  </si>
  <si>
    <t>MAA805</t>
  </si>
  <si>
    <t>Sadiapara</t>
  </si>
  <si>
    <t>সাদিয়াপাড়া</t>
  </si>
  <si>
    <t>MAA806</t>
  </si>
  <si>
    <t>Chaltachhara Para</t>
  </si>
  <si>
    <t>চালতাছড়া পাড়া</t>
  </si>
  <si>
    <t>MAA807</t>
  </si>
  <si>
    <t>Lakkhichhara BGB Camp</t>
  </si>
  <si>
    <t>লক্ষীছড়া বিজিবি ক্যাম্প</t>
  </si>
  <si>
    <t>MAA808</t>
  </si>
  <si>
    <t>Sadiapara BGB Camp</t>
  </si>
  <si>
    <t>সাদিয়াপাড়া বিজিবি ক্যাম্প</t>
  </si>
  <si>
    <t>MAA809</t>
  </si>
  <si>
    <t>Chaltachhara BGB Camp</t>
  </si>
  <si>
    <t>চালতাছড়া বিজিবি ক্যাম্প</t>
  </si>
  <si>
    <t>MAA810</t>
  </si>
  <si>
    <t>Nilanga Headman Para</t>
  </si>
  <si>
    <t>নীলাঙ্গ হেডম্যান পাড়া</t>
  </si>
  <si>
    <t>MAA901</t>
  </si>
  <si>
    <t>Jatin Para</t>
  </si>
  <si>
    <t>যতিন পাড়া</t>
  </si>
  <si>
    <t>MAA902</t>
  </si>
  <si>
    <t>Jarichandra Para</t>
  </si>
  <si>
    <t>জরিচন্দ্র পাড়া</t>
  </si>
  <si>
    <t>MAA903</t>
  </si>
  <si>
    <t>Chaksripara</t>
  </si>
  <si>
    <t>চাকশ্রীপাড়া</t>
  </si>
  <si>
    <t>MAA904</t>
  </si>
  <si>
    <t>Dinabandhupara</t>
  </si>
  <si>
    <t>দ্বীনবন্ধুপাড়া</t>
  </si>
  <si>
    <t>MAA905</t>
  </si>
  <si>
    <t>Dhamaipara</t>
  </si>
  <si>
    <t>ধামাইপাড়া</t>
  </si>
  <si>
    <t>MAA906</t>
  </si>
  <si>
    <t>Taisakatang Para</t>
  </si>
  <si>
    <t>তৈছাকাতাং পাড়া</t>
  </si>
  <si>
    <t>MAA907</t>
  </si>
  <si>
    <t>Hazachhara Para</t>
  </si>
  <si>
    <t>হাজাছড়া পাড়া</t>
  </si>
  <si>
    <t>MAA908</t>
  </si>
  <si>
    <t>Majra Para</t>
  </si>
  <si>
    <t>মাজরা পাড়া</t>
  </si>
  <si>
    <t>MAA909</t>
  </si>
  <si>
    <t>Shraban Chandra Karbari Para</t>
  </si>
  <si>
    <t>শ্রাবণ চন্দ্র কারবারি পাড়া</t>
  </si>
  <si>
    <t>MAA910</t>
  </si>
  <si>
    <t>গর্জনটিলা পাড়া</t>
  </si>
  <si>
    <t>MAA911</t>
  </si>
  <si>
    <t>Rupasing Para</t>
  </si>
  <si>
    <t>রূপাসিং পাড়া</t>
  </si>
  <si>
    <t>MAA912</t>
  </si>
  <si>
    <t>Pashuramghat Army Camp</t>
  </si>
  <si>
    <t>পশুরামঘাট আর্মি ক্যাম্প</t>
  </si>
  <si>
    <t>MAA913</t>
  </si>
  <si>
    <t>Narchandra Karbari Para</t>
  </si>
  <si>
    <t>নরচন্দ্র কারবারি পাড়া</t>
  </si>
  <si>
    <t>MAA914</t>
  </si>
  <si>
    <t>Matiranga Pourasabha</t>
  </si>
  <si>
    <t>10 No. Muslimpur</t>
  </si>
  <si>
    <t>১০ নং মুসলিমপুর</t>
  </si>
  <si>
    <t>MAT101</t>
  </si>
  <si>
    <t>Ichachhara</t>
  </si>
  <si>
    <t>ইছাছড়া</t>
  </si>
  <si>
    <t>MAT102</t>
  </si>
  <si>
    <t>Battali Para</t>
  </si>
  <si>
    <t>বটতলী পাড়া</t>
  </si>
  <si>
    <t>MAT103</t>
  </si>
  <si>
    <t>মুন্সীপাড়া</t>
  </si>
  <si>
    <t>MAT104</t>
  </si>
  <si>
    <t>Gaji Nagar</t>
  </si>
  <si>
    <t>গাজী নগর</t>
  </si>
  <si>
    <t>MAT105</t>
  </si>
  <si>
    <t>Jumma Para</t>
  </si>
  <si>
    <t>জুম্মা পাড়া</t>
  </si>
  <si>
    <t>MAT106</t>
  </si>
  <si>
    <t>10 No. Chakma Para</t>
  </si>
  <si>
    <t>১০ নং চাকমা পাড়া</t>
  </si>
  <si>
    <t>MAT107</t>
  </si>
  <si>
    <t>Kalichandra Para</t>
  </si>
  <si>
    <t xml:space="preserve">কলিচন্দ্র পাড়া </t>
  </si>
  <si>
    <t>MAT108</t>
  </si>
  <si>
    <t>Oli Mohan Para</t>
  </si>
  <si>
    <t>অলি মোহন পাড়া</t>
  </si>
  <si>
    <t>MAT109</t>
  </si>
  <si>
    <t>নতুন পাড়া</t>
  </si>
  <si>
    <t>MAT201</t>
  </si>
  <si>
    <t>কামিনী মেম্বার পাড়া</t>
  </si>
  <si>
    <t>MAT202</t>
  </si>
  <si>
    <t>Nabaray Para</t>
  </si>
  <si>
    <t>নবরায় পাড়া</t>
  </si>
  <si>
    <t>MAT203</t>
  </si>
  <si>
    <t>10 No. Islampur</t>
  </si>
  <si>
    <t>১০ নং ইসলামপুর</t>
  </si>
  <si>
    <t>MAT204</t>
  </si>
  <si>
    <t>Nabinagar</t>
  </si>
  <si>
    <t>নবীনগর</t>
  </si>
  <si>
    <t>MAT205</t>
  </si>
  <si>
    <t>Durga Bari Ansar Battalion Camp</t>
  </si>
  <si>
    <t>দুর্গা বাড়ি আনসার ব্যাটালিয়ন ক্যাম্প</t>
  </si>
  <si>
    <t>MAT206</t>
  </si>
  <si>
    <t>Kazi Para</t>
  </si>
  <si>
    <t>কাজী পাড়া</t>
  </si>
  <si>
    <t>MAT301</t>
  </si>
  <si>
    <t>Purba Kazi Para</t>
  </si>
  <si>
    <t>পূর্ব কাজী পাড়া</t>
  </si>
  <si>
    <t>MAT302</t>
  </si>
  <si>
    <t>Kanto Karbari Para (Chakma Para)</t>
  </si>
  <si>
    <t>কান্ত কারবারি পাড়া (চাকমা পাড়া)</t>
  </si>
  <si>
    <t>MAT303</t>
  </si>
  <si>
    <t>MAT304</t>
  </si>
  <si>
    <t>Hatia Para</t>
  </si>
  <si>
    <t>হাতিয়া পাড়া</t>
  </si>
  <si>
    <t>MAT305</t>
  </si>
  <si>
    <t>Dakkhin Hatia Para</t>
  </si>
  <si>
    <t>দক্ষিণ হাতিয়া পাড়া</t>
  </si>
  <si>
    <t>MAT306</t>
  </si>
  <si>
    <t>Islamnagar</t>
  </si>
  <si>
    <t>ইসলামনগর</t>
  </si>
  <si>
    <t>MAT401</t>
  </si>
  <si>
    <t>Ramij Kerani Para</t>
  </si>
  <si>
    <t>রমিজ কেরানী পাড়া</t>
  </si>
  <si>
    <t>MAT402</t>
  </si>
  <si>
    <t>Farid Dealer Para</t>
  </si>
  <si>
    <t>ফরিদ ডিলার পাড়া</t>
  </si>
  <si>
    <t>MAT403</t>
  </si>
  <si>
    <t>Adarsha Gram Madhya Para</t>
  </si>
  <si>
    <t>আদর্শ গ্রাম মধ্য পাড়া</t>
  </si>
  <si>
    <t>MAT404</t>
  </si>
  <si>
    <t>Azam Ray Para (Shahsi Karbari Para)</t>
  </si>
  <si>
    <t>আজম রায় পাড়া (শশী কারবারি পাড়া)</t>
  </si>
  <si>
    <t>MAT405</t>
  </si>
  <si>
    <t>Latu Leader Para</t>
  </si>
  <si>
    <t>লাতু লিডার পাড়া</t>
  </si>
  <si>
    <t>MAT406</t>
  </si>
  <si>
    <t>Chok Para</t>
  </si>
  <si>
    <t>চোক পাড়া</t>
  </si>
  <si>
    <t>MAT407</t>
  </si>
  <si>
    <t>Palashpur</t>
  </si>
  <si>
    <t>পলাশপুর</t>
  </si>
  <si>
    <t>MAT408</t>
  </si>
  <si>
    <t>Badiram Karbari Para</t>
  </si>
  <si>
    <t>বাদীরাম কারবারি পাড়া</t>
  </si>
  <si>
    <t>MAT409</t>
  </si>
  <si>
    <t>Mangtu Chowdhury Para</t>
  </si>
  <si>
    <t>মংতু চৌধুরী পাড়া</t>
  </si>
  <si>
    <t>MAT501</t>
  </si>
  <si>
    <t>বাবু পাড়া</t>
  </si>
  <si>
    <t>MAT502</t>
  </si>
  <si>
    <t>MAT503</t>
  </si>
  <si>
    <t>Mandir Para</t>
  </si>
  <si>
    <t>মন্দির পাড়া</t>
  </si>
  <si>
    <t>MAT504</t>
  </si>
  <si>
    <t>Quarter Para</t>
  </si>
  <si>
    <t>কোয়ার্টার পাড়া</t>
  </si>
  <si>
    <t>MAT505</t>
  </si>
  <si>
    <t>MAT506</t>
  </si>
  <si>
    <t>Char Para</t>
  </si>
  <si>
    <t xml:space="preserve">চর পাড়া </t>
  </si>
  <si>
    <t>MAT507</t>
  </si>
  <si>
    <t>Puran Bazar</t>
  </si>
  <si>
    <t>পুরান বাজার</t>
  </si>
  <si>
    <t>MAT508</t>
  </si>
  <si>
    <t>Matiranga Bazar Para</t>
  </si>
  <si>
    <t>মাটিরাঙ্গা বাজার পাড়া</t>
  </si>
  <si>
    <t>MAT601</t>
  </si>
  <si>
    <t>MAT602</t>
  </si>
  <si>
    <t>Matabbar Para</t>
  </si>
  <si>
    <t>মাতব্বর পাড়া</t>
  </si>
  <si>
    <t>MAT603</t>
  </si>
  <si>
    <t>T&amp;T Tila Para</t>
  </si>
  <si>
    <t>টিএন্ডটি টিলা পাড়া</t>
  </si>
  <si>
    <t>MAT604</t>
  </si>
  <si>
    <t>Dakter Para</t>
  </si>
  <si>
    <t>ডাক্তার পাড়া</t>
  </si>
  <si>
    <t>MAT605</t>
  </si>
  <si>
    <t>Thana Tila</t>
  </si>
  <si>
    <t>থানা টিলা</t>
  </si>
  <si>
    <t>MAT606</t>
  </si>
  <si>
    <t>MAT701</t>
  </si>
  <si>
    <t>Bali Tila</t>
  </si>
  <si>
    <t>বলি টিলা</t>
  </si>
  <si>
    <t>MAT702</t>
  </si>
  <si>
    <t>Haspatal Para</t>
  </si>
  <si>
    <t>হাসপাতাল পাড়া</t>
  </si>
  <si>
    <t>MAT703</t>
  </si>
  <si>
    <t>Barajhala</t>
  </si>
  <si>
    <t>বড়ঝালা</t>
  </si>
  <si>
    <t>MAT704</t>
  </si>
  <si>
    <t>মোহাম্মদপুর</t>
  </si>
  <si>
    <t>MAT705</t>
  </si>
  <si>
    <t>Bhuiyanpara</t>
  </si>
  <si>
    <t>ভূঁইয়াপাড়া</t>
  </si>
  <si>
    <t>MAT801</t>
  </si>
  <si>
    <t>MAT802</t>
  </si>
  <si>
    <t>Mistri Para</t>
  </si>
  <si>
    <t>মিস্ত্রি পাড়া</t>
  </si>
  <si>
    <t>MAT803</t>
  </si>
  <si>
    <t>MAT804</t>
  </si>
  <si>
    <t>MAT805</t>
  </si>
  <si>
    <t>Pashchim Muslim Para</t>
  </si>
  <si>
    <t>পশ্চিম মুসলিম পাড়া</t>
  </si>
  <si>
    <t>MAT806</t>
  </si>
  <si>
    <t>Matiranga Zone Army Camp</t>
  </si>
  <si>
    <t>মাটিরাঙ্গা জোন সেনাবাহিনী ক্যাম্প</t>
  </si>
  <si>
    <t>MAT807</t>
  </si>
  <si>
    <t>Madhyam Muslim Para</t>
  </si>
  <si>
    <t>মধ্যম মুসলিম পাড়া</t>
  </si>
  <si>
    <t>MAT901</t>
  </si>
  <si>
    <t>Dakkhin Muslim Para</t>
  </si>
  <si>
    <t>দক্ষিণ মুসলিম পাড়া</t>
  </si>
  <si>
    <t>MAT902</t>
  </si>
  <si>
    <t>জিয়া নগর</t>
  </si>
  <si>
    <t>MAT903</t>
  </si>
  <si>
    <t>MAT904</t>
  </si>
  <si>
    <t>Joutha Khamar</t>
  </si>
  <si>
    <t>যৌথ খামার</t>
  </si>
  <si>
    <t>MAT905</t>
  </si>
  <si>
    <t>Bailyachhari</t>
  </si>
  <si>
    <t>বাইল্যাছড়ি</t>
  </si>
  <si>
    <t>MAT906</t>
  </si>
  <si>
    <t>Tabalchhari</t>
  </si>
  <si>
    <t>তালুকদার পাড়া</t>
  </si>
  <si>
    <t>TAB101</t>
  </si>
  <si>
    <t>Majh Para</t>
  </si>
  <si>
    <t>মাঝ পাড়া</t>
  </si>
  <si>
    <t>TAB102</t>
  </si>
  <si>
    <t>Tulatuli</t>
  </si>
  <si>
    <t>তুলাতুলী</t>
  </si>
  <si>
    <t>TAB103</t>
  </si>
  <si>
    <t>Ali Newaj Member Para</t>
  </si>
  <si>
    <t>আলী নেওয়াজ মেম্বার পাড়া</t>
  </si>
  <si>
    <t>TAB104</t>
  </si>
  <si>
    <t>Singha Para</t>
  </si>
  <si>
    <t>সিংহ পাড়া</t>
  </si>
  <si>
    <t>TAB105</t>
  </si>
  <si>
    <t>Noa Para</t>
  </si>
  <si>
    <t>নোয়া পাড়া</t>
  </si>
  <si>
    <t>TAB106</t>
  </si>
  <si>
    <t>Bhagya Para</t>
  </si>
  <si>
    <t>ভাগ্য পাড়া</t>
  </si>
  <si>
    <t>TAB201</t>
  </si>
  <si>
    <t>TAB202</t>
  </si>
  <si>
    <t>Laifu Karbari Para</t>
  </si>
  <si>
    <t>লাইফু কারবারি পাড়া</t>
  </si>
  <si>
    <t>TAB203</t>
  </si>
  <si>
    <t>Shuknachhari</t>
  </si>
  <si>
    <t>শুকনাছড়ি</t>
  </si>
  <si>
    <t>TAB204</t>
  </si>
  <si>
    <t>মোল্লা পাড়া</t>
  </si>
  <si>
    <t>TAB205</t>
  </si>
  <si>
    <t>TAB206</t>
  </si>
  <si>
    <t>Sarkar Para</t>
  </si>
  <si>
    <t>সরকার পাড়া</t>
  </si>
  <si>
    <t>TAB301</t>
  </si>
  <si>
    <t>Haji Para</t>
  </si>
  <si>
    <t>হাজী পাড়া</t>
  </si>
  <si>
    <t>TAB302</t>
  </si>
  <si>
    <t>TAB303</t>
  </si>
  <si>
    <t>TAB304</t>
  </si>
  <si>
    <t>Harun Sardar Para</t>
  </si>
  <si>
    <t>হারুন সর্দার পাড়া</t>
  </si>
  <si>
    <t>TAB401</t>
  </si>
  <si>
    <t>Mamtaj Company Sardar Para</t>
  </si>
  <si>
    <t>মমতাজ কোম্পানি সর্দার পাড়া</t>
  </si>
  <si>
    <t>TAB402</t>
  </si>
  <si>
    <t>Cheru Mia Sardar Para</t>
  </si>
  <si>
    <t>চেরু মিয়া সর্দার পাড়া</t>
  </si>
  <si>
    <t>TAB403</t>
  </si>
  <si>
    <t>Hasem Sardar Para</t>
  </si>
  <si>
    <t>হাসেম সর্দার পাড়া</t>
  </si>
  <si>
    <t>TAB404</t>
  </si>
  <si>
    <t>Idrish Mia Sardar Para</t>
  </si>
  <si>
    <t>ইদ্রিস মিয়া সর্দার পাড়া</t>
  </si>
  <si>
    <t>TAB405</t>
  </si>
  <si>
    <t>Raj Mangal Karbari Para</t>
  </si>
  <si>
    <t>রাজ মঙ্গল কারবারি পাড়া</t>
  </si>
  <si>
    <t>TAB406</t>
  </si>
  <si>
    <t>Ohab Sardar Para</t>
  </si>
  <si>
    <t>ওহাব সর্দার পাড়া</t>
  </si>
  <si>
    <t>TAB501</t>
  </si>
  <si>
    <t>Gafur Sardar Para</t>
  </si>
  <si>
    <t>গফুর সর্দার পাড়া</t>
  </si>
  <si>
    <t>TAB502</t>
  </si>
  <si>
    <t>Mahila Madrasa Para</t>
  </si>
  <si>
    <t>মহিলা মাদ্রাসা পাড়া</t>
  </si>
  <si>
    <t>TAB503</t>
  </si>
  <si>
    <t>Dhan Mia Sardar Para</t>
  </si>
  <si>
    <t>ধন মিয়া সর্দার পাড়া</t>
  </si>
  <si>
    <t>TAB504</t>
  </si>
  <si>
    <t>আদর্শ গ্রাম</t>
  </si>
  <si>
    <t>TAB505</t>
  </si>
  <si>
    <t>মিলন কারবারি পাড়া</t>
  </si>
  <si>
    <t>TAB506</t>
  </si>
  <si>
    <t>Comilla Tila</t>
  </si>
  <si>
    <t>কুমিল্লা টিলা</t>
  </si>
  <si>
    <t>TAB507</t>
  </si>
  <si>
    <t>Tabalchhari Police Investigation Center</t>
  </si>
  <si>
    <t>তবলছড়ি পুলিশ তদন্ত কেন্দ্র</t>
  </si>
  <si>
    <t>TAB508</t>
  </si>
  <si>
    <t>Barabil Muslim Para</t>
  </si>
  <si>
    <t>বড়বিল মুসলিম পাড়া</t>
  </si>
  <si>
    <t>TAB601</t>
  </si>
  <si>
    <t>Tunamia Member Para</t>
  </si>
  <si>
    <t>টুনামিয়া মেম্বার পাড়া</t>
  </si>
  <si>
    <t>TAB602</t>
  </si>
  <si>
    <t>Saiyad Ahmmod Sardar Para</t>
  </si>
  <si>
    <t>সৈয়দ আহম্মদ সর্দার পাড়া</t>
  </si>
  <si>
    <t>TAB603</t>
  </si>
  <si>
    <t>Dewan Chakma Para</t>
  </si>
  <si>
    <t>দেওয়ান চাকমা পাড়া</t>
  </si>
  <si>
    <t>TAB604</t>
  </si>
  <si>
    <t>Dewan Bari BGB Camp</t>
  </si>
  <si>
    <t>দেওয়ান বাড়ি বিজিবি ক্যাম্প</t>
  </si>
  <si>
    <t>TAB605</t>
  </si>
  <si>
    <t>হাজী পাড়া</t>
  </si>
  <si>
    <t>TAB701</t>
  </si>
  <si>
    <t>TAB702</t>
  </si>
  <si>
    <t>Maktab Para</t>
  </si>
  <si>
    <t>মক্তব পাড়া</t>
  </si>
  <si>
    <t>TAB801</t>
  </si>
  <si>
    <t>TAB802</t>
  </si>
  <si>
    <t>TAB803</t>
  </si>
  <si>
    <t>হাসপাতাল পাড়া</t>
  </si>
  <si>
    <t>TAB804</t>
  </si>
  <si>
    <t>Mongjai Karbari Para</t>
  </si>
  <si>
    <t>মংজাই কারবারি পাড়া</t>
  </si>
  <si>
    <t>TAB805</t>
  </si>
  <si>
    <t>TAB806</t>
  </si>
  <si>
    <t>Haspatal Para 23 BGB Camp 23</t>
  </si>
  <si>
    <t>হাসপাতাল পাড়া ২৩ বিজিবি ক্যাম্প</t>
  </si>
  <si>
    <t>TAB807</t>
  </si>
  <si>
    <t>Tabalchhari Madrasa Para</t>
  </si>
  <si>
    <t>তবলছড়ি মাদ্রাসা পাড়া</t>
  </si>
  <si>
    <t>TAB901</t>
  </si>
  <si>
    <t>Tabalchhari Bongpara</t>
  </si>
  <si>
    <t>তবলছড়ি বংপাড়া</t>
  </si>
  <si>
    <t>TAB902</t>
  </si>
  <si>
    <t>Taindang</t>
  </si>
  <si>
    <t>Bagapara (Bilashya Para)</t>
  </si>
  <si>
    <t>বগাপাড়া (বিলাস্যা পাড়া)</t>
  </si>
  <si>
    <t>TAI101</t>
  </si>
  <si>
    <t>Sarbeshwar Para</t>
  </si>
  <si>
    <t>শবের্শ্বর পাড়া</t>
  </si>
  <si>
    <t>TAI102</t>
  </si>
  <si>
    <t>Manudash Para</t>
  </si>
  <si>
    <t>মনুদাশ পাড়া</t>
  </si>
  <si>
    <t>TAI103</t>
  </si>
  <si>
    <t>Achalang Mag Para</t>
  </si>
  <si>
    <t>আচালং মগ পাড়া</t>
  </si>
  <si>
    <t>TAI104</t>
  </si>
  <si>
    <t>Achalang Islampur</t>
  </si>
  <si>
    <t>আচালং ইসলামপুর</t>
  </si>
  <si>
    <t>TAI105</t>
  </si>
  <si>
    <t>Ajgor Sardar Para (Taher Sardar)</t>
  </si>
  <si>
    <t>আজগর সর্দার পাড়া (তাহের সর্দার)</t>
  </si>
  <si>
    <t>TAI106</t>
  </si>
  <si>
    <t>Bagapara BGB Camp</t>
  </si>
  <si>
    <t>বগাপাড়া বিজিবি ক্যাম্প</t>
  </si>
  <si>
    <t>TAI107</t>
  </si>
  <si>
    <t>Achalang BGB Camp</t>
  </si>
  <si>
    <t>আচালং বিজিবি ক্যাম্প</t>
  </si>
  <si>
    <t>TAI108</t>
  </si>
  <si>
    <t>Fenichhara BGB Camp</t>
  </si>
  <si>
    <t>ফেনিছড়া বিজিবি ক্যাম্প</t>
  </si>
  <si>
    <t>TAI109</t>
  </si>
  <si>
    <t>TAI201</t>
  </si>
  <si>
    <t>Mamtaj Sardar Para</t>
  </si>
  <si>
    <t>মমতাজ সর্দার পাড়া</t>
  </si>
  <si>
    <t>TAI202</t>
  </si>
  <si>
    <t>Subhan Sardar Para</t>
  </si>
  <si>
    <t>সুবহান সর্দার পাড়া</t>
  </si>
  <si>
    <t>TAI203</t>
  </si>
  <si>
    <t>Karam Ali Member Para</t>
  </si>
  <si>
    <t>করম আলী মেম্বার পাড়া</t>
  </si>
  <si>
    <t>TAI204</t>
  </si>
  <si>
    <t>Krishna Dayal Para</t>
  </si>
  <si>
    <t>কৃষ্ণ দয়াল পাড়া</t>
  </si>
  <si>
    <t>TAI301</t>
  </si>
  <si>
    <t>Shaheb Sardar Para</t>
  </si>
  <si>
    <t>সাহেব সর্দার পাড়া</t>
  </si>
  <si>
    <t>TAI302</t>
  </si>
  <si>
    <t>Hedayet Ullah Sardar Para</t>
  </si>
  <si>
    <t>হেদায়েত উল্লাহ সর্দার পাড়া</t>
  </si>
  <si>
    <t>TAI303</t>
  </si>
  <si>
    <t>Abdul Barek Leader Para</t>
  </si>
  <si>
    <t>আব্দুল বারেক লিডার পাড়া</t>
  </si>
  <si>
    <t>TAI304</t>
  </si>
  <si>
    <t>Asmot Ali Para</t>
  </si>
  <si>
    <t>আসমত আলী সর্দার পাড়া</t>
  </si>
  <si>
    <t>TAI305</t>
  </si>
  <si>
    <t>Krishna Para BGB Camp</t>
  </si>
  <si>
    <t>কৃষ্ণ পাড়া বিজিবি ক্যাম্প</t>
  </si>
  <si>
    <t>TAI306</t>
  </si>
  <si>
    <t>Tanakka Para</t>
  </si>
  <si>
    <t>তানাক্কা পাড়া</t>
  </si>
  <si>
    <t>TAI401</t>
  </si>
  <si>
    <t>Manjil Sardar Para (Battali)</t>
  </si>
  <si>
    <t>মঞ্জিল সর্দার পাড়া (বটতলী)</t>
  </si>
  <si>
    <t>TAI402</t>
  </si>
  <si>
    <t>Sinduk Depa</t>
  </si>
  <si>
    <t>সিন্দুক ডেপা</t>
  </si>
  <si>
    <t>TAI403</t>
  </si>
  <si>
    <t>Tanakka Para BGB Camp</t>
  </si>
  <si>
    <t>তানাক্কা পাড়া বিজিবি ক্যাম্প</t>
  </si>
  <si>
    <t>TAI404</t>
  </si>
  <si>
    <t>TAI501</t>
  </si>
  <si>
    <t>Batti Tila</t>
  </si>
  <si>
    <t>বাট্টি টিলা</t>
  </si>
  <si>
    <t>TAI502</t>
  </si>
  <si>
    <t>Bandar Sing Para</t>
  </si>
  <si>
    <t>বান্দর সিং পাড়া</t>
  </si>
  <si>
    <t>TAI503</t>
  </si>
  <si>
    <t>Uttar Baghmara</t>
  </si>
  <si>
    <t>উত্তর বাঘমারা</t>
  </si>
  <si>
    <t>TAI504</t>
  </si>
  <si>
    <t>Bandar Sing Para BGB Camp</t>
  </si>
  <si>
    <t>বান্দর সিং বিজিবি ক্যাম্প</t>
  </si>
  <si>
    <t>TAI505</t>
  </si>
  <si>
    <t>B-Tila BOP Camp</t>
  </si>
  <si>
    <t>বি-টিলা বিওপি ক্যাম্প</t>
  </si>
  <si>
    <t>TAI506</t>
  </si>
  <si>
    <t>TAI601</t>
  </si>
  <si>
    <t>Kutubuddin Sardar Para</t>
  </si>
  <si>
    <t>কুতুবউদ্দিন সর্দার পাড়া</t>
  </si>
  <si>
    <t>TAI701</t>
  </si>
  <si>
    <t>Hafez Ullah Sardar Para</t>
  </si>
  <si>
    <t>হাফেজ উল্লাহ সর্দার পাড়া</t>
  </si>
  <si>
    <t>TAI702</t>
  </si>
  <si>
    <t>Dhanu Member Para</t>
  </si>
  <si>
    <t>ধনু মেম্বার পাড়া</t>
  </si>
  <si>
    <t>TAI703</t>
  </si>
  <si>
    <t>Khalek Saradr Para</t>
  </si>
  <si>
    <t>খালেক সর্দার পাড়া</t>
  </si>
  <si>
    <t>TAI704</t>
  </si>
  <si>
    <t>Rashid Member Madrasa Para</t>
  </si>
  <si>
    <t>রশিদ মেম্বার মাদ্রাসা পাড়া</t>
  </si>
  <si>
    <t>TAI801</t>
  </si>
  <si>
    <t>Abu Hanif Member Para</t>
  </si>
  <si>
    <t>আবু হানিফ মেম্বার পাড়া</t>
  </si>
  <si>
    <t>TAI802</t>
  </si>
  <si>
    <t>Manik Member Para</t>
  </si>
  <si>
    <t>মানিক মেম্বার পাড়া</t>
  </si>
  <si>
    <t>TAI803</t>
  </si>
  <si>
    <t>Tanga Mahajan Para</t>
  </si>
  <si>
    <t>তংগা মহাজন পাড়া</t>
  </si>
  <si>
    <t>TAI804</t>
  </si>
  <si>
    <t>Taindang BGB Camp</t>
  </si>
  <si>
    <t>তাইন্দং বিজিবি ক্যাম্প</t>
  </si>
  <si>
    <t>TAI805</t>
  </si>
  <si>
    <t>Taindang Police Fari</t>
  </si>
  <si>
    <t>তাইন্দং পুলিশ ফাঁড়ি</t>
  </si>
  <si>
    <t>TAI806</t>
  </si>
  <si>
    <t>TAI901</t>
  </si>
  <si>
    <t>Pora Bari</t>
  </si>
  <si>
    <t>পোড়া বাড়ি</t>
  </si>
  <si>
    <t>TAI902</t>
  </si>
  <si>
    <t>Upazila Name</t>
  </si>
  <si>
    <t>Ramgarh</t>
  </si>
  <si>
    <t>Sq No</t>
  </si>
  <si>
    <t>Bandarban</t>
  </si>
  <si>
    <t>Patachhara</t>
  </si>
  <si>
    <t>PAT101</t>
  </si>
  <si>
    <t>Manikchandra Para</t>
  </si>
  <si>
    <t>মানিকচন্দ্র পাড়া</t>
  </si>
  <si>
    <t>PAT102</t>
  </si>
  <si>
    <t>Buddhadhan Para</t>
  </si>
  <si>
    <t>বুদ্ধধন পাড়া</t>
  </si>
  <si>
    <t>PAT103</t>
  </si>
  <si>
    <t>PAT104</t>
  </si>
  <si>
    <t>Nabadwip Karbari Para</t>
  </si>
  <si>
    <t>নবদ্বীপ কারবারি পাড়া</t>
  </si>
  <si>
    <t>PAT105</t>
  </si>
  <si>
    <t>Temaram Para</t>
  </si>
  <si>
    <t>তেমরম পাড়া</t>
  </si>
  <si>
    <t>PAT106</t>
  </si>
  <si>
    <t>Thalibari</t>
  </si>
  <si>
    <t>থলিবাড়ি</t>
  </si>
  <si>
    <t>PAT107</t>
  </si>
  <si>
    <t>PAT108</t>
  </si>
  <si>
    <t>Hridaymani Karbari Para</t>
  </si>
  <si>
    <t>হৃদয়মণি কারবারি পাড়া</t>
  </si>
  <si>
    <t>PAT109</t>
  </si>
  <si>
    <t>Dakbangla</t>
  </si>
  <si>
    <t>ডাকবাংলা</t>
  </si>
  <si>
    <t>PAT201</t>
  </si>
  <si>
    <t>পাতাছড়া</t>
  </si>
  <si>
    <t>PAT202</t>
  </si>
  <si>
    <t>Deepta Karbari Para</t>
  </si>
  <si>
    <t>দীপ্ত কারবারি পাড়া</t>
  </si>
  <si>
    <t>PAT203</t>
  </si>
  <si>
    <t>Kalabari</t>
  </si>
  <si>
    <t>কলাবাড়ি</t>
  </si>
  <si>
    <t>PAT204</t>
  </si>
  <si>
    <t>Patachhara Bazar Ansar Camp</t>
  </si>
  <si>
    <t>পাতাছড়া বাজার আনসার ক্যাম্প</t>
  </si>
  <si>
    <t>PAT205</t>
  </si>
  <si>
    <t>Puran Nakapa</t>
  </si>
  <si>
    <t>পুরান নাকাপা</t>
  </si>
  <si>
    <t>PAT301</t>
  </si>
  <si>
    <t>Dataram Para</t>
  </si>
  <si>
    <t>দাতারাম পাড়া</t>
  </si>
  <si>
    <t>PAT302</t>
  </si>
  <si>
    <t>PAT303</t>
  </si>
  <si>
    <t>Nakapa Bazar</t>
  </si>
  <si>
    <t>নাকাপা বাজার</t>
  </si>
  <si>
    <t>PAT304</t>
  </si>
  <si>
    <t>Talmani Para</t>
  </si>
  <si>
    <t>তালমণি পাড়া</t>
  </si>
  <si>
    <t>PAT305</t>
  </si>
  <si>
    <t>Budangchhara</t>
  </si>
  <si>
    <t>বুদংছড়া</t>
  </si>
  <si>
    <t>PAT306</t>
  </si>
  <si>
    <t>Nakapa Police Camp</t>
  </si>
  <si>
    <t>নাকাপা পুলিশ ক্যাম্প</t>
  </si>
  <si>
    <t>PAT307</t>
  </si>
  <si>
    <t>Mahabub Nagar</t>
  </si>
  <si>
    <t>মাহাবুব নগর</t>
  </si>
  <si>
    <t>PAT401</t>
  </si>
  <si>
    <t>Pailyabhanga</t>
  </si>
  <si>
    <t>পাইল্যাভাঙ্গা</t>
  </si>
  <si>
    <t>PAT402</t>
  </si>
  <si>
    <t>Tabla Para</t>
  </si>
  <si>
    <t>তবলা পাড়া</t>
  </si>
  <si>
    <t>PAT403</t>
  </si>
  <si>
    <t>Taichakma</t>
  </si>
  <si>
    <t>তৈচাকমা</t>
  </si>
  <si>
    <t>PAT501</t>
  </si>
  <si>
    <t>Kumari Para</t>
  </si>
  <si>
    <t>কুমারী পাড়া</t>
  </si>
  <si>
    <t>PAT502</t>
  </si>
  <si>
    <t>Sadhu Para</t>
  </si>
  <si>
    <t>সাধু পাড়া</t>
  </si>
  <si>
    <t>PAT503</t>
  </si>
  <si>
    <t>PAT504</t>
  </si>
  <si>
    <t>Nabhanga</t>
  </si>
  <si>
    <t>নাভাঙ্গা</t>
  </si>
  <si>
    <t>PAT505</t>
  </si>
  <si>
    <t>Pagla Para</t>
  </si>
  <si>
    <t>পাগলা পাড়া</t>
  </si>
  <si>
    <t>PAT506</t>
  </si>
  <si>
    <t>রাজকুমার পাড়া</t>
  </si>
  <si>
    <t>PAT507</t>
  </si>
  <si>
    <t>PAT508</t>
  </si>
  <si>
    <t>Hachok Para</t>
  </si>
  <si>
    <t>হাচোক পাড়া</t>
  </si>
  <si>
    <t>PAT509</t>
  </si>
  <si>
    <t>Purba Natunpara</t>
  </si>
  <si>
    <t>পূর্ব নতুনপাড়া</t>
  </si>
  <si>
    <t>PAT510</t>
  </si>
  <si>
    <t>PAT601</t>
  </si>
  <si>
    <t>Dhaka Colony</t>
  </si>
  <si>
    <t>ঢাকা কলোনি</t>
  </si>
  <si>
    <t>PAT602</t>
  </si>
  <si>
    <t>Chaidanchhara</t>
  </si>
  <si>
    <t>ছাইদংছড়া</t>
  </si>
  <si>
    <t>PAT603</t>
  </si>
  <si>
    <t>PAT604</t>
  </si>
  <si>
    <t>Madhupur</t>
  </si>
  <si>
    <t>মধুপুর</t>
  </si>
  <si>
    <t>PAT605</t>
  </si>
  <si>
    <t>Chota Belchhari Para</t>
  </si>
  <si>
    <t>ছোট বেলছড়ি পাড়া</t>
  </si>
  <si>
    <t>PAT701</t>
  </si>
  <si>
    <t>Kampruepara</t>
  </si>
  <si>
    <t>কম্প্রুপাড়া</t>
  </si>
  <si>
    <t>PAT702</t>
  </si>
  <si>
    <t>Salda Para</t>
  </si>
  <si>
    <t>সালদা পাড়া</t>
  </si>
  <si>
    <t>PAT703</t>
  </si>
  <si>
    <t>গুজা পাড়া</t>
  </si>
  <si>
    <t>PAT704</t>
  </si>
  <si>
    <t>নোয়া পাড়া</t>
  </si>
  <si>
    <t>PAT705</t>
  </si>
  <si>
    <t>Belchhari Para</t>
  </si>
  <si>
    <t>বেলছড়ি পাড়া</t>
  </si>
  <si>
    <t>PAT706</t>
  </si>
  <si>
    <t>Salda Baidya Para</t>
  </si>
  <si>
    <t>সালদা বৈদ্য পাড়া</t>
  </si>
  <si>
    <t>PAT707</t>
  </si>
  <si>
    <t>Dakkhin Balukhali</t>
  </si>
  <si>
    <t>দক্ষিণ বালুখালি</t>
  </si>
  <si>
    <t>PAT801</t>
  </si>
  <si>
    <t>Gaira Para</t>
  </si>
  <si>
    <t>গৈরা পাড়া</t>
  </si>
  <si>
    <t>PAT802</t>
  </si>
  <si>
    <t>Hati Kumba Para</t>
  </si>
  <si>
    <t>হাতি কুমবা পাড়া</t>
  </si>
  <si>
    <t>PAT803</t>
  </si>
  <si>
    <t>Mara Kaila Para</t>
  </si>
  <si>
    <t>মরা কৈলা পাড়া</t>
  </si>
  <si>
    <t>PAT804</t>
  </si>
  <si>
    <t>কালাপানি</t>
  </si>
  <si>
    <t>PAT805</t>
  </si>
  <si>
    <t>Balukhali</t>
  </si>
  <si>
    <t>বালুখালি</t>
  </si>
  <si>
    <t>PAT901</t>
  </si>
  <si>
    <t>Sonar Khil</t>
  </si>
  <si>
    <t>সোনার খীল</t>
  </si>
  <si>
    <t>PAT902</t>
  </si>
  <si>
    <t>Rupaising Para</t>
  </si>
  <si>
    <t>রূপাইসিং পাড়া</t>
  </si>
  <si>
    <t>PAT903</t>
  </si>
  <si>
    <t>Lachari Para</t>
  </si>
  <si>
    <t>লাচারী পাড়া</t>
  </si>
  <si>
    <t>RAG101</t>
  </si>
  <si>
    <t>Banabihar</t>
  </si>
  <si>
    <t>বনবিহার</t>
  </si>
  <si>
    <t>RAG102</t>
  </si>
  <si>
    <t>Chota Kheda</t>
  </si>
  <si>
    <t>ছোট খেদা</t>
  </si>
  <si>
    <t>RAG103</t>
  </si>
  <si>
    <t>Bara Kheda</t>
  </si>
  <si>
    <t>বড় খেদা</t>
  </si>
  <si>
    <t>RAG104</t>
  </si>
  <si>
    <t>Kashi Bari</t>
  </si>
  <si>
    <t>কাশী বাড়ি</t>
  </si>
  <si>
    <t>RAG105</t>
  </si>
  <si>
    <t>Pilak Ghat</t>
  </si>
  <si>
    <t>পিলাক ঘাট</t>
  </si>
  <si>
    <t>RAG106</t>
  </si>
  <si>
    <t>Lachari Para BGB Camp</t>
  </si>
  <si>
    <t>লাচারী পাড়া বিজিবি ক্যাম্প</t>
  </si>
  <si>
    <t>RAG107</t>
  </si>
  <si>
    <t>Kashi Bari BGB Camp</t>
  </si>
  <si>
    <t>কাশী বাড়ি বিজিবি ক্যাম্প</t>
  </si>
  <si>
    <t>RAG108</t>
  </si>
  <si>
    <t>Ujai Chowdhury Para</t>
  </si>
  <si>
    <t>উজাই চৌধুরী পাড়া</t>
  </si>
  <si>
    <t>RAG201</t>
  </si>
  <si>
    <t>মুসলিম পাড়া</t>
  </si>
  <si>
    <t>RAG202</t>
  </si>
  <si>
    <t>Angtu Para</t>
  </si>
  <si>
    <t>অংতু পাড়া</t>
  </si>
  <si>
    <t>RAG203</t>
  </si>
  <si>
    <t>Kalaprue Para</t>
  </si>
  <si>
    <t>কলাপ্রু পাড়া</t>
  </si>
  <si>
    <t>RAG204</t>
  </si>
  <si>
    <t>Chingchhari Para</t>
  </si>
  <si>
    <t xml:space="preserve">চিংছড়ি পাড়া </t>
  </si>
  <si>
    <t>RAG205</t>
  </si>
  <si>
    <t>Aunghla Para</t>
  </si>
  <si>
    <t>অংহ্লা পাড়া</t>
  </si>
  <si>
    <t>RAG206</t>
  </si>
  <si>
    <t>রাজ পাড়া</t>
  </si>
  <si>
    <t>RAG207</t>
  </si>
  <si>
    <t>RAG301</t>
  </si>
  <si>
    <t>বাজার চৌধুরী পাড়া</t>
  </si>
  <si>
    <t>RAG302</t>
  </si>
  <si>
    <t>বৈদ্য পাড়া</t>
  </si>
  <si>
    <t>RAG303</t>
  </si>
  <si>
    <t>Kanta Para</t>
  </si>
  <si>
    <t>কান্ত পাড়া</t>
  </si>
  <si>
    <t>RAG304</t>
  </si>
  <si>
    <t>Russia Para</t>
  </si>
  <si>
    <t>রাশিয়া পাড়া</t>
  </si>
  <si>
    <t>RAG305</t>
  </si>
  <si>
    <t>Taikathang Para</t>
  </si>
  <si>
    <t>তৈকাথাং পাড়া</t>
  </si>
  <si>
    <t>RAG306</t>
  </si>
  <si>
    <t>Daktar Para (Hazchhara)</t>
  </si>
  <si>
    <t>ডাক্তার পাড়া (হাজছড়া)</t>
  </si>
  <si>
    <t>RAG307</t>
  </si>
  <si>
    <t>Baidya Para BGB Camp</t>
  </si>
  <si>
    <t>বৈদ্য পাড়া বিজিবি ক্যাম্প</t>
  </si>
  <si>
    <t>RAG308</t>
  </si>
  <si>
    <t>Uttar Sonai Aga</t>
  </si>
  <si>
    <t>উত্তর সোনাই আগা</t>
  </si>
  <si>
    <t>RAG401</t>
  </si>
  <si>
    <t>Brata Chandra Para</t>
  </si>
  <si>
    <t>ব্রত চন্দ্র পাড়া</t>
  </si>
  <si>
    <t>RAG402</t>
  </si>
  <si>
    <t>Ramgarh Joutha Khamar</t>
  </si>
  <si>
    <t>রামগড় যৌথ খামার</t>
  </si>
  <si>
    <t>RAG403</t>
  </si>
  <si>
    <t>RAG404</t>
  </si>
  <si>
    <t>Nurpur</t>
  </si>
  <si>
    <t>নূরপুর</t>
  </si>
  <si>
    <t>RAG405</t>
  </si>
  <si>
    <t>Chand Para</t>
  </si>
  <si>
    <t>চান্দ পাড়া</t>
  </si>
  <si>
    <t>RAG406</t>
  </si>
  <si>
    <t>Tokaniachhara Para</t>
  </si>
  <si>
    <t>তোকানিয়াছড়া পাড়া</t>
  </si>
  <si>
    <t>RAG407</t>
  </si>
  <si>
    <t>Dakkhin Lamku Para</t>
  </si>
  <si>
    <t>দক্ষিণ লামকু পাড়া</t>
  </si>
  <si>
    <t>RAG501</t>
  </si>
  <si>
    <t>Uttar Lamku Para</t>
  </si>
  <si>
    <t>উত্তর লামকু পাড়া</t>
  </si>
  <si>
    <t>RAG502</t>
  </si>
  <si>
    <t>Madhyam Lamku Para</t>
  </si>
  <si>
    <t>মধ্যম লামকু পাড়া</t>
  </si>
  <si>
    <t>RAG503</t>
  </si>
  <si>
    <t>Dakkhin Sonai Aga</t>
  </si>
  <si>
    <t>দক্ষিণ সোনাই আগা</t>
  </si>
  <si>
    <t>RAG504</t>
  </si>
  <si>
    <t>Lalchhari Para</t>
  </si>
  <si>
    <t>লালছড়ি পাড়া</t>
  </si>
  <si>
    <t>RAG601</t>
  </si>
  <si>
    <t>Thanachandra Para</t>
  </si>
  <si>
    <t>থানাচন্দ্র পাড়া</t>
  </si>
  <si>
    <t>RAG602</t>
  </si>
  <si>
    <t>Rambanu Para</t>
  </si>
  <si>
    <t>রামবানু পাড়া</t>
  </si>
  <si>
    <t>RAG603</t>
  </si>
  <si>
    <t>RAG604</t>
  </si>
  <si>
    <t>Garu Kata</t>
  </si>
  <si>
    <t>গরু কাটা</t>
  </si>
  <si>
    <t>RAG605</t>
  </si>
  <si>
    <t>Mangpru Para</t>
  </si>
  <si>
    <t>মাংপ্রু পাড়া</t>
  </si>
  <si>
    <t>RAG606</t>
  </si>
  <si>
    <t>Abayshe Para</t>
  </si>
  <si>
    <t>আবাইশে পাড়া</t>
  </si>
  <si>
    <t>RAG607</t>
  </si>
  <si>
    <t>Bariccha Tila</t>
  </si>
  <si>
    <t>বারিচ্চা টিলা</t>
  </si>
  <si>
    <t>RAG608</t>
  </si>
  <si>
    <t>Purba Bali Para</t>
  </si>
  <si>
    <t>পূর্ব বলি পাড়া</t>
  </si>
  <si>
    <t>RAG701</t>
  </si>
  <si>
    <t>Pashchim Bali Para</t>
  </si>
  <si>
    <t>পশ্চিম বলি পাড়া</t>
  </si>
  <si>
    <t>RAG702</t>
  </si>
  <si>
    <t>Bali Para</t>
  </si>
  <si>
    <t>বলি পাড়া</t>
  </si>
  <si>
    <t>RAG703</t>
  </si>
  <si>
    <t>কাজী পাড়া</t>
  </si>
  <si>
    <t>RAG704</t>
  </si>
  <si>
    <t>Khagrabil</t>
  </si>
  <si>
    <t xml:space="preserve">খাগড়াবিল </t>
  </si>
  <si>
    <t>RAG801</t>
  </si>
  <si>
    <t>Waifa Para</t>
  </si>
  <si>
    <t>ওয়াইফা পাড়া</t>
  </si>
  <si>
    <t>RAG802</t>
  </si>
  <si>
    <t>Barma Tila</t>
  </si>
  <si>
    <t>বর্মা টিলা</t>
  </si>
  <si>
    <t>RAG803</t>
  </si>
  <si>
    <t>RAG804</t>
  </si>
  <si>
    <t>Kyangtila</t>
  </si>
  <si>
    <t>কেয়াংটিলা</t>
  </si>
  <si>
    <t>RAG901</t>
  </si>
  <si>
    <t>Banshpara</t>
  </si>
  <si>
    <t>বাঁশপাড়া</t>
  </si>
  <si>
    <t>RAG902</t>
  </si>
  <si>
    <t>Rupaichhari</t>
  </si>
  <si>
    <t xml:space="preserve">রূপাইছড়ি </t>
  </si>
  <si>
    <t>RAG903</t>
  </si>
  <si>
    <t>Tarachan Para</t>
  </si>
  <si>
    <t>তারাচান পাড়া</t>
  </si>
  <si>
    <t>RAG904</t>
  </si>
  <si>
    <t>Najiram Para</t>
  </si>
  <si>
    <t>নাজিরাম পাড়া</t>
  </si>
  <si>
    <t>RAG905</t>
  </si>
  <si>
    <t>Nabbai Acre</t>
  </si>
  <si>
    <t>নব্বই একর</t>
  </si>
  <si>
    <t>RAG906</t>
  </si>
  <si>
    <t>Hatir Kheda</t>
  </si>
  <si>
    <t>হাতির খেদা</t>
  </si>
  <si>
    <t>RAG907</t>
  </si>
  <si>
    <t>CIO Camp</t>
  </si>
  <si>
    <t>সিআইও ক্যাম্প</t>
  </si>
  <si>
    <t>RAG908</t>
  </si>
  <si>
    <t>Ramgarh Pourasabha</t>
  </si>
  <si>
    <t>Balturam Tila</t>
  </si>
  <si>
    <t>বল্টুরাম টিলা</t>
  </si>
  <si>
    <t>RAM101</t>
  </si>
  <si>
    <t>Nitai Baishnab Para</t>
  </si>
  <si>
    <t>নিতাই বৈষ্ণব পাড়া</t>
  </si>
  <si>
    <t>RAM102</t>
  </si>
  <si>
    <t>Shamuk Chhara</t>
  </si>
  <si>
    <t>শামুক ছড়া</t>
  </si>
  <si>
    <t>RAM103</t>
  </si>
  <si>
    <t>Shashan Tila</t>
  </si>
  <si>
    <t>শ্মশান টিলা</t>
  </si>
  <si>
    <t>RAM104</t>
  </si>
  <si>
    <t>Chinchhari</t>
  </si>
  <si>
    <t>চিনছড়ি</t>
  </si>
  <si>
    <t>RAM105</t>
  </si>
  <si>
    <t>Office Tila</t>
  </si>
  <si>
    <t>অফিস টিলা</t>
  </si>
  <si>
    <t>RAM201</t>
  </si>
  <si>
    <t>Debar Para</t>
  </si>
  <si>
    <t>ডেবার পাড়া</t>
  </si>
  <si>
    <t>RAM202</t>
  </si>
  <si>
    <t>জগন্নাথ পাড়া</t>
  </si>
  <si>
    <t>RAM203</t>
  </si>
  <si>
    <t>Sukendrai Para</t>
  </si>
  <si>
    <t>সুকেন্দ্রাই পাড়া</t>
  </si>
  <si>
    <t>RAM204</t>
  </si>
  <si>
    <t>Ramgarh Special Camp (BGB)</t>
  </si>
  <si>
    <t>রামগড় বিশেষ ক্যাম্প (বিজিবি)</t>
  </si>
  <si>
    <t>RAM205</t>
  </si>
  <si>
    <t>Garjantali</t>
  </si>
  <si>
    <t>গর্জনতলি</t>
  </si>
  <si>
    <t>RAM301</t>
  </si>
  <si>
    <t>Sandwip Tila</t>
  </si>
  <si>
    <t>সন্দ্বীপ টিলা</t>
  </si>
  <si>
    <t>RAM302</t>
  </si>
  <si>
    <t>RAM401</t>
  </si>
  <si>
    <t>Kam Para</t>
  </si>
  <si>
    <t>কম পাড়া</t>
  </si>
  <si>
    <t>RAM402</t>
  </si>
  <si>
    <t>RAM501</t>
  </si>
  <si>
    <t>Bairagi Tila</t>
  </si>
  <si>
    <t>বৈরাগী টিলা</t>
  </si>
  <si>
    <t>RAM502</t>
  </si>
  <si>
    <t>Baidytila</t>
  </si>
  <si>
    <t>বৈদ্যটিলা</t>
  </si>
  <si>
    <t>RAM503</t>
  </si>
  <si>
    <t>Taichala Para</t>
  </si>
  <si>
    <t>তৈচালা পাড়া</t>
  </si>
  <si>
    <t>RAM601</t>
  </si>
  <si>
    <t>Kailas Para</t>
  </si>
  <si>
    <t>কৈলাস পাড়া</t>
  </si>
  <si>
    <t>RAM602</t>
  </si>
  <si>
    <t>43 BGB Headquarter</t>
  </si>
  <si>
    <t>৪৩ বিজিবি হেডকোয়ার্টার</t>
  </si>
  <si>
    <t>RAM603</t>
  </si>
  <si>
    <t>Kaladeba</t>
  </si>
  <si>
    <t>কালাডেবা</t>
  </si>
  <si>
    <t>RAM701</t>
  </si>
  <si>
    <t>Samprue Para</t>
  </si>
  <si>
    <t>সম্প্রু পাড়া</t>
  </si>
  <si>
    <t>RAM702</t>
  </si>
  <si>
    <t>RAM703</t>
  </si>
  <si>
    <t>Nazirtila</t>
  </si>
  <si>
    <t>নজিরটিলা</t>
  </si>
  <si>
    <t>RAM704</t>
  </si>
  <si>
    <t>Bagan Tila</t>
  </si>
  <si>
    <t>বাগান টিলা</t>
  </si>
  <si>
    <t>RAM705</t>
  </si>
  <si>
    <t>Fenir Kul</t>
  </si>
  <si>
    <t>ফেনীর কুল</t>
  </si>
  <si>
    <t>RAM801</t>
  </si>
  <si>
    <t>Sadukarbari Para</t>
  </si>
  <si>
    <t>সদুকারবারি পাড়া</t>
  </si>
  <si>
    <t>RAM802</t>
  </si>
  <si>
    <t>Mahamuni Para</t>
  </si>
  <si>
    <t>মহামুনি পাড়া</t>
  </si>
  <si>
    <t>RAM901</t>
  </si>
  <si>
    <t>Daroga Para</t>
  </si>
  <si>
    <t>দারোগা পাড়া</t>
  </si>
  <si>
    <t>RAM902</t>
  </si>
  <si>
    <t>Ramgar Bazar</t>
  </si>
  <si>
    <t xml:space="preserve">রামগড় বাজার </t>
  </si>
  <si>
    <t>RAM903</t>
  </si>
  <si>
    <t>Mahamuni Para BGB Camp</t>
  </si>
  <si>
    <t>মহামুনি পাড়া বিজিবি ক্যাম্প</t>
  </si>
  <si>
    <t>RAM904</t>
  </si>
  <si>
    <t>Thanchi</t>
  </si>
  <si>
    <t>Mahalcchari</t>
  </si>
  <si>
    <t>Malaria case-2026</t>
  </si>
  <si>
    <t>Mahalchhari</t>
  </si>
  <si>
    <t>Kiyangghat</t>
  </si>
  <si>
    <t>Kiyangghat Guchchha Gram</t>
  </si>
  <si>
    <t>ক্যায়াংঘাট গুচ্ছ গ্রাম</t>
  </si>
  <si>
    <t>KIY101</t>
  </si>
  <si>
    <t>Natun Bazar</t>
  </si>
  <si>
    <t>নতুন বাজার</t>
  </si>
  <si>
    <t>KIY102</t>
  </si>
  <si>
    <t>APBN</t>
  </si>
  <si>
    <t>এপিবিএন</t>
  </si>
  <si>
    <t>KIY103</t>
  </si>
  <si>
    <t>Satgharia</t>
  </si>
  <si>
    <t>সাতঘরিয়া</t>
  </si>
  <si>
    <t>KIY201</t>
  </si>
  <si>
    <t>Dabafada</t>
  </si>
  <si>
    <t>দাবাফাদা</t>
  </si>
  <si>
    <t>KIY202</t>
  </si>
  <si>
    <t>Kiyangghat Tabalchhari</t>
  </si>
  <si>
    <t>ক্যায়াংঘাট তবলছড়ি</t>
  </si>
  <si>
    <t>KIY301</t>
  </si>
  <si>
    <t>Rangapani Chhara</t>
  </si>
  <si>
    <t>রাঙ্গাপানি ছড়া</t>
  </si>
  <si>
    <t>KIY302</t>
  </si>
  <si>
    <t>Karalyachhari</t>
  </si>
  <si>
    <t>করল্যাছড়ি</t>
  </si>
  <si>
    <t>KIY401</t>
  </si>
  <si>
    <t>Jaduganala</t>
  </si>
  <si>
    <t>যাদুগানালা</t>
  </si>
  <si>
    <t>KIY402</t>
  </si>
  <si>
    <t>Chittaranjan Karbari Para</t>
  </si>
  <si>
    <t>চিত্তরঞ্জন কারবারি পাড়া</t>
  </si>
  <si>
    <t>KIY501</t>
  </si>
  <si>
    <t>Bhitar Karalyachhari Para</t>
  </si>
  <si>
    <t>ভিতর করল্যাছড়ি পাড়া</t>
  </si>
  <si>
    <t>KIY502</t>
  </si>
  <si>
    <t>KIY601</t>
  </si>
  <si>
    <t>বিহার পাড়া</t>
  </si>
  <si>
    <t>KIY602</t>
  </si>
  <si>
    <t>Haza Chhara</t>
  </si>
  <si>
    <t>হাজা ছড়া</t>
  </si>
  <si>
    <t>KIY603</t>
  </si>
  <si>
    <t>Pera Para</t>
  </si>
  <si>
    <t>পেরা পাড়া</t>
  </si>
  <si>
    <t>KIY604</t>
  </si>
  <si>
    <t>Kalabanya Para</t>
  </si>
  <si>
    <t>কলাবন্যা পাড়া</t>
  </si>
  <si>
    <t>KIY605</t>
  </si>
  <si>
    <t>KIY606</t>
  </si>
  <si>
    <t>Dhela Para</t>
  </si>
  <si>
    <t>ঢেলা পাড়া</t>
  </si>
  <si>
    <t>KIY607</t>
  </si>
  <si>
    <t>Ultachhari Army Para</t>
  </si>
  <si>
    <t xml:space="preserve">উল্টাছড়ি আর্মি ক্যাম্প </t>
  </si>
  <si>
    <t>KIY608</t>
  </si>
  <si>
    <t>Golakya Para</t>
  </si>
  <si>
    <t>গোলক্যা পাড়া</t>
  </si>
  <si>
    <t>KIY701</t>
  </si>
  <si>
    <t>Ghatghar Para</t>
  </si>
  <si>
    <t>ঘাটঘর পাড়া</t>
  </si>
  <si>
    <t>KIY702</t>
  </si>
  <si>
    <t>Marbari Para</t>
  </si>
  <si>
    <t>মারবাড়ি পাড়া</t>
  </si>
  <si>
    <t>KIY703</t>
  </si>
  <si>
    <t>Lamba Para</t>
  </si>
  <si>
    <t>লাম্বা পাড়া</t>
  </si>
  <si>
    <t>KIY801</t>
  </si>
  <si>
    <t>Datkupye Para</t>
  </si>
  <si>
    <t>দাতকুপ্যে পাড়া</t>
  </si>
  <si>
    <t>KIY802</t>
  </si>
  <si>
    <t>Katukchhari Mukh</t>
  </si>
  <si>
    <t>কতুকছড়ি মুখ</t>
  </si>
  <si>
    <t>KIY803</t>
  </si>
  <si>
    <t>KIY901</t>
  </si>
  <si>
    <t>Ultachhari Madhya Para</t>
  </si>
  <si>
    <t>উল্টাছড়ি মধ্য পাড়া</t>
  </si>
  <si>
    <t>KIY902</t>
  </si>
  <si>
    <t>Subal Kishta Para</t>
  </si>
  <si>
    <t>সুবল কিষ্ট পাড়া</t>
  </si>
  <si>
    <t>KIY903</t>
  </si>
  <si>
    <t>KIY904</t>
  </si>
  <si>
    <t>Satghar Para</t>
  </si>
  <si>
    <t>সাতঘর পাড়া</t>
  </si>
  <si>
    <t>KIY905</t>
  </si>
  <si>
    <t>Bazar Elaka</t>
  </si>
  <si>
    <t>বাজার এলাকা</t>
  </si>
  <si>
    <t>MAH101</t>
  </si>
  <si>
    <t>Nursery Para</t>
  </si>
  <si>
    <t>নার্সারি পাড়া</t>
  </si>
  <si>
    <t>MAH102</t>
  </si>
  <si>
    <t>Sylheti Para</t>
  </si>
  <si>
    <t>সিলেটি পাড়া</t>
  </si>
  <si>
    <t>MAH103</t>
  </si>
  <si>
    <t>Chattagram Para</t>
  </si>
  <si>
    <t>চট্টগ্রাম পাড়া</t>
  </si>
  <si>
    <t>MAH104</t>
  </si>
  <si>
    <t>Thana Elaka</t>
  </si>
  <si>
    <t>থানা এলাকা</t>
  </si>
  <si>
    <t>MAH105</t>
  </si>
  <si>
    <t>Haspatal Elaka</t>
  </si>
  <si>
    <t>হাসপাতাল এলাকা</t>
  </si>
  <si>
    <t>MAH106</t>
  </si>
  <si>
    <t>Upazila Parishad Elaka</t>
  </si>
  <si>
    <t>উপজেলা পরিষদ এলাকা</t>
  </si>
  <si>
    <t>MAH107</t>
  </si>
  <si>
    <t>নতুন পাড়া</t>
  </si>
  <si>
    <t>MAH108</t>
  </si>
  <si>
    <t>18 Paribar</t>
  </si>
  <si>
    <t>১৮ পরিবার</t>
  </si>
  <si>
    <t>MAH109</t>
  </si>
  <si>
    <t>Tila Para</t>
  </si>
  <si>
    <t>টিলা পাড়া</t>
  </si>
  <si>
    <t>MAH201</t>
  </si>
  <si>
    <t>Ramesu Karbari Para</t>
  </si>
  <si>
    <t>রামেসু কারবারি পাড়া</t>
  </si>
  <si>
    <t>MAH202</t>
  </si>
  <si>
    <t>MAH203</t>
  </si>
  <si>
    <t>MAH301</t>
  </si>
  <si>
    <t>T&amp;T Para</t>
  </si>
  <si>
    <t>টি এন্ড টি পাড়া</t>
  </si>
  <si>
    <t>MAH302</t>
  </si>
  <si>
    <t>MAH303</t>
  </si>
  <si>
    <t>Master Para (Dipalo Tila)</t>
  </si>
  <si>
    <t>মাস্টার পাড়া (দিপালো টিলা)</t>
  </si>
  <si>
    <t>MAH304</t>
  </si>
  <si>
    <t>Town Hall Para</t>
  </si>
  <si>
    <t>টাউন হল পাড়া</t>
  </si>
  <si>
    <t>MAH305</t>
  </si>
  <si>
    <t>MAH306</t>
  </si>
  <si>
    <t>Mahalchhari Zone</t>
  </si>
  <si>
    <t>মহালছড়ি জোন</t>
  </si>
  <si>
    <t>MAH307</t>
  </si>
  <si>
    <t>Changrachhari Mukh</t>
  </si>
  <si>
    <t>চৌংড়াছড়ি মুখ</t>
  </si>
  <si>
    <t>MAH401</t>
  </si>
  <si>
    <t>Mahajan Para</t>
  </si>
  <si>
    <t>মহাজন পাড়া</t>
  </si>
  <si>
    <t>MAH402</t>
  </si>
  <si>
    <t>Bhuatya Para</t>
  </si>
  <si>
    <t>ভূয়াত্যা পাড়া</t>
  </si>
  <si>
    <t>MAH403</t>
  </si>
  <si>
    <t>Chitrakumar Karbari Para</t>
  </si>
  <si>
    <t>চিত্রকুমার কারবারি পাড়া</t>
  </si>
  <si>
    <t>MAH404</t>
  </si>
  <si>
    <t>MAH405</t>
  </si>
  <si>
    <t>Changrachhari Guchchha Gram</t>
  </si>
  <si>
    <t>চৌংড়াছড়ি গুচ্ছ গ্রাম</t>
  </si>
  <si>
    <t>MAH501</t>
  </si>
  <si>
    <t>Shanti Nagar</t>
  </si>
  <si>
    <t>শান্তি নগর</t>
  </si>
  <si>
    <t>MAH502</t>
  </si>
  <si>
    <t>Changrachhari Headman Para</t>
  </si>
  <si>
    <t>চৌংড়াছড়ি হেডম্যান পাড়া</t>
  </si>
  <si>
    <t>MAH601</t>
  </si>
  <si>
    <t>Changrachhari Roaza Para</t>
  </si>
  <si>
    <t>চৌংড়াছড়ি রোওয়াজা পাড়া</t>
  </si>
  <si>
    <t>MAH602</t>
  </si>
  <si>
    <t>Pahartali</t>
  </si>
  <si>
    <t>পাহাড়তলি</t>
  </si>
  <si>
    <t>MAH701</t>
  </si>
  <si>
    <t>Saw Mill Para</t>
  </si>
  <si>
    <t>স মিল পাড়া</t>
  </si>
  <si>
    <t>MAH702</t>
  </si>
  <si>
    <t>Durpujya Nal</t>
  </si>
  <si>
    <t>দূরপর্য্য নাল</t>
  </si>
  <si>
    <t>MAH703</t>
  </si>
  <si>
    <t>Bhuatek</t>
  </si>
  <si>
    <t>ভুয়াটেক</t>
  </si>
  <si>
    <t>MAH704</t>
  </si>
  <si>
    <t>Kerengenal Headman Para</t>
  </si>
  <si>
    <t>কেরেঙেনাল হেডম্যান পাড়া</t>
  </si>
  <si>
    <t>MAH705</t>
  </si>
  <si>
    <t>Basanta Para</t>
  </si>
  <si>
    <t>বসন্ত পাড়া</t>
  </si>
  <si>
    <t>MAH706</t>
  </si>
  <si>
    <t>Gadchhara</t>
  </si>
  <si>
    <t>গাদছড়া</t>
  </si>
  <si>
    <t>MAH801</t>
  </si>
  <si>
    <t>Manoranjan Para</t>
  </si>
  <si>
    <t>মনোরঞ্জন পাড়া</t>
  </si>
  <si>
    <t>MAH802</t>
  </si>
  <si>
    <t>Bimal Para</t>
  </si>
  <si>
    <t>বিমল পাড়া</t>
  </si>
  <si>
    <t>MAH803</t>
  </si>
  <si>
    <t>Hemranjan Para</t>
  </si>
  <si>
    <t>হেমরঞ্জন পাড়া</t>
  </si>
  <si>
    <t>MAH804</t>
  </si>
  <si>
    <t>Kalachan Para</t>
  </si>
  <si>
    <t>কালাচান পাড়া</t>
  </si>
  <si>
    <t>MAH805</t>
  </si>
  <si>
    <t>Hemanta Para</t>
  </si>
  <si>
    <t>হেমন্ত পাড়া</t>
  </si>
  <si>
    <t>MAH806</t>
  </si>
  <si>
    <t>খামার পাড়া</t>
  </si>
  <si>
    <t>MAH807</t>
  </si>
  <si>
    <t>MAH901</t>
  </si>
  <si>
    <t>24 Mile</t>
  </si>
  <si>
    <t>২৪ মাইল</t>
  </si>
  <si>
    <t>MAH902</t>
  </si>
  <si>
    <t>Uchcha Kengalchhari</t>
  </si>
  <si>
    <t>উচ্চ কেঙ্গলছড়ি</t>
  </si>
  <si>
    <t>MAH903</t>
  </si>
  <si>
    <t>Durchhari</t>
  </si>
  <si>
    <t>দূরছড়ি</t>
  </si>
  <si>
    <t>MAH904</t>
  </si>
  <si>
    <t>Dumanighat</t>
  </si>
  <si>
    <t>ধুমনীঘাট</t>
  </si>
  <si>
    <t>MAH905</t>
  </si>
  <si>
    <t>MAH906</t>
  </si>
  <si>
    <t>Bajechhara</t>
  </si>
  <si>
    <t>বাজেছড়া</t>
  </si>
  <si>
    <t>MAH907</t>
  </si>
  <si>
    <t>MAH908</t>
  </si>
  <si>
    <t>MAH909</t>
  </si>
  <si>
    <t>Mahalchhari Joutha Khamar</t>
  </si>
  <si>
    <t>মহালছড়ি যৌথ খামার</t>
  </si>
  <si>
    <t>MAH910</t>
  </si>
  <si>
    <t>MAH911</t>
  </si>
  <si>
    <t>MAH912</t>
  </si>
  <si>
    <t>Joutha Khamar Tripura Para</t>
  </si>
  <si>
    <t>যৌথ খামার ত্রিপুরা পাড়া</t>
  </si>
  <si>
    <t>MAH913</t>
  </si>
  <si>
    <t>Dumanighat Army Camp</t>
  </si>
  <si>
    <t>ধুমনীঘাট আর্মি ক্যাম্প</t>
  </si>
  <si>
    <t>MAH914</t>
  </si>
  <si>
    <t>Maischhari</t>
  </si>
  <si>
    <t>MAI101</t>
  </si>
  <si>
    <t>Balipara</t>
  </si>
  <si>
    <t>বলীপাড়া</t>
  </si>
  <si>
    <t>MAI102</t>
  </si>
  <si>
    <t>Maischhari School Para</t>
  </si>
  <si>
    <t>মাইসছড়ি স্কুল পাড়া</t>
  </si>
  <si>
    <t>MAI103</t>
  </si>
  <si>
    <t>Maischhari Bazar Elaka</t>
  </si>
  <si>
    <t>মাইসছড়ি বাজার এলাকা</t>
  </si>
  <si>
    <t>MAI104</t>
  </si>
  <si>
    <t>MAI105</t>
  </si>
  <si>
    <t>Nunchhari APBN Camp</t>
  </si>
  <si>
    <t>নুনছড়ি এপিবিএন ক্যাম্প</t>
  </si>
  <si>
    <t>MAI106</t>
  </si>
  <si>
    <t>Abed Ali Sardar Para</t>
  </si>
  <si>
    <t>আবেদ আলী সর্দার পাড়া</t>
  </si>
  <si>
    <t>MAI201</t>
  </si>
  <si>
    <t>Giastila</t>
  </si>
  <si>
    <t>গিয়াসটিলা</t>
  </si>
  <si>
    <t>MAI202</t>
  </si>
  <si>
    <t>Khalil Sardar Para</t>
  </si>
  <si>
    <t>খলিল সর্দার পাড়া</t>
  </si>
  <si>
    <t>MAI203</t>
  </si>
  <si>
    <t>MAI204</t>
  </si>
  <si>
    <t>MAI301</t>
  </si>
  <si>
    <t>Ratnasen Karbari Para</t>
  </si>
  <si>
    <t>রত্নসেন কারবারি পাড়া</t>
  </si>
  <si>
    <t>MAI302</t>
  </si>
  <si>
    <t>MAI303</t>
  </si>
  <si>
    <t>Manikchhari Joysen Karbari Para</t>
  </si>
  <si>
    <t>মানিকছড়ি জয়সেন কারবারি পাড়া</t>
  </si>
  <si>
    <t>MAI304</t>
  </si>
  <si>
    <t>Badigula Para</t>
  </si>
  <si>
    <t>বাদিগুলা পাড়া</t>
  </si>
  <si>
    <t>MAI305</t>
  </si>
  <si>
    <t>Painda Karbari Para</t>
  </si>
  <si>
    <t>পাইন্দা কারবারি পাড়া</t>
  </si>
  <si>
    <t>MAI306</t>
  </si>
  <si>
    <t>Kala Para</t>
  </si>
  <si>
    <t>কলা পাড়া</t>
  </si>
  <si>
    <t>MAI307</t>
  </si>
  <si>
    <t>Rashidhan Para</t>
  </si>
  <si>
    <t>রশিধন পাড়া</t>
  </si>
  <si>
    <t>MAI308</t>
  </si>
  <si>
    <t>Maniram Para</t>
  </si>
  <si>
    <t>মণিরাম পাড়া</t>
  </si>
  <si>
    <t>MAI309</t>
  </si>
  <si>
    <t>Sathi Para</t>
  </si>
  <si>
    <t>সাথী পাড়া</t>
  </si>
  <si>
    <t>MAI310</t>
  </si>
  <si>
    <t>MAI311</t>
  </si>
  <si>
    <t>MAI312</t>
  </si>
  <si>
    <t>25 Paribar Punarbasan Para</t>
  </si>
  <si>
    <t>পঁচিশ পরিবার পুনর্বাসন পাড়া</t>
  </si>
  <si>
    <t>MAI313</t>
  </si>
  <si>
    <t>Narendra Karbari Para</t>
  </si>
  <si>
    <t>নরেন্দ্র কারবারি পাড়া</t>
  </si>
  <si>
    <t>MAI314</t>
  </si>
  <si>
    <t>MAI315</t>
  </si>
  <si>
    <t>Apruchai Karbari Para</t>
  </si>
  <si>
    <t>আপ্রুচাই কারবারি পাড়া</t>
  </si>
  <si>
    <t>MAI401</t>
  </si>
  <si>
    <t>Paishoi Mahajan Para</t>
  </si>
  <si>
    <t>পাইশৈ মহাজন পাড়া</t>
  </si>
  <si>
    <t>MAI402</t>
  </si>
  <si>
    <t>Sauprue Karbari Para</t>
  </si>
  <si>
    <t>সাউপ্রু কারবারি পাড়া</t>
  </si>
  <si>
    <t>MAI403</t>
  </si>
  <si>
    <t>Uttar Joysen Para</t>
  </si>
  <si>
    <t>উত্তর জয়সেন পাড়া</t>
  </si>
  <si>
    <t>MAI404</t>
  </si>
  <si>
    <t>Gangamachhara</t>
  </si>
  <si>
    <t>গঙ্গামাছড়া</t>
  </si>
  <si>
    <t>MAI405</t>
  </si>
  <si>
    <t>Deppochhari</t>
  </si>
  <si>
    <t>ডেপ্পোছড়ি</t>
  </si>
  <si>
    <t>MAI406</t>
  </si>
  <si>
    <t>MAI407</t>
  </si>
  <si>
    <t>Petuk Para</t>
  </si>
  <si>
    <t>পেতুক পাড়া</t>
  </si>
  <si>
    <t>MAI408</t>
  </si>
  <si>
    <t>Manikchhari Para</t>
  </si>
  <si>
    <t>মানিকছড়ি পাড়া</t>
  </si>
  <si>
    <t>MAI409</t>
  </si>
  <si>
    <t>Dakkhin Joysen Para</t>
  </si>
  <si>
    <t>দক্ষিণ জয়সেন পাড়া</t>
  </si>
  <si>
    <t>MAI410</t>
  </si>
  <si>
    <t>Pachai Karbari Para</t>
  </si>
  <si>
    <t>পচাই কারবারি পাড়া</t>
  </si>
  <si>
    <t>MAI411</t>
  </si>
  <si>
    <t>MAI412</t>
  </si>
  <si>
    <t>Balaram Master Para</t>
  </si>
  <si>
    <t>বলরাম মাস্টার পাড়া</t>
  </si>
  <si>
    <t>MAI413</t>
  </si>
  <si>
    <t>Manikchhari Muslim Para</t>
  </si>
  <si>
    <t>মানিকছড়ি মুসলিম পাড়া</t>
  </si>
  <si>
    <t>MAI501</t>
  </si>
  <si>
    <t>Pagajyachhari Jantranath Karbari Para</t>
  </si>
  <si>
    <t>পাগজ্যাছড়ি যন্ত্রনাথ কারবারি পাড়া</t>
  </si>
  <si>
    <t>MAI502</t>
  </si>
  <si>
    <t>Jamtali</t>
  </si>
  <si>
    <t>জামতলী</t>
  </si>
  <si>
    <t>MAI503</t>
  </si>
  <si>
    <t>Pakijachhari Bhitar Para</t>
  </si>
  <si>
    <t>পাকিজাছড়ি ভিতর পাড়া</t>
  </si>
  <si>
    <t>MAI504</t>
  </si>
  <si>
    <t>Patha Para</t>
  </si>
  <si>
    <t>পথা পাড়া</t>
  </si>
  <si>
    <t>MAI505</t>
  </si>
  <si>
    <t>Pakijachhari Guchchhagram</t>
  </si>
  <si>
    <t>পাকিজাছড়ি গুচ্ছগ্রাম</t>
  </si>
  <si>
    <t>MAI601</t>
  </si>
  <si>
    <t>Pakijachhari Lamba Para</t>
  </si>
  <si>
    <t>পাকিজাছড়ি লাম্বা পাড়া</t>
  </si>
  <si>
    <t>MAI602</t>
  </si>
  <si>
    <t>Kalopahar</t>
  </si>
  <si>
    <t>কালোপাহাড়</t>
  </si>
  <si>
    <t>MAI603</t>
  </si>
  <si>
    <t>Pakijachhari APBN Camp</t>
  </si>
  <si>
    <t>পাকিজাছড়ি এপিবিএন ক্যাম্প</t>
  </si>
  <si>
    <t>MAI604</t>
  </si>
  <si>
    <t>Madhya Lemuchhari</t>
  </si>
  <si>
    <t xml:space="preserve">মধ্য লেমুছড়ি </t>
  </si>
  <si>
    <t>MAI701</t>
  </si>
  <si>
    <t>Badanala</t>
  </si>
  <si>
    <t>বদানালা</t>
  </si>
  <si>
    <t>MAI702</t>
  </si>
  <si>
    <t>Lemuchhari Shantipur</t>
  </si>
  <si>
    <t>লেমুছড়ি শান্তিপুর</t>
  </si>
  <si>
    <t>MAI703</t>
  </si>
  <si>
    <t>Lemuchhari Binod Lal Karbari Para</t>
  </si>
  <si>
    <t>লেমুছড়ি বিনোদ লাল কারবারি পাড়া</t>
  </si>
  <si>
    <t>MAI801</t>
  </si>
  <si>
    <t>Lemuchhari Cutingtila</t>
  </si>
  <si>
    <t>লেমুছড়ি কাটিংটিলা</t>
  </si>
  <si>
    <t>MAI802</t>
  </si>
  <si>
    <t>Pashchim Kiyangghat</t>
  </si>
  <si>
    <t>পশ্চিম ক্য়ায়াংঘাট</t>
  </si>
  <si>
    <t>MAI901</t>
  </si>
  <si>
    <t>Golak Para</t>
  </si>
  <si>
    <t>গোলক পাড়া</t>
  </si>
  <si>
    <t>MAI902</t>
  </si>
  <si>
    <t>Mubachhari</t>
  </si>
  <si>
    <t>MUB101</t>
  </si>
  <si>
    <t>Kaptai Para</t>
  </si>
  <si>
    <t>কাপ্তাই পাড়া</t>
  </si>
  <si>
    <t>MUB102</t>
  </si>
  <si>
    <t>Bridge Para</t>
  </si>
  <si>
    <t>ব্রিজ পাড়া</t>
  </si>
  <si>
    <t>MUB103</t>
  </si>
  <si>
    <t>MUB104</t>
  </si>
  <si>
    <t>MUB201</t>
  </si>
  <si>
    <t>Shanti Para</t>
  </si>
  <si>
    <t>শান্তি পাড়া</t>
  </si>
  <si>
    <t>MUB202</t>
  </si>
  <si>
    <t>Khayangsa Para</t>
  </si>
  <si>
    <t>খ্যাংসা পাড়া</t>
  </si>
  <si>
    <t>MUB301</t>
  </si>
  <si>
    <t>Kulki Para</t>
  </si>
  <si>
    <t>কুলকি পাড়া</t>
  </si>
  <si>
    <t>MUB302</t>
  </si>
  <si>
    <t>Machine Para</t>
  </si>
  <si>
    <t>মেশিন পাড়া</t>
  </si>
  <si>
    <t>MUB303</t>
  </si>
  <si>
    <t>Adufa Para</t>
  </si>
  <si>
    <t>আদুফা পাড়া</t>
  </si>
  <si>
    <t>MUB304</t>
  </si>
  <si>
    <t>Pilot Para</t>
  </si>
  <si>
    <t>পাইলট পাড়া</t>
  </si>
  <si>
    <t>MUB305</t>
  </si>
  <si>
    <t>Manatek</t>
  </si>
  <si>
    <t>মনাটেক</t>
  </si>
  <si>
    <t>MUB401</t>
  </si>
  <si>
    <t>করল্যাছড়ি</t>
  </si>
  <si>
    <t>MUB501</t>
  </si>
  <si>
    <t>Madhya Adam Para</t>
  </si>
  <si>
    <t>মধ্য আদম পাড়া</t>
  </si>
  <si>
    <t>MUB601</t>
  </si>
  <si>
    <t>MUB602</t>
  </si>
  <si>
    <t>Shilban Para</t>
  </si>
  <si>
    <t>শীলবান পাড়া</t>
  </si>
  <si>
    <t>MUB603</t>
  </si>
  <si>
    <t>MUB604</t>
  </si>
  <si>
    <t>Khunglyang Para</t>
  </si>
  <si>
    <t>খুংল্যাং পাড়া</t>
  </si>
  <si>
    <t>MUB701</t>
  </si>
  <si>
    <t>Bagh Mara</t>
  </si>
  <si>
    <t>বাঘ মারা</t>
  </si>
  <si>
    <t>MUB702</t>
  </si>
  <si>
    <t>Uttar Bagh Mara</t>
  </si>
  <si>
    <t>উত্তর বাঘ মারা</t>
  </si>
  <si>
    <t>MUB703</t>
  </si>
  <si>
    <t>Dhanpata Para</t>
  </si>
  <si>
    <t>ধনপাতা পাড়া</t>
  </si>
  <si>
    <t>MUB704</t>
  </si>
  <si>
    <t>Khularam Para</t>
  </si>
  <si>
    <t>খুলারাম পাড়া</t>
  </si>
  <si>
    <t>MUB801</t>
  </si>
  <si>
    <t>MUB901</t>
  </si>
  <si>
    <t>Kalbanya</t>
  </si>
  <si>
    <t>কলবন্যা</t>
  </si>
  <si>
    <t>MUB902</t>
  </si>
  <si>
    <t>Lungdukya Para</t>
  </si>
  <si>
    <t>লুংদুক্যা পাড়া</t>
  </si>
  <si>
    <t>MUB903</t>
  </si>
  <si>
    <t>Laba Para</t>
  </si>
  <si>
    <t>লবা পাড়া</t>
  </si>
  <si>
    <t>MUB904</t>
  </si>
  <si>
    <t>Khagrachhari Sadar</t>
  </si>
  <si>
    <t xml:space="preserve">Khagrachhari </t>
  </si>
  <si>
    <t>Bhaibonchhara</t>
  </si>
  <si>
    <t>Nabakumar Para</t>
  </si>
  <si>
    <t>নবকুমার পাড়া</t>
  </si>
  <si>
    <t>BHA101</t>
  </si>
  <si>
    <t>Shyambari Para</t>
  </si>
  <si>
    <t>শ্যামবাড়ি পাড়া</t>
  </si>
  <si>
    <t>BHA102</t>
  </si>
  <si>
    <t>Almani Para</t>
  </si>
  <si>
    <t>আলমণি পাড়া</t>
  </si>
  <si>
    <t>BHA103</t>
  </si>
  <si>
    <t>Rabidhan Para</t>
  </si>
  <si>
    <t>রবিধন পাড়া</t>
  </si>
  <si>
    <t>BHA104</t>
  </si>
  <si>
    <t>Shib Mandir Para</t>
  </si>
  <si>
    <t>শিব মন্দির পাড়া</t>
  </si>
  <si>
    <t>BHA105</t>
  </si>
  <si>
    <t>Bara Rai Taisa Para</t>
  </si>
  <si>
    <t>বড় রাই তৈসা পাড়া</t>
  </si>
  <si>
    <t>BHA106</t>
  </si>
  <si>
    <t>Chhota Rai Taisa Para</t>
  </si>
  <si>
    <t>ছোট রাই তৈসা পাড়া</t>
  </si>
  <si>
    <t>BHA107</t>
  </si>
  <si>
    <t>10 No. Prakalpa Gram</t>
  </si>
  <si>
    <t>১০ নং প্রকল্প গ্রাম</t>
  </si>
  <si>
    <t>BHA108</t>
  </si>
  <si>
    <t>লম্বা পাড়া</t>
  </si>
  <si>
    <t>BHA109</t>
  </si>
  <si>
    <t>Garjan Tila</t>
  </si>
  <si>
    <t>গর্জন টিলা</t>
  </si>
  <si>
    <t>BHA110</t>
  </si>
  <si>
    <t>Pakujyachhari</t>
  </si>
  <si>
    <t>পাকুজ্যাছড়ি</t>
  </si>
  <si>
    <t>BHA111</t>
  </si>
  <si>
    <t>Uttar Pakujyachhari</t>
  </si>
  <si>
    <t>উত্তর পাকুজ্যাছড়ি</t>
  </si>
  <si>
    <t>BHA112</t>
  </si>
  <si>
    <t>BHA113</t>
  </si>
  <si>
    <t>Mantri Para</t>
  </si>
  <si>
    <t>মন্ত্রী পাড়া</t>
  </si>
  <si>
    <t>BHA114</t>
  </si>
  <si>
    <t>BHA115</t>
  </si>
  <si>
    <t>Jasraima Para</t>
  </si>
  <si>
    <t>জসরাইমা পাড়া</t>
  </si>
  <si>
    <t>BHA116</t>
  </si>
  <si>
    <t>4 No. Prakalpa Gram</t>
  </si>
  <si>
    <t>৪ নং প্রকল্প গ্রাম</t>
  </si>
  <si>
    <t>BHA201</t>
  </si>
  <si>
    <t>Sudhanwa Para</t>
  </si>
  <si>
    <t>সুধন্যা পাড়া</t>
  </si>
  <si>
    <t>BHA202</t>
  </si>
  <si>
    <t>Dhanendra Karbari Para</t>
  </si>
  <si>
    <t>ধনেন্দ্র কারবারি পাড়া</t>
  </si>
  <si>
    <t>BHA203</t>
  </si>
  <si>
    <t>3 No. Prakalpa Gram</t>
  </si>
  <si>
    <t>৩ নং প্রকল্প গ্রাম</t>
  </si>
  <si>
    <t>BHA204</t>
  </si>
  <si>
    <t>9 No. Prakalpa Gram</t>
  </si>
  <si>
    <t>৯ নং প্রকল্প গ্রাম</t>
  </si>
  <si>
    <t>BHA205</t>
  </si>
  <si>
    <t>8 No. Prakalpa Gram</t>
  </si>
  <si>
    <t>৮ নং প্রকল্প গ্রাম</t>
  </si>
  <si>
    <t>BHA206</t>
  </si>
  <si>
    <t>Paiprue Karbari Para</t>
  </si>
  <si>
    <t>পাইপ্রু কারবারি পাড়া</t>
  </si>
  <si>
    <t>BHA207</t>
  </si>
  <si>
    <t>বিল পাড়া</t>
  </si>
  <si>
    <t>BHA208</t>
  </si>
  <si>
    <t>1 No. Prakalpa Gram</t>
  </si>
  <si>
    <t>১ নং প্রকল্প গ্রাম</t>
  </si>
  <si>
    <t>BHA209</t>
  </si>
  <si>
    <t>Nakshatali</t>
  </si>
  <si>
    <t>নকশাতলি</t>
  </si>
  <si>
    <t>BHA210</t>
  </si>
  <si>
    <t>Kaptala Para</t>
  </si>
  <si>
    <t>কাপতলা পাড়া</t>
  </si>
  <si>
    <t>BHA211</t>
  </si>
  <si>
    <t>Mrasanai Karbari Para</t>
  </si>
  <si>
    <t>ম্রাসানাই কারবারি পাড়া</t>
  </si>
  <si>
    <t>BHA212</t>
  </si>
  <si>
    <t>BHA301</t>
  </si>
  <si>
    <t>7 No. Prakalpa Gram</t>
  </si>
  <si>
    <t>৭ নং প্রকল্প গ্রাম</t>
  </si>
  <si>
    <t>BHA302</t>
  </si>
  <si>
    <t>Shanti Gram</t>
  </si>
  <si>
    <t>শান্তি গ্রাম</t>
  </si>
  <si>
    <t>BHA303</t>
  </si>
  <si>
    <t>Darjeeling Para</t>
  </si>
  <si>
    <t>দার্জিলিং পাড়া</t>
  </si>
  <si>
    <t>BHA304</t>
  </si>
  <si>
    <t>BHA305</t>
  </si>
  <si>
    <t>Adarsha Muslim Para</t>
  </si>
  <si>
    <t>আদর্শ মুসলিম পাড়া</t>
  </si>
  <si>
    <t>BHA306</t>
  </si>
  <si>
    <t>মধ্যম মুসলিম পাড়া</t>
  </si>
  <si>
    <t>BHA307</t>
  </si>
  <si>
    <t>দক্ষিণ মুসলিম পাড়া</t>
  </si>
  <si>
    <t>BHA308</t>
  </si>
  <si>
    <t>Police Fari</t>
  </si>
  <si>
    <t>পুলিশ ফাঁড়ি</t>
  </si>
  <si>
    <t>BHA309</t>
  </si>
  <si>
    <t>Forest Tila</t>
  </si>
  <si>
    <t>ফরেস্ট টিলা</t>
  </si>
  <si>
    <t>BHA310</t>
  </si>
  <si>
    <t>Purba Unnayan Board</t>
  </si>
  <si>
    <t>পূর্ব উন্নয়ন বোর্ড</t>
  </si>
  <si>
    <t>BHA311</t>
  </si>
  <si>
    <t>Bhaibonchhara Bazar</t>
  </si>
  <si>
    <t>ভাইবোনছড়া বাজার</t>
  </si>
  <si>
    <t>BHA312</t>
  </si>
  <si>
    <t>হিন্দু পাড়া</t>
  </si>
  <si>
    <t>BHA313</t>
  </si>
  <si>
    <t>Baishnab Para</t>
  </si>
  <si>
    <t>বৈষ্ণব পাড়া</t>
  </si>
  <si>
    <t>BHA314</t>
  </si>
  <si>
    <t>Saiandar Para</t>
  </si>
  <si>
    <t>সৈয়ন্দর পাড়া</t>
  </si>
  <si>
    <t>BHA315</t>
  </si>
  <si>
    <t>পশ্চিম মুসলিম পাড়া</t>
  </si>
  <si>
    <t>BHA316</t>
  </si>
  <si>
    <t>Bhaibonchhara Sub-Zone Army Camp</t>
  </si>
  <si>
    <t>ভাইবোনছড়া সাব-জোন আর্মি ক্যাম্প</t>
  </si>
  <si>
    <t>BHA317</t>
  </si>
  <si>
    <t>Ranyabari Para</t>
  </si>
  <si>
    <t>রাণ্যাবাড়ি পাড়া</t>
  </si>
  <si>
    <t>BHA401</t>
  </si>
  <si>
    <t>Chhota Bari Para</t>
  </si>
  <si>
    <t>ছোট বাড়ি পাড়া</t>
  </si>
  <si>
    <t>BHA402</t>
  </si>
  <si>
    <t>Company Para</t>
  </si>
  <si>
    <t>কোম্পানি পাড়া</t>
  </si>
  <si>
    <t>BHA403</t>
  </si>
  <si>
    <t>Uttar Nalchhara Mag Para</t>
  </si>
  <si>
    <t>উত্তর নলছড়া মগ পাড়া</t>
  </si>
  <si>
    <t>BHA404</t>
  </si>
  <si>
    <t>Uttar Nalchhara</t>
  </si>
  <si>
    <t>উত্তর নলছড়া</t>
  </si>
  <si>
    <t>BHA405</t>
  </si>
  <si>
    <t>Nalchhara</t>
  </si>
  <si>
    <t>নলছড়া</t>
  </si>
  <si>
    <t>BHA406</t>
  </si>
  <si>
    <t>Haridayal Para</t>
  </si>
  <si>
    <t>হরিদয়াল পাড়া</t>
  </si>
  <si>
    <t>BHA407</t>
  </si>
  <si>
    <t>Surendra Master Para</t>
  </si>
  <si>
    <t>সুরেন্দ্র মাস্টার পাড়া</t>
  </si>
  <si>
    <t>BHA408</t>
  </si>
  <si>
    <t>Wakrak Para</t>
  </si>
  <si>
    <t>ওয়াক্রাক পাড়া</t>
  </si>
  <si>
    <t>BHA409</t>
  </si>
  <si>
    <t>Birashi Mura</t>
  </si>
  <si>
    <t>বিরাশি মুড়া</t>
  </si>
  <si>
    <t>BHA410</t>
  </si>
  <si>
    <t>BHA411</t>
  </si>
  <si>
    <t>Debaranjan Karbari Para</t>
  </si>
  <si>
    <t>দেবরঞ্জন কারবারি পাড়া</t>
  </si>
  <si>
    <t>BHA412</t>
  </si>
  <si>
    <t>Purna Karbari Para</t>
  </si>
  <si>
    <t>পূর্ণ কারবারি পাড়া</t>
  </si>
  <si>
    <t>BHA413</t>
  </si>
  <si>
    <t>BHA501</t>
  </si>
  <si>
    <t>Kalapha Para</t>
  </si>
  <si>
    <t>কলাফা পাড়া</t>
  </si>
  <si>
    <t>BHA502</t>
  </si>
  <si>
    <t>Harakumar Para</t>
  </si>
  <si>
    <t>হরকুমার পাড়া</t>
  </si>
  <si>
    <t>BHA503</t>
  </si>
  <si>
    <t>Aprusi Chairman Para</t>
  </si>
  <si>
    <t>আপ্রুসি চেয়ারম্যান পাড়া</t>
  </si>
  <si>
    <t>BHA504</t>
  </si>
  <si>
    <t>Nirmal Para</t>
  </si>
  <si>
    <t>নির্মল পাড়া</t>
  </si>
  <si>
    <t>BHA505</t>
  </si>
  <si>
    <t>Kumar Dhan Para</t>
  </si>
  <si>
    <t>কুমার ধন পাড়া</t>
  </si>
  <si>
    <t>BHA506</t>
  </si>
  <si>
    <t>Amrita Para</t>
  </si>
  <si>
    <t>অমৃত পাড়া</t>
  </si>
  <si>
    <t>BHA507</t>
  </si>
  <si>
    <t>BHA508</t>
  </si>
  <si>
    <t>Baura Para</t>
  </si>
  <si>
    <t>বাউরা পাড়া</t>
  </si>
  <si>
    <t>BHA509</t>
  </si>
  <si>
    <t>BHA601</t>
  </si>
  <si>
    <t>Ratan Joy Para</t>
  </si>
  <si>
    <t>রতন জয় পাড়া</t>
  </si>
  <si>
    <t>BHA602</t>
  </si>
  <si>
    <t>Muni Gram</t>
  </si>
  <si>
    <t>মুনি গ্রাম</t>
  </si>
  <si>
    <t>BHA603</t>
  </si>
  <si>
    <t>Madanmohan Para</t>
  </si>
  <si>
    <t>মদনমোহন পাড়া</t>
  </si>
  <si>
    <t>BHA604</t>
  </si>
  <si>
    <t>BHA605</t>
  </si>
  <si>
    <t>Rabijoy Para</t>
  </si>
  <si>
    <t>রবিজয় পাড়া</t>
  </si>
  <si>
    <t>BHA606</t>
  </si>
  <si>
    <t>Prati Bandha Para</t>
  </si>
  <si>
    <t>প্রতি বন্ধ পাড়া</t>
  </si>
  <si>
    <t>BHA607</t>
  </si>
  <si>
    <t>BHA608</t>
  </si>
  <si>
    <t>Ranjanmani Para</t>
  </si>
  <si>
    <t>রঞ্জনমণি পাড়া</t>
  </si>
  <si>
    <t>BHA609</t>
  </si>
  <si>
    <t>Purnabijoy Para</t>
  </si>
  <si>
    <t>পূর্ণবিজয় পাড়া</t>
  </si>
  <si>
    <t>BHA610</t>
  </si>
  <si>
    <t>Dronacharja Para</t>
  </si>
  <si>
    <t>দ্রোনাচার্য পাড়া</t>
  </si>
  <si>
    <t>BHA611</t>
  </si>
  <si>
    <t>Akkhaymani Para</t>
  </si>
  <si>
    <t>অক্ষয়মণি পাড়া</t>
  </si>
  <si>
    <t>BHA612</t>
  </si>
  <si>
    <t>Kukichhara Para</t>
  </si>
  <si>
    <t xml:space="preserve">কুকিছড়া পাড়া </t>
  </si>
  <si>
    <t>BHA613</t>
  </si>
  <si>
    <t>Chhota Nala Para</t>
  </si>
  <si>
    <t xml:space="preserve">ছোট নালা পাড়া </t>
  </si>
  <si>
    <t>BHA614</t>
  </si>
  <si>
    <t>BHA701</t>
  </si>
  <si>
    <t>2 No. Prakalpa Gram (Banchhara)</t>
  </si>
  <si>
    <t>২ নং প্রকল্প গ্রাম (বানছড়া)</t>
  </si>
  <si>
    <t>BHA702</t>
  </si>
  <si>
    <t>BHA703</t>
  </si>
  <si>
    <t>BHA704</t>
  </si>
  <si>
    <t>5 No. Prakalpa Gram</t>
  </si>
  <si>
    <t>৫ নং প্রকল্প গ্রাম</t>
  </si>
  <si>
    <t>BHA705</t>
  </si>
  <si>
    <t>6 No. Prakalpa Gram</t>
  </si>
  <si>
    <t>৬ নং প্রকল্প গ্রাম</t>
  </si>
  <si>
    <t>BHA706</t>
  </si>
  <si>
    <t>Harikunja Para</t>
  </si>
  <si>
    <t>হরিকুঞ্জ পাড়া</t>
  </si>
  <si>
    <t>BHA707</t>
  </si>
  <si>
    <t>Sajek Para</t>
  </si>
  <si>
    <t>সাজেক পাড়া</t>
  </si>
  <si>
    <t>BHA708</t>
  </si>
  <si>
    <t>BHA801</t>
  </si>
  <si>
    <t>2 No. Prakalpa Gram (Ghachhban)</t>
  </si>
  <si>
    <t>২ নং প্রকল্প গ্রাম (গাছবান)</t>
  </si>
  <si>
    <t>BHA802</t>
  </si>
  <si>
    <t>Krishnamohan Karbari Para</t>
  </si>
  <si>
    <t>কৃষ্ণমোহন কারবারি পাড়া</t>
  </si>
  <si>
    <t>BHA803</t>
  </si>
  <si>
    <t>Kajlya Para</t>
  </si>
  <si>
    <t>কাজল্যা পাড়া</t>
  </si>
  <si>
    <t>BHA804</t>
  </si>
  <si>
    <t>Noa Para (Ghachhban)</t>
  </si>
  <si>
    <t>নোয়া পাড়া (গাছবান)</t>
  </si>
  <si>
    <t>BHA805</t>
  </si>
  <si>
    <t>Kuki Para Jautha Camp</t>
  </si>
  <si>
    <t>কুকি পাড়া যৌথ ক্যাম্প</t>
  </si>
  <si>
    <t>BHA806</t>
  </si>
  <si>
    <t>বড় পাড়া</t>
  </si>
  <si>
    <t>BHA901</t>
  </si>
  <si>
    <t>Natun para</t>
  </si>
  <si>
    <t>BHA902</t>
  </si>
  <si>
    <t>Taiklu Hadok</t>
  </si>
  <si>
    <t>তৈক্লু হাদোক</t>
  </si>
  <si>
    <t>BHA903</t>
  </si>
  <si>
    <t>Rasta Hadok Para</t>
  </si>
  <si>
    <t>রাস্তা হাদোক পাড়া</t>
  </si>
  <si>
    <t>BHA904</t>
  </si>
  <si>
    <t>Amlai Haduk Para</t>
  </si>
  <si>
    <t>আমলাই হাদুক পাড়া</t>
  </si>
  <si>
    <t>BHA905</t>
  </si>
  <si>
    <t>Chhota Para</t>
  </si>
  <si>
    <t>ছোট পাড়া</t>
  </si>
  <si>
    <t>BHA906</t>
  </si>
  <si>
    <t>Hamachang Para</t>
  </si>
  <si>
    <t>হামাচাং পাড়া</t>
  </si>
  <si>
    <t>BHA907</t>
  </si>
  <si>
    <t>Kalaban Para</t>
  </si>
  <si>
    <t>কলাবন পাড়া</t>
  </si>
  <si>
    <t>BHA908</t>
  </si>
  <si>
    <t>Kewapara</t>
  </si>
  <si>
    <t>কেওয়াপাড়া</t>
  </si>
  <si>
    <t>BHA909</t>
  </si>
  <si>
    <t>BHA910</t>
  </si>
  <si>
    <t>Bejachandra Para</t>
  </si>
  <si>
    <t>বেজাচন্দ্র পাড়া</t>
  </si>
  <si>
    <t>BHA911</t>
  </si>
  <si>
    <t>BHA912</t>
  </si>
  <si>
    <t>Ghachhban Army Camp</t>
  </si>
  <si>
    <t>গাছবান আর্মি ক্যাম্প</t>
  </si>
  <si>
    <t>BHA913</t>
  </si>
  <si>
    <t>Golabari</t>
  </si>
  <si>
    <t xml:space="preserve">Uttar Ganj Para </t>
  </si>
  <si>
    <t xml:space="preserve">উত্তর গঞ্জ পাড়া </t>
  </si>
  <si>
    <t>GOL101</t>
  </si>
  <si>
    <t>Dakkhin Ganj Para</t>
  </si>
  <si>
    <t>দক্ষিণ গঞ্জ পাড়া</t>
  </si>
  <si>
    <t>GOL201</t>
  </si>
  <si>
    <t>Nikunja Residential Elaka</t>
  </si>
  <si>
    <t>নিকুঞ্জ আবাসিক এলাকা</t>
  </si>
  <si>
    <t>GOL202</t>
  </si>
  <si>
    <t>Balpiye Adam</t>
  </si>
  <si>
    <t>বলপিয়ে আদাম</t>
  </si>
  <si>
    <t>GOL203</t>
  </si>
  <si>
    <t>Uttar Mahalchhara Para</t>
  </si>
  <si>
    <t>উত্তর মহালছড়া পাড়া</t>
  </si>
  <si>
    <t>GOL301</t>
  </si>
  <si>
    <t>Bangalkati</t>
  </si>
  <si>
    <t xml:space="preserve">বাঙ্গালকাটি </t>
  </si>
  <si>
    <t>GOL302</t>
  </si>
  <si>
    <t>Alutila Rubber Bagan</t>
  </si>
  <si>
    <t>আলুটিলা রাবার বাগান</t>
  </si>
  <si>
    <t>GOL303</t>
  </si>
  <si>
    <t>GOL304</t>
  </si>
  <si>
    <t>Kaibalya Pith</t>
  </si>
  <si>
    <t xml:space="preserve">কৈবল্য পীঠ </t>
  </si>
  <si>
    <t>GOL305</t>
  </si>
  <si>
    <t xml:space="preserve">Mahalchhara </t>
  </si>
  <si>
    <t xml:space="preserve">মহালছড়া </t>
  </si>
  <si>
    <t>GOL401</t>
  </si>
  <si>
    <t>Mahalchhara Dewan Para</t>
  </si>
  <si>
    <t>মহালছড়া দেওয়ান পাড়া</t>
  </si>
  <si>
    <t>GOL402</t>
  </si>
  <si>
    <t>GOL501</t>
  </si>
  <si>
    <t>Kadamtali Zero-Mile</t>
  </si>
  <si>
    <t>কদমতলি জিরো-মাইল</t>
  </si>
  <si>
    <t>GOL502</t>
  </si>
  <si>
    <t xml:space="preserve">Madhu Bazar </t>
  </si>
  <si>
    <t xml:space="preserve">মধু বাজার </t>
  </si>
  <si>
    <t>GOL503</t>
  </si>
  <si>
    <t>Zero-Mile Army Camp</t>
  </si>
  <si>
    <t>জিরো-মাইল আর্মি ক্যাম্প</t>
  </si>
  <si>
    <t>GOL504</t>
  </si>
  <si>
    <t>Dakkhin Golabari</t>
  </si>
  <si>
    <t xml:space="preserve">দক্ষিণ গোলাবাড়ি </t>
  </si>
  <si>
    <t>GOL601</t>
  </si>
  <si>
    <t xml:space="preserve">Pashchim Golabari </t>
  </si>
  <si>
    <t xml:space="preserve">পশ্চিম গোলাবাড়ি </t>
  </si>
  <si>
    <t>GOL602</t>
  </si>
  <si>
    <t>Munsi Para</t>
  </si>
  <si>
    <t>মুন্সী পাড়া</t>
  </si>
  <si>
    <t>GOL603</t>
  </si>
  <si>
    <t>Satbhaiya Para</t>
  </si>
  <si>
    <t>সাতভাইয়া পাড়া</t>
  </si>
  <si>
    <t>GOL701</t>
  </si>
  <si>
    <t>GOL702</t>
  </si>
  <si>
    <t>Thuiaungya Para</t>
  </si>
  <si>
    <t>থুইঅংগ্যা পাড়া</t>
  </si>
  <si>
    <t>GOL703</t>
  </si>
  <si>
    <t>GOL704</t>
  </si>
  <si>
    <t>GOL705</t>
  </si>
  <si>
    <t>GOL801</t>
  </si>
  <si>
    <t>Natha Para</t>
  </si>
  <si>
    <t>নাথা পাড়া</t>
  </si>
  <si>
    <t>GOL802</t>
  </si>
  <si>
    <t>Tainyamachhara Para</t>
  </si>
  <si>
    <t xml:space="preserve">তৈন্যমাছড়া পাড়া </t>
  </si>
  <si>
    <t>GOL803</t>
  </si>
  <si>
    <t>Purbo Goamahat</t>
  </si>
  <si>
    <t>পূর্ব গোয়ামাহাট</t>
  </si>
  <si>
    <t>GOL804</t>
  </si>
  <si>
    <t>Jurapani Chara</t>
  </si>
  <si>
    <t>জুরাপানি ছড়া</t>
  </si>
  <si>
    <t>GOL805</t>
  </si>
  <si>
    <t>Uttar Goamahat</t>
  </si>
  <si>
    <t>উত্তর গোয়ামাহাট</t>
  </si>
  <si>
    <t>GOL806</t>
  </si>
  <si>
    <t>Harinath Para</t>
  </si>
  <si>
    <t>হরিনাথ পাড়া</t>
  </si>
  <si>
    <t>GOL807</t>
  </si>
  <si>
    <t>GOL808</t>
  </si>
  <si>
    <t>তালুকদার পাড়া</t>
  </si>
  <si>
    <t>GOL809</t>
  </si>
  <si>
    <t>Jangitila Army Camp</t>
  </si>
  <si>
    <t>জংগীটিলা আর্মি ক্যাম্প</t>
  </si>
  <si>
    <t>GOL810</t>
  </si>
  <si>
    <t>Taibaklai Para</t>
  </si>
  <si>
    <t>তৈবাকলাই পাড়া</t>
  </si>
  <si>
    <t>GOL901</t>
  </si>
  <si>
    <t>Jerok Para</t>
  </si>
  <si>
    <t>জেরক পাড়া</t>
  </si>
  <si>
    <t>GOL902</t>
  </si>
  <si>
    <t>Hemon Para</t>
  </si>
  <si>
    <t>হেমন পাড়া</t>
  </si>
  <si>
    <t>GOL903</t>
  </si>
  <si>
    <t>Choto Khagrachori</t>
  </si>
  <si>
    <t>ছোট খাগড়াছড়ি</t>
  </si>
  <si>
    <t>GOL904</t>
  </si>
  <si>
    <t>Uchoy Para</t>
  </si>
  <si>
    <t>উচয় পাড়া</t>
  </si>
  <si>
    <t>GOL905</t>
  </si>
  <si>
    <t>Bagra Chhara Para</t>
  </si>
  <si>
    <t>বগড়া ছড়া পাড়া</t>
  </si>
  <si>
    <t>GOL906</t>
  </si>
  <si>
    <t>Purbo Natun Para</t>
  </si>
  <si>
    <t>পূর্ব নতুন পাড়া</t>
  </si>
  <si>
    <t>GOL907</t>
  </si>
  <si>
    <t>Uttar Natun Para</t>
  </si>
  <si>
    <t>উত্তর নতুন পাড়া</t>
  </si>
  <si>
    <t>GOL908</t>
  </si>
  <si>
    <t>Kamalchhari</t>
  </si>
  <si>
    <t>Kamalchhari Mukh Para</t>
  </si>
  <si>
    <t>কমলছড়ি মুখ পাড়া</t>
  </si>
  <si>
    <t>KAM101</t>
  </si>
  <si>
    <t>KAM102</t>
  </si>
  <si>
    <t>Dayamohan Karbari Para</t>
  </si>
  <si>
    <t>দয়ামোহন কারবারি পাড়া</t>
  </si>
  <si>
    <t>KAM103</t>
  </si>
  <si>
    <t>Dakkhin Bhuachhari Marma Para</t>
  </si>
  <si>
    <t>দক্ষিণ ভূয়াছড়ি মার্মা পাড়া</t>
  </si>
  <si>
    <t>KAM104</t>
  </si>
  <si>
    <t>Amthali Para</t>
  </si>
  <si>
    <t>আমথলী পাড়া</t>
  </si>
  <si>
    <t>KAM105</t>
  </si>
  <si>
    <t>Upper Perachhara</t>
  </si>
  <si>
    <t>আপার পেরাছড়া</t>
  </si>
  <si>
    <t>KAM201</t>
  </si>
  <si>
    <t>Amtali Para</t>
  </si>
  <si>
    <t>আমতলী পাড়া</t>
  </si>
  <si>
    <t>KAM202</t>
  </si>
  <si>
    <t>Khyangdong Para</t>
  </si>
  <si>
    <t>খ্যাংদং পাড়া</t>
  </si>
  <si>
    <t>KAM203</t>
  </si>
  <si>
    <t>KAM204</t>
  </si>
  <si>
    <t>Mangalchan Para</t>
  </si>
  <si>
    <t>মঙ্গলচান পাড়া</t>
  </si>
  <si>
    <t>KAM205</t>
  </si>
  <si>
    <t>Tatul Tola</t>
  </si>
  <si>
    <t>তেঁতুল তলা</t>
  </si>
  <si>
    <t>KAM206</t>
  </si>
  <si>
    <t>KAM301</t>
  </si>
  <si>
    <t>Roasaya Para</t>
  </si>
  <si>
    <t>রোওয়াসায়া পাড়া</t>
  </si>
  <si>
    <t>KAM302</t>
  </si>
  <si>
    <t>KAM303</t>
  </si>
  <si>
    <t>Jaduram Para</t>
  </si>
  <si>
    <t>যাদুরাম পাড়া</t>
  </si>
  <si>
    <t>KAM304</t>
  </si>
  <si>
    <t>Madhu Para</t>
  </si>
  <si>
    <t>মধু পাড়া</t>
  </si>
  <si>
    <t>KAM305</t>
  </si>
  <si>
    <t>Betchhari Christian Para</t>
  </si>
  <si>
    <t>বেতছড়ি খ্রিষ্টান পাড়া</t>
  </si>
  <si>
    <t>KAM401</t>
  </si>
  <si>
    <t>Chakrachhara</t>
  </si>
  <si>
    <t>ছাক্রছড়া</t>
  </si>
  <si>
    <t>KAM402</t>
  </si>
  <si>
    <t>Betchhari Madhya Para</t>
  </si>
  <si>
    <t>বেতছড়ি মধ্য পাড়া</t>
  </si>
  <si>
    <t>KAM403</t>
  </si>
  <si>
    <t>Barnal Natun Para</t>
  </si>
  <si>
    <t>বর্নাল নতুন পাড়া</t>
  </si>
  <si>
    <t>KAM404</t>
  </si>
  <si>
    <t>Lohaman Para</t>
  </si>
  <si>
    <t>লোহামন পাড়া</t>
  </si>
  <si>
    <t>KAM405</t>
  </si>
  <si>
    <t>Ratanmani Karbari Para</t>
  </si>
  <si>
    <t>রতনমণি কারবারি পাড়া</t>
  </si>
  <si>
    <t>KAM406</t>
  </si>
  <si>
    <t>Akkhyachhara</t>
  </si>
  <si>
    <t>অক্ষয়ছড়া</t>
  </si>
  <si>
    <t>KAM407</t>
  </si>
  <si>
    <t>KAM501</t>
  </si>
  <si>
    <t>Habib Tila</t>
  </si>
  <si>
    <t>হাবীব টিলা</t>
  </si>
  <si>
    <t>KAM502</t>
  </si>
  <si>
    <t>Bhuachhari Uttar School Tila</t>
  </si>
  <si>
    <t>ভূয়াছড়ি উত্তর স্কুল টিলা</t>
  </si>
  <si>
    <t>KAM503</t>
  </si>
  <si>
    <t>Barisal Tila</t>
  </si>
  <si>
    <t>বরিশাল টিলা</t>
  </si>
  <si>
    <t>KAM504</t>
  </si>
  <si>
    <t>Rajshahi Tila</t>
  </si>
  <si>
    <t>রাজশাহী টিলা</t>
  </si>
  <si>
    <t>KAM505</t>
  </si>
  <si>
    <t>Bhuachhari Sub-Zone Army Camp</t>
  </si>
  <si>
    <t>ভূয়াছড়ি সাব-জোন আর্মি ক্যাম্প</t>
  </si>
  <si>
    <t>KAM506</t>
  </si>
  <si>
    <t>Dakkhin Bhuachhari</t>
  </si>
  <si>
    <t>দক্ষিণ ভূয়াছড়ি</t>
  </si>
  <si>
    <t>KAM601</t>
  </si>
  <si>
    <t>Bhuachhari Mukh Para</t>
  </si>
  <si>
    <t>ভূয়াছড়ি মুখ পাড়া</t>
  </si>
  <si>
    <t>KAM602</t>
  </si>
  <si>
    <t>Betchhari Mukh</t>
  </si>
  <si>
    <t>বেতছড়ি মুখ</t>
  </si>
  <si>
    <t>KAM603</t>
  </si>
  <si>
    <t>Wazed Tila</t>
  </si>
  <si>
    <t>ওয়াজেদ টিলা</t>
  </si>
  <si>
    <t>KAM604</t>
  </si>
  <si>
    <t>Bhuachhari Ansar Camp</t>
  </si>
  <si>
    <t>ভূয়াছড়ি আনসার ক্যাম্প</t>
  </si>
  <si>
    <t>KAM605</t>
  </si>
  <si>
    <t>Betchhari Mukh (Dakkhin)</t>
  </si>
  <si>
    <t>বেতছড়ি মুখ (দক্ষিণ)</t>
  </si>
  <si>
    <t>KAM701</t>
  </si>
  <si>
    <t>Betchhari Marma Para</t>
  </si>
  <si>
    <t>বেতছড়ি মার্মা পাড়া</t>
  </si>
  <si>
    <t>KAM702</t>
  </si>
  <si>
    <t>Itchhari Mukh</t>
  </si>
  <si>
    <t>ইটছড়ি মুখ</t>
  </si>
  <si>
    <t>KAM703</t>
  </si>
  <si>
    <t>Itchhari Bhitar Para</t>
  </si>
  <si>
    <t>ইটছড়ি ভিতর পাড়া</t>
  </si>
  <si>
    <t>KAM801</t>
  </si>
  <si>
    <t>Itchhari Madhya Para</t>
  </si>
  <si>
    <t>ইটছড়ি মধ্য পাড়া</t>
  </si>
  <si>
    <t>KAM802</t>
  </si>
  <si>
    <t>Betchhari Sajek Para</t>
  </si>
  <si>
    <t>বেতছড়ি সাজেক পাড়া</t>
  </si>
  <si>
    <t>KAM803</t>
  </si>
  <si>
    <t>Jayatdhar Karbari Para</t>
  </si>
  <si>
    <t>জয়তধর কারবারি পাড়া</t>
  </si>
  <si>
    <t>KAM804</t>
  </si>
  <si>
    <t>KAM805</t>
  </si>
  <si>
    <t>Purba Gamaridhala</t>
  </si>
  <si>
    <t>পূর্ব গামারীঢালা</t>
  </si>
  <si>
    <t>KAM901</t>
  </si>
  <si>
    <t>Datkupya Headman Para</t>
  </si>
  <si>
    <t>দাঁতকূপ্যা হেডম্যান পাড়া</t>
  </si>
  <si>
    <t>KAM902</t>
  </si>
  <si>
    <t>Datkupya Bangali Para</t>
  </si>
  <si>
    <t>দাঁতকূপ্যা বাঙ্গালী পাড়া</t>
  </si>
  <si>
    <t>KAM903</t>
  </si>
  <si>
    <t>KAM904</t>
  </si>
  <si>
    <t>Monghlaprue Para</t>
  </si>
  <si>
    <t>মংহ্লাপ্রু পাড়া</t>
  </si>
  <si>
    <t>KAM905</t>
  </si>
  <si>
    <t>Hatimura Chhara</t>
  </si>
  <si>
    <t>হাতিমুরা ছড়া</t>
  </si>
  <si>
    <t>KAM906</t>
  </si>
  <si>
    <t>KAM907</t>
  </si>
  <si>
    <t>Katukchhari Madhya Para</t>
  </si>
  <si>
    <t>কতুকছড়ি মধ্য পাড়া</t>
  </si>
  <si>
    <t>KAM908</t>
  </si>
  <si>
    <t>Katukchhari Bhitar Para</t>
  </si>
  <si>
    <t>কতুকছড়ি ভিতর পাড়া</t>
  </si>
  <si>
    <t>KAM909</t>
  </si>
  <si>
    <t>Agalashing Para</t>
  </si>
  <si>
    <t>আগালাশিং পাড়া</t>
  </si>
  <si>
    <t>KAM910</t>
  </si>
  <si>
    <t>Bada Para</t>
  </si>
  <si>
    <t>বদা পাড়া</t>
  </si>
  <si>
    <t>KAM911</t>
  </si>
  <si>
    <t>Datkupya Army Camp</t>
  </si>
  <si>
    <t>দাঁতকূপ্যা আর্মি ক্যাম্প</t>
  </si>
  <si>
    <t>KAM912</t>
  </si>
  <si>
    <t>Khagrachhari Pourasabha</t>
  </si>
  <si>
    <t>Singinala</t>
  </si>
  <si>
    <t>সিঙ্গিনালা</t>
  </si>
  <si>
    <t>KHA101</t>
  </si>
  <si>
    <t>Uttar Khabang Paria</t>
  </si>
  <si>
    <t>উত্তর খবং পরিয়া</t>
  </si>
  <si>
    <t>KHA102</t>
  </si>
  <si>
    <t>Upali Para</t>
  </si>
  <si>
    <t>উপালি পাড়া</t>
  </si>
  <si>
    <t>KHA103</t>
  </si>
  <si>
    <t>Narankhaiya</t>
  </si>
  <si>
    <t>নারানখাইয়া</t>
  </si>
  <si>
    <t>KHA104</t>
  </si>
  <si>
    <t>Swanirvar Elaka</t>
  </si>
  <si>
    <t>স্বনির্ভর এলাকা</t>
  </si>
  <si>
    <t>KHA105</t>
  </si>
  <si>
    <t>Ananta Master Para</t>
  </si>
  <si>
    <t>অনন্ত মাস্টার পাড়া</t>
  </si>
  <si>
    <t>KHA106</t>
  </si>
  <si>
    <t>Latu Para</t>
  </si>
  <si>
    <t>লাতু পাড়া</t>
  </si>
  <si>
    <t>KHA107</t>
  </si>
  <si>
    <t>Dakkhin Khabang Paria</t>
  </si>
  <si>
    <t>দক্ষিণ খবং পরিয়া</t>
  </si>
  <si>
    <t>KHA108</t>
  </si>
  <si>
    <t>Madhyam Khabang Paria</t>
  </si>
  <si>
    <t>মধ্যম খবং পরিয়া</t>
  </si>
  <si>
    <t>KHA109</t>
  </si>
  <si>
    <t>KHA110</t>
  </si>
  <si>
    <t>32 BGB Camp</t>
  </si>
  <si>
    <t>৩২ বিজিবি ক্যাম্প</t>
  </si>
  <si>
    <t>KHA111</t>
  </si>
  <si>
    <t>Pashchim Naran Khaiya</t>
  </si>
  <si>
    <t>পশ্চিম নারান খাইয়া</t>
  </si>
  <si>
    <t>KHA201</t>
  </si>
  <si>
    <t>College Gate</t>
  </si>
  <si>
    <t>কলেজ গেইট</t>
  </si>
  <si>
    <t>KHA202</t>
  </si>
  <si>
    <t>KHA203</t>
  </si>
  <si>
    <t>College Para</t>
  </si>
  <si>
    <t>কলেজ পাড়া</t>
  </si>
  <si>
    <t>KHA204</t>
  </si>
  <si>
    <t>Mahammadpur</t>
  </si>
  <si>
    <t>KHA205</t>
  </si>
  <si>
    <t>Sabujbag</t>
  </si>
  <si>
    <t>সবুজবাগ</t>
  </si>
  <si>
    <t>KHA206</t>
  </si>
  <si>
    <t>Upazila Elaka</t>
  </si>
  <si>
    <t>উপজেলা এলাকা</t>
  </si>
  <si>
    <t>KHA207</t>
  </si>
  <si>
    <t>KHA208</t>
  </si>
  <si>
    <t>Artamanab (Comilla Tila)</t>
  </si>
  <si>
    <t>আর্তমানব (কুমিল্লা টিলা)</t>
  </si>
  <si>
    <t>KHA209</t>
  </si>
  <si>
    <t>Uttar Sabujbag</t>
  </si>
  <si>
    <t>উত্তর সবুজবাগ</t>
  </si>
  <si>
    <t>KHA210</t>
  </si>
  <si>
    <t>Cantonment Area</t>
  </si>
  <si>
    <t>সেনানিবাস এলাকা</t>
  </si>
  <si>
    <t>KHA211</t>
  </si>
  <si>
    <t>Shabda Mia Para</t>
  </si>
  <si>
    <t>শব্দ মিয়া পাড়া</t>
  </si>
  <si>
    <t>KHA301</t>
  </si>
  <si>
    <t>KHA302</t>
  </si>
  <si>
    <t>Bus Terminal Elaka</t>
  </si>
  <si>
    <t>বাস টার্মিনাল এলাকা</t>
  </si>
  <si>
    <t>KHA303</t>
  </si>
  <si>
    <t>KHA304</t>
  </si>
  <si>
    <t>Arambag</t>
  </si>
  <si>
    <t>আরামবাগ</t>
  </si>
  <si>
    <t>KHA305</t>
  </si>
  <si>
    <t>Pashchim Mahajan Para</t>
  </si>
  <si>
    <t>পশ্চিম মহাজন পাড়া</t>
  </si>
  <si>
    <t>KHA306</t>
  </si>
  <si>
    <t>Purba Shantinagar</t>
  </si>
  <si>
    <t>পূর্ব শান্তিনগর</t>
  </si>
  <si>
    <t>KHA307</t>
  </si>
  <si>
    <t>Maini Valley</t>
  </si>
  <si>
    <t>মাইনী ভ্যালি</t>
  </si>
  <si>
    <t>KHA308</t>
  </si>
  <si>
    <t>KHA401</t>
  </si>
  <si>
    <t>KHA402</t>
  </si>
  <si>
    <t>Narikel Bagan</t>
  </si>
  <si>
    <t>নারিকেল বাগান</t>
  </si>
  <si>
    <t>KHA403</t>
  </si>
  <si>
    <t>Kalabagan</t>
  </si>
  <si>
    <t>কলাবাগান</t>
  </si>
  <si>
    <t>KHA404</t>
  </si>
  <si>
    <t>Old Police Line</t>
  </si>
  <si>
    <t>পুরাতন পুলিশ লাইন</t>
  </si>
  <si>
    <t>KHA405</t>
  </si>
  <si>
    <t>Development Board Elaka</t>
  </si>
  <si>
    <t>উন্নয়ন বোর্ড এলাকা</t>
  </si>
  <si>
    <t>KHA406</t>
  </si>
  <si>
    <t>KHA501</t>
  </si>
  <si>
    <t>KHA502</t>
  </si>
  <si>
    <t>Collectorate Elaka</t>
  </si>
  <si>
    <t>কালেক্টরেট এলাকা</t>
  </si>
  <si>
    <t>KHA503</t>
  </si>
  <si>
    <t>Khagrapur</t>
  </si>
  <si>
    <t>খগড়াপুর</t>
  </si>
  <si>
    <t>KHA504</t>
  </si>
  <si>
    <t>রমণী পাড়া</t>
  </si>
  <si>
    <t>KHA505</t>
  </si>
  <si>
    <t>T&amp;T Elaka</t>
  </si>
  <si>
    <t>টি এন্ড টি এলাকা</t>
  </si>
  <si>
    <t>KHA506</t>
  </si>
  <si>
    <t>High School Elaka</t>
  </si>
  <si>
    <t>হাই স্কুল এলাকা</t>
  </si>
  <si>
    <t>KHA507</t>
  </si>
  <si>
    <t>1 No. Kadamtoli</t>
  </si>
  <si>
    <t>১ নং কদমতলি</t>
  </si>
  <si>
    <t>KHA508</t>
  </si>
  <si>
    <t>Nansy Bazar</t>
  </si>
  <si>
    <t>ন্যান্সী বাজার</t>
  </si>
  <si>
    <t>KHA601</t>
  </si>
  <si>
    <t>KHA602</t>
  </si>
  <si>
    <t>Garugari Tila Gap</t>
  </si>
  <si>
    <t>গরুগাড়ি টিলা গ্যাপ</t>
  </si>
  <si>
    <t>KHA603</t>
  </si>
  <si>
    <t>Madhya Shalban</t>
  </si>
  <si>
    <t>মধ্য শালবন</t>
  </si>
  <si>
    <t>KHA604</t>
  </si>
  <si>
    <t>KHA605</t>
  </si>
  <si>
    <t>KHA606</t>
  </si>
  <si>
    <t>ADC Hill</t>
  </si>
  <si>
    <t>এডিসি হিল</t>
  </si>
  <si>
    <t>KHA607</t>
  </si>
  <si>
    <t>KHA608</t>
  </si>
  <si>
    <t>Muktijodhya Palli</t>
  </si>
  <si>
    <t>মুক্তিযোদ্ধা পল্লী</t>
  </si>
  <si>
    <t>KHA609</t>
  </si>
  <si>
    <t>Daya Nagar</t>
  </si>
  <si>
    <t>দয়া নগর</t>
  </si>
  <si>
    <t>KHA610</t>
  </si>
  <si>
    <t>Police Camp</t>
  </si>
  <si>
    <t>পুলিশ ক্যাম্প</t>
  </si>
  <si>
    <t>KHA611</t>
  </si>
  <si>
    <t>Pankhaiya Para</t>
  </si>
  <si>
    <t>পানখাইয়া পাড়া</t>
  </si>
  <si>
    <t>KHA701</t>
  </si>
  <si>
    <t>মোল্লা পাড়া</t>
  </si>
  <si>
    <t>KHA702</t>
  </si>
  <si>
    <t>Ananda Nagar</t>
  </si>
  <si>
    <t>আনন্দ নগর</t>
  </si>
  <si>
    <t>KHA703</t>
  </si>
  <si>
    <t>KHA704</t>
  </si>
  <si>
    <t>Maitripur</t>
  </si>
  <si>
    <t>মৈত্রীপুর</t>
  </si>
  <si>
    <t>KHA705</t>
  </si>
  <si>
    <t>KHA706</t>
  </si>
  <si>
    <t>New Zealand Road</t>
  </si>
  <si>
    <t>নিউজিল্যান্ড সড়ক</t>
  </si>
  <si>
    <t>KHA707</t>
  </si>
  <si>
    <t>Switch Gate</t>
  </si>
  <si>
    <t>সুইচ গেট</t>
  </si>
  <si>
    <t>KHA708</t>
  </si>
  <si>
    <t>জামতলা</t>
  </si>
  <si>
    <t>KHA709</t>
  </si>
  <si>
    <t>Manpura Residential Elaka</t>
  </si>
  <si>
    <t>মনপুরা আবাসিক এলাকা</t>
  </si>
  <si>
    <t>KHA710</t>
  </si>
  <si>
    <t>Haspatal Gate</t>
  </si>
  <si>
    <t>হাসপাতাল গেট</t>
  </si>
  <si>
    <t>KHA711</t>
  </si>
  <si>
    <t>Tek Para</t>
  </si>
  <si>
    <t>টেক পাড়া</t>
  </si>
  <si>
    <t>KHA712</t>
  </si>
  <si>
    <t>Wabda Colony</t>
  </si>
  <si>
    <t>ওয়াবদা কলোনী</t>
  </si>
  <si>
    <t>KHA713</t>
  </si>
  <si>
    <t>Shahid Kader Road</t>
  </si>
  <si>
    <t>শহীদ কাদের সড়ক</t>
  </si>
  <si>
    <t>KHA801</t>
  </si>
  <si>
    <t>Mehedi Bag</t>
  </si>
  <si>
    <t>মেহেদী বাগ</t>
  </si>
  <si>
    <t>KHA802</t>
  </si>
  <si>
    <t>Nayanpur</t>
  </si>
  <si>
    <t>নয়নপুর</t>
  </si>
  <si>
    <t>KHA803</t>
  </si>
  <si>
    <t>KHA804</t>
  </si>
  <si>
    <t>Adalat Road</t>
  </si>
  <si>
    <t>আদালত সড়ক</t>
  </si>
  <si>
    <t>KHA805</t>
  </si>
  <si>
    <t>Jagannat Mandir Road</t>
  </si>
  <si>
    <t>জগন্নাথ মন্দির সড়ক</t>
  </si>
  <si>
    <t>KHA806</t>
  </si>
  <si>
    <t>Masjid Road</t>
  </si>
  <si>
    <t>মসজিদ সড়ক</t>
  </si>
  <si>
    <t>KHA807</t>
  </si>
  <si>
    <t>Caul Bazar</t>
  </si>
  <si>
    <t>চাউল বাজার</t>
  </si>
  <si>
    <t>KHA808</t>
  </si>
  <si>
    <t>Narayan Mandir Road</t>
  </si>
  <si>
    <t>নারায়ণ মন্দির সড়ক</t>
  </si>
  <si>
    <t>KHA809</t>
  </si>
  <si>
    <t>Yanda Bauddha Mandir Elaka</t>
  </si>
  <si>
    <t>য়ংড বৌদ্ধ মন্দির এলাকা</t>
  </si>
  <si>
    <t>KHA810</t>
  </si>
  <si>
    <t>KHA901</t>
  </si>
  <si>
    <t>Futbil</t>
  </si>
  <si>
    <t>ফুটবিল</t>
  </si>
  <si>
    <t>KHA902</t>
  </si>
  <si>
    <t>KHA903</t>
  </si>
  <si>
    <t>KHA904</t>
  </si>
  <si>
    <t>APBN Para</t>
  </si>
  <si>
    <t>এপিবিএন পাড়া</t>
  </si>
  <si>
    <t>KHA905</t>
  </si>
  <si>
    <t>Rajyamani Para</t>
  </si>
  <si>
    <t>রাজ্যমণি পাড়া</t>
  </si>
  <si>
    <t>KHA906</t>
  </si>
  <si>
    <t>Aparna Chowdhury Para</t>
  </si>
  <si>
    <t>অপর্ণা চৌধুরী পাড়া</t>
  </si>
  <si>
    <t>KHA907</t>
  </si>
  <si>
    <t>Mohila College Elaka</t>
  </si>
  <si>
    <t>মহিলা কলেজ এলাকা</t>
  </si>
  <si>
    <t>KHA908</t>
  </si>
  <si>
    <t>Rukhai Chowdhury Para</t>
  </si>
  <si>
    <t>রুখই চৌধুরী পাড়া</t>
  </si>
  <si>
    <t>KHA909</t>
  </si>
  <si>
    <t>KHA910</t>
  </si>
  <si>
    <t>Kalyanpur</t>
  </si>
  <si>
    <t>কল্যাণপুর</t>
  </si>
  <si>
    <t>KHA911</t>
  </si>
  <si>
    <t>Swapna Mohan Karbari Para</t>
  </si>
  <si>
    <t>স্বপ্ন মোহন কারবারি পাড়া</t>
  </si>
  <si>
    <t>KHA912</t>
  </si>
  <si>
    <t>Pukur Para</t>
  </si>
  <si>
    <t>পুকুর পাড়া</t>
  </si>
  <si>
    <t>KHG101</t>
  </si>
  <si>
    <t>KHG102</t>
  </si>
  <si>
    <t>KHG103</t>
  </si>
  <si>
    <t>Champaghat Chakma Para</t>
  </si>
  <si>
    <t xml:space="preserve">চম্পাঘাট চাকমা পাড়া
</t>
  </si>
  <si>
    <t>KHG201</t>
  </si>
  <si>
    <t>Champaghat Tripura Para</t>
  </si>
  <si>
    <t xml:space="preserve">চম্পাঘাট ত্রিপুরা পাড়া
</t>
  </si>
  <si>
    <t>KHG202</t>
  </si>
  <si>
    <t>Ghat Para</t>
  </si>
  <si>
    <t xml:space="preserve">ঘাট পাড়া
</t>
  </si>
  <si>
    <t>KHG203</t>
  </si>
  <si>
    <t>Akbari Para</t>
  </si>
  <si>
    <t>আকবাড়ি পাড়া</t>
  </si>
  <si>
    <t>KHG204</t>
  </si>
  <si>
    <t>Niyong Karbari Para</t>
  </si>
  <si>
    <t>নিয়ং কারবারি পাড়া</t>
  </si>
  <si>
    <t>KHG301</t>
  </si>
  <si>
    <t>Punarbasan Para</t>
  </si>
  <si>
    <t>পূর্ণবাসন পাড়া</t>
  </si>
  <si>
    <t>KHG302</t>
  </si>
  <si>
    <t>AK Para</t>
  </si>
  <si>
    <t>একে পাড়া</t>
  </si>
  <si>
    <t>KHG303</t>
  </si>
  <si>
    <t>Suduaung Memberpara</t>
  </si>
  <si>
    <t>সুদুঅং মেম্বারপাড়া</t>
  </si>
  <si>
    <t>KHG304</t>
  </si>
  <si>
    <t>Bicitola Vubon Karbari Para</t>
  </si>
  <si>
    <t>বিচিতলা ভূবন কারবারি পাড়া</t>
  </si>
  <si>
    <t>KHG401</t>
  </si>
  <si>
    <t>Jidi Para</t>
  </si>
  <si>
    <t>জিদি পাড়া</t>
  </si>
  <si>
    <t>KHG402</t>
  </si>
  <si>
    <t>Mongaram Para</t>
  </si>
  <si>
    <t>মঙ্গরাম পাড়া</t>
  </si>
  <si>
    <t>KHG403</t>
  </si>
  <si>
    <t>Mongaram Para Punarbasan</t>
  </si>
  <si>
    <t>মঙ্গরাম পাড়া পুনর্বাসন</t>
  </si>
  <si>
    <t>KHG404</t>
  </si>
  <si>
    <t>School Para</t>
  </si>
  <si>
    <t>স্কুল পাড়া</t>
  </si>
  <si>
    <t>KHG405</t>
  </si>
  <si>
    <t>Surendra Karbari Para</t>
  </si>
  <si>
    <t>সুরেন্দ্র কারবারি পাড়া</t>
  </si>
  <si>
    <t>KHG406</t>
  </si>
  <si>
    <t>1 No. Prakalpa Para</t>
  </si>
  <si>
    <t>১ নং প্রকল্প পাড়া</t>
  </si>
  <si>
    <t>KHG407</t>
  </si>
  <si>
    <t>AB Battalion Camp</t>
  </si>
  <si>
    <t>এবি ব্যাটালিয়ন ক্যাম্প</t>
  </si>
  <si>
    <t>KHG408</t>
  </si>
  <si>
    <t>Nunchhari Headman Para</t>
  </si>
  <si>
    <t>নুনছড়ি হেডম্যান পাড়া</t>
  </si>
  <si>
    <t>KHG501</t>
  </si>
  <si>
    <t>Nunchhari 3 No. Prakalpa Gram</t>
  </si>
  <si>
    <t>নুনছড়ি ৩ নং প্রকল্প</t>
  </si>
  <si>
    <t>KHG502</t>
  </si>
  <si>
    <t>Nunchhari Tholi Para</t>
  </si>
  <si>
    <t>নুনছড়ি থলি পাড়া</t>
  </si>
  <si>
    <t>KHG503</t>
  </si>
  <si>
    <t>Thali Para Punarbasan</t>
  </si>
  <si>
    <t>থলি পাড়া পুনর্বাসন</t>
  </si>
  <si>
    <t>KHG504</t>
  </si>
  <si>
    <t>Nunchhari Matai Pukhiri Para</t>
  </si>
  <si>
    <t>নুনছড়ি মাতাই পুখিরী পাড়া</t>
  </si>
  <si>
    <t>KHG505</t>
  </si>
  <si>
    <t>Nunchhari Master Para</t>
  </si>
  <si>
    <t>নুনছড়ি মাস্টার পাড়া</t>
  </si>
  <si>
    <t>KHG601</t>
  </si>
  <si>
    <t>Nunchhari 2 No Prakalpa Para</t>
  </si>
  <si>
    <t>নুনছড়ি ২ নং প্রকল্প পাড়া</t>
  </si>
  <si>
    <t>KHG602</t>
  </si>
  <si>
    <t>Nunchhari Khamar Para</t>
  </si>
  <si>
    <t>নুনছড়ি খামার পাড়া</t>
  </si>
  <si>
    <t>KHG603</t>
  </si>
  <si>
    <t>Nunchhari Oniruddho Karbari Par</t>
  </si>
  <si>
    <t>নুনছড়ি অনিরুদ্ধ কারবারি পাড়া</t>
  </si>
  <si>
    <t>KHG604</t>
  </si>
  <si>
    <t>Nunchhari Kongchai Karbari Para</t>
  </si>
  <si>
    <t>নুনছড়ি কংচাই কারবারি পাড়া</t>
  </si>
  <si>
    <t>KHG605</t>
  </si>
  <si>
    <t>Nunchhari Romesh Karbari Para</t>
  </si>
  <si>
    <t>নুনছড়ি রমেশ কারবারি পাড়া</t>
  </si>
  <si>
    <t>KHG606</t>
  </si>
  <si>
    <t>Nunchhari Natun Para</t>
  </si>
  <si>
    <t>নুনছড়ি নতুন পাড়া</t>
  </si>
  <si>
    <t>KHG607</t>
  </si>
  <si>
    <t>Rajani Dewan Para</t>
  </si>
  <si>
    <t>রজনী দেওয়ান পাড়া</t>
  </si>
  <si>
    <t>KHG701</t>
  </si>
  <si>
    <t>Jatindra Member Para</t>
  </si>
  <si>
    <t>যতীন্দ্র মেম্বার পাড়া</t>
  </si>
  <si>
    <t>KHG702</t>
  </si>
  <si>
    <t>Akya Daktar Para</t>
  </si>
  <si>
    <t>আক্য ডাক্তার পাড়া</t>
  </si>
  <si>
    <t>KHG703</t>
  </si>
  <si>
    <t>KHG704</t>
  </si>
  <si>
    <t xml:space="preserve">Rajkumar Karbari Para </t>
  </si>
  <si>
    <t>রাজকুমার কারবারি পাড়া</t>
  </si>
  <si>
    <t>KHG801</t>
  </si>
  <si>
    <t>KHG802</t>
  </si>
  <si>
    <t>Bicitola Dipi Para</t>
  </si>
  <si>
    <t>বিচিতলা ডিপি পাড়া</t>
  </si>
  <si>
    <t>KHG803</t>
  </si>
  <si>
    <t>Fanindra Para</t>
  </si>
  <si>
    <t>ফণীন্দ্র পাড়া</t>
  </si>
  <si>
    <t>KHG804</t>
  </si>
  <si>
    <t>Gamaridhala Bangali Para</t>
  </si>
  <si>
    <t>গামারিঢালা বাঙালি পাড়া</t>
  </si>
  <si>
    <t>KHG805</t>
  </si>
  <si>
    <t>Gamaridhala Para</t>
  </si>
  <si>
    <t>গামারিঢালা পাড়া</t>
  </si>
  <si>
    <t>KHG901</t>
  </si>
  <si>
    <t>KHG902</t>
  </si>
  <si>
    <t>Magistrate Para</t>
  </si>
  <si>
    <t>ম্যাজিস্ট্রেট পাড়া</t>
  </si>
  <si>
    <t>KHG903</t>
  </si>
  <si>
    <t>Pidiya Para</t>
  </si>
  <si>
    <t>পিডিয়া পাড়া</t>
  </si>
  <si>
    <t>KHG904</t>
  </si>
  <si>
    <t xml:space="preserve">Bijitala Army Camp </t>
  </si>
  <si>
    <t>বিজিতলা আর্মি ক্যাম্প</t>
  </si>
  <si>
    <t>KHG905</t>
  </si>
  <si>
    <t>Perachhara</t>
  </si>
  <si>
    <t>Bangalkati Para</t>
  </si>
  <si>
    <t>বাঙ্গালকাটি পাড়া</t>
  </si>
  <si>
    <t>PER101</t>
  </si>
  <si>
    <t>Bholanath Para</t>
  </si>
  <si>
    <t>ভোলানাথ পাড়া</t>
  </si>
  <si>
    <t>PER102</t>
  </si>
  <si>
    <t>Achai Para</t>
  </si>
  <si>
    <t>অচাই পাড়া</t>
  </si>
  <si>
    <t>PER103</t>
  </si>
  <si>
    <t>PER104</t>
  </si>
  <si>
    <t>Paltan Joy Para</t>
  </si>
  <si>
    <t>পল্টন জয় পাড়া</t>
  </si>
  <si>
    <t>PER201</t>
  </si>
  <si>
    <t>PER202</t>
  </si>
  <si>
    <t>PER203</t>
  </si>
  <si>
    <t>Chelachhara Para</t>
  </si>
  <si>
    <t>চেলাছড়া পাড়া</t>
  </si>
  <si>
    <t>PER301</t>
  </si>
  <si>
    <t>Larma Para</t>
  </si>
  <si>
    <t>লার্মা পাড়া</t>
  </si>
  <si>
    <t>PER302</t>
  </si>
  <si>
    <t>Shankhamohan Para</t>
  </si>
  <si>
    <t>শঙ্খমোহন পাড়া</t>
  </si>
  <si>
    <t>PER303</t>
  </si>
  <si>
    <t>Nilkanta Para</t>
  </si>
  <si>
    <t>নীলকান্ত পাড়া</t>
  </si>
  <si>
    <t>PER401</t>
  </si>
  <si>
    <t>Singinala Para</t>
  </si>
  <si>
    <t>সিঙ্গিনালা পাড়া</t>
  </si>
  <si>
    <t>PER402</t>
  </si>
  <si>
    <t>12 No. Prakalpa Gram</t>
  </si>
  <si>
    <t>১২নং প্রকল্প গ্রাম</t>
  </si>
  <si>
    <t>PER403</t>
  </si>
  <si>
    <t>Jubaraj Para</t>
  </si>
  <si>
    <t>যুবরাজ পাড়া</t>
  </si>
  <si>
    <t>PER404</t>
  </si>
  <si>
    <t>Bagra Para</t>
  </si>
  <si>
    <t>বগড়া পাড়া</t>
  </si>
  <si>
    <t>PER501</t>
  </si>
  <si>
    <t>11 No. Prakalpa Gram</t>
  </si>
  <si>
    <t>১১ নং প্রকল্প গ্রাম</t>
  </si>
  <si>
    <t>PER502</t>
  </si>
  <si>
    <t>PER503</t>
  </si>
  <si>
    <t>PER504</t>
  </si>
  <si>
    <t>Paulunya Para</t>
  </si>
  <si>
    <t>পাউলুন্যা পাড়া</t>
  </si>
  <si>
    <t>PER601</t>
  </si>
  <si>
    <t>Golakana Para</t>
  </si>
  <si>
    <t>গোলাকানা পাড়া</t>
  </si>
  <si>
    <t>PER602</t>
  </si>
  <si>
    <t>Dayaram Para</t>
  </si>
  <si>
    <t>দয়ারাম পাড়া</t>
  </si>
  <si>
    <t>PER603</t>
  </si>
  <si>
    <t>Haduk Para</t>
  </si>
  <si>
    <t>হাঁদুক পাড়া</t>
  </si>
  <si>
    <t>PER701</t>
  </si>
  <si>
    <t>Tangthak Para</t>
  </si>
  <si>
    <t>তংথাক পাড়া</t>
  </si>
  <si>
    <t>PER702</t>
  </si>
  <si>
    <t>Mayung Taiklu Para</t>
  </si>
  <si>
    <t>মায়ুং তৈক্লু পাড়া</t>
  </si>
  <si>
    <t>PER703</t>
  </si>
  <si>
    <t>Mongpru Para</t>
  </si>
  <si>
    <t>মংপ্রু পাড়া</t>
  </si>
  <si>
    <t>PER704</t>
  </si>
  <si>
    <t>Krishigabeshana</t>
  </si>
  <si>
    <t>কৃষিগবেষনা</t>
  </si>
  <si>
    <t>PER705</t>
  </si>
  <si>
    <t>রাইটার পাড়া</t>
  </si>
  <si>
    <t>PER706</t>
  </si>
  <si>
    <t>Pratap Para</t>
  </si>
  <si>
    <t>প্রতাপ পাড়া</t>
  </si>
  <si>
    <t>PER707</t>
  </si>
  <si>
    <t>Krishigabeshana Ansar Camp</t>
  </si>
  <si>
    <t>কৃষিগবেষনা আনসার ক্যাম্প</t>
  </si>
  <si>
    <t>PER708</t>
  </si>
  <si>
    <t xml:space="preserve">13 No. Prakalpa Gram </t>
  </si>
  <si>
    <t>১৩ নং প্রকল্প গ্রাম</t>
  </si>
  <si>
    <t>PER801</t>
  </si>
  <si>
    <t>4 Mile Joutha Khamar Para</t>
  </si>
  <si>
    <t>৪ মাইল যৌথ খামার পাড়া</t>
  </si>
  <si>
    <t>PER802</t>
  </si>
  <si>
    <t>5 Mile Para</t>
  </si>
  <si>
    <t>৫ মাইল পাড়া</t>
  </si>
  <si>
    <t>PER803</t>
  </si>
  <si>
    <t>Kalapani Chhara</t>
  </si>
  <si>
    <t>কালাপানি ছড়া</t>
  </si>
  <si>
    <t>PER804</t>
  </si>
  <si>
    <t>Kamini Para</t>
  </si>
  <si>
    <t>কামিনী পাড়া</t>
  </si>
  <si>
    <t>PER805</t>
  </si>
  <si>
    <t>PER806</t>
  </si>
  <si>
    <t>Kamini Para Police Camp</t>
  </si>
  <si>
    <t>কামিনী পাড়া পুলিশ ক্যাম্প</t>
  </si>
  <si>
    <t>PER807</t>
  </si>
  <si>
    <t>Chhota Gachhban Para</t>
  </si>
  <si>
    <t>ছোট গাছবান পাড়া</t>
  </si>
  <si>
    <t>PER901</t>
  </si>
  <si>
    <t>Chandrakumar Para</t>
  </si>
  <si>
    <t>চন্দ্রকুমার পাড়া</t>
  </si>
  <si>
    <t>PER902</t>
  </si>
  <si>
    <t>Kalya Para</t>
  </si>
  <si>
    <t>কাল্যা পাড়া</t>
  </si>
  <si>
    <t>PER903</t>
  </si>
  <si>
    <t>7 Mile Joutha Khamar</t>
  </si>
  <si>
    <t>সাত মাইল যৌথ খামার</t>
  </si>
  <si>
    <t>PER904</t>
  </si>
  <si>
    <t>8 Mile Joutha Khamar</t>
  </si>
  <si>
    <t>আট মাইল যৌথ খামার</t>
  </si>
  <si>
    <t>PER905</t>
  </si>
  <si>
    <t>Chandrakiran Para/ 9 Mile Joutha Khamar</t>
  </si>
  <si>
    <t>চন্দ্রকিরণ পাড়া/ ৯ মাইল যৌথ খামার</t>
  </si>
  <si>
    <t>PER906</t>
  </si>
  <si>
    <t>Maite Para</t>
  </si>
  <si>
    <t>মাইতে পাড়া</t>
  </si>
  <si>
    <t>PER907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</si>
</sst>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-d"/>
    <numFmt numFmtId="165" formatCode="#,##0.00000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0"/>
      <color rgb="FFff0000"/>
      <name val="Calibri"/>
      <family val="2"/>
    </font>
    <font>
      <sz val="12"/>
      <color rgb="FFff0000"/>
      <name val="Calibri"/>
      <family val="2"/>
    </font>
    <font>
      <sz val="11"/>
      <color rgb="FF0d0d0d"/>
      <name val="Calibri"/>
      <family val="2"/>
    </font>
    <font>
      <sz val="11"/>
      <color rgb="FF1f1f1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8f9fa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 vertical="top" wrapText="1"/>
    </xf>
    <xf xfId="0" numFmtId="0" borderId="2" applyBorder="1" fontId="2" applyFont="1" fillId="2" applyFill="1" applyAlignment="1">
      <alignment horizontal="left"/>
    </xf>
    <xf xfId="0" numFmtId="1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1" applyNumberFormat="1" borderId="1" applyBorder="1" fontId="3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 wrapText="1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4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4" applyBorder="1" fontId="2" applyFont="1" fillId="4" applyFill="1" applyAlignment="1">
      <alignment horizontal="center"/>
    </xf>
    <xf xfId="0" numFmtId="1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5" applyBorder="1" fontId="2" applyFont="1" fillId="5" applyFill="1" applyAlignment="1">
      <alignment horizontal="center" wrapText="1"/>
    </xf>
    <xf xfId="0" numFmtId="0" borderId="6" applyBorder="1" fontId="2" applyFont="1" fillId="5" applyFill="1" applyAlignment="1">
      <alignment horizontal="center" wrapText="1"/>
    </xf>
    <xf xfId="0" numFmtId="0" borderId="7" applyBorder="1" fontId="2" applyFont="1" fillId="5" applyFill="1" applyAlignment="1">
      <alignment horizontal="center" wrapText="1"/>
    </xf>
    <xf xfId="0" numFmtId="1" applyNumberFormat="1" borderId="7" applyBorder="1" fontId="2" applyFont="1" fillId="5" applyFill="1" applyAlignment="1">
      <alignment horizontal="center" wrapText="1"/>
    </xf>
    <xf xfId="0" numFmtId="0" borderId="8" applyBorder="1" fontId="2" applyFont="1" fillId="5" applyFill="1" applyAlignment="1">
      <alignment horizontal="center" wrapText="1"/>
    </xf>
    <xf xfId="0" numFmtId="3" applyNumberFormat="1" borderId="9" applyBorder="1" fontId="2" applyFont="1" fillId="5" applyFill="1" applyAlignment="1">
      <alignment horizontal="center" wrapText="1"/>
    </xf>
    <xf xfId="0" numFmtId="0" borderId="9" applyBorder="1" fontId="2" applyFont="1" fillId="5" applyFill="1" applyAlignment="1">
      <alignment horizontal="center" wrapText="1"/>
    </xf>
    <xf xfId="0" numFmtId="3" applyNumberFormat="1" borderId="7" applyBorder="1" fontId="2" applyFont="1" fillId="5" applyFill="1" applyAlignment="1">
      <alignment horizontal="center" wrapText="1"/>
    </xf>
    <xf xfId="0" numFmtId="0" borderId="5" applyBorder="1" fontId="2" applyFont="1" fillId="5" applyFill="1" applyAlignment="1">
      <alignment horizontal="center" wrapText="1"/>
    </xf>
    <xf xfId="0" numFmtId="0" borderId="5" applyBorder="1" fontId="5" applyFont="1" fillId="5" applyFill="1" applyAlignment="1">
      <alignment horizontal="center" wrapText="1"/>
    </xf>
    <xf xfId="0" numFmtId="1" applyNumberFormat="1" borderId="5" applyBorder="1" fontId="5" applyFont="1" fillId="6" applyFill="1" applyAlignment="1">
      <alignment horizontal="center" wrapText="1"/>
    </xf>
    <xf xfId="0" numFmtId="1" applyNumberFormat="1" borderId="5" applyBorder="1" fontId="5" applyFont="1" fillId="7" applyFill="1" applyAlignment="1">
      <alignment horizontal="center" wrapText="1"/>
    </xf>
    <xf xfId="0" numFmtId="0" borderId="5" applyBorder="1" fontId="5" applyFont="1" fillId="8" applyFill="1" applyAlignment="1">
      <alignment horizontal="center" wrapText="1"/>
    </xf>
    <xf xfId="0" numFmtId="3" applyNumberFormat="1" borderId="10" applyBorder="1" fontId="2" applyFont="1" fillId="3" applyFill="1" applyAlignment="1">
      <alignment horizontal="right"/>
    </xf>
    <xf xfId="0" numFmtId="0" borderId="10" applyBorder="1" fontId="1" applyFont="1" fillId="3" applyFill="1" applyAlignment="1">
      <alignment horizontal="left"/>
    </xf>
    <xf xfId="0" numFmtId="0" borderId="5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1" applyNumberFormat="1" borderId="5" applyBorder="1" fontId="1" applyFont="1" fillId="0" applyAlignment="1">
      <alignment horizontal="right"/>
    </xf>
    <xf xfId="0" numFmtId="0" borderId="12" applyBorder="1" fontId="1" applyFont="1" fillId="0" applyAlignment="1">
      <alignment horizontal="left"/>
    </xf>
    <xf xfId="0" numFmtId="1" applyNumberFormat="1" borderId="11" applyBorder="1" fontId="1" applyFont="1" fillId="0" applyAlignment="1">
      <alignment horizontal="left"/>
    </xf>
    <xf xfId="0" numFmtId="3" applyNumberFormat="1" borderId="5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0" borderId="5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left"/>
    </xf>
    <xf xfId="0" numFmtId="0" borderId="5" applyBorder="1" fontId="1" applyFont="1" fillId="3" applyFill="1" applyAlignment="1">
      <alignment horizontal="center"/>
    </xf>
    <xf xfId="0" numFmtId="1" applyNumberFormat="1" borderId="5" applyBorder="1" fontId="1" applyFont="1" fillId="0" applyAlignment="1">
      <alignment horizontal="center"/>
    </xf>
    <xf xfId="0" numFmtId="1" applyNumberFormat="1" borderId="5" applyBorder="1" fontId="1" applyFont="1" fillId="3" applyFill="1" applyAlignment="1">
      <alignment horizontal="center"/>
    </xf>
    <xf xfId="0" numFmtId="3" applyNumberFormat="1" borderId="12" applyBorder="1" fontId="1" applyFont="1" fillId="0" applyAlignment="1">
      <alignment horizontal="right"/>
    </xf>
    <xf xfId="0" numFmtId="3" applyNumberFormat="1" borderId="10" applyBorder="1" fontId="1" applyFont="1" fillId="3" applyFill="1" applyAlignment="1">
      <alignment horizontal="left"/>
    </xf>
    <xf xfId="0" numFmtId="0" borderId="12" applyBorder="1" fontId="1" applyFont="1" fillId="0" applyAlignment="1">
      <alignment horizontal="right"/>
    </xf>
    <xf xfId="0" numFmtId="3" applyNumberFormat="1" borderId="11" applyBorder="1" fontId="1" applyFont="1" fillId="0" applyAlignment="1">
      <alignment horizontal="right"/>
    </xf>
    <xf xfId="0" numFmtId="3" applyNumberFormat="1" borderId="12" applyBorder="1" fontId="1" applyFont="1" fillId="0" applyAlignment="1">
      <alignment horizontal="left"/>
    </xf>
    <xf xfId="0" numFmtId="0" borderId="13" applyBorder="1" fontId="1" applyFont="1" fillId="3" applyFill="1" applyAlignment="1">
      <alignment horizontal="left"/>
    </xf>
    <xf xfId="0" numFmtId="3" applyNumberFormat="1" borderId="10" applyBorder="1" fontId="1" applyFont="1" fillId="3" applyFill="1" applyAlignment="1">
      <alignment horizontal="right"/>
    </xf>
    <xf xfId="0" numFmtId="0" borderId="10" applyBorder="1" fontId="1" applyFont="1" fillId="3" applyFill="1" applyAlignment="1">
      <alignment horizontal="right"/>
    </xf>
    <xf xfId="0" numFmtId="3" applyNumberFormat="1" borderId="14" applyBorder="1" fontId="1" applyFont="1" fillId="3" applyFill="1" applyAlignment="1">
      <alignment horizontal="left"/>
    </xf>
    <xf xfId="0" numFmtId="0" borderId="14" applyBorder="1" fontId="1" applyFont="1" fillId="3" applyFill="1" applyAlignment="1">
      <alignment horizontal="left"/>
    </xf>
    <xf xfId="0" numFmtId="1" applyNumberFormat="1" borderId="5" applyBorder="1" fontId="2" applyFont="1" fillId="3" applyFill="1" applyAlignment="1">
      <alignment horizontal="center"/>
    </xf>
    <xf xfId="0" numFmtId="0" borderId="5" applyBorder="1" fontId="2" applyFont="1" fillId="3" applyFill="1" applyAlignment="1">
      <alignment horizontal="center"/>
    </xf>
    <xf xfId="0" numFmtId="164" applyNumberFormat="1" borderId="5" applyBorder="1" fontId="2" applyFont="1" fillId="3" applyFill="1" applyAlignment="1">
      <alignment horizontal="center"/>
    </xf>
    <xf xfId="0" numFmtId="1" applyNumberFormat="1" borderId="5" applyBorder="1" fontId="3" applyFont="1" fillId="3" applyFill="1" applyAlignment="1">
      <alignment horizontal="center"/>
    </xf>
    <xf xfId="0" numFmtId="0" borderId="5" applyBorder="1" fontId="3" applyFont="1" fillId="3" applyFill="1" applyAlignment="1">
      <alignment horizontal="center"/>
    </xf>
    <xf xfId="0" numFmtId="1" applyNumberFormat="1" borderId="5" applyBorder="1" fontId="6" applyFont="1" fillId="3" applyFill="1" applyAlignment="1">
      <alignment horizontal="center"/>
    </xf>
    <xf xfId="0" numFmtId="0" borderId="5" applyBorder="1" fontId="6" applyFont="1" fillId="3" applyFill="1" applyAlignment="1">
      <alignment horizontal="center"/>
    </xf>
    <xf xfId="0" numFmtId="0" borderId="5" applyBorder="1" fontId="6" applyFont="1" fillId="0" applyAlignment="1">
      <alignment horizontal="left"/>
    </xf>
    <xf xfId="0" numFmtId="3" applyNumberFormat="1" borderId="15" applyBorder="1" fontId="1" applyFont="1" fillId="3" applyFill="1" applyAlignment="1">
      <alignment horizontal="left"/>
    </xf>
    <xf xfId="0" numFmtId="3" applyNumberFormat="1" borderId="13" applyBorder="1" fontId="1" applyFont="1" fillId="3" applyFill="1" applyAlignment="1">
      <alignment horizontal="right"/>
    </xf>
    <xf xfId="0" numFmtId="3" applyNumberFormat="1" borderId="16" applyBorder="1" fontId="1" applyFont="1" fillId="3" applyFill="1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0" borderId="17" applyBorder="1" fontId="1" applyFont="1" fillId="0" applyAlignment="1">
      <alignment horizontal="left"/>
    </xf>
    <xf xfId="0" numFmtId="0" borderId="18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5" applyBorder="1" fontId="1" applyFont="1" fillId="0" applyAlignment="1">
      <alignment horizontal="center"/>
    </xf>
    <xf xfId="0" numFmtId="3" applyNumberFormat="1" borderId="5" applyBorder="1" fontId="1" applyFont="1" fillId="3" applyFill="1" applyAlignment="1">
      <alignment horizontal="center"/>
    </xf>
    <xf xfId="0" numFmtId="0" borderId="9" applyBorder="1" fontId="1" applyFont="1" fillId="3" applyFill="1" applyAlignment="1">
      <alignment horizontal="left"/>
    </xf>
    <xf xfId="0" numFmtId="3" applyNumberFormat="1" borderId="6" applyBorder="1" fontId="1" applyFont="1" fillId="3" applyFill="1" applyAlignment="1">
      <alignment horizontal="center"/>
    </xf>
    <xf xfId="0" numFmtId="0" borderId="6" applyBorder="1" fontId="1" applyFont="1" fillId="3" applyFill="1" applyAlignment="1">
      <alignment horizontal="center"/>
    </xf>
    <xf xfId="0" numFmtId="3" applyNumberFormat="1" borderId="19" applyBorder="1" fontId="1" applyFont="1" fillId="0" applyAlignment="1">
      <alignment horizontal="center"/>
    </xf>
    <xf xfId="0" numFmtId="0" borderId="11" applyBorder="1" fontId="1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3" applyNumberFormat="1" borderId="12" applyBorder="1" fontId="1" applyFont="1" fillId="0" applyAlignment="1">
      <alignment horizontal="center"/>
    </xf>
    <xf xfId="0" numFmtId="3" applyNumberFormat="1" borderId="13" applyBorder="1" fontId="1" applyFont="1" fillId="3" applyFill="1" applyAlignment="1">
      <alignment horizontal="center"/>
    </xf>
    <xf xfId="0" numFmtId="0" borderId="13" applyBorder="1" fontId="1" applyFont="1" fillId="3" applyFill="1" applyAlignment="1">
      <alignment horizontal="center"/>
    </xf>
    <xf xfId="0" numFmtId="3" applyNumberFormat="1" borderId="11" applyBorder="1" fontId="1" applyFont="1" fillId="0" applyAlignment="1">
      <alignment horizontal="center"/>
    </xf>
    <xf xfId="0" numFmtId="0" borderId="20" applyBorder="1" fontId="1" applyFont="1" fillId="0" applyAlignment="1">
      <alignment horizontal="left"/>
    </xf>
    <xf xfId="0" numFmtId="0" borderId="10" applyBorder="1" fontId="1" applyFont="1" fillId="3" applyFill="1" applyAlignment="1">
      <alignment horizontal="center"/>
    </xf>
    <xf xfId="0" numFmtId="3" applyNumberFormat="1" borderId="10" applyBorder="1" fontId="1" applyFont="1" fillId="3" applyFill="1" applyAlignment="1">
      <alignment horizontal="center"/>
    </xf>
    <xf xfId="0" numFmtId="3" applyNumberFormat="1" borderId="13" applyBorder="1" fontId="1" applyFont="1" fillId="3" applyFill="1" applyAlignment="1">
      <alignment horizontal="left"/>
    </xf>
    <xf xfId="0" numFmtId="3" applyNumberFormat="1" borderId="13" applyBorder="1" fontId="1" applyFont="1" fillId="9" applyFill="1" applyAlignment="1">
      <alignment horizontal="center"/>
    </xf>
    <xf xfId="0" numFmtId="0" borderId="13" applyBorder="1" fontId="1" applyFont="1" fillId="9" applyFill="1" applyAlignment="1">
      <alignment horizontal="center"/>
    </xf>
    <xf xfId="0" numFmtId="0" borderId="12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11" applyBorder="1" fontId="1" applyFont="1" fillId="0" applyAlignment="1">
      <alignment horizontal="right"/>
    </xf>
    <xf xfId="0" numFmtId="1" applyNumberFormat="1" borderId="5" applyBorder="1" fontId="1" applyFont="1" fillId="0" applyAlignment="1">
      <alignment horizontal="left"/>
    </xf>
    <xf xfId="0" numFmtId="0" borderId="19" applyBorder="1" fontId="1" applyFont="1" fillId="0" applyAlignment="1">
      <alignment horizontal="left"/>
    </xf>
    <xf xfId="0" numFmtId="3" applyNumberFormat="1" borderId="19" applyBorder="1" fontId="1" applyFont="1" fillId="0" applyAlignment="1">
      <alignment horizontal="right"/>
    </xf>
    <xf xfId="0" numFmtId="1" applyNumberFormat="1" borderId="12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center" vertical="top" wrapText="1"/>
    </xf>
    <xf xfId="0" numFmtId="165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9" applyNumberFormat="1" borderId="1" applyBorder="1" fontId="2" applyFont="1" fillId="0" applyAlignment="1">
      <alignment horizontal="center" wrapText="1"/>
    </xf>
    <xf xfId="0" numFmtId="49" applyNumberFormat="1" borderId="1" applyBorder="1" fontId="1" applyFont="1" fillId="0" applyAlignment="1">
      <alignment horizontal="left"/>
    </xf>
    <xf xfId="0" numFmtId="165" applyNumberFormat="1" borderId="1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/>
    </xf>
    <xf xfId="0" numFmtId="165" applyNumberFormat="1" borderId="2" applyBorder="1" fontId="4" applyFont="1" fillId="3" applyFill="1" applyAlignment="1">
      <alignment horizontal="left"/>
    </xf>
    <xf xfId="0" numFmtId="49" applyNumberFormat="1" borderId="5" applyBorder="1" fontId="2" applyFont="1" fillId="5" applyFill="1" applyAlignment="1">
      <alignment horizontal="center" wrapText="1"/>
    </xf>
    <xf xfId="0" numFmtId="165" applyNumberFormat="1" borderId="9" applyBorder="1" fontId="2" applyFont="1" fillId="5" applyFill="1" applyAlignment="1">
      <alignment horizontal="center" wrapText="1"/>
    </xf>
    <xf xfId="0" numFmtId="49" applyNumberFormat="1" borderId="5" applyBorder="1" fontId="1" applyFont="1" fillId="0" applyAlignment="1">
      <alignment horizontal="left"/>
    </xf>
    <xf xfId="0" numFmtId="0" borderId="5" applyBorder="1" fontId="7" applyFont="1" fillId="3" applyFill="1" applyAlignment="1">
      <alignment horizontal="center"/>
    </xf>
    <xf xfId="0" numFmtId="1" applyNumberFormat="1" borderId="5" applyBorder="1" fontId="7" applyFont="1" fillId="3" applyFill="1" applyAlignment="1">
      <alignment horizontal="center"/>
    </xf>
    <xf xfId="0" numFmtId="0" borderId="5" applyBorder="1" fontId="3" applyFont="1" fillId="0" applyAlignment="1">
      <alignment horizontal="left"/>
    </xf>
    <xf xfId="0" numFmtId="165" applyNumberFormat="1" borderId="5" applyBorder="1" fontId="3" applyFont="1" fillId="0" applyAlignment="1">
      <alignment horizontal="right"/>
    </xf>
    <xf xfId="0" numFmtId="0" borderId="5" applyBorder="1" fontId="6" applyFont="1" fillId="0" applyAlignment="1">
      <alignment horizontal="right"/>
    </xf>
    <xf xfId="0" numFmtId="0" borderId="5" applyBorder="1" fontId="8" applyFont="1" fillId="3" applyFill="1" applyAlignment="1">
      <alignment horizontal="center"/>
    </xf>
    <xf xfId="0" numFmtId="3" applyNumberFormat="1" borderId="5" applyBorder="1" fontId="3" applyFont="1" fillId="0" applyAlignment="1">
      <alignment horizontal="left"/>
    </xf>
    <xf xfId="0" numFmtId="0" borderId="5" applyBorder="1" fontId="9" applyFont="1" fillId="3" applyFill="1" applyAlignment="1">
      <alignment horizontal="center"/>
    </xf>
    <xf xfId="0" numFmtId="0" borderId="5" applyBorder="1" fontId="7" applyFont="1" fillId="0" applyAlignment="1">
      <alignment horizontal="center"/>
    </xf>
    <xf xfId="0" numFmtId="49" applyNumberFormat="1" borderId="0" fontId="0" fillId="0" applyAlignment="1">
      <alignment horizontal="left"/>
    </xf>
    <xf xfId="0" numFmtId="165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0" borderId="5" applyBorder="1" fontId="10" applyFont="1" fillId="0" applyAlignment="1">
      <alignment horizontal="left"/>
    </xf>
    <xf xfId="0" numFmtId="3" applyNumberFormat="1" borderId="5" applyBorder="1" fontId="10" applyFont="1" fillId="0" applyAlignment="1">
      <alignment horizontal="left"/>
    </xf>
    <xf xfId="0" numFmtId="1" applyNumberFormat="1" borderId="5" applyBorder="1" fontId="6" applyFont="1" fillId="0" applyAlignment="1">
      <alignment horizontal="center"/>
    </xf>
    <xf xfId="0" numFmtId="1" applyNumberFormat="1" borderId="5" applyBorder="1" fontId="6" applyFont="1" fillId="3" applyFill="1" applyAlignment="1">
      <alignment horizontal="left"/>
    </xf>
    <xf xfId="0" numFmtId="0" borderId="5" applyBorder="1" fontId="6" applyFont="1" fillId="3" applyFill="1" applyAlignment="1">
      <alignment horizontal="left"/>
    </xf>
    <xf xfId="0" numFmtId="0" borderId="5" applyBorder="1" fontId="2" applyFont="1" fillId="0" applyAlignment="1">
      <alignment horizontal="center"/>
    </xf>
    <xf xfId="0" numFmtId="1" applyNumberFormat="1" borderId="5" applyBorder="1" fontId="3" applyFont="1" fillId="0" applyAlignment="1">
      <alignment horizontal="left"/>
    </xf>
    <xf xfId="0" numFmtId="0" borderId="5" applyBorder="1" fontId="6" applyFont="1" fillId="0" applyAlignment="1">
      <alignment horizontal="center"/>
    </xf>
    <xf xfId="0" numFmtId="1" applyNumberFormat="1" borderId="5" applyBorder="1" fontId="6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21" applyBorder="1" fontId="1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0" borderId="5" applyBorder="1" fontId="11" applyFont="1" fillId="0" applyAlignment="1">
      <alignment horizontal="left"/>
    </xf>
    <xf xfId="0" numFmtId="3" applyNumberFormat="1" borderId="5" applyBorder="1" fontId="11" applyFont="1" fillId="0" applyAlignment="1">
      <alignment horizontal="left"/>
    </xf>
    <xf xfId="0" numFmtId="3" applyNumberFormat="1" borderId="6" applyBorder="1" fontId="2" applyFont="1" fillId="5" applyFill="1" applyAlignment="1">
      <alignment horizontal="center" wrapText="1"/>
    </xf>
    <xf xfId="0" numFmtId="3" applyNumberFormat="1" borderId="5" applyBorder="1" fontId="2" applyFont="1" fillId="0" applyAlignment="1">
      <alignment horizontal="left"/>
    </xf>
    <xf xfId="0" numFmtId="3" applyNumberFormat="1" borderId="5" applyBorder="1" fontId="11" applyFont="1" fillId="10" applyFill="1" applyAlignment="1">
      <alignment horizontal="left"/>
    </xf>
    <xf xfId="0" numFmtId="0" borderId="5" applyBorder="1" fontId="11" applyFont="1" fillId="10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87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4.43357142857143" customWidth="1" bestFit="1"/>
    <col min="3" max="3" style="85" width="15.862142857142858" customWidth="1" bestFit="1"/>
    <col min="4" max="4" style="86" width="11.719285714285713" customWidth="1" bestFit="1"/>
    <col min="5" max="5" style="85" width="17.290714285714284" customWidth="1" bestFit="1"/>
    <col min="6" max="6" style="85" width="15.43357142857143" customWidth="1" bestFit="1"/>
    <col min="7" max="7" style="140" width="6.862142857142857" customWidth="1" bestFit="1"/>
    <col min="8" max="8" style="86" width="19.719285714285714" customWidth="1" bestFit="1"/>
    <col min="9" max="9" style="87" width="7.2907142857142855" customWidth="1" bestFit="1"/>
    <col min="10" max="10" style="86" width="15.719285714285713" customWidth="1" bestFit="1"/>
    <col min="11" max="11" style="88" width="23.433571428571426" customWidth="1" bestFit="1"/>
    <col min="12" max="12" style="85" width="19.290714285714284" customWidth="1" bestFit="1"/>
    <col min="13" max="13" style="85" width="8.290714285714287" customWidth="1" bestFit="1"/>
    <col min="14" max="14" style="141" width="9.719285714285713" customWidth="1" bestFit="1"/>
    <col min="15" max="15" style="141" width="10.43357142857143" customWidth="1" bestFit="1"/>
    <col min="16" max="16" style="88" width="8.719285714285713" customWidth="1" bestFit="1"/>
    <col min="17" max="17" style="85" width="8.719285714285713" customWidth="1" bestFit="1"/>
    <col min="18" max="18" style="85" width="7.2907142857142855" customWidth="1" bestFit="1"/>
    <col min="19" max="19" style="85" width="7.433571428571429" customWidth="1" bestFit="1"/>
    <col min="20" max="20" style="86" width="7.2907142857142855" customWidth="1" bestFit="1"/>
    <col min="21" max="21" style="86" width="4.719285714285714" customWidth="1" bestFit="1"/>
    <col min="22" max="22" style="86" width="4.719285714285714" customWidth="1" bestFit="1"/>
    <col min="23" max="23" style="86" width="4.719285714285714" customWidth="1" bestFit="1"/>
    <col min="24" max="24" style="86" width="4.719285714285714" customWidth="1" bestFit="1"/>
    <col min="25" max="25" style="86" width="4.719285714285714" customWidth="1" bestFit="1"/>
    <col min="26" max="26" style="86" width="4.719285714285714" customWidth="1" bestFit="1"/>
    <col min="27" max="27" style="86" width="4.719285714285714" customWidth="1" bestFit="1"/>
    <col min="28" max="28" style="86" width="4.719285714285714" customWidth="1" bestFit="1"/>
    <col min="29" max="29" style="86" width="4.719285714285714" customWidth="1" bestFit="1"/>
    <col min="30" max="30" style="86" width="4.719285714285714" customWidth="1" bestFit="1"/>
    <col min="31" max="31" style="86" width="4.719285714285714" customWidth="1" bestFit="1"/>
    <col min="32" max="32" style="86" width="4.719285714285714" customWidth="1" bestFit="1"/>
    <col min="33" max="33" style="86" width="15.005" customWidth="1" bestFit="1"/>
    <col min="34" max="34" style="92" width="13.005" customWidth="1" bestFit="1"/>
    <col min="35" max="35" style="87" width="13.005" customWidth="1" bestFit="1"/>
    <col min="36" max="36" style="86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19" t="s">
        <v>0</v>
      </c>
      <c r="H1" s="4" t="s">
        <v>1</v>
      </c>
      <c r="I1" s="5">
        <f>COUNTIF(I7:I706,"SK(H)")</f>
      </c>
      <c r="J1" s="4" t="s">
        <v>2</v>
      </c>
      <c r="K1" s="6">
        <f>COUNTA(J7:J722)</f>
      </c>
      <c r="L1" s="7"/>
      <c r="M1" s="7"/>
      <c r="N1" s="120"/>
      <c r="O1" s="120"/>
      <c r="P1" s="121"/>
      <c r="Q1" s="122"/>
      <c r="R1" s="122"/>
      <c r="S1" s="122"/>
      <c r="T1" s="19"/>
      <c r="U1" s="19"/>
      <c r="V1" s="19"/>
      <c r="W1" s="19"/>
      <c r="X1" s="19"/>
      <c r="Y1" s="19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23"/>
      <c r="H2" s="4" t="s">
        <v>4</v>
      </c>
      <c r="I2" s="5">
        <f>COUNTIF(I7:I707,"SHW(H)")</f>
      </c>
      <c r="J2" s="4" t="s">
        <v>5</v>
      </c>
      <c r="K2" s="6">
        <f>COUNTA(K7:K387)</f>
      </c>
      <c r="L2" s="7"/>
      <c r="M2" s="7"/>
      <c r="N2" s="120"/>
      <c r="O2" s="120"/>
      <c r="P2" s="121"/>
      <c r="Q2" s="122"/>
      <c r="R2" s="122"/>
      <c r="S2" s="122"/>
      <c r="T2" s="19"/>
      <c r="U2" s="19"/>
      <c r="V2" s="19"/>
      <c r="W2" s="19"/>
      <c r="X2" s="19"/>
      <c r="Y2" s="19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23"/>
      <c r="H3" s="7"/>
      <c r="I3" s="17"/>
      <c r="J3" s="7"/>
      <c r="K3" s="18"/>
      <c r="L3" s="7"/>
      <c r="M3" s="7"/>
      <c r="N3" s="120"/>
      <c r="O3" s="120"/>
      <c r="P3" s="121"/>
      <c r="Q3" s="122"/>
      <c r="R3" s="122"/>
      <c r="S3" s="122"/>
      <c r="T3" s="19"/>
      <c r="U3" s="19"/>
      <c r="V3" s="19"/>
      <c r="W3" s="19"/>
      <c r="X3" s="19"/>
      <c r="Y3" s="19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24"/>
      <c r="H4" s="2"/>
      <c r="I4" s="14"/>
      <c r="J4" s="19"/>
      <c r="K4" s="20"/>
      <c r="L4" s="12"/>
      <c r="M4" s="12"/>
      <c r="N4" s="125"/>
      <c r="O4" s="125"/>
      <c r="P4" s="121"/>
      <c r="Q4" s="122"/>
      <c r="R4" s="122"/>
      <c r="S4" s="122"/>
      <c r="T4" s="19"/>
      <c r="U4" s="19"/>
      <c r="V4" s="19"/>
      <c r="W4" s="19"/>
      <c r="X4" s="19"/>
      <c r="Y4" s="19"/>
      <c r="Z4" s="12"/>
      <c r="AA4" s="2"/>
      <c r="AB4" s="2"/>
      <c r="AC4" s="2"/>
      <c r="AD4" s="12"/>
      <c r="AE4" s="12"/>
      <c r="AF4" s="19"/>
      <c r="AG4" s="12"/>
      <c r="AH4" s="13"/>
      <c r="AI4" s="142"/>
      <c r="AJ4" s="19"/>
    </row>
    <row x14ac:dyDescent="0.25" r="5" customHeight="1" ht="19.8">
      <c r="A5" s="22" t="s">
        <v>8</v>
      </c>
      <c r="B5" s="23"/>
      <c r="C5" s="23"/>
      <c r="D5" s="23"/>
      <c r="E5" s="23" t="s">
        <v>3587</v>
      </c>
      <c r="F5" s="23"/>
      <c r="G5" s="126"/>
      <c r="H5" s="12"/>
      <c r="I5" s="14"/>
      <c r="J5" s="2"/>
      <c r="K5" s="24"/>
      <c r="L5" s="25"/>
      <c r="M5" s="25"/>
      <c r="N5" s="127"/>
      <c r="O5" s="127"/>
      <c r="P5" s="26"/>
      <c r="Q5" s="27"/>
      <c r="R5" s="27"/>
      <c r="S5" s="27"/>
      <c r="T5" s="2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128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129" t="s">
        <v>24</v>
      </c>
      <c r="O6" s="129" t="s">
        <v>25</v>
      </c>
      <c r="P6" s="39" t="s">
        <v>26</v>
      </c>
      <c r="Q6" s="34" t="s">
        <v>27</v>
      </c>
      <c r="R6" s="34" t="s">
        <v>28</v>
      </c>
      <c r="S6" s="34" t="s">
        <v>29</v>
      </c>
      <c r="T6" s="34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50" t="s">
        <v>3588</v>
      </c>
      <c r="E7" s="47" t="s">
        <v>3587</v>
      </c>
      <c r="F7" s="47" t="s">
        <v>3589</v>
      </c>
      <c r="G7" s="130" t="s">
        <v>677</v>
      </c>
      <c r="H7" s="131"/>
      <c r="I7" s="132"/>
      <c r="J7" s="76"/>
      <c r="K7" s="81" t="s">
        <v>3590</v>
      </c>
      <c r="L7" s="47" t="s">
        <v>3591</v>
      </c>
      <c r="M7" s="47" t="s">
        <v>3592</v>
      </c>
      <c r="N7" s="134">
        <v>23.255766</v>
      </c>
      <c r="O7" s="134">
        <v>91.98917</v>
      </c>
      <c r="P7" s="81">
        <v>160</v>
      </c>
      <c r="Q7" s="47"/>
      <c r="R7" s="81"/>
      <c r="S7" s="81"/>
      <c r="T7" s="7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">
      <c r="A8" s="45">
        <v>2</v>
      </c>
      <c r="B8" s="46" t="s">
        <v>47</v>
      </c>
      <c r="C8" s="46" t="s">
        <v>48</v>
      </c>
      <c r="D8" s="50" t="s">
        <v>3588</v>
      </c>
      <c r="E8" s="47" t="s">
        <v>3587</v>
      </c>
      <c r="F8" s="47" t="s">
        <v>3589</v>
      </c>
      <c r="G8" s="130" t="s">
        <v>677</v>
      </c>
      <c r="H8" s="131"/>
      <c r="I8" s="132"/>
      <c r="J8" s="76"/>
      <c r="K8" s="81" t="s">
        <v>3593</v>
      </c>
      <c r="L8" s="47" t="s">
        <v>3594</v>
      </c>
      <c r="M8" s="47" t="s">
        <v>3595</v>
      </c>
      <c r="N8" s="134">
        <v>23.248117</v>
      </c>
      <c r="O8" s="134">
        <v>91.994283</v>
      </c>
      <c r="P8" s="81">
        <v>112</v>
      </c>
      <c r="Q8" s="47"/>
      <c r="R8" s="81"/>
      <c r="S8" s="81"/>
      <c r="T8" s="7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">
      <c r="A9" s="45">
        <v>3</v>
      </c>
      <c r="B9" s="46" t="s">
        <v>47</v>
      </c>
      <c r="C9" s="46" t="s">
        <v>48</v>
      </c>
      <c r="D9" s="50" t="s">
        <v>3588</v>
      </c>
      <c r="E9" s="47" t="s">
        <v>3587</v>
      </c>
      <c r="F9" s="47" t="s">
        <v>3589</v>
      </c>
      <c r="G9" s="130" t="s">
        <v>677</v>
      </c>
      <c r="H9" s="131"/>
      <c r="I9" s="132"/>
      <c r="J9" s="76"/>
      <c r="K9" s="81" t="s">
        <v>3596</v>
      </c>
      <c r="L9" s="47" t="s">
        <v>3597</v>
      </c>
      <c r="M9" s="47" t="s">
        <v>3598</v>
      </c>
      <c r="N9" s="134">
        <v>23.239776</v>
      </c>
      <c r="O9" s="134">
        <v>91.98287</v>
      </c>
      <c r="P9" s="81">
        <v>300</v>
      </c>
      <c r="Q9" s="47"/>
      <c r="R9" s="81"/>
      <c r="S9" s="81"/>
      <c r="T9" s="7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">
      <c r="A10" s="45">
        <v>4</v>
      </c>
      <c r="B10" s="46" t="s">
        <v>47</v>
      </c>
      <c r="C10" s="46" t="s">
        <v>48</v>
      </c>
      <c r="D10" s="50" t="s">
        <v>3588</v>
      </c>
      <c r="E10" s="47" t="s">
        <v>3587</v>
      </c>
      <c r="F10" s="47" t="s">
        <v>3589</v>
      </c>
      <c r="G10" s="130" t="s">
        <v>677</v>
      </c>
      <c r="H10" s="131"/>
      <c r="I10" s="132"/>
      <c r="J10" s="76"/>
      <c r="K10" s="81" t="s">
        <v>3599</v>
      </c>
      <c r="L10" s="47" t="s">
        <v>3600</v>
      </c>
      <c r="M10" s="47" t="s">
        <v>3601</v>
      </c>
      <c r="N10" s="134">
        <v>23.232943</v>
      </c>
      <c r="O10" s="134">
        <v>91.96969</v>
      </c>
      <c r="P10" s="81">
        <v>309</v>
      </c>
      <c r="Q10" s="47"/>
      <c r="R10" s="81"/>
      <c r="S10" s="81"/>
      <c r="T10" s="7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">
      <c r="A11" s="45">
        <v>5</v>
      </c>
      <c r="B11" s="46" t="s">
        <v>47</v>
      </c>
      <c r="C11" s="46" t="s">
        <v>48</v>
      </c>
      <c r="D11" s="50" t="s">
        <v>3588</v>
      </c>
      <c r="E11" s="47" t="s">
        <v>3587</v>
      </c>
      <c r="F11" s="47" t="s">
        <v>3589</v>
      </c>
      <c r="G11" s="130" t="s">
        <v>677</v>
      </c>
      <c r="H11" s="131"/>
      <c r="I11" s="132"/>
      <c r="J11" s="76"/>
      <c r="K11" s="81" t="s">
        <v>3602</v>
      </c>
      <c r="L11" s="47" t="s">
        <v>3603</v>
      </c>
      <c r="M11" s="47" t="s">
        <v>3604</v>
      </c>
      <c r="N11" s="134">
        <v>23.237892</v>
      </c>
      <c r="O11" s="134">
        <v>91.962195</v>
      </c>
      <c r="P11" s="81">
        <v>188</v>
      </c>
      <c r="Q11" s="47"/>
      <c r="R11" s="81"/>
      <c r="S11" s="81"/>
      <c r="T11" s="7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">
      <c r="A12" s="45">
        <v>6</v>
      </c>
      <c r="B12" s="46" t="s">
        <v>47</v>
      </c>
      <c r="C12" s="46" t="s">
        <v>48</v>
      </c>
      <c r="D12" s="50" t="s">
        <v>3588</v>
      </c>
      <c r="E12" s="47" t="s">
        <v>3587</v>
      </c>
      <c r="F12" s="47" t="s">
        <v>3589</v>
      </c>
      <c r="G12" s="130" t="s">
        <v>677</v>
      </c>
      <c r="H12" s="131"/>
      <c r="I12" s="132"/>
      <c r="J12" s="76"/>
      <c r="K12" s="81" t="s">
        <v>3605</v>
      </c>
      <c r="L12" s="47" t="s">
        <v>3606</v>
      </c>
      <c r="M12" s="47" t="s">
        <v>3607</v>
      </c>
      <c r="N12" s="134">
        <v>23.243846</v>
      </c>
      <c r="O12" s="134">
        <v>91.946698</v>
      </c>
      <c r="P12" s="81">
        <v>220</v>
      </c>
      <c r="Q12" s="47"/>
      <c r="R12" s="81"/>
      <c r="S12" s="81"/>
      <c r="T12" s="7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">
      <c r="A13" s="45">
        <v>7</v>
      </c>
      <c r="B13" s="46" t="s">
        <v>47</v>
      </c>
      <c r="C13" s="46" t="s">
        <v>48</v>
      </c>
      <c r="D13" s="50" t="s">
        <v>3588</v>
      </c>
      <c r="E13" s="47" t="s">
        <v>3587</v>
      </c>
      <c r="F13" s="47" t="s">
        <v>3589</v>
      </c>
      <c r="G13" s="130" t="s">
        <v>677</v>
      </c>
      <c r="H13" s="131"/>
      <c r="I13" s="132"/>
      <c r="J13" s="76"/>
      <c r="K13" s="81" t="s">
        <v>3608</v>
      </c>
      <c r="L13" s="47" t="s">
        <v>3609</v>
      </c>
      <c r="M13" s="47" t="s">
        <v>3610</v>
      </c>
      <c r="N13" s="134">
        <v>23.241094</v>
      </c>
      <c r="O13" s="134">
        <v>91.939428</v>
      </c>
      <c r="P13" s="81">
        <v>128</v>
      </c>
      <c r="Q13" s="47"/>
      <c r="R13" s="81"/>
      <c r="S13" s="81"/>
      <c r="T13" s="7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">
      <c r="A14" s="45">
        <v>8</v>
      </c>
      <c r="B14" s="46" t="s">
        <v>47</v>
      </c>
      <c r="C14" s="46" t="s">
        <v>48</v>
      </c>
      <c r="D14" s="50" t="s">
        <v>3588</v>
      </c>
      <c r="E14" s="47" t="s">
        <v>3587</v>
      </c>
      <c r="F14" s="47" t="s">
        <v>3589</v>
      </c>
      <c r="G14" s="130" t="s">
        <v>677</v>
      </c>
      <c r="H14" s="76"/>
      <c r="I14" s="132"/>
      <c r="J14" s="76"/>
      <c r="K14" s="81" t="s">
        <v>3611</v>
      </c>
      <c r="L14" s="47" t="s">
        <v>3612</v>
      </c>
      <c r="M14" s="47" t="s">
        <v>3613</v>
      </c>
      <c r="N14" s="134">
        <v>23.238812</v>
      </c>
      <c r="O14" s="134">
        <v>91.94563</v>
      </c>
      <c r="P14" s="81">
        <v>440</v>
      </c>
      <c r="Q14" s="47"/>
      <c r="R14" s="81"/>
      <c r="S14" s="81"/>
      <c r="T14" s="13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">
      <c r="A15" s="45">
        <v>9</v>
      </c>
      <c r="B15" s="46" t="s">
        <v>47</v>
      </c>
      <c r="C15" s="46" t="s">
        <v>48</v>
      </c>
      <c r="D15" s="50" t="s">
        <v>3588</v>
      </c>
      <c r="E15" s="47" t="s">
        <v>3587</v>
      </c>
      <c r="F15" s="47" t="s">
        <v>3589</v>
      </c>
      <c r="G15" s="130" t="s">
        <v>677</v>
      </c>
      <c r="H15" s="76"/>
      <c r="I15" s="132"/>
      <c r="J15" s="76"/>
      <c r="K15" s="81" t="s">
        <v>3217</v>
      </c>
      <c r="L15" s="47" t="s">
        <v>3614</v>
      </c>
      <c r="M15" s="47" t="s">
        <v>3615</v>
      </c>
      <c r="N15" s="134">
        <v>23.246918</v>
      </c>
      <c r="O15" s="134">
        <v>91.925561</v>
      </c>
      <c r="P15" s="81">
        <v>112</v>
      </c>
      <c r="Q15" s="47"/>
      <c r="R15" s="81"/>
      <c r="S15" s="81"/>
      <c r="T15" s="135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">
      <c r="A16" s="45">
        <v>10</v>
      </c>
      <c r="B16" s="46" t="s">
        <v>47</v>
      </c>
      <c r="C16" s="46" t="s">
        <v>48</v>
      </c>
      <c r="D16" s="50" t="s">
        <v>3588</v>
      </c>
      <c r="E16" s="47" t="s">
        <v>3587</v>
      </c>
      <c r="F16" s="47" t="s">
        <v>3589</v>
      </c>
      <c r="G16" s="130" t="s">
        <v>677</v>
      </c>
      <c r="H16" s="76"/>
      <c r="I16" s="132"/>
      <c r="J16" s="76"/>
      <c r="K16" s="81" t="s">
        <v>3616</v>
      </c>
      <c r="L16" s="47" t="s">
        <v>3617</v>
      </c>
      <c r="M16" s="47" t="s">
        <v>3618</v>
      </c>
      <c r="N16" s="134">
        <v>23.240521</v>
      </c>
      <c r="O16" s="134">
        <v>91.926167</v>
      </c>
      <c r="P16" s="81">
        <v>240</v>
      </c>
      <c r="Q16" s="47"/>
      <c r="R16" s="81"/>
      <c r="S16" s="81"/>
      <c r="T16" s="135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">
      <c r="A17" s="45">
        <v>11</v>
      </c>
      <c r="B17" s="46" t="s">
        <v>47</v>
      </c>
      <c r="C17" s="46" t="s">
        <v>48</v>
      </c>
      <c r="D17" s="50" t="s">
        <v>3588</v>
      </c>
      <c r="E17" s="47" t="s">
        <v>3587</v>
      </c>
      <c r="F17" s="47" t="s">
        <v>3589</v>
      </c>
      <c r="G17" s="130" t="s">
        <v>677</v>
      </c>
      <c r="H17" s="76"/>
      <c r="I17" s="132"/>
      <c r="J17" s="136"/>
      <c r="K17" s="81" t="s">
        <v>3619</v>
      </c>
      <c r="L17" s="47" t="s">
        <v>3620</v>
      </c>
      <c r="M17" s="47" t="s">
        <v>3621</v>
      </c>
      <c r="N17" s="134">
        <v>23.233443</v>
      </c>
      <c r="O17" s="134">
        <v>91.923984</v>
      </c>
      <c r="P17" s="81">
        <v>220</v>
      </c>
      <c r="Q17" s="47"/>
      <c r="R17" s="81"/>
      <c r="S17" s="81"/>
      <c r="T17" s="135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">
      <c r="A18" s="45">
        <v>12</v>
      </c>
      <c r="B18" s="46" t="s">
        <v>47</v>
      </c>
      <c r="C18" s="46" t="s">
        <v>48</v>
      </c>
      <c r="D18" s="50" t="s">
        <v>3588</v>
      </c>
      <c r="E18" s="47" t="s">
        <v>3587</v>
      </c>
      <c r="F18" s="47" t="s">
        <v>3589</v>
      </c>
      <c r="G18" s="130" t="s">
        <v>677</v>
      </c>
      <c r="H18" s="76"/>
      <c r="I18" s="132"/>
      <c r="J18" s="76"/>
      <c r="K18" s="81" t="s">
        <v>3622</v>
      </c>
      <c r="L18" s="47" t="s">
        <v>3623</v>
      </c>
      <c r="M18" s="47" t="s">
        <v>3624</v>
      </c>
      <c r="N18" s="134">
        <v>23.236132</v>
      </c>
      <c r="O18" s="134">
        <v>91.924106</v>
      </c>
      <c r="P18" s="81">
        <v>200</v>
      </c>
      <c r="Q18" s="47"/>
      <c r="R18" s="81"/>
      <c r="S18" s="81"/>
      <c r="T18" s="135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">
      <c r="A19" s="45">
        <v>13</v>
      </c>
      <c r="B19" s="46" t="s">
        <v>47</v>
      </c>
      <c r="C19" s="46" t="s">
        <v>48</v>
      </c>
      <c r="D19" s="50" t="s">
        <v>3588</v>
      </c>
      <c r="E19" s="47" t="s">
        <v>3587</v>
      </c>
      <c r="F19" s="47" t="s">
        <v>3589</v>
      </c>
      <c r="G19" s="130" t="s">
        <v>677</v>
      </c>
      <c r="H19" s="76"/>
      <c r="I19" s="132"/>
      <c r="J19" s="76"/>
      <c r="K19" s="81" t="s">
        <v>328</v>
      </c>
      <c r="L19" s="47" t="s">
        <v>2236</v>
      </c>
      <c r="M19" s="47" t="s">
        <v>3625</v>
      </c>
      <c r="N19" s="134">
        <v>23.237871</v>
      </c>
      <c r="O19" s="134">
        <v>91.920627</v>
      </c>
      <c r="P19" s="81">
        <v>200</v>
      </c>
      <c r="Q19" s="47"/>
      <c r="R19" s="81"/>
      <c r="S19" s="81"/>
      <c r="T19" s="135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">
      <c r="A20" s="45">
        <v>14</v>
      </c>
      <c r="B20" s="46" t="s">
        <v>47</v>
      </c>
      <c r="C20" s="46" t="s">
        <v>48</v>
      </c>
      <c r="D20" s="50" t="s">
        <v>3588</v>
      </c>
      <c r="E20" s="47" t="s">
        <v>3587</v>
      </c>
      <c r="F20" s="47" t="s">
        <v>3589</v>
      </c>
      <c r="G20" s="130" t="s">
        <v>677</v>
      </c>
      <c r="H20" s="76"/>
      <c r="I20" s="132"/>
      <c r="J20" s="76"/>
      <c r="K20" s="81" t="s">
        <v>3626</v>
      </c>
      <c r="L20" s="47" t="s">
        <v>3627</v>
      </c>
      <c r="M20" s="47" t="s">
        <v>3628</v>
      </c>
      <c r="N20" s="134">
        <v>23.24311</v>
      </c>
      <c r="O20" s="134">
        <v>91.921443</v>
      </c>
      <c r="P20" s="81">
        <v>100</v>
      </c>
      <c r="Q20" s="47"/>
      <c r="R20" s="81"/>
      <c r="S20" s="81"/>
      <c r="T20" s="135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">
      <c r="A21" s="45">
        <v>15</v>
      </c>
      <c r="B21" s="46" t="s">
        <v>47</v>
      </c>
      <c r="C21" s="46" t="s">
        <v>48</v>
      </c>
      <c r="D21" s="50" t="s">
        <v>3588</v>
      </c>
      <c r="E21" s="47" t="s">
        <v>3587</v>
      </c>
      <c r="F21" s="47" t="s">
        <v>3589</v>
      </c>
      <c r="G21" s="130" t="s">
        <v>677</v>
      </c>
      <c r="H21" s="76"/>
      <c r="I21" s="132"/>
      <c r="J21" s="76"/>
      <c r="K21" s="81" t="s">
        <v>2536</v>
      </c>
      <c r="L21" s="47" t="s">
        <v>2872</v>
      </c>
      <c r="M21" s="47" t="s">
        <v>3629</v>
      </c>
      <c r="N21" s="134">
        <v>23.233649</v>
      </c>
      <c r="O21" s="134">
        <v>91.944799</v>
      </c>
      <c r="P21" s="81">
        <v>180</v>
      </c>
      <c r="Q21" s="47"/>
      <c r="R21" s="81"/>
      <c r="S21" s="81"/>
      <c r="T21" s="7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50" t="s">
        <v>3588</v>
      </c>
      <c r="E22" s="47" t="s">
        <v>3587</v>
      </c>
      <c r="F22" s="47" t="s">
        <v>3589</v>
      </c>
      <c r="G22" s="130" t="s">
        <v>677</v>
      </c>
      <c r="H22" s="76"/>
      <c r="I22" s="132"/>
      <c r="J22" s="76"/>
      <c r="K22" s="81" t="s">
        <v>3630</v>
      </c>
      <c r="L22" s="47" t="s">
        <v>3631</v>
      </c>
      <c r="M22" s="47" t="s">
        <v>3632</v>
      </c>
      <c r="N22" s="134">
        <v>23.251228</v>
      </c>
      <c r="O22" s="134">
        <v>91.983754</v>
      </c>
      <c r="P22" s="81">
        <v>64</v>
      </c>
      <c r="Q22" s="47"/>
      <c r="R22" s="81"/>
      <c r="S22" s="81"/>
      <c r="T22" s="135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50" t="s">
        <v>3588</v>
      </c>
      <c r="E23" s="47" t="s">
        <v>3587</v>
      </c>
      <c r="F23" s="47" t="s">
        <v>3589</v>
      </c>
      <c r="G23" s="130" t="s">
        <v>684</v>
      </c>
      <c r="H23" s="131"/>
      <c r="I23" s="132"/>
      <c r="J23" s="76"/>
      <c r="K23" s="81" t="s">
        <v>3633</v>
      </c>
      <c r="L23" s="47" t="s">
        <v>3634</v>
      </c>
      <c r="M23" s="47" t="s">
        <v>3635</v>
      </c>
      <c r="N23" s="134">
        <v>23.218738</v>
      </c>
      <c r="O23" s="134">
        <v>91.963723</v>
      </c>
      <c r="P23" s="81">
        <v>250</v>
      </c>
      <c r="Q23" s="47"/>
      <c r="R23" s="81"/>
      <c r="S23" s="81"/>
      <c r="T23" s="135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50" t="s">
        <v>3588</v>
      </c>
      <c r="E24" s="47" t="s">
        <v>3587</v>
      </c>
      <c r="F24" s="47" t="s">
        <v>3589</v>
      </c>
      <c r="G24" s="130" t="s">
        <v>684</v>
      </c>
      <c r="H24" s="131"/>
      <c r="I24" s="132"/>
      <c r="J24" s="76"/>
      <c r="K24" s="81" t="s">
        <v>3636</v>
      </c>
      <c r="L24" s="47" t="s">
        <v>3637</v>
      </c>
      <c r="M24" s="47" t="s">
        <v>3638</v>
      </c>
      <c r="N24" s="134">
        <v>23.221005</v>
      </c>
      <c r="O24" s="134">
        <v>91.974468</v>
      </c>
      <c r="P24" s="81">
        <v>240</v>
      </c>
      <c r="Q24" s="47"/>
      <c r="R24" s="81"/>
      <c r="S24" s="81"/>
      <c r="T24" s="135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50" t="s">
        <v>3588</v>
      </c>
      <c r="E25" s="47" t="s">
        <v>3587</v>
      </c>
      <c r="F25" s="47" t="s">
        <v>3589</v>
      </c>
      <c r="G25" s="130" t="s">
        <v>684</v>
      </c>
      <c r="H25" s="131"/>
      <c r="I25" s="132"/>
      <c r="J25" s="76"/>
      <c r="K25" s="81" t="s">
        <v>3639</v>
      </c>
      <c r="L25" s="47" t="s">
        <v>3640</v>
      </c>
      <c r="M25" s="47" t="s">
        <v>3641</v>
      </c>
      <c r="N25" s="134">
        <v>23.216954</v>
      </c>
      <c r="O25" s="134">
        <v>91.978198</v>
      </c>
      <c r="P25" s="81">
        <v>120</v>
      </c>
      <c r="Q25" s="47"/>
      <c r="R25" s="81"/>
      <c r="S25" s="81"/>
      <c r="T25" s="135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50" t="s">
        <v>3588</v>
      </c>
      <c r="E26" s="47" t="s">
        <v>3587</v>
      </c>
      <c r="F26" s="47" t="s">
        <v>3589</v>
      </c>
      <c r="G26" s="130" t="s">
        <v>684</v>
      </c>
      <c r="H26" s="131"/>
      <c r="I26" s="132"/>
      <c r="J26" s="76"/>
      <c r="K26" s="81" t="s">
        <v>3642</v>
      </c>
      <c r="L26" s="47" t="s">
        <v>3643</v>
      </c>
      <c r="M26" s="47" t="s">
        <v>3644</v>
      </c>
      <c r="N26" s="134">
        <v>23.220195</v>
      </c>
      <c r="O26" s="134">
        <v>91.959537</v>
      </c>
      <c r="P26" s="81">
        <v>190</v>
      </c>
      <c r="Q26" s="47"/>
      <c r="R26" s="81"/>
      <c r="S26" s="81"/>
      <c r="T26" s="135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50" t="s">
        <v>3588</v>
      </c>
      <c r="E27" s="47" t="s">
        <v>3587</v>
      </c>
      <c r="F27" s="47" t="s">
        <v>3589</v>
      </c>
      <c r="G27" s="130" t="s">
        <v>684</v>
      </c>
      <c r="H27" s="131"/>
      <c r="I27" s="132"/>
      <c r="J27" s="76"/>
      <c r="K27" s="81" t="s">
        <v>3645</v>
      </c>
      <c r="L27" s="47" t="s">
        <v>3646</v>
      </c>
      <c r="M27" s="47" t="s">
        <v>3647</v>
      </c>
      <c r="N27" s="134">
        <v>23.223537</v>
      </c>
      <c r="O27" s="134">
        <v>91.947602</v>
      </c>
      <c r="P27" s="81">
        <v>280</v>
      </c>
      <c r="Q27" s="47"/>
      <c r="R27" s="81"/>
      <c r="S27" s="81"/>
      <c r="T27" s="7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50" t="s">
        <v>3588</v>
      </c>
      <c r="E28" s="47" t="s">
        <v>3587</v>
      </c>
      <c r="F28" s="47" t="s">
        <v>3589</v>
      </c>
      <c r="G28" s="130" t="s">
        <v>684</v>
      </c>
      <c r="H28" s="131"/>
      <c r="I28" s="132"/>
      <c r="J28" s="76"/>
      <c r="K28" s="81" t="s">
        <v>3648</v>
      </c>
      <c r="L28" s="47" t="s">
        <v>3649</v>
      </c>
      <c r="M28" s="47" t="s">
        <v>3650</v>
      </c>
      <c r="N28" s="134">
        <v>23.218595</v>
      </c>
      <c r="O28" s="134">
        <v>91.933677</v>
      </c>
      <c r="P28" s="81">
        <v>270</v>
      </c>
      <c r="Q28" s="47"/>
      <c r="R28" s="81"/>
      <c r="S28" s="81"/>
      <c r="T28" s="135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50" t="s">
        <v>3588</v>
      </c>
      <c r="E29" s="47" t="s">
        <v>3587</v>
      </c>
      <c r="F29" s="47" t="s">
        <v>3589</v>
      </c>
      <c r="G29" s="130" t="s">
        <v>684</v>
      </c>
      <c r="H29" s="131"/>
      <c r="I29" s="132"/>
      <c r="J29" s="76"/>
      <c r="K29" s="81" t="s">
        <v>3651</v>
      </c>
      <c r="L29" s="47" t="s">
        <v>3652</v>
      </c>
      <c r="M29" s="47" t="s">
        <v>3653</v>
      </c>
      <c r="N29" s="134">
        <v>23.220139</v>
      </c>
      <c r="O29" s="134">
        <v>91.925458</v>
      </c>
      <c r="P29" s="81">
        <v>120</v>
      </c>
      <c r="Q29" s="47"/>
      <c r="R29" s="81"/>
      <c r="S29" s="81"/>
      <c r="T29" s="135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50" t="s">
        <v>3588</v>
      </c>
      <c r="E30" s="47" t="s">
        <v>3587</v>
      </c>
      <c r="F30" s="47" t="s">
        <v>3589</v>
      </c>
      <c r="G30" s="130" t="s">
        <v>684</v>
      </c>
      <c r="H30" s="131"/>
      <c r="I30" s="132"/>
      <c r="J30" s="76"/>
      <c r="K30" s="81" t="s">
        <v>2283</v>
      </c>
      <c r="L30" s="47" t="s">
        <v>3654</v>
      </c>
      <c r="M30" s="47" t="s">
        <v>3655</v>
      </c>
      <c r="N30" s="134">
        <v>23.230481</v>
      </c>
      <c r="O30" s="134">
        <v>91.927516</v>
      </c>
      <c r="P30" s="81">
        <v>220</v>
      </c>
      <c r="Q30" s="47"/>
      <c r="R30" s="81"/>
      <c r="S30" s="81"/>
      <c r="T30" s="135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50" t="s">
        <v>3588</v>
      </c>
      <c r="E31" s="47" t="s">
        <v>3587</v>
      </c>
      <c r="F31" s="47" t="s">
        <v>3589</v>
      </c>
      <c r="G31" s="130" t="s">
        <v>684</v>
      </c>
      <c r="H31" s="131"/>
      <c r="I31" s="132"/>
      <c r="J31" s="76"/>
      <c r="K31" s="81" t="s">
        <v>3656</v>
      </c>
      <c r="L31" s="47" t="s">
        <v>3657</v>
      </c>
      <c r="M31" s="47" t="s">
        <v>3658</v>
      </c>
      <c r="N31" s="134">
        <v>23.215465</v>
      </c>
      <c r="O31" s="134">
        <v>91.961638</v>
      </c>
      <c r="P31" s="81">
        <v>120</v>
      </c>
      <c r="Q31" s="47"/>
      <c r="R31" s="81"/>
      <c r="S31" s="81"/>
      <c r="T31" s="135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50" t="s">
        <v>3588</v>
      </c>
      <c r="E32" s="47" t="s">
        <v>3587</v>
      </c>
      <c r="F32" s="47" t="s">
        <v>3589</v>
      </c>
      <c r="G32" s="130" t="s">
        <v>684</v>
      </c>
      <c r="H32" s="131"/>
      <c r="I32" s="132"/>
      <c r="J32" s="76"/>
      <c r="K32" s="81" t="s">
        <v>3659</v>
      </c>
      <c r="L32" s="47" t="s">
        <v>3660</v>
      </c>
      <c r="M32" s="47" t="s">
        <v>3661</v>
      </c>
      <c r="N32" s="134">
        <v>23.228894</v>
      </c>
      <c r="O32" s="134">
        <v>91.922646</v>
      </c>
      <c r="P32" s="81">
        <v>125</v>
      </c>
      <c r="Q32" s="47"/>
      <c r="R32" s="81"/>
      <c r="S32" s="81"/>
      <c r="T32" s="135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50" t="s">
        <v>3588</v>
      </c>
      <c r="E33" s="47" t="s">
        <v>3587</v>
      </c>
      <c r="F33" s="47" t="s">
        <v>3589</v>
      </c>
      <c r="G33" s="130" t="s">
        <v>684</v>
      </c>
      <c r="H33" s="131"/>
      <c r="I33" s="132"/>
      <c r="J33" s="76"/>
      <c r="K33" s="81" t="s">
        <v>3662</v>
      </c>
      <c r="L33" s="47" t="s">
        <v>3663</v>
      </c>
      <c r="M33" s="47" t="s">
        <v>3664</v>
      </c>
      <c r="N33" s="134">
        <v>23.24072</v>
      </c>
      <c r="O33" s="134">
        <v>91.997903</v>
      </c>
      <c r="P33" s="81">
        <v>90</v>
      </c>
      <c r="Q33" s="47"/>
      <c r="R33" s="81"/>
      <c r="S33" s="81"/>
      <c r="T33" s="135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50" t="s">
        <v>3588</v>
      </c>
      <c r="E34" s="47" t="s">
        <v>3587</v>
      </c>
      <c r="F34" s="47" t="s">
        <v>3589</v>
      </c>
      <c r="G34" s="130" t="s">
        <v>684</v>
      </c>
      <c r="H34" s="131"/>
      <c r="I34" s="59"/>
      <c r="J34" s="76"/>
      <c r="K34" s="81" t="s">
        <v>3665</v>
      </c>
      <c r="L34" s="47" t="s">
        <v>3666</v>
      </c>
      <c r="M34" s="47" t="s">
        <v>3667</v>
      </c>
      <c r="N34" s="134">
        <v>23.220495</v>
      </c>
      <c r="O34" s="134">
        <v>91.922089</v>
      </c>
      <c r="P34" s="81">
        <v>480</v>
      </c>
      <c r="Q34" s="47"/>
      <c r="R34" s="81"/>
      <c r="S34" s="81"/>
      <c r="T34" s="135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50" t="s">
        <v>3588</v>
      </c>
      <c r="E35" s="47" t="s">
        <v>3587</v>
      </c>
      <c r="F35" s="47" t="s">
        <v>3589</v>
      </c>
      <c r="G35" s="130" t="s">
        <v>697</v>
      </c>
      <c r="H35" s="131"/>
      <c r="I35" s="59"/>
      <c r="J35" s="76"/>
      <c r="K35" s="81" t="s">
        <v>57</v>
      </c>
      <c r="L35" s="47" t="s">
        <v>804</v>
      </c>
      <c r="M35" s="47" t="s">
        <v>3668</v>
      </c>
      <c r="N35" s="134">
        <v>23.206203</v>
      </c>
      <c r="O35" s="134">
        <v>91.925484</v>
      </c>
      <c r="P35" s="81">
        <v>650</v>
      </c>
      <c r="Q35" s="47"/>
      <c r="R35" s="81"/>
      <c r="S35" s="81"/>
      <c r="T35" s="135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50" t="s">
        <v>3588</v>
      </c>
      <c r="E36" s="47" t="s">
        <v>3587</v>
      </c>
      <c r="F36" s="47" t="s">
        <v>3589</v>
      </c>
      <c r="G36" s="130" t="s">
        <v>697</v>
      </c>
      <c r="H36" s="131"/>
      <c r="I36" s="59"/>
      <c r="J36" s="76"/>
      <c r="K36" s="81" t="s">
        <v>3669</v>
      </c>
      <c r="L36" s="47" t="s">
        <v>3670</v>
      </c>
      <c r="M36" s="47" t="s">
        <v>3671</v>
      </c>
      <c r="N36" s="134">
        <v>23.20881</v>
      </c>
      <c r="O36" s="134">
        <v>91.937853</v>
      </c>
      <c r="P36" s="81">
        <v>360</v>
      </c>
      <c r="Q36" s="47"/>
      <c r="R36" s="81"/>
      <c r="S36" s="81"/>
      <c r="T36" s="135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50" t="s">
        <v>3588</v>
      </c>
      <c r="E37" s="47" t="s">
        <v>3587</v>
      </c>
      <c r="F37" s="47" t="s">
        <v>3589</v>
      </c>
      <c r="G37" s="130" t="s">
        <v>697</v>
      </c>
      <c r="H37" s="131"/>
      <c r="I37" s="59"/>
      <c r="J37" s="76"/>
      <c r="K37" s="81" t="s">
        <v>3672</v>
      </c>
      <c r="L37" s="47" t="s">
        <v>3673</v>
      </c>
      <c r="M37" s="47" t="s">
        <v>3674</v>
      </c>
      <c r="N37" s="134">
        <v>23.208099</v>
      </c>
      <c r="O37" s="134">
        <v>91.915194</v>
      </c>
      <c r="P37" s="81">
        <v>110</v>
      </c>
      <c r="Q37" s="47"/>
      <c r="R37" s="81"/>
      <c r="S37" s="81"/>
      <c r="T37" s="135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50" t="s">
        <v>3588</v>
      </c>
      <c r="E38" s="47" t="s">
        <v>3587</v>
      </c>
      <c r="F38" s="47" t="s">
        <v>3589</v>
      </c>
      <c r="G38" s="130" t="s">
        <v>697</v>
      </c>
      <c r="H38" s="131"/>
      <c r="I38" s="59"/>
      <c r="J38" s="76"/>
      <c r="K38" s="81" t="s">
        <v>3675</v>
      </c>
      <c r="L38" s="47" t="s">
        <v>3676</v>
      </c>
      <c r="M38" s="47" t="s">
        <v>3677</v>
      </c>
      <c r="N38" s="134">
        <v>23.208615</v>
      </c>
      <c r="O38" s="134">
        <v>91.920014</v>
      </c>
      <c r="P38" s="81">
        <v>70</v>
      </c>
      <c r="Q38" s="47"/>
      <c r="R38" s="81"/>
      <c r="S38" s="81"/>
      <c r="T38" s="7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50" t="s">
        <v>3588</v>
      </c>
      <c r="E39" s="47" t="s">
        <v>3587</v>
      </c>
      <c r="F39" s="47" t="s">
        <v>3589</v>
      </c>
      <c r="G39" s="130" t="s">
        <v>697</v>
      </c>
      <c r="H39" s="131"/>
      <c r="I39" s="59"/>
      <c r="J39" s="76"/>
      <c r="K39" s="81" t="s">
        <v>2536</v>
      </c>
      <c r="L39" s="47" t="s">
        <v>2872</v>
      </c>
      <c r="M39" s="47" t="s">
        <v>3678</v>
      </c>
      <c r="N39" s="134">
        <v>23.207622</v>
      </c>
      <c r="O39" s="134">
        <v>91.921977</v>
      </c>
      <c r="P39" s="81">
        <v>60</v>
      </c>
      <c r="Q39" s="47"/>
      <c r="R39" s="81"/>
      <c r="S39" s="81"/>
      <c r="T39" s="7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50" t="s">
        <v>3588</v>
      </c>
      <c r="E40" s="47" t="s">
        <v>3587</v>
      </c>
      <c r="F40" s="47" t="s">
        <v>3589</v>
      </c>
      <c r="G40" s="130" t="s">
        <v>697</v>
      </c>
      <c r="H40" s="131"/>
      <c r="I40" s="59"/>
      <c r="J40" s="76"/>
      <c r="K40" s="81" t="s">
        <v>3679</v>
      </c>
      <c r="L40" s="47" t="s">
        <v>3680</v>
      </c>
      <c r="M40" s="47" t="s">
        <v>3681</v>
      </c>
      <c r="N40" s="134">
        <v>23.21568</v>
      </c>
      <c r="O40" s="134">
        <v>91.917964</v>
      </c>
      <c r="P40" s="81">
        <v>140</v>
      </c>
      <c r="Q40" s="47"/>
      <c r="R40" s="137"/>
      <c r="S40" s="137"/>
      <c r="T40" s="7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50" t="s">
        <v>3588</v>
      </c>
      <c r="E41" s="47" t="s">
        <v>3587</v>
      </c>
      <c r="F41" s="47" t="s">
        <v>3589</v>
      </c>
      <c r="G41" s="130" t="s">
        <v>697</v>
      </c>
      <c r="H41" s="131"/>
      <c r="I41" s="59"/>
      <c r="J41" s="76"/>
      <c r="K41" s="81" t="s">
        <v>2506</v>
      </c>
      <c r="L41" s="47" t="s">
        <v>3682</v>
      </c>
      <c r="M41" s="47" t="s">
        <v>3683</v>
      </c>
      <c r="N41" s="134">
        <v>23.21364</v>
      </c>
      <c r="O41" s="134">
        <v>91.918906</v>
      </c>
      <c r="P41" s="81">
        <v>160</v>
      </c>
      <c r="Q41" s="47"/>
      <c r="R41" s="81"/>
      <c r="S41" s="81"/>
      <c r="T41" s="7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50" t="s">
        <v>3588</v>
      </c>
      <c r="E42" s="47" t="s">
        <v>3587</v>
      </c>
      <c r="F42" s="47" t="s">
        <v>3589</v>
      </c>
      <c r="G42" s="130" t="s">
        <v>697</v>
      </c>
      <c r="H42" s="131"/>
      <c r="I42" s="59"/>
      <c r="J42" s="76"/>
      <c r="K42" s="81" t="s">
        <v>2509</v>
      </c>
      <c r="L42" s="47" t="s">
        <v>3684</v>
      </c>
      <c r="M42" s="47" t="s">
        <v>3685</v>
      </c>
      <c r="N42" s="134">
        <v>23.211942</v>
      </c>
      <c r="O42" s="134">
        <v>91.915901</v>
      </c>
      <c r="P42" s="81">
        <v>140</v>
      </c>
      <c r="Q42" s="47"/>
      <c r="R42" s="81"/>
      <c r="S42" s="81"/>
      <c r="T42" s="7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50" t="s">
        <v>3588</v>
      </c>
      <c r="E43" s="47" t="s">
        <v>3587</v>
      </c>
      <c r="F43" s="47" t="s">
        <v>3589</v>
      </c>
      <c r="G43" s="130" t="s">
        <v>697</v>
      </c>
      <c r="H43" s="131"/>
      <c r="I43" s="59"/>
      <c r="J43" s="131"/>
      <c r="K43" s="81" t="s">
        <v>3686</v>
      </c>
      <c r="L43" s="47" t="s">
        <v>3687</v>
      </c>
      <c r="M43" s="47" t="s">
        <v>3688</v>
      </c>
      <c r="N43" s="134">
        <v>23.209717</v>
      </c>
      <c r="O43" s="134">
        <v>91.916692</v>
      </c>
      <c r="P43" s="81">
        <v>100</v>
      </c>
      <c r="Q43" s="47"/>
      <c r="R43" s="81"/>
      <c r="S43" s="81"/>
      <c r="T43" s="7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50" t="s">
        <v>3588</v>
      </c>
      <c r="E44" s="47" t="s">
        <v>3587</v>
      </c>
      <c r="F44" s="47" t="s">
        <v>3589</v>
      </c>
      <c r="G44" s="130" t="s">
        <v>697</v>
      </c>
      <c r="H44" s="131"/>
      <c r="I44" s="59"/>
      <c r="J44" s="76"/>
      <c r="K44" s="81" t="s">
        <v>3689</v>
      </c>
      <c r="L44" s="47" t="s">
        <v>3690</v>
      </c>
      <c r="M44" s="47" t="s">
        <v>3691</v>
      </c>
      <c r="N44" s="134">
        <v>23.210309</v>
      </c>
      <c r="O44" s="134">
        <v>91.919758</v>
      </c>
      <c r="P44" s="81">
        <v>120</v>
      </c>
      <c r="Q44" s="47"/>
      <c r="R44" s="81"/>
      <c r="S44" s="81"/>
      <c r="T44" s="7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50" t="s">
        <v>3588</v>
      </c>
      <c r="E45" s="47" t="s">
        <v>3587</v>
      </c>
      <c r="F45" s="47" t="s">
        <v>3589</v>
      </c>
      <c r="G45" s="130" t="s">
        <v>697</v>
      </c>
      <c r="H45" s="131"/>
      <c r="I45" s="59"/>
      <c r="J45" s="76"/>
      <c r="K45" s="81" t="s">
        <v>3692</v>
      </c>
      <c r="L45" s="47" t="s">
        <v>3693</v>
      </c>
      <c r="M45" s="47" t="s">
        <v>3694</v>
      </c>
      <c r="N45" s="134">
        <v>23.211181</v>
      </c>
      <c r="O45" s="134">
        <v>91.914523</v>
      </c>
      <c r="P45" s="81">
        <v>60</v>
      </c>
      <c r="Q45" s="47"/>
      <c r="R45" s="81"/>
      <c r="S45" s="81"/>
      <c r="T45" s="7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50" t="s">
        <v>3588</v>
      </c>
      <c r="E46" s="47" t="s">
        <v>3587</v>
      </c>
      <c r="F46" s="47" t="s">
        <v>3589</v>
      </c>
      <c r="G46" s="130" t="s">
        <v>697</v>
      </c>
      <c r="H46" s="131"/>
      <c r="I46" s="59"/>
      <c r="J46" s="76"/>
      <c r="K46" s="81" t="s">
        <v>3695</v>
      </c>
      <c r="L46" s="47" t="s">
        <v>3696</v>
      </c>
      <c r="M46" s="47" t="s">
        <v>3697</v>
      </c>
      <c r="N46" s="134">
        <v>23.215776</v>
      </c>
      <c r="O46" s="134">
        <v>91.915348</v>
      </c>
      <c r="P46" s="81">
        <v>80</v>
      </c>
      <c r="Q46" s="47"/>
      <c r="R46" s="81"/>
      <c r="S46" s="81"/>
      <c r="T46" s="7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50" t="s">
        <v>3588</v>
      </c>
      <c r="E47" s="47" t="s">
        <v>3587</v>
      </c>
      <c r="F47" s="47" t="s">
        <v>3589</v>
      </c>
      <c r="G47" s="130" t="s">
        <v>697</v>
      </c>
      <c r="H47" s="131"/>
      <c r="I47" s="59"/>
      <c r="J47" s="76"/>
      <c r="K47" s="81" t="s">
        <v>464</v>
      </c>
      <c r="L47" s="47" t="s">
        <v>3698</v>
      </c>
      <c r="M47" s="47" t="s">
        <v>3699</v>
      </c>
      <c r="N47" s="134">
        <v>23.214202</v>
      </c>
      <c r="O47" s="134">
        <v>91.914709</v>
      </c>
      <c r="P47" s="81">
        <v>104</v>
      </c>
      <c r="Q47" s="47"/>
      <c r="R47" s="81"/>
      <c r="S47" s="81"/>
      <c r="T47" s="7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50" t="s">
        <v>3588</v>
      </c>
      <c r="E48" s="47" t="s">
        <v>3587</v>
      </c>
      <c r="F48" s="47" t="s">
        <v>3589</v>
      </c>
      <c r="G48" s="130" t="s">
        <v>697</v>
      </c>
      <c r="H48" s="131"/>
      <c r="I48" s="59"/>
      <c r="J48" s="76"/>
      <c r="K48" s="81" t="s">
        <v>3700</v>
      </c>
      <c r="L48" s="47" t="s">
        <v>3701</v>
      </c>
      <c r="M48" s="47" t="s">
        <v>3702</v>
      </c>
      <c r="N48" s="134">
        <v>23.213198</v>
      </c>
      <c r="O48" s="134">
        <v>91.911659</v>
      </c>
      <c r="P48" s="81">
        <v>120</v>
      </c>
      <c r="Q48" s="47"/>
      <c r="R48" s="81"/>
      <c r="S48" s="81"/>
      <c r="T48" s="7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50" t="s">
        <v>3588</v>
      </c>
      <c r="E49" s="47" t="s">
        <v>3587</v>
      </c>
      <c r="F49" s="47" t="s">
        <v>3589</v>
      </c>
      <c r="G49" s="130" t="s">
        <v>697</v>
      </c>
      <c r="H49" s="131"/>
      <c r="I49" s="59"/>
      <c r="J49" s="76"/>
      <c r="K49" s="81" t="s">
        <v>3703</v>
      </c>
      <c r="L49" s="47" t="s">
        <v>3704</v>
      </c>
      <c r="M49" s="47" t="s">
        <v>3705</v>
      </c>
      <c r="N49" s="134">
        <v>23.212278</v>
      </c>
      <c r="O49" s="134">
        <v>91.935052</v>
      </c>
      <c r="P49" s="81">
        <v>280</v>
      </c>
      <c r="Q49" s="47"/>
      <c r="R49" s="81"/>
      <c r="S49" s="81"/>
      <c r="T49" s="135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50" t="s">
        <v>3588</v>
      </c>
      <c r="E50" s="47" t="s">
        <v>3587</v>
      </c>
      <c r="F50" s="47" t="s">
        <v>3589</v>
      </c>
      <c r="G50" s="130" t="s">
        <v>697</v>
      </c>
      <c r="H50" s="131"/>
      <c r="I50" s="59"/>
      <c r="J50" s="76"/>
      <c r="K50" s="81" t="s">
        <v>2500</v>
      </c>
      <c r="L50" s="47" t="s">
        <v>3706</v>
      </c>
      <c r="M50" s="47" t="s">
        <v>3707</v>
      </c>
      <c r="N50" s="134">
        <v>23.212939</v>
      </c>
      <c r="O50" s="134">
        <v>91.913438</v>
      </c>
      <c r="P50" s="81">
        <v>200</v>
      </c>
      <c r="Q50" s="47"/>
      <c r="R50" s="81"/>
      <c r="S50" s="81"/>
      <c r="T50" s="135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50" t="s">
        <v>3588</v>
      </c>
      <c r="E51" s="47" t="s">
        <v>3587</v>
      </c>
      <c r="F51" s="47" t="s">
        <v>3589</v>
      </c>
      <c r="G51" s="130" t="s">
        <v>697</v>
      </c>
      <c r="H51" s="131"/>
      <c r="I51" s="59"/>
      <c r="J51" s="76"/>
      <c r="K51" s="81" t="s">
        <v>3708</v>
      </c>
      <c r="L51" s="47" t="s">
        <v>3709</v>
      </c>
      <c r="M51" s="47" t="s">
        <v>3710</v>
      </c>
      <c r="N51" s="134">
        <v>23.201741</v>
      </c>
      <c r="O51" s="134">
        <v>91.922223</v>
      </c>
      <c r="P51" s="81"/>
      <c r="Q51" s="81"/>
      <c r="R51" s="81"/>
      <c r="S51" s="81"/>
      <c r="T51" s="135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50" t="s">
        <v>3588</v>
      </c>
      <c r="E52" s="47" t="s">
        <v>3587</v>
      </c>
      <c r="F52" s="47" t="s">
        <v>3589</v>
      </c>
      <c r="G52" s="130" t="s">
        <v>707</v>
      </c>
      <c r="H52" s="131"/>
      <c r="I52" s="59"/>
      <c r="J52" s="76"/>
      <c r="K52" s="81" t="s">
        <v>3711</v>
      </c>
      <c r="L52" s="47" t="s">
        <v>3712</v>
      </c>
      <c r="M52" s="47" t="s">
        <v>3713</v>
      </c>
      <c r="N52" s="134">
        <v>23.203884</v>
      </c>
      <c r="O52" s="134">
        <v>91.889022</v>
      </c>
      <c r="P52" s="81">
        <v>168</v>
      </c>
      <c r="Q52" s="47"/>
      <c r="R52" s="81"/>
      <c r="S52" s="81"/>
      <c r="T52" s="135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50" t="s">
        <v>3588</v>
      </c>
      <c r="E53" s="47" t="s">
        <v>3587</v>
      </c>
      <c r="F53" s="47" t="s">
        <v>3589</v>
      </c>
      <c r="G53" s="130" t="s">
        <v>707</v>
      </c>
      <c r="H53" s="131"/>
      <c r="I53" s="59"/>
      <c r="J53" s="76"/>
      <c r="K53" s="81" t="s">
        <v>3714</v>
      </c>
      <c r="L53" s="47" t="s">
        <v>3715</v>
      </c>
      <c r="M53" s="47" t="s">
        <v>3716</v>
      </c>
      <c r="N53" s="134">
        <v>23.214029</v>
      </c>
      <c r="O53" s="134">
        <v>91.904374</v>
      </c>
      <c r="P53" s="81">
        <v>516</v>
      </c>
      <c r="Q53" s="47"/>
      <c r="R53" s="81"/>
      <c r="S53" s="81"/>
      <c r="T53" s="135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50" t="s">
        <v>3588</v>
      </c>
      <c r="E54" s="47" t="s">
        <v>3587</v>
      </c>
      <c r="F54" s="47" t="s">
        <v>3589</v>
      </c>
      <c r="G54" s="130" t="s">
        <v>707</v>
      </c>
      <c r="H54" s="138"/>
      <c r="I54" s="132"/>
      <c r="J54" s="76"/>
      <c r="K54" s="81" t="s">
        <v>3717</v>
      </c>
      <c r="L54" s="47" t="s">
        <v>3718</v>
      </c>
      <c r="M54" s="47" t="s">
        <v>3719</v>
      </c>
      <c r="N54" s="134">
        <v>23.218136</v>
      </c>
      <c r="O54" s="134">
        <v>91.909437</v>
      </c>
      <c r="P54" s="81">
        <v>35</v>
      </c>
      <c r="Q54" s="47"/>
      <c r="R54" s="81"/>
      <c r="S54" s="81"/>
      <c r="T54" s="7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50" t="s">
        <v>3588</v>
      </c>
      <c r="E55" s="47" t="s">
        <v>3587</v>
      </c>
      <c r="F55" s="47" t="s">
        <v>3589</v>
      </c>
      <c r="G55" s="130" t="s">
        <v>707</v>
      </c>
      <c r="H55" s="131"/>
      <c r="I55" s="132"/>
      <c r="J55" s="76"/>
      <c r="K55" s="81" t="s">
        <v>3720</v>
      </c>
      <c r="L55" s="47" t="s">
        <v>3721</v>
      </c>
      <c r="M55" s="47" t="s">
        <v>3722</v>
      </c>
      <c r="N55" s="134">
        <v>23.208419</v>
      </c>
      <c r="O55" s="134">
        <v>91.910058</v>
      </c>
      <c r="P55" s="81">
        <v>92</v>
      </c>
      <c r="Q55" s="47"/>
      <c r="R55" s="81"/>
      <c r="S55" s="81"/>
      <c r="T55" s="7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50" t="s">
        <v>3588</v>
      </c>
      <c r="E56" s="47" t="s">
        <v>3587</v>
      </c>
      <c r="F56" s="47" t="s">
        <v>3589</v>
      </c>
      <c r="G56" s="130" t="s">
        <v>707</v>
      </c>
      <c r="H56" s="131"/>
      <c r="I56" s="132"/>
      <c r="J56" s="76"/>
      <c r="K56" s="81" t="s">
        <v>3723</v>
      </c>
      <c r="L56" s="47" t="s">
        <v>3724</v>
      </c>
      <c r="M56" s="47" t="s">
        <v>3725</v>
      </c>
      <c r="N56" s="134">
        <v>23.206386</v>
      </c>
      <c r="O56" s="134">
        <v>91.908913</v>
      </c>
      <c r="P56" s="81">
        <v>144</v>
      </c>
      <c r="Q56" s="47"/>
      <c r="R56" s="81"/>
      <c r="S56" s="81"/>
      <c r="T56" s="7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50" t="s">
        <v>3588</v>
      </c>
      <c r="E57" s="47" t="s">
        <v>3587</v>
      </c>
      <c r="F57" s="47" t="s">
        <v>3589</v>
      </c>
      <c r="G57" s="130" t="s">
        <v>707</v>
      </c>
      <c r="H57" s="131"/>
      <c r="I57" s="132"/>
      <c r="J57" s="76"/>
      <c r="K57" s="81" t="s">
        <v>3726</v>
      </c>
      <c r="L57" s="47" t="s">
        <v>3727</v>
      </c>
      <c r="M57" s="47" t="s">
        <v>3728</v>
      </c>
      <c r="N57" s="134">
        <v>23.203275</v>
      </c>
      <c r="O57" s="134">
        <v>91.917306</v>
      </c>
      <c r="P57" s="81">
        <v>400</v>
      </c>
      <c r="Q57" s="47"/>
      <c r="R57" s="81"/>
      <c r="S57" s="81"/>
      <c r="T57" s="7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50" t="s">
        <v>3588</v>
      </c>
      <c r="E58" s="47" t="s">
        <v>3587</v>
      </c>
      <c r="F58" s="47" t="s">
        <v>3589</v>
      </c>
      <c r="G58" s="130" t="s">
        <v>707</v>
      </c>
      <c r="H58" s="131"/>
      <c r="I58" s="132"/>
      <c r="J58" s="76"/>
      <c r="K58" s="81" t="s">
        <v>3729</v>
      </c>
      <c r="L58" s="47" t="s">
        <v>3730</v>
      </c>
      <c r="M58" s="47" t="s">
        <v>3731</v>
      </c>
      <c r="N58" s="134">
        <v>23.19954</v>
      </c>
      <c r="O58" s="134">
        <v>91.915522</v>
      </c>
      <c r="P58" s="81">
        <v>190</v>
      </c>
      <c r="Q58" s="47"/>
      <c r="R58" s="81"/>
      <c r="S58" s="81"/>
      <c r="T58" s="7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50" t="s">
        <v>3588</v>
      </c>
      <c r="E59" s="47" t="s">
        <v>3587</v>
      </c>
      <c r="F59" s="47" t="s">
        <v>3589</v>
      </c>
      <c r="G59" s="130" t="s">
        <v>707</v>
      </c>
      <c r="H59" s="131"/>
      <c r="I59" s="132"/>
      <c r="J59" s="76"/>
      <c r="K59" s="81" t="s">
        <v>3732</v>
      </c>
      <c r="L59" s="47" t="s">
        <v>3733</v>
      </c>
      <c r="M59" s="47" t="s">
        <v>3734</v>
      </c>
      <c r="N59" s="134">
        <v>23.188484</v>
      </c>
      <c r="O59" s="134">
        <v>91.918405</v>
      </c>
      <c r="P59" s="81">
        <v>524</v>
      </c>
      <c r="Q59" s="47"/>
      <c r="R59" s="81"/>
      <c r="S59" s="81"/>
      <c r="T59" s="7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50" t="s">
        <v>3588</v>
      </c>
      <c r="E60" s="47" t="s">
        <v>3587</v>
      </c>
      <c r="F60" s="47" t="s">
        <v>3589</v>
      </c>
      <c r="G60" s="130" t="s">
        <v>707</v>
      </c>
      <c r="H60" s="131"/>
      <c r="I60" s="132"/>
      <c r="J60" s="76"/>
      <c r="K60" s="81" t="s">
        <v>3735</v>
      </c>
      <c r="L60" s="47" t="s">
        <v>3736</v>
      </c>
      <c r="M60" s="47" t="s">
        <v>3737</v>
      </c>
      <c r="N60" s="134">
        <v>23.182754</v>
      </c>
      <c r="O60" s="134">
        <v>91.912306</v>
      </c>
      <c r="P60" s="81">
        <v>344</v>
      </c>
      <c r="Q60" s="47"/>
      <c r="R60" s="81"/>
      <c r="S60" s="81"/>
      <c r="T60" s="7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50" t="s">
        <v>3588</v>
      </c>
      <c r="E61" s="47" t="s">
        <v>3587</v>
      </c>
      <c r="F61" s="47" t="s">
        <v>3589</v>
      </c>
      <c r="G61" s="130" t="s">
        <v>707</v>
      </c>
      <c r="H61" s="131"/>
      <c r="I61" s="132"/>
      <c r="J61" s="76"/>
      <c r="K61" s="81" t="s">
        <v>3738</v>
      </c>
      <c r="L61" s="47" t="s">
        <v>3739</v>
      </c>
      <c r="M61" s="47" t="s">
        <v>3740</v>
      </c>
      <c r="N61" s="134">
        <v>23.173849</v>
      </c>
      <c r="O61" s="134">
        <v>91.896222</v>
      </c>
      <c r="P61" s="81">
        <v>100</v>
      </c>
      <c r="Q61" s="47"/>
      <c r="R61" s="81"/>
      <c r="S61" s="81"/>
      <c r="T61" s="7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50" t="s">
        <v>3588</v>
      </c>
      <c r="E62" s="47" t="s">
        <v>3587</v>
      </c>
      <c r="F62" s="47" t="s">
        <v>3589</v>
      </c>
      <c r="G62" s="130" t="s">
        <v>707</v>
      </c>
      <c r="H62" s="131"/>
      <c r="I62" s="132"/>
      <c r="J62" s="76"/>
      <c r="K62" s="81" t="s">
        <v>328</v>
      </c>
      <c r="L62" s="47" t="s">
        <v>2236</v>
      </c>
      <c r="M62" s="47" t="s">
        <v>3741</v>
      </c>
      <c r="N62" s="134">
        <v>23.181171</v>
      </c>
      <c r="O62" s="134">
        <v>91.925938</v>
      </c>
      <c r="P62" s="81">
        <v>130</v>
      </c>
      <c r="Q62" s="47"/>
      <c r="R62" s="81"/>
      <c r="S62" s="81"/>
      <c r="T62" s="135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50" t="s">
        <v>3588</v>
      </c>
      <c r="E63" s="47" t="s">
        <v>3587</v>
      </c>
      <c r="F63" s="47" t="s">
        <v>3589</v>
      </c>
      <c r="G63" s="130" t="s">
        <v>707</v>
      </c>
      <c r="H63" s="131"/>
      <c r="I63" s="132"/>
      <c r="J63" s="76"/>
      <c r="K63" s="81" t="s">
        <v>3742</v>
      </c>
      <c r="L63" s="47" t="s">
        <v>3743</v>
      </c>
      <c r="M63" s="47" t="s">
        <v>3744</v>
      </c>
      <c r="N63" s="134">
        <v>23.18033</v>
      </c>
      <c r="O63" s="134">
        <v>91.930122</v>
      </c>
      <c r="P63" s="81">
        <v>140</v>
      </c>
      <c r="Q63" s="47"/>
      <c r="R63" s="81"/>
      <c r="S63" s="81"/>
      <c r="T63" s="7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50" t="s">
        <v>3588</v>
      </c>
      <c r="E64" s="47" t="s">
        <v>3587</v>
      </c>
      <c r="F64" s="47" t="s">
        <v>3589</v>
      </c>
      <c r="G64" s="130" t="s">
        <v>707</v>
      </c>
      <c r="H64" s="131"/>
      <c r="I64" s="132"/>
      <c r="J64" s="76"/>
      <c r="K64" s="81" t="s">
        <v>3745</v>
      </c>
      <c r="L64" s="47" t="s">
        <v>3746</v>
      </c>
      <c r="M64" s="47" t="s">
        <v>3747</v>
      </c>
      <c r="N64" s="134">
        <v>23.177397</v>
      </c>
      <c r="O64" s="134">
        <v>91.928206</v>
      </c>
      <c r="P64" s="81">
        <v>173</v>
      </c>
      <c r="Q64" s="47"/>
      <c r="R64" s="81"/>
      <c r="S64" s="81"/>
      <c r="T64" s="7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50" t="s">
        <v>3588</v>
      </c>
      <c r="E65" s="47" t="s">
        <v>3587</v>
      </c>
      <c r="F65" s="47" t="s">
        <v>3589</v>
      </c>
      <c r="G65" s="130" t="s">
        <v>726</v>
      </c>
      <c r="H65" s="131"/>
      <c r="I65" s="132"/>
      <c r="J65" s="76"/>
      <c r="K65" s="81" t="s">
        <v>155</v>
      </c>
      <c r="L65" s="47" t="s">
        <v>1216</v>
      </c>
      <c r="M65" s="47" t="s">
        <v>3748</v>
      </c>
      <c r="N65" s="134">
        <v>23.166344</v>
      </c>
      <c r="O65" s="134">
        <v>91.916825</v>
      </c>
      <c r="P65" s="81">
        <v>68</v>
      </c>
      <c r="Q65" s="47"/>
      <c r="R65" s="81"/>
      <c r="S65" s="81"/>
      <c r="T65" s="7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50" t="s">
        <v>3588</v>
      </c>
      <c r="E66" s="47" t="s">
        <v>3587</v>
      </c>
      <c r="F66" s="47" t="s">
        <v>3589</v>
      </c>
      <c r="G66" s="130" t="s">
        <v>726</v>
      </c>
      <c r="H66" s="131"/>
      <c r="I66" s="132"/>
      <c r="J66" s="76"/>
      <c r="K66" s="81" t="s">
        <v>3749</v>
      </c>
      <c r="L66" s="47" t="s">
        <v>3750</v>
      </c>
      <c r="M66" s="47" t="s">
        <v>3751</v>
      </c>
      <c r="N66" s="134">
        <v>23.170035</v>
      </c>
      <c r="O66" s="134">
        <v>91.908701</v>
      </c>
      <c r="P66" s="81">
        <v>72</v>
      </c>
      <c r="Q66" s="47"/>
      <c r="R66" s="81"/>
      <c r="S66" s="81"/>
      <c r="T66" s="7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50" t="s">
        <v>3588</v>
      </c>
      <c r="E67" s="47" t="s">
        <v>3587</v>
      </c>
      <c r="F67" s="47" t="s">
        <v>3589</v>
      </c>
      <c r="G67" s="130" t="s">
        <v>726</v>
      </c>
      <c r="H67" s="131"/>
      <c r="I67" s="132"/>
      <c r="J67" s="76"/>
      <c r="K67" s="81" t="s">
        <v>3752</v>
      </c>
      <c r="L67" s="47" t="s">
        <v>3753</v>
      </c>
      <c r="M67" s="47" t="s">
        <v>3754</v>
      </c>
      <c r="N67" s="134">
        <v>23.175559</v>
      </c>
      <c r="O67" s="134">
        <v>91.928858</v>
      </c>
      <c r="P67" s="81">
        <v>104</v>
      </c>
      <c r="Q67" s="47"/>
      <c r="R67" s="81"/>
      <c r="S67" s="81"/>
      <c r="T67" s="7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50" t="s">
        <v>3588</v>
      </c>
      <c r="E68" s="47" t="s">
        <v>3587</v>
      </c>
      <c r="F68" s="47" t="s">
        <v>3589</v>
      </c>
      <c r="G68" s="130" t="s">
        <v>726</v>
      </c>
      <c r="H68" s="131"/>
      <c r="I68" s="132"/>
      <c r="J68" s="76"/>
      <c r="K68" s="81" t="s">
        <v>3755</v>
      </c>
      <c r="L68" s="47" t="s">
        <v>3756</v>
      </c>
      <c r="M68" s="47" t="s">
        <v>3757</v>
      </c>
      <c r="N68" s="134">
        <v>23.1757</v>
      </c>
      <c r="O68" s="134">
        <v>91.932076</v>
      </c>
      <c r="P68" s="81">
        <v>112</v>
      </c>
      <c r="Q68" s="47"/>
      <c r="R68" s="81"/>
      <c r="S68" s="81"/>
      <c r="T68" s="7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50" t="s">
        <v>3588</v>
      </c>
      <c r="E69" s="47" t="s">
        <v>3587</v>
      </c>
      <c r="F69" s="47" t="s">
        <v>3589</v>
      </c>
      <c r="G69" s="130" t="s">
        <v>726</v>
      </c>
      <c r="H69" s="131"/>
      <c r="I69" s="132"/>
      <c r="J69" s="76"/>
      <c r="K69" s="81" t="s">
        <v>3758</v>
      </c>
      <c r="L69" s="47" t="s">
        <v>3759</v>
      </c>
      <c r="M69" s="47" t="s">
        <v>3760</v>
      </c>
      <c r="N69" s="134">
        <v>23.167984</v>
      </c>
      <c r="O69" s="134">
        <v>91.933919</v>
      </c>
      <c r="P69" s="81">
        <v>264</v>
      </c>
      <c r="Q69" s="47"/>
      <c r="R69" s="81"/>
      <c r="S69" s="81"/>
      <c r="T69" s="7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50" t="s">
        <v>3588</v>
      </c>
      <c r="E70" s="47" t="s">
        <v>3587</v>
      </c>
      <c r="F70" s="47" t="s">
        <v>3589</v>
      </c>
      <c r="G70" s="130" t="s">
        <v>726</v>
      </c>
      <c r="H70" s="131"/>
      <c r="I70" s="132"/>
      <c r="J70" s="76"/>
      <c r="K70" s="81" t="s">
        <v>3761</v>
      </c>
      <c r="L70" s="47" t="s">
        <v>3762</v>
      </c>
      <c r="M70" s="47" t="s">
        <v>3763</v>
      </c>
      <c r="N70" s="134">
        <v>23.161952</v>
      </c>
      <c r="O70" s="134">
        <v>91.940666</v>
      </c>
      <c r="P70" s="81">
        <v>628</v>
      </c>
      <c r="Q70" s="47"/>
      <c r="R70" s="81"/>
      <c r="S70" s="81"/>
      <c r="T70" s="7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50" t="s">
        <v>3588</v>
      </c>
      <c r="E71" s="47" t="s">
        <v>3587</v>
      </c>
      <c r="F71" s="47" t="s">
        <v>3589</v>
      </c>
      <c r="G71" s="130" t="s">
        <v>726</v>
      </c>
      <c r="H71" s="131"/>
      <c r="I71" s="132"/>
      <c r="J71" s="76"/>
      <c r="K71" s="81" t="s">
        <v>3764</v>
      </c>
      <c r="L71" s="47" t="s">
        <v>3765</v>
      </c>
      <c r="M71" s="47" t="s">
        <v>3766</v>
      </c>
      <c r="N71" s="134">
        <v>23.152322</v>
      </c>
      <c r="O71" s="134">
        <v>91.950818</v>
      </c>
      <c r="P71" s="81">
        <v>440</v>
      </c>
      <c r="Q71" s="47"/>
      <c r="R71" s="81"/>
      <c r="S71" s="81"/>
      <c r="T71" s="7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50" t="s">
        <v>3588</v>
      </c>
      <c r="E72" s="47" t="s">
        <v>3587</v>
      </c>
      <c r="F72" s="47" t="s">
        <v>3589</v>
      </c>
      <c r="G72" s="130" t="s">
        <v>726</v>
      </c>
      <c r="H72" s="131"/>
      <c r="I72" s="132"/>
      <c r="J72" s="76"/>
      <c r="K72" s="81" t="s">
        <v>2831</v>
      </c>
      <c r="L72" s="47" t="s">
        <v>2832</v>
      </c>
      <c r="M72" s="47" t="s">
        <v>3767</v>
      </c>
      <c r="N72" s="134">
        <v>23.146378</v>
      </c>
      <c r="O72" s="134">
        <v>91.937637</v>
      </c>
      <c r="P72" s="81">
        <v>88</v>
      </c>
      <c r="Q72" s="47"/>
      <c r="R72" s="81"/>
      <c r="S72" s="81"/>
      <c r="T72" s="135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50" t="s">
        <v>3588</v>
      </c>
      <c r="E73" s="47" t="s">
        <v>3587</v>
      </c>
      <c r="F73" s="47" t="s">
        <v>3589</v>
      </c>
      <c r="G73" s="130" t="s">
        <v>726</v>
      </c>
      <c r="H73" s="131"/>
      <c r="I73" s="132"/>
      <c r="J73" s="76"/>
      <c r="K73" s="81" t="s">
        <v>3768</v>
      </c>
      <c r="L73" s="47" t="s">
        <v>3769</v>
      </c>
      <c r="M73" s="47" t="s">
        <v>3770</v>
      </c>
      <c r="N73" s="134">
        <v>23.150506</v>
      </c>
      <c r="O73" s="134">
        <v>91.956157</v>
      </c>
      <c r="P73" s="81">
        <v>232</v>
      </c>
      <c r="Q73" s="47"/>
      <c r="R73" s="81"/>
      <c r="S73" s="81"/>
      <c r="T73" s="7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50" t="s">
        <v>3588</v>
      </c>
      <c r="E74" s="47" t="s">
        <v>3587</v>
      </c>
      <c r="F74" s="47" t="s">
        <v>3589</v>
      </c>
      <c r="G74" s="130" t="s">
        <v>742</v>
      </c>
      <c r="H74" s="131"/>
      <c r="I74" s="132"/>
      <c r="J74" s="76"/>
      <c r="K74" s="81" t="s">
        <v>2536</v>
      </c>
      <c r="L74" s="47" t="s">
        <v>2872</v>
      </c>
      <c r="M74" s="47" t="s">
        <v>3771</v>
      </c>
      <c r="N74" s="134">
        <v>23.201359</v>
      </c>
      <c r="O74" s="134">
        <v>91.926101</v>
      </c>
      <c r="P74" s="81">
        <v>132</v>
      </c>
      <c r="Q74" s="47"/>
      <c r="R74" s="81"/>
      <c r="S74" s="81"/>
      <c r="T74" s="7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50" t="s">
        <v>3588</v>
      </c>
      <c r="E75" s="47" t="s">
        <v>3587</v>
      </c>
      <c r="F75" s="47" t="s">
        <v>3589</v>
      </c>
      <c r="G75" s="130" t="s">
        <v>742</v>
      </c>
      <c r="H75" s="139"/>
      <c r="I75" s="59"/>
      <c r="J75" s="76"/>
      <c r="K75" s="81" t="s">
        <v>3772</v>
      </c>
      <c r="L75" s="47" t="s">
        <v>3773</v>
      </c>
      <c r="M75" s="47" t="s">
        <v>3774</v>
      </c>
      <c r="N75" s="134">
        <v>23.196751</v>
      </c>
      <c r="O75" s="134">
        <v>91.921148</v>
      </c>
      <c r="P75" s="81">
        <v>276</v>
      </c>
      <c r="Q75" s="47"/>
      <c r="R75" s="81"/>
      <c r="S75" s="81"/>
      <c r="T75" s="7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50" t="s">
        <v>3588</v>
      </c>
      <c r="E76" s="47" t="s">
        <v>3587</v>
      </c>
      <c r="F76" s="47" t="s">
        <v>3589</v>
      </c>
      <c r="G76" s="130" t="s">
        <v>742</v>
      </c>
      <c r="H76" s="131"/>
      <c r="I76" s="132"/>
      <c r="J76" s="76"/>
      <c r="K76" s="81" t="s">
        <v>3775</v>
      </c>
      <c r="L76" s="47" t="s">
        <v>3776</v>
      </c>
      <c r="M76" s="47" t="s">
        <v>3777</v>
      </c>
      <c r="N76" s="134">
        <v>23.190903</v>
      </c>
      <c r="O76" s="134">
        <v>91.923814</v>
      </c>
      <c r="P76" s="81">
        <v>376</v>
      </c>
      <c r="Q76" s="47"/>
      <c r="R76" s="81"/>
      <c r="S76" s="81"/>
      <c r="T76" s="7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50" t="s">
        <v>3588</v>
      </c>
      <c r="E77" s="47" t="s">
        <v>3587</v>
      </c>
      <c r="F77" s="47" t="s">
        <v>3589</v>
      </c>
      <c r="G77" s="130" t="s">
        <v>742</v>
      </c>
      <c r="H77" s="131"/>
      <c r="I77" s="59"/>
      <c r="J77" s="76"/>
      <c r="K77" s="81" t="s">
        <v>3778</v>
      </c>
      <c r="L77" s="47" t="s">
        <v>3779</v>
      </c>
      <c r="M77" s="47" t="s">
        <v>3780</v>
      </c>
      <c r="N77" s="134">
        <v>23.188308</v>
      </c>
      <c r="O77" s="134">
        <v>91.921591</v>
      </c>
      <c r="P77" s="81">
        <v>68</v>
      </c>
      <c r="Q77" s="47"/>
      <c r="R77" s="81"/>
      <c r="S77" s="81"/>
      <c r="T77" s="135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50" t="s">
        <v>3588</v>
      </c>
      <c r="E78" s="47" t="s">
        <v>3587</v>
      </c>
      <c r="F78" s="47" t="s">
        <v>3589</v>
      </c>
      <c r="G78" s="130" t="s">
        <v>742</v>
      </c>
      <c r="H78" s="131"/>
      <c r="I78" s="59"/>
      <c r="J78" s="76"/>
      <c r="K78" s="81" t="s">
        <v>3183</v>
      </c>
      <c r="L78" s="47" t="s">
        <v>3184</v>
      </c>
      <c r="M78" s="47" t="s">
        <v>3781</v>
      </c>
      <c r="N78" s="134">
        <v>23.187919</v>
      </c>
      <c r="O78" s="134">
        <v>91.923075</v>
      </c>
      <c r="P78" s="81">
        <v>88</v>
      </c>
      <c r="Q78" s="47"/>
      <c r="R78" s="81"/>
      <c r="S78" s="81"/>
      <c r="T78" s="135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50" t="s">
        <v>3588</v>
      </c>
      <c r="E79" s="47" t="s">
        <v>3587</v>
      </c>
      <c r="F79" s="47" t="s">
        <v>3589</v>
      </c>
      <c r="G79" s="130" t="s">
        <v>742</v>
      </c>
      <c r="H79" s="131"/>
      <c r="I79" s="59"/>
      <c r="J79" s="76"/>
      <c r="K79" s="81" t="s">
        <v>3782</v>
      </c>
      <c r="L79" s="47" t="s">
        <v>3783</v>
      </c>
      <c r="M79" s="47" t="s">
        <v>3784</v>
      </c>
      <c r="N79" s="134">
        <v>23.187831</v>
      </c>
      <c r="O79" s="134">
        <v>91.928174</v>
      </c>
      <c r="P79" s="81">
        <v>384</v>
      </c>
      <c r="Q79" s="47"/>
      <c r="R79" s="81"/>
      <c r="S79" s="81"/>
      <c r="T79" s="135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50" t="s">
        <v>3588</v>
      </c>
      <c r="E80" s="47" t="s">
        <v>3587</v>
      </c>
      <c r="F80" s="47" t="s">
        <v>3589</v>
      </c>
      <c r="G80" s="130" t="s">
        <v>742</v>
      </c>
      <c r="H80" s="131"/>
      <c r="I80" s="59"/>
      <c r="J80" s="76"/>
      <c r="K80" s="81" t="s">
        <v>3785</v>
      </c>
      <c r="L80" s="47" t="s">
        <v>3786</v>
      </c>
      <c r="M80" s="47" t="s">
        <v>3787</v>
      </c>
      <c r="N80" s="134">
        <v>23.183898</v>
      </c>
      <c r="O80" s="134">
        <v>91.928785</v>
      </c>
      <c r="P80" s="81">
        <v>108</v>
      </c>
      <c r="Q80" s="47"/>
      <c r="R80" s="81"/>
      <c r="S80" s="81"/>
      <c r="T80" s="135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50" t="s">
        <v>3588</v>
      </c>
      <c r="E81" s="47" t="s">
        <v>3587</v>
      </c>
      <c r="F81" s="47" t="s">
        <v>3589</v>
      </c>
      <c r="G81" s="130" t="s">
        <v>742</v>
      </c>
      <c r="H81" s="131"/>
      <c r="I81" s="59"/>
      <c r="J81" s="76"/>
      <c r="K81" s="81" t="s">
        <v>3602</v>
      </c>
      <c r="L81" s="47" t="s">
        <v>3603</v>
      </c>
      <c r="M81" s="47" t="s">
        <v>3788</v>
      </c>
      <c r="N81" s="134">
        <v>23.182586</v>
      </c>
      <c r="O81" s="134">
        <v>91.930535</v>
      </c>
      <c r="P81" s="81">
        <v>56</v>
      </c>
      <c r="Q81" s="47"/>
      <c r="R81" s="81"/>
      <c r="S81" s="81"/>
      <c r="T81" s="135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50" t="s">
        <v>3588</v>
      </c>
      <c r="E82" s="47" t="s">
        <v>3587</v>
      </c>
      <c r="F82" s="47" t="s">
        <v>3589</v>
      </c>
      <c r="G82" s="130" t="s">
        <v>742</v>
      </c>
      <c r="H82" s="131"/>
      <c r="I82" s="59"/>
      <c r="J82" s="76"/>
      <c r="K82" s="81" t="s">
        <v>3789</v>
      </c>
      <c r="L82" s="47" t="s">
        <v>3790</v>
      </c>
      <c r="M82" s="47" t="s">
        <v>3791</v>
      </c>
      <c r="N82" s="134">
        <v>23.182205</v>
      </c>
      <c r="O82" s="134">
        <v>91.933987</v>
      </c>
      <c r="P82" s="81">
        <v>136</v>
      </c>
      <c r="Q82" s="47"/>
      <c r="R82" s="81"/>
      <c r="S82" s="81"/>
      <c r="T82" s="135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50" t="s">
        <v>3588</v>
      </c>
      <c r="E83" s="47" t="s">
        <v>3587</v>
      </c>
      <c r="F83" s="47" t="s">
        <v>3589</v>
      </c>
      <c r="G83" s="130" t="s">
        <v>742</v>
      </c>
      <c r="H83" s="131"/>
      <c r="I83" s="59"/>
      <c r="J83" s="76"/>
      <c r="K83" s="81" t="s">
        <v>3792</v>
      </c>
      <c r="L83" s="47" t="s">
        <v>3793</v>
      </c>
      <c r="M83" s="47" t="s">
        <v>3794</v>
      </c>
      <c r="N83" s="134">
        <v>23.180285</v>
      </c>
      <c r="O83" s="134">
        <v>91.93375</v>
      </c>
      <c r="P83" s="81">
        <v>168</v>
      </c>
      <c r="Q83" s="47"/>
      <c r="R83" s="81"/>
      <c r="S83" s="81"/>
      <c r="T83" s="135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50" t="s">
        <v>3588</v>
      </c>
      <c r="E84" s="47" t="s">
        <v>3587</v>
      </c>
      <c r="F84" s="47" t="s">
        <v>3589</v>
      </c>
      <c r="G84" s="130" t="s">
        <v>742</v>
      </c>
      <c r="H84" s="131"/>
      <c r="I84" s="59"/>
      <c r="J84" s="76"/>
      <c r="K84" s="81" t="s">
        <v>3795</v>
      </c>
      <c r="L84" s="47" t="s">
        <v>3796</v>
      </c>
      <c r="M84" s="47" t="s">
        <v>3797</v>
      </c>
      <c r="N84" s="134">
        <v>23.178302</v>
      </c>
      <c r="O84" s="134">
        <v>91.931817</v>
      </c>
      <c r="P84" s="81">
        <v>116</v>
      </c>
      <c r="Q84" s="47"/>
      <c r="R84" s="81"/>
      <c r="S84" s="81"/>
      <c r="T84" s="135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50" t="s">
        <v>3588</v>
      </c>
      <c r="E85" s="47" t="s">
        <v>3587</v>
      </c>
      <c r="F85" s="47" t="s">
        <v>3589</v>
      </c>
      <c r="G85" s="130" t="s">
        <v>742</v>
      </c>
      <c r="H85" s="131"/>
      <c r="I85" s="59"/>
      <c r="J85" s="76"/>
      <c r="K85" s="81" t="s">
        <v>3798</v>
      </c>
      <c r="L85" s="47" t="s">
        <v>3799</v>
      </c>
      <c r="M85" s="47" t="s">
        <v>3800</v>
      </c>
      <c r="N85" s="134">
        <v>23.17589</v>
      </c>
      <c r="O85" s="134">
        <v>91.935347</v>
      </c>
      <c r="P85" s="81">
        <v>48</v>
      </c>
      <c r="Q85" s="47"/>
      <c r="R85" s="81"/>
      <c r="S85" s="81"/>
      <c r="T85" s="135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50" t="s">
        <v>3588</v>
      </c>
      <c r="E86" s="47" t="s">
        <v>3587</v>
      </c>
      <c r="F86" s="47" t="s">
        <v>3589</v>
      </c>
      <c r="G86" s="130" t="s">
        <v>742</v>
      </c>
      <c r="H86" s="131"/>
      <c r="I86" s="59"/>
      <c r="J86" s="76"/>
      <c r="K86" s="81" t="s">
        <v>3801</v>
      </c>
      <c r="L86" s="47" t="s">
        <v>3802</v>
      </c>
      <c r="M86" s="47" t="s">
        <v>3803</v>
      </c>
      <c r="N86" s="134">
        <v>23.175148</v>
      </c>
      <c r="O86" s="134">
        <v>91.937666</v>
      </c>
      <c r="P86" s="81">
        <v>376</v>
      </c>
      <c r="Q86" s="47"/>
      <c r="R86" s="81"/>
      <c r="S86" s="81"/>
      <c r="T86" s="135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50" t="s">
        <v>3588</v>
      </c>
      <c r="E87" s="47" t="s">
        <v>3587</v>
      </c>
      <c r="F87" s="47" t="s">
        <v>3589</v>
      </c>
      <c r="G87" s="130" t="s">
        <v>742</v>
      </c>
      <c r="H87" s="131"/>
      <c r="I87" s="59"/>
      <c r="J87" s="76"/>
      <c r="K87" s="81" t="s">
        <v>3804</v>
      </c>
      <c r="L87" s="47" t="s">
        <v>3805</v>
      </c>
      <c r="M87" s="47" t="s">
        <v>3806</v>
      </c>
      <c r="N87" s="134">
        <v>23.168302</v>
      </c>
      <c r="O87" s="134">
        <v>91.943882</v>
      </c>
      <c r="P87" s="81">
        <v>380</v>
      </c>
      <c r="Q87" s="47"/>
      <c r="R87" s="137"/>
      <c r="S87" s="137"/>
      <c r="T87" s="135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50" t="s">
        <v>3588</v>
      </c>
      <c r="E88" s="47" t="s">
        <v>3587</v>
      </c>
      <c r="F88" s="47" t="s">
        <v>3589</v>
      </c>
      <c r="G88" s="130" t="s">
        <v>761</v>
      </c>
      <c r="H88" s="131"/>
      <c r="I88" s="132"/>
      <c r="J88" s="76"/>
      <c r="K88" s="81" t="s">
        <v>3656</v>
      </c>
      <c r="L88" s="47" t="s">
        <v>3657</v>
      </c>
      <c r="M88" s="47" t="s">
        <v>3807</v>
      </c>
      <c r="N88" s="134">
        <v>23.205883</v>
      </c>
      <c r="O88" s="134">
        <v>91.965846</v>
      </c>
      <c r="P88" s="81">
        <v>240</v>
      </c>
      <c r="Q88" s="47"/>
      <c r="R88" s="81"/>
      <c r="S88" s="81"/>
      <c r="T88" s="7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50" t="s">
        <v>3588</v>
      </c>
      <c r="E89" s="47" t="s">
        <v>3587</v>
      </c>
      <c r="F89" s="47" t="s">
        <v>3589</v>
      </c>
      <c r="G89" s="130" t="s">
        <v>761</v>
      </c>
      <c r="H89" s="131"/>
      <c r="I89" s="132"/>
      <c r="J89" s="76"/>
      <c r="K89" s="81" t="s">
        <v>3808</v>
      </c>
      <c r="L89" s="47" t="s">
        <v>3809</v>
      </c>
      <c r="M89" s="47" t="s">
        <v>3810</v>
      </c>
      <c r="N89" s="134">
        <v>23.194704</v>
      </c>
      <c r="O89" s="134">
        <v>91.951285</v>
      </c>
      <c r="P89" s="81">
        <v>180</v>
      </c>
      <c r="Q89" s="47"/>
      <c r="R89" s="81"/>
      <c r="S89" s="81"/>
      <c r="T89" s="135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50" t="s">
        <v>3588</v>
      </c>
      <c r="E90" s="47" t="s">
        <v>3587</v>
      </c>
      <c r="F90" s="47" t="s">
        <v>3589</v>
      </c>
      <c r="G90" s="130" t="s">
        <v>761</v>
      </c>
      <c r="H90" s="131"/>
      <c r="I90" s="132"/>
      <c r="J90" s="76"/>
      <c r="K90" s="81" t="s">
        <v>3642</v>
      </c>
      <c r="L90" s="47" t="s">
        <v>3643</v>
      </c>
      <c r="M90" s="47" t="s">
        <v>3811</v>
      </c>
      <c r="N90" s="134">
        <v>23.175016</v>
      </c>
      <c r="O90" s="134">
        <v>91.950737</v>
      </c>
      <c r="P90" s="81">
        <v>280</v>
      </c>
      <c r="Q90" s="47"/>
      <c r="R90" s="81"/>
      <c r="S90" s="81"/>
      <c r="T90" s="135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50" t="s">
        <v>3588</v>
      </c>
      <c r="E91" s="47" t="s">
        <v>3587</v>
      </c>
      <c r="F91" s="47" t="s">
        <v>3589</v>
      </c>
      <c r="G91" s="130" t="s">
        <v>761</v>
      </c>
      <c r="H91" s="131"/>
      <c r="I91" s="132"/>
      <c r="J91" s="76"/>
      <c r="K91" s="81" t="s">
        <v>3633</v>
      </c>
      <c r="L91" s="47" t="s">
        <v>3634</v>
      </c>
      <c r="M91" s="47" t="s">
        <v>3812</v>
      </c>
      <c r="N91" s="134">
        <v>23.180221</v>
      </c>
      <c r="O91" s="134">
        <v>91.945839</v>
      </c>
      <c r="P91" s="81">
        <v>350</v>
      </c>
      <c r="Q91" s="47"/>
      <c r="R91" s="81"/>
      <c r="S91" s="81"/>
      <c r="T91" s="135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50" t="s">
        <v>3588</v>
      </c>
      <c r="E92" s="47" t="s">
        <v>3587</v>
      </c>
      <c r="F92" s="47" t="s">
        <v>3589</v>
      </c>
      <c r="G92" s="130" t="s">
        <v>761</v>
      </c>
      <c r="H92" s="131"/>
      <c r="I92" s="132"/>
      <c r="J92" s="76"/>
      <c r="K92" s="81" t="s">
        <v>3813</v>
      </c>
      <c r="L92" s="47" t="s">
        <v>3814</v>
      </c>
      <c r="M92" s="47" t="s">
        <v>3815</v>
      </c>
      <c r="N92" s="134">
        <v>23.191615</v>
      </c>
      <c r="O92" s="134">
        <v>91.933011</v>
      </c>
      <c r="P92" s="81">
        <v>420</v>
      </c>
      <c r="Q92" s="47"/>
      <c r="R92" s="81"/>
      <c r="S92" s="81"/>
      <c r="T92" s="135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50" t="s">
        <v>3588</v>
      </c>
      <c r="E93" s="47" t="s">
        <v>3587</v>
      </c>
      <c r="F93" s="47" t="s">
        <v>3589</v>
      </c>
      <c r="G93" s="130" t="s">
        <v>761</v>
      </c>
      <c r="H93" s="131"/>
      <c r="I93" s="132"/>
      <c r="J93" s="76"/>
      <c r="K93" s="81" t="s">
        <v>3816</v>
      </c>
      <c r="L93" s="47" t="s">
        <v>3817</v>
      </c>
      <c r="M93" s="47" t="s">
        <v>3818</v>
      </c>
      <c r="N93" s="134">
        <v>23.201885</v>
      </c>
      <c r="O93" s="134">
        <v>91.931865</v>
      </c>
      <c r="P93" s="81">
        <v>280</v>
      </c>
      <c r="Q93" s="47"/>
      <c r="R93" s="81"/>
      <c r="S93" s="81"/>
      <c r="T93" s="135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50" t="s">
        <v>3588</v>
      </c>
      <c r="E94" s="47" t="s">
        <v>3587</v>
      </c>
      <c r="F94" s="47" t="s">
        <v>3589</v>
      </c>
      <c r="G94" s="130" t="s">
        <v>761</v>
      </c>
      <c r="H94" s="131"/>
      <c r="I94" s="132"/>
      <c r="J94" s="76"/>
      <c r="K94" s="81" t="s">
        <v>3819</v>
      </c>
      <c r="L94" s="47" t="s">
        <v>3820</v>
      </c>
      <c r="M94" s="47" t="s">
        <v>3821</v>
      </c>
      <c r="N94" s="134">
        <v>23.199592</v>
      </c>
      <c r="O94" s="134">
        <v>91.968835</v>
      </c>
      <c r="P94" s="81">
        <v>360</v>
      </c>
      <c r="Q94" s="47"/>
      <c r="R94" s="81"/>
      <c r="S94" s="81"/>
      <c r="T94" s="135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50" t="s">
        <v>3588</v>
      </c>
      <c r="E95" s="47" t="s">
        <v>3587</v>
      </c>
      <c r="F95" s="47" t="s">
        <v>3589</v>
      </c>
      <c r="G95" s="130" t="s">
        <v>761</v>
      </c>
      <c r="H95" s="131"/>
      <c r="I95" s="132"/>
      <c r="J95" s="76"/>
      <c r="K95" s="81" t="s">
        <v>3822</v>
      </c>
      <c r="L95" s="47" t="s">
        <v>3823</v>
      </c>
      <c r="M95" s="47" t="s">
        <v>3824</v>
      </c>
      <c r="N95" s="134">
        <v>23.185686</v>
      </c>
      <c r="O95" s="134">
        <v>91.962832</v>
      </c>
      <c r="P95" s="81">
        <v>90</v>
      </c>
      <c r="Q95" s="47"/>
      <c r="R95" s="81"/>
      <c r="S95" s="81"/>
      <c r="T95" s="135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50" t="s">
        <v>3588</v>
      </c>
      <c r="E96" s="47" t="s">
        <v>3587</v>
      </c>
      <c r="F96" s="47" t="s">
        <v>3589</v>
      </c>
      <c r="G96" s="130" t="s">
        <v>781</v>
      </c>
      <c r="H96" s="131"/>
      <c r="I96" s="132"/>
      <c r="J96" s="76"/>
      <c r="K96" s="81" t="s">
        <v>3626</v>
      </c>
      <c r="L96" s="47" t="s">
        <v>3627</v>
      </c>
      <c r="M96" s="47" t="s">
        <v>3825</v>
      </c>
      <c r="N96" s="134">
        <v>23.155917</v>
      </c>
      <c r="O96" s="134">
        <v>91.950872</v>
      </c>
      <c r="P96" s="81">
        <v>176</v>
      </c>
      <c r="Q96" s="47"/>
      <c r="R96" s="81"/>
      <c r="S96" s="81"/>
      <c r="T96" s="7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50" t="s">
        <v>3588</v>
      </c>
      <c r="E97" s="47" t="s">
        <v>3587</v>
      </c>
      <c r="F97" s="47" t="s">
        <v>3589</v>
      </c>
      <c r="G97" s="130" t="s">
        <v>781</v>
      </c>
      <c r="H97" s="131"/>
      <c r="I97" s="132"/>
      <c r="J97" s="76"/>
      <c r="K97" s="81" t="s">
        <v>3826</v>
      </c>
      <c r="L97" s="47" t="s">
        <v>3827</v>
      </c>
      <c r="M97" s="47" t="s">
        <v>3828</v>
      </c>
      <c r="N97" s="134">
        <v>23.162847</v>
      </c>
      <c r="O97" s="134">
        <v>91.950825</v>
      </c>
      <c r="P97" s="81">
        <v>640</v>
      </c>
      <c r="Q97" s="47"/>
      <c r="R97" s="81"/>
      <c r="S97" s="81"/>
      <c r="T97" s="135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50" t="s">
        <v>3588</v>
      </c>
      <c r="E98" s="47" t="s">
        <v>3587</v>
      </c>
      <c r="F98" s="47" t="s">
        <v>3589</v>
      </c>
      <c r="G98" s="130" t="s">
        <v>781</v>
      </c>
      <c r="H98" s="131"/>
      <c r="I98" s="132"/>
      <c r="J98" s="76"/>
      <c r="K98" s="81" t="s">
        <v>3829</v>
      </c>
      <c r="L98" s="47" t="s">
        <v>3830</v>
      </c>
      <c r="M98" s="47" t="s">
        <v>3831</v>
      </c>
      <c r="N98" s="134">
        <v>23.165486</v>
      </c>
      <c r="O98" s="134">
        <v>91.973064</v>
      </c>
      <c r="P98" s="81">
        <v>120</v>
      </c>
      <c r="Q98" s="47"/>
      <c r="R98" s="81"/>
      <c r="S98" s="81"/>
      <c r="T98" s="7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50" t="s">
        <v>3588</v>
      </c>
      <c r="E99" s="47" t="s">
        <v>3587</v>
      </c>
      <c r="F99" s="47" t="s">
        <v>3589</v>
      </c>
      <c r="G99" s="130" t="s">
        <v>781</v>
      </c>
      <c r="H99" s="131"/>
      <c r="I99" s="132"/>
      <c r="J99" s="76"/>
      <c r="K99" s="81" t="s">
        <v>3832</v>
      </c>
      <c r="L99" s="47" t="s">
        <v>3833</v>
      </c>
      <c r="M99" s="47" t="s">
        <v>3834</v>
      </c>
      <c r="N99" s="134">
        <v>23.165406</v>
      </c>
      <c r="O99" s="134">
        <v>91.945686</v>
      </c>
      <c r="P99" s="81">
        <v>80</v>
      </c>
      <c r="Q99" s="47"/>
      <c r="R99" s="81"/>
      <c r="S99" s="81"/>
      <c r="T99" s="7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50" t="s">
        <v>3588</v>
      </c>
      <c r="E100" s="47" t="s">
        <v>3587</v>
      </c>
      <c r="F100" s="47" t="s">
        <v>3589</v>
      </c>
      <c r="G100" s="130" t="s">
        <v>781</v>
      </c>
      <c r="H100" s="131"/>
      <c r="I100" s="132"/>
      <c r="J100" s="76"/>
      <c r="K100" s="81" t="s">
        <v>3835</v>
      </c>
      <c r="L100" s="47" t="s">
        <v>3836</v>
      </c>
      <c r="M100" s="47" t="s">
        <v>3837</v>
      </c>
      <c r="N100" s="134">
        <v>23.162865</v>
      </c>
      <c r="O100" s="134">
        <v>91.959871</v>
      </c>
      <c r="P100" s="81">
        <v>360</v>
      </c>
      <c r="Q100" s="47"/>
      <c r="R100" s="81"/>
      <c r="S100" s="81"/>
      <c r="T100" s="7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50" t="s">
        <v>3588</v>
      </c>
      <c r="E101" s="47" t="s">
        <v>3587</v>
      </c>
      <c r="F101" s="47" t="s">
        <v>3589</v>
      </c>
      <c r="G101" s="130" t="s">
        <v>781</v>
      </c>
      <c r="H101" s="131"/>
      <c r="I101" s="132"/>
      <c r="J101" s="76"/>
      <c r="K101" s="81" t="s">
        <v>3838</v>
      </c>
      <c r="L101" s="47" t="s">
        <v>3839</v>
      </c>
      <c r="M101" s="47" t="s">
        <v>3840</v>
      </c>
      <c r="N101" s="134">
        <v>23.164193</v>
      </c>
      <c r="O101" s="134">
        <v>91.944086</v>
      </c>
      <c r="P101" s="81"/>
      <c r="Q101" s="81"/>
      <c r="R101" s="81"/>
      <c r="S101" s="81"/>
      <c r="T101" s="7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50" t="s">
        <v>3588</v>
      </c>
      <c r="E102" s="47" t="s">
        <v>3587</v>
      </c>
      <c r="F102" s="47" t="s">
        <v>3589</v>
      </c>
      <c r="G102" s="130" t="s">
        <v>797</v>
      </c>
      <c r="H102" s="131"/>
      <c r="I102" s="132"/>
      <c r="J102" s="76"/>
      <c r="K102" s="81" t="s">
        <v>1625</v>
      </c>
      <c r="L102" s="47" t="s">
        <v>3841</v>
      </c>
      <c r="M102" s="47" t="s">
        <v>3842</v>
      </c>
      <c r="N102" s="134">
        <v>23.19666</v>
      </c>
      <c r="O102" s="134">
        <v>91.985726</v>
      </c>
      <c r="P102" s="81">
        <v>640</v>
      </c>
      <c r="Q102" s="47"/>
      <c r="R102" s="81"/>
      <c r="S102" s="81"/>
      <c r="T102" s="7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50" t="s">
        <v>3588</v>
      </c>
      <c r="E103" s="47" t="s">
        <v>3587</v>
      </c>
      <c r="F103" s="47" t="s">
        <v>3589</v>
      </c>
      <c r="G103" s="130" t="s">
        <v>797</v>
      </c>
      <c r="H103" s="131"/>
      <c r="I103" s="132"/>
      <c r="J103" s="76"/>
      <c r="K103" s="81" t="s">
        <v>3843</v>
      </c>
      <c r="L103" s="47" t="s">
        <v>3258</v>
      </c>
      <c r="M103" s="47" t="s">
        <v>3844</v>
      </c>
      <c r="N103" s="134">
        <v>23.193152</v>
      </c>
      <c r="O103" s="134">
        <v>91.987841</v>
      </c>
      <c r="P103" s="81">
        <v>372</v>
      </c>
      <c r="Q103" s="47"/>
      <c r="R103" s="81"/>
      <c r="S103" s="81"/>
      <c r="T103" s="7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50" t="s">
        <v>3588</v>
      </c>
      <c r="E104" s="47" t="s">
        <v>3587</v>
      </c>
      <c r="F104" s="47" t="s">
        <v>3589</v>
      </c>
      <c r="G104" s="130" t="s">
        <v>797</v>
      </c>
      <c r="H104" s="131"/>
      <c r="I104" s="132"/>
      <c r="J104" s="76"/>
      <c r="K104" s="81" t="s">
        <v>3845</v>
      </c>
      <c r="L104" s="47" t="s">
        <v>3846</v>
      </c>
      <c r="M104" s="47" t="s">
        <v>3847</v>
      </c>
      <c r="N104" s="134">
        <v>23.187609</v>
      </c>
      <c r="O104" s="134">
        <v>91.982013</v>
      </c>
      <c r="P104" s="81">
        <v>196</v>
      </c>
      <c r="Q104" s="47"/>
      <c r="R104" s="81"/>
      <c r="S104" s="81"/>
      <c r="T104" s="135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50" t="s">
        <v>3588</v>
      </c>
      <c r="E105" s="47" t="s">
        <v>3587</v>
      </c>
      <c r="F105" s="47" t="s">
        <v>3589</v>
      </c>
      <c r="G105" s="130" t="s">
        <v>797</v>
      </c>
      <c r="H105" s="131"/>
      <c r="I105" s="132"/>
      <c r="J105" s="76"/>
      <c r="K105" s="81" t="s">
        <v>3848</v>
      </c>
      <c r="L105" s="47" t="s">
        <v>3849</v>
      </c>
      <c r="M105" s="47" t="s">
        <v>3850</v>
      </c>
      <c r="N105" s="134">
        <v>23.187288</v>
      </c>
      <c r="O105" s="134">
        <v>91.974023</v>
      </c>
      <c r="P105" s="81">
        <v>160</v>
      </c>
      <c r="Q105" s="47"/>
      <c r="R105" s="81"/>
      <c r="S105" s="81"/>
      <c r="T105" s="7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50" t="s">
        <v>3588</v>
      </c>
      <c r="E106" s="47" t="s">
        <v>3587</v>
      </c>
      <c r="F106" s="47" t="s">
        <v>3589</v>
      </c>
      <c r="G106" s="130" t="s">
        <v>797</v>
      </c>
      <c r="H106" s="131"/>
      <c r="I106" s="132"/>
      <c r="J106" s="76"/>
      <c r="K106" s="81" t="s">
        <v>3851</v>
      </c>
      <c r="L106" s="47" t="s">
        <v>3852</v>
      </c>
      <c r="M106" s="47" t="s">
        <v>3853</v>
      </c>
      <c r="N106" s="134">
        <v>23.194543</v>
      </c>
      <c r="O106" s="134">
        <v>91.971267</v>
      </c>
      <c r="P106" s="81">
        <v>160</v>
      </c>
      <c r="Q106" s="47"/>
      <c r="R106" s="81"/>
      <c r="S106" s="81"/>
      <c r="T106" s="7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50" t="s">
        <v>3588</v>
      </c>
      <c r="E107" s="47" t="s">
        <v>3587</v>
      </c>
      <c r="F107" s="47" t="s">
        <v>3589</v>
      </c>
      <c r="G107" s="130" t="s">
        <v>797</v>
      </c>
      <c r="H107" s="131"/>
      <c r="I107" s="132"/>
      <c r="J107" s="76"/>
      <c r="K107" s="81" t="s">
        <v>3854</v>
      </c>
      <c r="L107" s="47" t="s">
        <v>3855</v>
      </c>
      <c r="M107" s="47" t="s">
        <v>3856</v>
      </c>
      <c r="N107" s="134">
        <v>23.181613</v>
      </c>
      <c r="O107" s="134">
        <v>91.980833</v>
      </c>
      <c r="P107" s="81">
        <v>180</v>
      </c>
      <c r="Q107" s="47"/>
      <c r="R107" s="81"/>
      <c r="S107" s="81"/>
      <c r="T107" s="135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50" t="s">
        <v>3588</v>
      </c>
      <c r="E108" s="47" t="s">
        <v>3587</v>
      </c>
      <c r="F108" s="47" t="s">
        <v>3589</v>
      </c>
      <c r="G108" s="130" t="s">
        <v>797</v>
      </c>
      <c r="H108" s="131"/>
      <c r="I108" s="132"/>
      <c r="J108" s="76"/>
      <c r="K108" s="81" t="s">
        <v>3857</v>
      </c>
      <c r="L108" s="47" t="s">
        <v>3858</v>
      </c>
      <c r="M108" s="47" t="s">
        <v>3859</v>
      </c>
      <c r="N108" s="134">
        <v>23.176471</v>
      </c>
      <c r="O108" s="134">
        <v>91.969233</v>
      </c>
      <c r="P108" s="81">
        <v>52</v>
      </c>
      <c r="Q108" s="47"/>
      <c r="R108" s="81"/>
      <c r="S108" s="81"/>
      <c r="T108" s="7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50" t="s">
        <v>3588</v>
      </c>
      <c r="E109" s="47" t="s">
        <v>3587</v>
      </c>
      <c r="F109" s="47" t="s">
        <v>3589</v>
      </c>
      <c r="G109" s="130" t="s">
        <v>797</v>
      </c>
      <c r="H109" s="131"/>
      <c r="I109" s="132"/>
      <c r="J109" s="76"/>
      <c r="K109" s="81" t="s">
        <v>3860</v>
      </c>
      <c r="L109" s="47" t="s">
        <v>3861</v>
      </c>
      <c r="M109" s="47" t="s">
        <v>3862</v>
      </c>
      <c r="N109" s="134">
        <v>23.18671</v>
      </c>
      <c r="O109" s="134">
        <v>91.995898</v>
      </c>
      <c r="P109" s="81">
        <v>212</v>
      </c>
      <c r="Q109" s="47"/>
      <c r="R109" s="81"/>
      <c r="S109" s="81"/>
      <c r="T109" s="7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50" t="s">
        <v>3588</v>
      </c>
      <c r="E110" s="47" t="s">
        <v>3587</v>
      </c>
      <c r="F110" s="47" t="s">
        <v>3589</v>
      </c>
      <c r="G110" s="130" t="s">
        <v>797</v>
      </c>
      <c r="H110" s="131"/>
      <c r="I110" s="132"/>
      <c r="J110" s="76"/>
      <c r="K110" s="81" t="s">
        <v>3863</v>
      </c>
      <c r="L110" s="47" t="s">
        <v>3864</v>
      </c>
      <c r="M110" s="47" t="s">
        <v>3865</v>
      </c>
      <c r="N110" s="134">
        <v>23.191278</v>
      </c>
      <c r="O110" s="134">
        <v>92.002782</v>
      </c>
      <c r="P110" s="81">
        <v>220</v>
      </c>
      <c r="Q110" s="47"/>
      <c r="R110" s="81"/>
      <c r="S110" s="81"/>
      <c r="T110" s="7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50" t="s">
        <v>3588</v>
      </c>
      <c r="E111" s="47" t="s">
        <v>3587</v>
      </c>
      <c r="F111" s="47" t="s">
        <v>3589</v>
      </c>
      <c r="G111" s="130" t="s">
        <v>797</v>
      </c>
      <c r="H111" s="131"/>
      <c r="I111" s="132"/>
      <c r="J111" s="76"/>
      <c r="K111" s="81" t="s">
        <v>155</v>
      </c>
      <c r="L111" s="47" t="s">
        <v>1216</v>
      </c>
      <c r="M111" s="47" t="s">
        <v>3866</v>
      </c>
      <c r="N111" s="134">
        <v>23.198799</v>
      </c>
      <c r="O111" s="134">
        <v>92.012619</v>
      </c>
      <c r="P111" s="81">
        <v>280</v>
      </c>
      <c r="Q111" s="47"/>
      <c r="R111" s="81"/>
      <c r="S111" s="81"/>
      <c r="T111" s="7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50" t="s">
        <v>3588</v>
      </c>
      <c r="E112" s="47" t="s">
        <v>3587</v>
      </c>
      <c r="F112" s="47" t="s">
        <v>3589</v>
      </c>
      <c r="G112" s="130" t="s">
        <v>797</v>
      </c>
      <c r="H112" s="131"/>
      <c r="I112" s="132"/>
      <c r="J112" s="76"/>
      <c r="K112" s="81" t="s">
        <v>3867</v>
      </c>
      <c r="L112" s="47" t="s">
        <v>3868</v>
      </c>
      <c r="M112" s="47" t="s">
        <v>3869</v>
      </c>
      <c r="N112" s="134">
        <v>23.211059</v>
      </c>
      <c r="O112" s="134">
        <v>92.001908</v>
      </c>
      <c r="P112" s="81">
        <v>160</v>
      </c>
      <c r="Q112" s="47"/>
      <c r="R112" s="81"/>
      <c r="S112" s="81"/>
      <c r="T112" s="7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50" t="s">
        <v>3588</v>
      </c>
      <c r="E113" s="47" t="s">
        <v>3587</v>
      </c>
      <c r="F113" s="47" t="s">
        <v>3589</v>
      </c>
      <c r="G113" s="130" t="s">
        <v>797</v>
      </c>
      <c r="H113" s="131"/>
      <c r="I113" s="132"/>
      <c r="J113" s="76"/>
      <c r="K113" s="81" t="s">
        <v>3662</v>
      </c>
      <c r="L113" s="47" t="s">
        <v>3663</v>
      </c>
      <c r="M113" s="47" t="s">
        <v>3870</v>
      </c>
      <c r="N113" s="134">
        <v>23.231192</v>
      </c>
      <c r="O113" s="134">
        <v>91.999886</v>
      </c>
      <c r="P113" s="81">
        <v>52</v>
      </c>
      <c r="Q113" s="47"/>
      <c r="R113" s="81"/>
      <c r="S113" s="81"/>
      <c r="T113" s="7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50" t="s">
        <v>3588</v>
      </c>
      <c r="E114" s="47" t="s">
        <v>3587</v>
      </c>
      <c r="F114" s="47" t="s">
        <v>3589</v>
      </c>
      <c r="G114" s="130" t="s">
        <v>797</v>
      </c>
      <c r="H114" s="131"/>
      <c r="I114" s="132"/>
      <c r="J114" s="76"/>
      <c r="K114" s="81" t="s">
        <v>3871</v>
      </c>
      <c r="L114" s="47" t="s">
        <v>3872</v>
      </c>
      <c r="M114" s="47" t="s">
        <v>3873</v>
      </c>
      <c r="N114" s="134">
        <v>23.19206</v>
      </c>
      <c r="O114" s="134">
        <v>91.995372</v>
      </c>
      <c r="P114" s="81"/>
      <c r="Q114" s="81"/>
      <c r="R114" s="81"/>
      <c r="S114" s="81"/>
      <c r="T114" s="7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50" t="s">
        <v>3588</v>
      </c>
      <c r="E115" s="47" t="s">
        <v>3587</v>
      </c>
      <c r="F115" s="47" t="s">
        <v>3874</v>
      </c>
      <c r="G115" s="130" t="s">
        <v>677</v>
      </c>
      <c r="H115" s="131"/>
      <c r="I115" s="132"/>
      <c r="J115" s="76"/>
      <c r="K115" s="81" t="s">
        <v>3875</v>
      </c>
      <c r="L115" s="47" t="s">
        <v>3876</v>
      </c>
      <c r="M115" s="47" t="s">
        <v>3877</v>
      </c>
      <c r="N115" s="134">
        <v>23.106312</v>
      </c>
      <c r="O115" s="134">
        <v>91.976076</v>
      </c>
      <c r="P115" s="81">
        <v>3891</v>
      </c>
      <c r="Q115" s="47"/>
      <c r="R115" s="81"/>
      <c r="S115" s="81"/>
      <c r="T115" s="7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50" t="s">
        <v>3588</v>
      </c>
      <c r="E116" s="47" t="s">
        <v>3587</v>
      </c>
      <c r="F116" s="47" t="s">
        <v>3874</v>
      </c>
      <c r="G116" s="130" t="s">
        <v>684</v>
      </c>
      <c r="H116" s="131"/>
      <c r="I116" s="132"/>
      <c r="J116" s="76"/>
      <c r="K116" s="81" t="s">
        <v>3878</v>
      </c>
      <c r="L116" s="47" t="s">
        <v>3879</v>
      </c>
      <c r="M116" s="47" t="s">
        <v>3880</v>
      </c>
      <c r="N116" s="134">
        <v>23.099755</v>
      </c>
      <c r="O116" s="134">
        <v>91.977948</v>
      </c>
      <c r="P116" s="81">
        <v>3000</v>
      </c>
      <c r="Q116" s="47"/>
      <c r="R116" s="81"/>
      <c r="S116" s="81"/>
      <c r="T116" s="7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50" t="s">
        <v>3588</v>
      </c>
      <c r="E117" s="47" t="s">
        <v>3587</v>
      </c>
      <c r="F117" s="47" t="s">
        <v>3874</v>
      </c>
      <c r="G117" s="130" t="s">
        <v>684</v>
      </c>
      <c r="H117" s="131"/>
      <c r="I117" s="132"/>
      <c r="J117" s="76"/>
      <c r="K117" s="81" t="s">
        <v>3881</v>
      </c>
      <c r="L117" s="47" t="s">
        <v>3882</v>
      </c>
      <c r="M117" s="47" t="s">
        <v>3883</v>
      </c>
      <c r="N117" s="134">
        <v>23.100916</v>
      </c>
      <c r="O117" s="134">
        <v>91.973504</v>
      </c>
      <c r="P117" s="81">
        <v>1000</v>
      </c>
      <c r="Q117" s="47"/>
      <c r="R117" s="81"/>
      <c r="S117" s="81"/>
      <c r="T117" s="7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50" t="s">
        <v>3588</v>
      </c>
      <c r="E118" s="47" t="s">
        <v>3587</v>
      </c>
      <c r="F118" s="47" t="s">
        <v>3874</v>
      </c>
      <c r="G118" s="130" t="s">
        <v>684</v>
      </c>
      <c r="H118" s="131"/>
      <c r="I118" s="132"/>
      <c r="J118" s="76"/>
      <c r="K118" s="81" t="s">
        <v>3884</v>
      </c>
      <c r="L118" s="47" t="s">
        <v>3885</v>
      </c>
      <c r="M118" s="47" t="s">
        <v>3886</v>
      </c>
      <c r="N118" s="134">
        <v>23.100599</v>
      </c>
      <c r="O118" s="134">
        <v>91.970372</v>
      </c>
      <c r="P118" s="81">
        <v>500</v>
      </c>
      <c r="Q118" s="47"/>
      <c r="R118" s="81"/>
      <c r="S118" s="81"/>
      <c r="T118" s="7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50" t="s">
        <v>3588</v>
      </c>
      <c r="E119" s="47" t="s">
        <v>3587</v>
      </c>
      <c r="F119" s="47" t="s">
        <v>3874</v>
      </c>
      <c r="G119" s="130" t="s">
        <v>697</v>
      </c>
      <c r="H119" s="131"/>
      <c r="I119" s="132"/>
      <c r="J119" s="76"/>
      <c r="K119" s="81" t="s">
        <v>3887</v>
      </c>
      <c r="L119" s="47" t="s">
        <v>3888</v>
      </c>
      <c r="M119" s="47" t="s">
        <v>3889</v>
      </c>
      <c r="N119" s="134">
        <v>23.095147</v>
      </c>
      <c r="O119" s="134">
        <v>91.969284</v>
      </c>
      <c r="P119" s="81">
        <v>800</v>
      </c>
      <c r="Q119" s="47"/>
      <c r="R119" s="81"/>
      <c r="S119" s="81"/>
      <c r="T119" s="7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50" t="s">
        <v>3588</v>
      </c>
      <c r="E120" s="47" t="s">
        <v>3587</v>
      </c>
      <c r="F120" s="47" t="s">
        <v>3874</v>
      </c>
      <c r="G120" s="130" t="s">
        <v>697</v>
      </c>
      <c r="H120" s="131"/>
      <c r="I120" s="132"/>
      <c r="J120" s="76"/>
      <c r="K120" s="81" t="s">
        <v>3890</v>
      </c>
      <c r="L120" s="47" t="s">
        <v>3891</v>
      </c>
      <c r="M120" s="47" t="s">
        <v>3892</v>
      </c>
      <c r="N120" s="134">
        <v>23.104138</v>
      </c>
      <c r="O120" s="134">
        <v>91.965496</v>
      </c>
      <c r="P120" s="81">
        <v>150</v>
      </c>
      <c r="Q120" s="47"/>
      <c r="R120" s="81"/>
      <c r="S120" s="81"/>
      <c r="T120" s="7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50" t="s">
        <v>3588</v>
      </c>
      <c r="E121" s="47" t="s">
        <v>3587</v>
      </c>
      <c r="F121" s="47" t="s">
        <v>3874</v>
      </c>
      <c r="G121" s="130" t="s">
        <v>697</v>
      </c>
      <c r="H121" s="131"/>
      <c r="I121" s="132"/>
      <c r="J121" s="76"/>
      <c r="K121" s="81" t="s">
        <v>3893</v>
      </c>
      <c r="L121" s="47" t="s">
        <v>3894</v>
      </c>
      <c r="M121" s="47" t="s">
        <v>3895</v>
      </c>
      <c r="N121" s="134">
        <v>23.101556</v>
      </c>
      <c r="O121" s="134">
        <v>91.962288</v>
      </c>
      <c r="P121" s="81">
        <v>15</v>
      </c>
      <c r="Q121" s="47"/>
      <c r="R121" s="81"/>
      <c r="S121" s="81"/>
      <c r="T121" s="135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50" t="s">
        <v>3588</v>
      </c>
      <c r="E122" s="47" t="s">
        <v>3587</v>
      </c>
      <c r="F122" s="47" t="s">
        <v>3874</v>
      </c>
      <c r="G122" s="130" t="s">
        <v>697</v>
      </c>
      <c r="H122" s="131"/>
      <c r="I122" s="132"/>
      <c r="J122" s="76"/>
      <c r="K122" s="81" t="s">
        <v>149</v>
      </c>
      <c r="L122" s="47" t="s">
        <v>150</v>
      </c>
      <c r="M122" s="47" t="s">
        <v>3896</v>
      </c>
      <c r="N122" s="134">
        <v>23.09388</v>
      </c>
      <c r="O122" s="134">
        <v>91.965425</v>
      </c>
      <c r="P122" s="81">
        <v>30</v>
      </c>
      <c r="Q122" s="47"/>
      <c r="R122" s="81"/>
      <c r="S122" s="81"/>
      <c r="T122" s="135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50" t="s">
        <v>3588</v>
      </c>
      <c r="E123" s="47" t="s">
        <v>3587</v>
      </c>
      <c r="F123" s="47" t="s">
        <v>3874</v>
      </c>
      <c r="G123" s="130" t="s">
        <v>697</v>
      </c>
      <c r="H123" s="131"/>
      <c r="I123" s="132"/>
      <c r="J123" s="76"/>
      <c r="K123" s="81" t="s">
        <v>3897</v>
      </c>
      <c r="L123" s="47" t="s">
        <v>3898</v>
      </c>
      <c r="M123" s="47" t="s">
        <v>3899</v>
      </c>
      <c r="N123" s="134">
        <v>23.101466</v>
      </c>
      <c r="O123" s="134">
        <v>91.965804</v>
      </c>
      <c r="P123" s="81">
        <v>80</v>
      </c>
      <c r="Q123" s="47"/>
      <c r="R123" s="81"/>
      <c r="S123" s="81"/>
      <c r="T123" s="7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50" t="s">
        <v>3588</v>
      </c>
      <c r="E124" s="47" t="s">
        <v>3587</v>
      </c>
      <c r="F124" s="47" t="s">
        <v>3874</v>
      </c>
      <c r="G124" s="130" t="s">
        <v>707</v>
      </c>
      <c r="H124" s="131"/>
      <c r="I124" s="132"/>
      <c r="J124" s="76"/>
      <c r="K124" s="81" t="s">
        <v>3900</v>
      </c>
      <c r="L124" s="47" t="s">
        <v>3901</v>
      </c>
      <c r="M124" s="47" t="s">
        <v>3902</v>
      </c>
      <c r="N124" s="134">
        <v>23.091739</v>
      </c>
      <c r="O124" s="134">
        <v>91.969299</v>
      </c>
      <c r="P124" s="81">
        <v>800</v>
      </c>
      <c r="Q124" s="47"/>
      <c r="R124" s="81"/>
      <c r="S124" s="81"/>
      <c r="T124" s="135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50" t="s">
        <v>3588</v>
      </c>
      <c r="E125" s="47" t="s">
        <v>3587</v>
      </c>
      <c r="F125" s="47" t="s">
        <v>3874</v>
      </c>
      <c r="G125" s="130" t="s">
        <v>707</v>
      </c>
      <c r="H125" s="131"/>
      <c r="I125" s="132"/>
      <c r="J125" s="76"/>
      <c r="K125" s="81" t="s">
        <v>3903</v>
      </c>
      <c r="L125" s="47" t="s">
        <v>3904</v>
      </c>
      <c r="M125" s="47" t="s">
        <v>3905</v>
      </c>
      <c r="N125" s="134">
        <v>23.08925</v>
      </c>
      <c r="O125" s="134">
        <v>91.971624</v>
      </c>
      <c r="P125" s="81">
        <v>400</v>
      </c>
      <c r="Q125" s="47"/>
      <c r="R125" s="81"/>
      <c r="S125" s="81"/>
      <c r="T125" s="135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50" t="s">
        <v>3588</v>
      </c>
      <c r="E126" s="47" t="s">
        <v>3587</v>
      </c>
      <c r="F126" s="47" t="s">
        <v>3874</v>
      </c>
      <c r="G126" s="130" t="s">
        <v>726</v>
      </c>
      <c r="H126" s="131"/>
      <c r="I126" s="132"/>
      <c r="J126" s="76"/>
      <c r="K126" s="81" t="s">
        <v>328</v>
      </c>
      <c r="L126" s="47" t="s">
        <v>2236</v>
      </c>
      <c r="M126" s="47" t="s">
        <v>3906</v>
      </c>
      <c r="N126" s="134">
        <v>23.090451</v>
      </c>
      <c r="O126" s="134">
        <v>91.975465</v>
      </c>
      <c r="P126" s="81">
        <v>600</v>
      </c>
      <c r="Q126" s="47"/>
      <c r="R126" s="81"/>
      <c r="S126" s="81"/>
      <c r="T126" s="135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50" t="s">
        <v>3588</v>
      </c>
      <c r="E127" s="47" t="s">
        <v>3587</v>
      </c>
      <c r="F127" s="47" t="s">
        <v>3874</v>
      </c>
      <c r="G127" s="130" t="s">
        <v>726</v>
      </c>
      <c r="H127" s="131"/>
      <c r="I127" s="132"/>
      <c r="J127" s="76"/>
      <c r="K127" s="81" t="s">
        <v>3907</v>
      </c>
      <c r="L127" s="47" t="s">
        <v>3908</v>
      </c>
      <c r="M127" s="47" t="s">
        <v>3909</v>
      </c>
      <c r="N127" s="134">
        <v>23.093825</v>
      </c>
      <c r="O127" s="134">
        <v>91.974302</v>
      </c>
      <c r="P127" s="81">
        <v>500</v>
      </c>
      <c r="Q127" s="47"/>
      <c r="R127" s="81"/>
      <c r="S127" s="81"/>
      <c r="T127" s="135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50" t="s">
        <v>3588</v>
      </c>
      <c r="E128" s="47" t="s">
        <v>3587</v>
      </c>
      <c r="F128" s="47" t="s">
        <v>3874</v>
      </c>
      <c r="G128" s="130" t="s">
        <v>726</v>
      </c>
      <c r="H128" s="131"/>
      <c r="I128" s="132"/>
      <c r="J128" s="76"/>
      <c r="K128" s="81" t="s">
        <v>3910</v>
      </c>
      <c r="L128" s="47" t="s">
        <v>3911</v>
      </c>
      <c r="M128" s="47" t="s">
        <v>3912</v>
      </c>
      <c r="N128" s="134">
        <v>23.08972</v>
      </c>
      <c r="O128" s="134">
        <v>91.974519</v>
      </c>
      <c r="P128" s="81">
        <v>400</v>
      </c>
      <c r="Q128" s="47"/>
      <c r="R128" s="81"/>
      <c r="S128" s="81"/>
      <c r="T128" s="135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50" t="s">
        <v>3588</v>
      </c>
      <c r="E129" s="47" t="s">
        <v>3587</v>
      </c>
      <c r="F129" s="47" t="s">
        <v>3874</v>
      </c>
      <c r="G129" s="130" t="s">
        <v>726</v>
      </c>
      <c r="H129" s="131"/>
      <c r="I129" s="132"/>
      <c r="J129" s="76"/>
      <c r="K129" s="81" t="s">
        <v>3913</v>
      </c>
      <c r="L129" s="47" t="s">
        <v>3914</v>
      </c>
      <c r="M129" s="47" t="s">
        <v>3915</v>
      </c>
      <c r="N129" s="134">
        <v>23.094746</v>
      </c>
      <c r="O129" s="134">
        <v>91.974427</v>
      </c>
      <c r="P129" s="81"/>
      <c r="Q129" s="81"/>
      <c r="R129" s="81"/>
      <c r="S129" s="81"/>
      <c r="T129" s="135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50" t="s">
        <v>3588</v>
      </c>
      <c r="E130" s="47" t="s">
        <v>3587</v>
      </c>
      <c r="F130" s="47" t="s">
        <v>3874</v>
      </c>
      <c r="G130" s="130" t="s">
        <v>742</v>
      </c>
      <c r="H130" s="131"/>
      <c r="I130" s="132"/>
      <c r="J130" s="76"/>
      <c r="K130" s="81" t="s">
        <v>3916</v>
      </c>
      <c r="L130" s="47" t="s">
        <v>3917</v>
      </c>
      <c r="M130" s="47" t="s">
        <v>3918</v>
      </c>
      <c r="N130" s="134">
        <v>23.082402</v>
      </c>
      <c r="O130" s="134">
        <v>91.979241</v>
      </c>
      <c r="P130" s="81">
        <v>500</v>
      </c>
      <c r="Q130" s="47"/>
      <c r="R130" s="81"/>
      <c r="S130" s="81"/>
      <c r="T130" s="135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50" t="s">
        <v>3588</v>
      </c>
      <c r="E131" s="47" t="s">
        <v>3587</v>
      </c>
      <c r="F131" s="47" t="s">
        <v>3874</v>
      </c>
      <c r="G131" s="130" t="s">
        <v>742</v>
      </c>
      <c r="H131" s="131"/>
      <c r="I131" s="132"/>
      <c r="J131" s="76"/>
      <c r="K131" s="81" t="s">
        <v>3919</v>
      </c>
      <c r="L131" s="47" t="s">
        <v>3920</v>
      </c>
      <c r="M131" s="47" t="s">
        <v>3921</v>
      </c>
      <c r="N131" s="134">
        <v>23.082137</v>
      </c>
      <c r="O131" s="134">
        <v>91.972047</v>
      </c>
      <c r="P131" s="81">
        <v>900</v>
      </c>
      <c r="Q131" s="47"/>
      <c r="R131" s="81"/>
      <c r="S131" s="81"/>
      <c r="T131" s="7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50" t="s">
        <v>3588</v>
      </c>
      <c r="E132" s="47" t="s">
        <v>3587</v>
      </c>
      <c r="F132" s="47" t="s">
        <v>3874</v>
      </c>
      <c r="G132" s="130" t="s">
        <v>742</v>
      </c>
      <c r="H132" s="131"/>
      <c r="I132" s="132"/>
      <c r="J132" s="76"/>
      <c r="K132" s="81" t="s">
        <v>3922</v>
      </c>
      <c r="L132" s="47" t="s">
        <v>3923</v>
      </c>
      <c r="M132" s="47" t="s">
        <v>3924</v>
      </c>
      <c r="N132" s="134">
        <v>23.078985</v>
      </c>
      <c r="O132" s="134">
        <v>91.973568</v>
      </c>
      <c r="P132" s="81">
        <v>600</v>
      </c>
      <c r="Q132" s="47"/>
      <c r="R132" s="81"/>
      <c r="S132" s="81"/>
      <c r="T132" s="7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50" t="s">
        <v>3588</v>
      </c>
      <c r="E133" s="47" t="s">
        <v>3587</v>
      </c>
      <c r="F133" s="47" t="s">
        <v>3874</v>
      </c>
      <c r="G133" s="130" t="s">
        <v>761</v>
      </c>
      <c r="H133" s="131"/>
      <c r="I133" s="132"/>
      <c r="J133" s="76"/>
      <c r="K133" s="81" t="s">
        <v>3925</v>
      </c>
      <c r="L133" s="47" t="s">
        <v>3926</v>
      </c>
      <c r="M133" s="47" t="s">
        <v>3927</v>
      </c>
      <c r="N133" s="134">
        <v>23.107576</v>
      </c>
      <c r="O133" s="134">
        <v>92.004541</v>
      </c>
      <c r="P133" s="81">
        <v>700</v>
      </c>
      <c r="Q133" s="47"/>
      <c r="R133" s="81"/>
      <c r="S133" s="81"/>
      <c r="T133" s="7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50" t="s">
        <v>3588</v>
      </c>
      <c r="E134" s="47" t="s">
        <v>3587</v>
      </c>
      <c r="F134" s="47" t="s">
        <v>3874</v>
      </c>
      <c r="G134" s="130" t="s">
        <v>761</v>
      </c>
      <c r="H134" s="131"/>
      <c r="I134" s="59"/>
      <c r="J134" s="76"/>
      <c r="K134" s="81" t="s">
        <v>2515</v>
      </c>
      <c r="L134" s="47" t="s">
        <v>2516</v>
      </c>
      <c r="M134" s="47" t="s">
        <v>3928</v>
      </c>
      <c r="N134" s="134">
        <v>23.114603</v>
      </c>
      <c r="O134" s="134">
        <v>92.005325</v>
      </c>
      <c r="P134" s="81">
        <v>300</v>
      </c>
      <c r="Q134" s="47"/>
      <c r="R134" s="81"/>
      <c r="S134" s="81"/>
      <c r="T134" s="135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50" t="s">
        <v>3588</v>
      </c>
      <c r="E135" s="47" t="s">
        <v>3587</v>
      </c>
      <c r="F135" s="47" t="s">
        <v>3874</v>
      </c>
      <c r="G135" s="130" t="s">
        <v>761</v>
      </c>
      <c r="H135" s="131"/>
      <c r="I135" s="59"/>
      <c r="J135" s="76"/>
      <c r="K135" s="81" t="s">
        <v>3929</v>
      </c>
      <c r="L135" s="47" t="s">
        <v>3930</v>
      </c>
      <c r="M135" s="47" t="s">
        <v>3931</v>
      </c>
      <c r="N135" s="134">
        <v>23.132242</v>
      </c>
      <c r="O135" s="134">
        <v>92.005066</v>
      </c>
      <c r="P135" s="81">
        <v>120</v>
      </c>
      <c r="Q135" s="47"/>
      <c r="R135" s="81"/>
      <c r="S135" s="81"/>
      <c r="T135" s="7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50" t="s">
        <v>3588</v>
      </c>
      <c r="E136" s="47" t="s">
        <v>3587</v>
      </c>
      <c r="F136" s="47" t="s">
        <v>3874</v>
      </c>
      <c r="G136" s="130" t="s">
        <v>761</v>
      </c>
      <c r="H136" s="131"/>
      <c r="I136" s="59"/>
      <c r="J136" s="76"/>
      <c r="K136" s="81" t="s">
        <v>1625</v>
      </c>
      <c r="L136" s="47" t="s">
        <v>3841</v>
      </c>
      <c r="M136" s="47" t="s">
        <v>3932</v>
      </c>
      <c r="N136" s="134">
        <v>23.135265</v>
      </c>
      <c r="O136" s="134">
        <v>92.006153</v>
      </c>
      <c r="P136" s="81">
        <v>700</v>
      </c>
      <c r="Q136" s="47"/>
      <c r="R136" s="81"/>
      <c r="S136" s="81"/>
      <c r="T136" s="7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50" t="s">
        <v>3588</v>
      </c>
      <c r="E137" s="47" t="s">
        <v>3587</v>
      </c>
      <c r="F137" s="47" t="s">
        <v>3874</v>
      </c>
      <c r="G137" s="130" t="s">
        <v>761</v>
      </c>
      <c r="H137" s="131"/>
      <c r="I137" s="59"/>
      <c r="J137" s="76"/>
      <c r="K137" s="81" t="s">
        <v>88</v>
      </c>
      <c r="L137" s="47" t="s">
        <v>3258</v>
      </c>
      <c r="M137" s="47" t="s">
        <v>3933</v>
      </c>
      <c r="N137" s="134">
        <v>23.13824</v>
      </c>
      <c r="O137" s="134">
        <v>92.010742</v>
      </c>
      <c r="P137" s="81">
        <v>120</v>
      </c>
      <c r="Q137" s="47"/>
      <c r="R137" s="81"/>
      <c r="S137" s="81"/>
      <c r="T137" s="7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50" t="s">
        <v>3588</v>
      </c>
      <c r="E138" s="47" t="s">
        <v>3587</v>
      </c>
      <c r="F138" s="47" t="s">
        <v>3874</v>
      </c>
      <c r="G138" s="130" t="s">
        <v>781</v>
      </c>
      <c r="H138" s="131"/>
      <c r="I138" s="59"/>
      <c r="J138" s="76"/>
      <c r="K138" s="81" t="s">
        <v>88</v>
      </c>
      <c r="L138" s="47" t="s">
        <v>3258</v>
      </c>
      <c r="M138" s="47" t="s">
        <v>3934</v>
      </c>
      <c r="N138" s="134">
        <v>23.126146</v>
      </c>
      <c r="O138" s="134">
        <v>92.025161</v>
      </c>
      <c r="P138" s="81">
        <v>160</v>
      </c>
      <c r="Q138" s="47"/>
      <c r="R138" s="81"/>
      <c r="S138" s="81"/>
      <c r="T138" s="135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50" t="s">
        <v>3588</v>
      </c>
      <c r="E139" s="47" t="s">
        <v>3587</v>
      </c>
      <c r="F139" s="47" t="s">
        <v>3874</v>
      </c>
      <c r="G139" s="130" t="s">
        <v>781</v>
      </c>
      <c r="H139" s="131"/>
      <c r="I139" s="59"/>
      <c r="J139" s="76"/>
      <c r="K139" s="81" t="s">
        <v>3935</v>
      </c>
      <c r="L139" s="47" t="s">
        <v>3936</v>
      </c>
      <c r="M139" s="47" t="s">
        <v>3937</v>
      </c>
      <c r="N139" s="134">
        <v>23.124338</v>
      </c>
      <c r="O139" s="134">
        <v>92.049926</v>
      </c>
      <c r="P139" s="81">
        <v>150</v>
      </c>
      <c r="Q139" s="47"/>
      <c r="R139" s="81"/>
      <c r="S139" s="81"/>
      <c r="T139" s="135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50" t="s">
        <v>3588</v>
      </c>
      <c r="E140" s="47" t="s">
        <v>3587</v>
      </c>
      <c r="F140" s="47" t="s">
        <v>3874</v>
      </c>
      <c r="G140" s="130" t="s">
        <v>781</v>
      </c>
      <c r="H140" s="131"/>
      <c r="I140" s="59"/>
      <c r="J140" s="76"/>
      <c r="K140" s="81" t="s">
        <v>3938</v>
      </c>
      <c r="L140" s="47" t="s">
        <v>3939</v>
      </c>
      <c r="M140" s="47" t="s">
        <v>3940</v>
      </c>
      <c r="N140" s="134">
        <v>23.1281</v>
      </c>
      <c r="O140" s="134">
        <v>92.037995</v>
      </c>
      <c r="P140" s="81">
        <v>100</v>
      </c>
      <c r="Q140" s="47"/>
      <c r="R140" s="81"/>
      <c r="S140" s="81"/>
      <c r="T140" s="135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50" t="s">
        <v>3588</v>
      </c>
      <c r="E141" s="47" t="s">
        <v>3587</v>
      </c>
      <c r="F141" s="47" t="s">
        <v>3874</v>
      </c>
      <c r="G141" s="130" t="s">
        <v>781</v>
      </c>
      <c r="H141" s="131"/>
      <c r="I141" s="59"/>
      <c r="J141" s="76"/>
      <c r="K141" s="81" t="s">
        <v>3941</v>
      </c>
      <c r="L141" s="47" t="s">
        <v>3942</v>
      </c>
      <c r="M141" s="47" t="s">
        <v>3943</v>
      </c>
      <c r="N141" s="134">
        <v>23.110022</v>
      </c>
      <c r="O141" s="134">
        <v>92.038059</v>
      </c>
      <c r="P141" s="81">
        <v>220</v>
      </c>
      <c r="Q141" s="47"/>
      <c r="R141" s="81"/>
      <c r="S141" s="81"/>
      <c r="T141" s="7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50" t="s">
        <v>3588</v>
      </c>
      <c r="E142" s="47" t="s">
        <v>3587</v>
      </c>
      <c r="F142" s="47" t="s">
        <v>3874</v>
      </c>
      <c r="G142" s="130" t="s">
        <v>781</v>
      </c>
      <c r="H142" s="131"/>
      <c r="I142" s="59"/>
      <c r="J142" s="76"/>
      <c r="K142" s="81" t="s">
        <v>3944</v>
      </c>
      <c r="L142" s="47" t="s">
        <v>3945</v>
      </c>
      <c r="M142" s="47" t="s">
        <v>3946</v>
      </c>
      <c r="N142" s="134">
        <v>23.117042</v>
      </c>
      <c r="O142" s="134">
        <v>92.025809</v>
      </c>
      <c r="P142" s="81">
        <v>400</v>
      </c>
      <c r="Q142" s="47"/>
      <c r="R142" s="81"/>
      <c r="S142" s="81"/>
      <c r="T142" s="135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50" t="s">
        <v>3588</v>
      </c>
      <c r="E143" s="47" t="s">
        <v>3587</v>
      </c>
      <c r="F143" s="47" t="s">
        <v>3874</v>
      </c>
      <c r="G143" s="130" t="s">
        <v>781</v>
      </c>
      <c r="H143" s="131"/>
      <c r="I143" s="59"/>
      <c r="J143" s="76"/>
      <c r="K143" s="81" t="s">
        <v>3947</v>
      </c>
      <c r="L143" s="47" t="s">
        <v>3948</v>
      </c>
      <c r="M143" s="47" t="s">
        <v>3949</v>
      </c>
      <c r="N143" s="134">
        <v>23.11367</v>
      </c>
      <c r="O143" s="134">
        <v>92.030564</v>
      </c>
      <c r="P143" s="81">
        <v>140</v>
      </c>
      <c r="Q143" s="47"/>
      <c r="R143" s="81"/>
      <c r="S143" s="81"/>
      <c r="T143" s="135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50" t="s">
        <v>3588</v>
      </c>
      <c r="E144" s="47" t="s">
        <v>3587</v>
      </c>
      <c r="F144" s="47" t="s">
        <v>3874</v>
      </c>
      <c r="G144" s="130" t="s">
        <v>781</v>
      </c>
      <c r="H144" s="131"/>
      <c r="I144" s="59"/>
      <c r="J144" s="76"/>
      <c r="K144" s="81" t="s">
        <v>3950</v>
      </c>
      <c r="L144" s="47" t="s">
        <v>3951</v>
      </c>
      <c r="M144" s="47" t="s">
        <v>3952</v>
      </c>
      <c r="N144" s="134">
        <v>23.110345</v>
      </c>
      <c r="O144" s="134">
        <v>92.009838</v>
      </c>
      <c r="P144" s="81">
        <v>320</v>
      </c>
      <c r="Q144" s="47"/>
      <c r="R144" s="81"/>
      <c r="S144" s="81"/>
      <c r="T144" s="135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50" t="s">
        <v>3588</v>
      </c>
      <c r="E145" s="47" t="s">
        <v>3587</v>
      </c>
      <c r="F145" s="47" t="s">
        <v>3874</v>
      </c>
      <c r="G145" s="130" t="s">
        <v>781</v>
      </c>
      <c r="H145" s="131"/>
      <c r="I145" s="59"/>
      <c r="J145" s="76"/>
      <c r="K145" s="81" t="s">
        <v>3174</v>
      </c>
      <c r="L145" s="47" t="s">
        <v>3175</v>
      </c>
      <c r="M145" s="47" t="s">
        <v>3953</v>
      </c>
      <c r="N145" s="134">
        <v>23.125142</v>
      </c>
      <c r="O145" s="134">
        <v>92.013967</v>
      </c>
      <c r="P145" s="81">
        <v>300</v>
      </c>
      <c r="Q145" s="47"/>
      <c r="R145" s="81"/>
      <c r="S145" s="81"/>
      <c r="T145" s="7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50" t="s">
        <v>3588</v>
      </c>
      <c r="E146" s="47" t="s">
        <v>3587</v>
      </c>
      <c r="F146" s="47" t="s">
        <v>3874</v>
      </c>
      <c r="G146" s="130" t="s">
        <v>781</v>
      </c>
      <c r="H146" s="131"/>
      <c r="I146" s="59"/>
      <c r="J146" s="76"/>
      <c r="K146" s="81" t="s">
        <v>652</v>
      </c>
      <c r="L146" s="47" t="s">
        <v>3954</v>
      </c>
      <c r="M146" s="47" t="s">
        <v>3955</v>
      </c>
      <c r="N146" s="134">
        <v>23.112488</v>
      </c>
      <c r="O146" s="134">
        <v>92.016091</v>
      </c>
      <c r="P146" s="81">
        <v>140</v>
      </c>
      <c r="Q146" s="47"/>
      <c r="R146" s="81"/>
      <c r="S146" s="81"/>
      <c r="T146" s="7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50" t="s">
        <v>3588</v>
      </c>
      <c r="E147" s="47" t="s">
        <v>3587</v>
      </c>
      <c r="F147" s="47" t="s">
        <v>3874</v>
      </c>
      <c r="G147" s="130" t="s">
        <v>781</v>
      </c>
      <c r="H147" s="131"/>
      <c r="I147" s="59"/>
      <c r="J147" s="76"/>
      <c r="K147" s="81" t="s">
        <v>3956</v>
      </c>
      <c r="L147" s="47" t="s">
        <v>3957</v>
      </c>
      <c r="M147" s="47" t="s">
        <v>3958</v>
      </c>
      <c r="N147" s="134">
        <v>23.10702</v>
      </c>
      <c r="O147" s="134">
        <v>92.032197</v>
      </c>
      <c r="P147" s="81"/>
      <c r="Q147" s="81"/>
      <c r="R147" s="81"/>
      <c r="S147" s="81"/>
      <c r="T147" s="135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50" t="s">
        <v>3588</v>
      </c>
      <c r="E148" s="47" t="s">
        <v>3587</v>
      </c>
      <c r="F148" s="47" t="s">
        <v>3874</v>
      </c>
      <c r="G148" s="130" t="s">
        <v>797</v>
      </c>
      <c r="H148" s="131"/>
      <c r="I148" s="59"/>
      <c r="J148" s="76"/>
      <c r="K148" s="81" t="s">
        <v>3959</v>
      </c>
      <c r="L148" s="47" t="s">
        <v>3960</v>
      </c>
      <c r="M148" s="47" t="s">
        <v>3961</v>
      </c>
      <c r="N148" s="134">
        <v>23.170613</v>
      </c>
      <c r="O148" s="134">
        <v>92.041537</v>
      </c>
      <c r="P148" s="81">
        <v>400</v>
      </c>
      <c r="Q148" s="47"/>
      <c r="R148" s="81"/>
      <c r="S148" s="81"/>
      <c r="T148" s="135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50" t="s">
        <v>3588</v>
      </c>
      <c r="E149" s="47" t="s">
        <v>3587</v>
      </c>
      <c r="F149" s="47" t="s">
        <v>3874</v>
      </c>
      <c r="G149" s="130" t="s">
        <v>797</v>
      </c>
      <c r="H149" s="131"/>
      <c r="I149" s="59"/>
      <c r="J149" s="76"/>
      <c r="K149" s="81" t="s">
        <v>3962</v>
      </c>
      <c r="L149" s="47" t="s">
        <v>3963</v>
      </c>
      <c r="M149" s="47" t="s">
        <v>3964</v>
      </c>
      <c r="N149" s="134">
        <v>23.179971</v>
      </c>
      <c r="O149" s="134">
        <v>92.03939</v>
      </c>
      <c r="P149" s="81">
        <v>170</v>
      </c>
      <c r="Q149" s="47"/>
      <c r="R149" s="81"/>
      <c r="S149" s="81"/>
      <c r="T149" s="135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50" t="s">
        <v>3588</v>
      </c>
      <c r="E150" s="47" t="s">
        <v>3587</v>
      </c>
      <c r="F150" s="47" t="s">
        <v>3874</v>
      </c>
      <c r="G150" s="130" t="s">
        <v>797</v>
      </c>
      <c r="H150" s="131"/>
      <c r="I150" s="59"/>
      <c r="J150" s="76"/>
      <c r="K150" s="81" t="s">
        <v>3965</v>
      </c>
      <c r="L150" s="47" t="s">
        <v>3966</v>
      </c>
      <c r="M150" s="47" t="s">
        <v>3967</v>
      </c>
      <c r="N150" s="134">
        <v>23.179398</v>
      </c>
      <c r="O150" s="134">
        <v>92.042139</v>
      </c>
      <c r="P150" s="81">
        <v>150</v>
      </c>
      <c r="Q150" s="47"/>
      <c r="R150" s="81"/>
      <c r="S150" s="81"/>
      <c r="T150" s="135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50" t="s">
        <v>3588</v>
      </c>
      <c r="E151" s="47" t="s">
        <v>3587</v>
      </c>
      <c r="F151" s="47" t="s">
        <v>3874</v>
      </c>
      <c r="G151" s="130" t="s">
        <v>797</v>
      </c>
      <c r="H151" s="131"/>
      <c r="I151" s="59"/>
      <c r="J151" s="76"/>
      <c r="K151" s="81" t="s">
        <v>3968</v>
      </c>
      <c r="L151" s="47" t="s">
        <v>3969</v>
      </c>
      <c r="M151" s="47" t="s">
        <v>3970</v>
      </c>
      <c r="N151" s="134">
        <v>23.163526</v>
      </c>
      <c r="O151" s="134">
        <v>92.026389</v>
      </c>
      <c r="P151" s="81">
        <v>300</v>
      </c>
      <c r="Q151" s="47"/>
      <c r="R151" s="81"/>
      <c r="S151" s="81"/>
      <c r="T151" s="7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50" t="s">
        <v>3588</v>
      </c>
      <c r="E152" s="47" t="s">
        <v>3587</v>
      </c>
      <c r="F152" s="47" t="s">
        <v>3874</v>
      </c>
      <c r="G152" s="130" t="s">
        <v>797</v>
      </c>
      <c r="H152" s="131"/>
      <c r="I152" s="59"/>
      <c r="J152" s="76"/>
      <c r="K152" s="81" t="s">
        <v>3971</v>
      </c>
      <c r="L152" s="47" t="s">
        <v>3972</v>
      </c>
      <c r="M152" s="47" t="s">
        <v>3973</v>
      </c>
      <c r="N152" s="134">
        <v>23.134378</v>
      </c>
      <c r="O152" s="134">
        <v>92.026412</v>
      </c>
      <c r="P152" s="81">
        <v>350</v>
      </c>
      <c r="Q152" s="47"/>
      <c r="R152" s="81"/>
      <c r="S152" s="81"/>
      <c r="T152" s="135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50" t="s">
        <v>3588</v>
      </c>
      <c r="E153" s="47" t="s">
        <v>3587</v>
      </c>
      <c r="F153" s="47" t="s">
        <v>3874</v>
      </c>
      <c r="G153" s="130" t="s">
        <v>797</v>
      </c>
      <c r="H153" s="131"/>
      <c r="I153" s="132"/>
      <c r="J153" s="76"/>
      <c r="K153" s="81" t="s">
        <v>3974</v>
      </c>
      <c r="L153" s="47" t="s">
        <v>3975</v>
      </c>
      <c r="M153" s="47" t="s">
        <v>3976</v>
      </c>
      <c r="N153" s="134">
        <v>23.14544</v>
      </c>
      <c r="O153" s="134">
        <v>92.017079</v>
      </c>
      <c r="P153" s="81">
        <v>450</v>
      </c>
      <c r="Q153" s="47"/>
      <c r="R153" s="81"/>
      <c r="S153" s="81"/>
      <c r="T153" s="135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50" t="s">
        <v>3588</v>
      </c>
      <c r="E154" s="47" t="s">
        <v>3587</v>
      </c>
      <c r="F154" s="47" t="s">
        <v>3874</v>
      </c>
      <c r="G154" s="130" t="s">
        <v>797</v>
      </c>
      <c r="H154" s="131"/>
      <c r="I154" s="132"/>
      <c r="J154" s="76"/>
      <c r="K154" s="81" t="s">
        <v>3977</v>
      </c>
      <c r="L154" s="47" t="s">
        <v>3978</v>
      </c>
      <c r="M154" s="47" t="s">
        <v>3979</v>
      </c>
      <c r="N154" s="134">
        <v>23.176615</v>
      </c>
      <c r="O154" s="134">
        <v>92.040858</v>
      </c>
      <c r="P154" s="81">
        <v>50</v>
      </c>
      <c r="Q154" s="47"/>
      <c r="R154" s="81"/>
      <c r="S154" s="81"/>
      <c r="T154" s="7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50" t="s">
        <v>3588</v>
      </c>
      <c r="E155" s="47" t="s">
        <v>3587</v>
      </c>
      <c r="F155" s="47" t="s">
        <v>3874</v>
      </c>
      <c r="G155" s="130" t="s">
        <v>797</v>
      </c>
      <c r="H155" s="131"/>
      <c r="I155" s="132"/>
      <c r="J155" s="76"/>
      <c r="K155" s="81" t="s">
        <v>3980</v>
      </c>
      <c r="L155" s="47" t="s">
        <v>3981</v>
      </c>
      <c r="M155" s="47" t="s">
        <v>3982</v>
      </c>
      <c r="N155" s="134">
        <v>23.183441</v>
      </c>
      <c r="O155" s="134">
        <v>92.035366</v>
      </c>
      <c r="P155" s="81">
        <v>50</v>
      </c>
      <c r="Q155" s="47"/>
      <c r="R155" s="81"/>
      <c r="S155" s="81"/>
      <c r="T155" s="135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50" t="s">
        <v>3588</v>
      </c>
      <c r="E156" s="47" t="s">
        <v>3587</v>
      </c>
      <c r="F156" s="47" t="s">
        <v>3983</v>
      </c>
      <c r="G156" s="130" t="s">
        <v>677</v>
      </c>
      <c r="H156" s="131"/>
      <c r="I156" s="132"/>
      <c r="J156" s="76"/>
      <c r="K156" s="81" t="s">
        <v>3984</v>
      </c>
      <c r="L156" s="47" t="s">
        <v>3985</v>
      </c>
      <c r="M156" s="47" t="s">
        <v>3986</v>
      </c>
      <c r="N156" s="134">
        <v>23.07292</v>
      </c>
      <c r="O156" s="134">
        <v>91.994491</v>
      </c>
      <c r="P156" s="81">
        <v>750</v>
      </c>
      <c r="Q156" s="47"/>
      <c r="R156" s="81"/>
      <c r="S156" s="81"/>
      <c r="T156" s="7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50" t="s">
        <v>3588</v>
      </c>
      <c r="E157" s="47" t="s">
        <v>3587</v>
      </c>
      <c r="F157" s="47" t="s">
        <v>3983</v>
      </c>
      <c r="G157" s="130" t="s">
        <v>677</v>
      </c>
      <c r="H157" s="131"/>
      <c r="I157" s="132"/>
      <c r="J157" s="76"/>
      <c r="K157" s="81" t="s">
        <v>3546</v>
      </c>
      <c r="L157" s="47" t="s">
        <v>3547</v>
      </c>
      <c r="M157" s="47" t="s">
        <v>3987</v>
      </c>
      <c r="N157" s="134">
        <v>23.077659</v>
      </c>
      <c r="O157" s="134">
        <v>91.990806</v>
      </c>
      <c r="P157" s="81">
        <v>150</v>
      </c>
      <c r="Q157" s="47"/>
      <c r="R157" s="81"/>
      <c r="S157" s="81"/>
      <c r="T157" s="7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50" t="s">
        <v>3588</v>
      </c>
      <c r="E158" s="47" t="s">
        <v>3587</v>
      </c>
      <c r="F158" s="47" t="s">
        <v>3983</v>
      </c>
      <c r="G158" s="130" t="s">
        <v>677</v>
      </c>
      <c r="H158" s="131"/>
      <c r="I158" s="132"/>
      <c r="J158" s="76"/>
      <c r="K158" s="81" t="s">
        <v>3988</v>
      </c>
      <c r="L158" s="47" t="s">
        <v>3989</v>
      </c>
      <c r="M158" s="47" t="s">
        <v>3990</v>
      </c>
      <c r="N158" s="134">
        <v>23.083915</v>
      </c>
      <c r="O158" s="134">
        <v>91.993609</v>
      </c>
      <c r="P158" s="81">
        <v>210</v>
      </c>
      <c r="Q158" s="47"/>
      <c r="R158" s="81"/>
      <c r="S158" s="81"/>
      <c r="T158" s="135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50" t="s">
        <v>3588</v>
      </c>
      <c r="E159" s="47" t="s">
        <v>3587</v>
      </c>
      <c r="F159" s="47" t="s">
        <v>3983</v>
      </c>
      <c r="G159" s="130" t="s">
        <v>677</v>
      </c>
      <c r="H159" s="131"/>
      <c r="I159" s="132"/>
      <c r="J159" s="76"/>
      <c r="K159" s="81" t="s">
        <v>3991</v>
      </c>
      <c r="L159" s="47" t="s">
        <v>3992</v>
      </c>
      <c r="M159" s="47" t="s">
        <v>3993</v>
      </c>
      <c r="N159" s="134">
        <v>23.077825</v>
      </c>
      <c r="O159" s="134">
        <v>92.005659</v>
      </c>
      <c r="P159" s="81">
        <v>350</v>
      </c>
      <c r="Q159" s="47"/>
      <c r="R159" s="81"/>
      <c r="S159" s="81"/>
      <c r="T159" s="135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3"/>
      <c r="AH159" s="58"/>
      <c r="AI159" s="59"/>
      <c r="AJ159" s="57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50" t="s">
        <v>3588</v>
      </c>
      <c r="E160" s="47" t="s">
        <v>3587</v>
      </c>
      <c r="F160" s="47" t="s">
        <v>3983</v>
      </c>
      <c r="G160" s="130" t="s">
        <v>677</v>
      </c>
      <c r="H160" s="131"/>
      <c r="I160" s="59"/>
      <c r="J160" s="76"/>
      <c r="K160" s="81" t="s">
        <v>3994</v>
      </c>
      <c r="L160" s="47" t="s">
        <v>3995</v>
      </c>
      <c r="M160" s="47" t="s">
        <v>3996</v>
      </c>
      <c r="N160" s="134">
        <v>23.081898</v>
      </c>
      <c r="O160" s="134">
        <v>91.99407</v>
      </c>
      <c r="P160" s="81">
        <v>100</v>
      </c>
      <c r="Q160" s="47"/>
      <c r="R160" s="81"/>
      <c r="S160" s="81"/>
      <c r="T160" s="7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3"/>
      <c r="AH160" s="58"/>
      <c r="AI160" s="59"/>
      <c r="AJ160" s="57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50" t="s">
        <v>3588</v>
      </c>
      <c r="E161" s="47" t="s">
        <v>3587</v>
      </c>
      <c r="F161" s="47" t="s">
        <v>3983</v>
      </c>
      <c r="G161" s="130" t="s">
        <v>684</v>
      </c>
      <c r="H161" s="131"/>
      <c r="I161" s="59"/>
      <c r="J161" s="76"/>
      <c r="K161" s="81" t="s">
        <v>3997</v>
      </c>
      <c r="L161" s="47" t="s">
        <v>3998</v>
      </c>
      <c r="M161" s="47" t="s">
        <v>3999</v>
      </c>
      <c r="N161" s="134">
        <v>23.093398</v>
      </c>
      <c r="O161" s="134">
        <v>91.996376</v>
      </c>
      <c r="P161" s="81">
        <v>1500</v>
      </c>
      <c r="Q161" s="47"/>
      <c r="R161" s="81"/>
      <c r="S161" s="81"/>
      <c r="T161" s="7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3"/>
      <c r="AH161" s="58"/>
      <c r="AI161" s="59"/>
      <c r="AJ161" s="57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50" t="s">
        <v>3588</v>
      </c>
      <c r="E162" s="47" t="s">
        <v>3587</v>
      </c>
      <c r="F162" s="47" t="s">
        <v>3983</v>
      </c>
      <c r="G162" s="130" t="s">
        <v>684</v>
      </c>
      <c r="H162" s="131"/>
      <c r="I162" s="59"/>
      <c r="J162" s="76"/>
      <c r="K162" s="81" t="s">
        <v>4000</v>
      </c>
      <c r="L162" s="47" t="s">
        <v>4001</v>
      </c>
      <c r="M162" s="47" t="s">
        <v>4002</v>
      </c>
      <c r="N162" s="134">
        <v>23.081241</v>
      </c>
      <c r="O162" s="134">
        <v>91.996492</v>
      </c>
      <c r="P162" s="81">
        <v>750</v>
      </c>
      <c r="Q162" s="47"/>
      <c r="R162" s="81"/>
      <c r="S162" s="81"/>
      <c r="T162" s="7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3"/>
      <c r="AH162" s="58"/>
      <c r="AI162" s="59"/>
      <c r="AJ162" s="57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50" t="s">
        <v>3588</v>
      </c>
      <c r="E163" s="47" t="s">
        <v>3587</v>
      </c>
      <c r="F163" s="47" t="s">
        <v>3983</v>
      </c>
      <c r="G163" s="130" t="s">
        <v>684</v>
      </c>
      <c r="H163" s="131"/>
      <c r="I163" s="59"/>
      <c r="J163" s="76"/>
      <c r="K163" s="81" t="s">
        <v>4003</v>
      </c>
      <c r="L163" s="47" t="s">
        <v>4004</v>
      </c>
      <c r="M163" s="47" t="s">
        <v>4005</v>
      </c>
      <c r="N163" s="134">
        <v>23.085012</v>
      </c>
      <c r="O163" s="134">
        <v>92.003258</v>
      </c>
      <c r="P163" s="81">
        <v>650</v>
      </c>
      <c r="Q163" s="47"/>
      <c r="R163" s="81"/>
      <c r="S163" s="81"/>
      <c r="T163" s="7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3"/>
      <c r="AH163" s="58"/>
      <c r="AI163" s="59"/>
      <c r="AJ163" s="57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50" t="s">
        <v>3588</v>
      </c>
      <c r="E164" s="47" t="s">
        <v>3587</v>
      </c>
      <c r="F164" s="47" t="s">
        <v>3983</v>
      </c>
      <c r="G164" s="130" t="s">
        <v>684</v>
      </c>
      <c r="H164" s="131"/>
      <c r="I164" s="59"/>
      <c r="J164" s="76"/>
      <c r="K164" s="81" t="s">
        <v>328</v>
      </c>
      <c r="L164" s="47" t="s">
        <v>2236</v>
      </c>
      <c r="M164" s="47" t="s">
        <v>4006</v>
      </c>
      <c r="N164" s="134">
        <v>23.080185</v>
      </c>
      <c r="O164" s="134">
        <v>92.000455</v>
      </c>
      <c r="P164" s="81">
        <v>1200</v>
      </c>
      <c r="Q164" s="47"/>
      <c r="R164" s="81"/>
      <c r="S164" s="81"/>
      <c r="T164" s="7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3"/>
      <c r="AH164" s="58"/>
      <c r="AI164" s="59"/>
      <c r="AJ164" s="57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50" t="s">
        <v>3588</v>
      </c>
      <c r="E165" s="47" t="s">
        <v>3587</v>
      </c>
      <c r="F165" s="47" t="s">
        <v>3983</v>
      </c>
      <c r="G165" s="130" t="s">
        <v>684</v>
      </c>
      <c r="H165" s="131"/>
      <c r="I165" s="59"/>
      <c r="J165" s="76"/>
      <c r="K165" s="81" t="s">
        <v>4007</v>
      </c>
      <c r="L165" s="47" t="s">
        <v>4008</v>
      </c>
      <c r="M165" s="47" t="s">
        <v>4009</v>
      </c>
      <c r="N165" s="134">
        <v>23.080304</v>
      </c>
      <c r="O165" s="134">
        <v>92.00721</v>
      </c>
      <c r="P165" s="81">
        <v>650</v>
      </c>
      <c r="Q165" s="47"/>
      <c r="R165" s="81"/>
      <c r="S165" s="81"/>
      <c r="T165" s="7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3"/>
      <c r="AH165" s="58"/>
      <c r="AI165" s="59"/>
      <c r="AJ165" s="57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50" t="s">
        <v>3588</v>
      </c>
      <c r="E166" s="47" t="s">
        <v>3587</v>
      </c>
      <c r="F166" s="47" t="s">
        <v>3983</v>
      </c>
      <c r="G166" s="130" t="s">
        <v>684</v>
      </c>
      <c r="H166" s="131"/>
      <c r="I166" s="59"/>
      <c r="J166" s="76"/>
      <c r="K166" s="81" t="s">
        <v>4010</v>
      </c>
      <c r="L166" s="47" t="s">
        <v>4011</v>
      </c>
      <c r="M166" s="47" t="s">
        <v>4012</v>
      </c>
      <c r="N166" s="134">
        <v>23.089662</v>
      </c>
      <c r="O166" s="134">
        <v>92.007349</v>
      </c>
      <c r="P166" s="81">
        <v>150</v>
      </c>
      <c r="Q166" s="47"/>
      <c r="R166" s="81"/>
      <c r="S166" s="81"/>
      <c r="T166" s="7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3"/>
      <c r="AH166" s="58"/>
      <c r="AI166" s="59"/>
      <c r="AJ166" s="57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50" t="s">
        <v>3588</v>
      </c>
      <c r="E167" s="47" t="s">
        <v>3587</v>
      </c>
      <c r="F167" s="47" t="s">
        <v>3983</v>
      </c>
      <c r="G167" s="130" t="s">
        <v>697</v>
      </c>
      <c r="H167" s="131"/>
      <c r="I167" s="59"/>
      <c r="J167" s="76"/>
      <c r="K167" s="81" t="s">
        <v>4010</v>
      </c>
      <c r="L167" s="47" t="s">
        <v>4011</v>
      </c>
      <c r="M167" s="47" t="s">
        <v>4013</v>
      </c>
      <c r="N167" s="134">
        <v>23.091178</v>
      </c>
      <c r="O167" s="134">
        <v>92.010927</v>
      </c>
      <c r="P167" s="81">
        <v>450</v>
      </c>
      <c r="Q167" s="47"/>
      <c r="R167" s="81"/>
      <c r="S167" s="81"/>
      <c r="T167" s="7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3"/>
      <c r="AH167" s="58"/>
      <c r="AI167" s="59"/>
      <c r="AJ167" s="57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50" t="s">
        <v>3588</v>
      </c>
      <c r="E168" s="47" t="s">
        <v>3587</v>
      </c>
      <c r="F168" s="47" t="s">
        <v>3983</v>
      </c>
      <c r="G168" s="130" t="s">
        <v>697</v>
      </c>
      <c r="H168" s="131"/>
      <c r="I168" s="132"/>
      <c r="J168" s="76"/>
      <c r="K168" s="81" t="s">
        <v>4014</v>
      </c>
      <c r="L168" s="47" t="s">
        <v>4015</v>
      </c>
      <c r="M168" s="47" t="s">
        <v>4016</v>
      </c>
      <c r="N168" s="134">
        <v>23.0955</v>
      </c>
      <c r="O168" s="134">
        <v>92.008673</v>
      </c>
      <c r="P168" s="81">
        <v>1200</v>
      </c>
      <c r="Q168" s="47"/>
      <c r="R168" s="81"/>
      <c r="S168" s="81"/>
      <c r="T168" s="7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3"/>
      <c r="AH168" s="58"/>
      <c r="AI168" s="59"/>
      <c r="AJ168" s="57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50" t="s">
        <v>3588</v>
      </c>
      <c r="E169" s="47" t="s">
        <v>3587</v>
      </c>
      <c r="F169" s="47" t="s">
        <v>3983</v>
      </c>
      <c r="G169" s="130" t="s">
        <v>697</v>
      </c>
      <c r="H169" s="131"/>
      <c r="I169" s="132"/>
      <c r="J169" s="57"/>
      <c r="K169" s="81" t="s">
        <v>3000</v>
      </c>
      <c r="L169" s="47" t="s">
        <v>3001</v>
      </c>
      <c r="M169" s="47" t="s">
        <v>4017</v>
      </c>
      <c r="N169" s="134">
        <v>23.097757</v>
      </c>
      <c r="O169" s="134">
        <v>92.020153</v>
      </c>
      <c r="P169" s="81">
        <v>1000</v>
      </c>
      <c r="Q169" s="47"/>
      <c r="R169" s="81"/>
      <c r="S169" s="81"/>
      <c r="T169" s="7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3"/>
      <c r="AH169" s="58"/>
      <c r="AI169" s="59"/>
      <c r="AJ169" s="57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50" t="s">
        <v>3588</v>
      </c>
      <c r="E170" s="47" t="s">
        <v>3587</v>
      </c>
      <c r="F170" s="47" t="s">
        <v>3983</v>
      </c>
      <c r="G170" s="130" t="s">
        <v>697</v>
      </c>
      <c r="H170" s="131"/>
      <c r="I170" s="132"/>
      <c r="J170" s="76"/>
      <c r="K170" s="81" t="s">
        <v>4018</v>
      </c>
      <c r="L170" s="47" t="s">
        <v>4019</v>
      </c>
      <c r="M170" s="47" t="s">
        <v>4020</v>
      </c>
      <c r="N170" s="134">
        <v>23.090221</v>
      </c>
      <c r="O170" s="134">
        <v>92.018362</v>
      </c>
      <c r="P170" s="81">
        <v>500</v>
      </c>
      <c r="Q170" s="47"/>
      <c r="R170" s="81"/>
      <c r="S170" s="81"/>
      <c r="T170" s="7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3"/>
      <c r="AH170" s="58"/>
      <c r="AI170" s="59"/>
      <c r="AJ170" s="57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50" t="s">
        <v>3588</v>
      </c>
      <c r="E171" s="47" t="s">
        <v>3587</v>
      </c>
      <c r="F171" s="47" t="s">
        <v>3983</v>
      </c>
      <c r="G171" s="130" t="s">
        <v>697</v>
      </c>
      <c r="H171" s="131"/>
      <c r="I171" s="132"/>
      <c r="J171" s="76"/>
      <c r="K171" s="81" t="s">
        <v>4021</v>
      </c>
      <c r="L171" s="47" t="s">
        <v>4022</v>
      </c>
      <c r="M171" s="47" t="s">
        <v>4023</v>
      </c>
      <c r="N171" s="134">
        <v>23.087401</v>
      </c>
      <c r="O171" s="134">
        <v>92.016527</v>
      </c>
      <c r="P171" s="81">
        <v>200</v>
      </c>
      <c r="Q171" s="47"/>
      <c r="R171" s="81"/>
      <c r="S171" s="81"/>
      <c r="T171" s="7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3"/>
      <c r="AH171" s="58"/>
      <c r="AI171" s="59"/>
      <c r="AJ171" s="57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50" t="s">
        <v>3588</v>
      </c>
      <c r="E172" s="47" t="s">
        <v>3587</v>
      </c>
      <c r="F172" s="47" t="s">
        <v>3983</v>
      </c>
      <c r="G172" s="130" t="s">
        <v>707</v>
      </c>
      <c r="H172" s="131"/>
      <c r="I172" s="132"/>
      <c r="J172" s="76"/>
      <c r="K172" s="81" t="s">
        <v>4024</v>
      </c>
      <c r="L172" s="47" t="s">
        <v>4025</v>
      </c>
      <c r="M172" s="47" t="s">
        <v>4026</v>
      </c>
      <c r="N172" s="134">
        <v>23.072299</v>
      </c>
      <c r="O172" s="134">
        <v>92.030102</v>
      </c>
      <c r="P172" s="81">
        <v>600</v>
      </c>
      <c r="Q172" s="47"/>
      <c r="R172" s="81"/>
      <c r="S172" s="81"/>
      <c r="T172" s="7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3"/>
      <c r="AH172" s="58"/>
      <c r="AI172" s="59"/>
      <c r="AJ172" s="57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50" t="s">
        <v>3588</v>
      </c>
      <c r="E173" s="47" t="s">
        <v>3587</v>
      </c>
      <c r="F173" s="47" t="s">
        <v>3983</v>
      </c>
      <c r="G173" s="130" t="s">
        <v>707</v>
      </c>
      <c r="H173" s="131"/>
      <c r="I173" s="132"/>
      <c r="J173" s="76"/>
      <c r="K173" s="81" t="s">
        <v>4027</v>
      </c>
      <c r="L173" s="47" t="s">
        <v>4028</v>
      </c>
      <c r="M173" s="47" t="s">
        <v>4029</v>
      </c>
      <c r="N173" s="134">
        <v>23.087186</v>
      </c>
      <c r="O173" s="134">
        <v>92.032524</v>
      </c>
      <c r="P173" s="81">
        <v>80</v>
      </c>
      <c r="Q173" s="47"/>
      <c r="R173" s="81"/>
      <c r="S173" s="81"/>
      <c r="T173" s="7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3"/>
      <c r="AH173" s="58"/>
      <c r="AI173" s="59"/>
      <c r="AJ173" s="57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50" t="s">
        <v>3588</v>
      </c>
      <c r="E174" s="47" t="s">
        <v>3587</v>
      </c>
      <c r="F174" s="47" t="s">
        <v>3983</v>
      </c>
      <c r="G174" s="130" t="s">
        <v>707</v>
      </c>
      <c r="H174" s="131"/>
      <c r="I174" s="132"/>
      <c r="J174" s="76"/>
      <c r="K174" s="81" t="s">
        <v>4030</v>
      </c>
      <c r="L174" s="47" t="s">
        <v>4031</v>
      </c>
      <c r="M174" s="47" t="s">
        <v>4032</v>
      </c>
      <c r="N174" s="134">
        <v>23.062274</v>
      </c>
      <c r="O174" s="134">
        <v>92.023286</v>
      </c>
      <c r="P174" s="81">
        <v>240</v>
      </c>
      <c r="Q174" s="47"/>
      <c r="R174" s="81"/>
      <c r="S174" s="81"/>
      <c r="T174" s="7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3"/>
      <c r="AH174" s="58"/>
      <c r="AI174" s="59"/>
      <c r="AJ174" s="57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50" t="s">
        <v>3588</v>
      </c>
      <c r="E175" s="47" t="s">
        <v>3587</v>
      </c>
      <c r="F175" s="47" t="s">
        <v>3983</v>
      </c>
      <c r="G175" s="130" t="s">
        <v>707</v>
      </c>
      <c r="H175" s="131"/>
      <c r="I175" s="59"/>
      <c r="J175" s="76"/>
      <c r="K175" s="81" t="s">
        <v>4033</v>
      </c>
      <c r="L175" s="47" t="s">
        <v>4034</v>
      </c>
      <c r="M175" s="47" t="s">
        <v>4035</v>
      </c>
      <c r="N175" s="134">
        <v>23.08448</v>
      </c>
      <c r="O175" s="134">
        <v>92.021203</v>
      </c>
      <c r="P175" s="81">
        <v>250</v>
      </c>
      <c r="Q175" s="47"/>
      <c r="R175" s="81"/>
      <c r="S175" s="81"/>
      <c r="T175" s="7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3"/>
      <c r="AH175" s="58"/>
      <c r="AI175" s="59"/>
      <c r="AJ175" s="57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50" t="s">
        <v>3588</v>
      </c>
      <c r="E176" s="47" t="s">
        <v>3587</v>
      </c>
      <c r="F176" s="47" t="s">
        <v>3983</v>
      </c>
      <c r="G176" s="130" t="s">
        <v>707</v>
      </c>
      <c r="H176" s="131"/>
      <c r="I176" s="132"/>
      <c r="J176" s="76"/>
      <c r="K176" s="81" t="s">
        <v>4036</v>
      </c>
      <c r="L176" s="47" t="s">
        <v>4037</v>
      </c>
      <c r="M176" s="47" t="s">
        <v>4038</v>
      </c>
      <c r="N176" s="134">
        <v>23.09189</v>
      </c>
      <c r="O176" s="134">
        <v>92.026284</v>
      </c>
      <c r="P176" s="81">
        <v>60</v>
      </c>
      <c r="Q176" s="47"/>
      <c r="R176" s="81"/>
      <c r="S176" s="81"/>
      <c r="T176" s="135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3"/>
      <c r="AH176" s="58"/>
      <c r="AI176" s="59"/>
      <c r="AJ176" s="57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50" t="s">
        <v>3588</v>
      </c>
      <c r="E177" s="47" t="s">
        <v>3587</v>
      </c>
      <c r="F177" s="47" t="s">
        <v>3983</v>
      </c>
      <c r="G177" s="130" t="s">
        <v>707</v>
      </c>
      <c r="H177" s="131"/>
      <c r="I177" s="132"/>
      <c r="J177" s="76"/>
      <c r="K177" s="81" t="s">
        <v>4039</v>
      </c>
      <c r="L177" s="47" t="s">
        <v>4040</v>
      </c>
      <c r="M177" s="47" t="s">
        <v>4041</v>
      </c>
      <c r="N177" s="134">
        <v>23.08015</v>
      </c>
      <c r="O177" s="134">
        <v>92.037824</v>
      </c>
      <c r="P177" s="81">
        <v>400</v>
      </c>
      <c r="Q177" s="47"/>
      <c r="R177" s="81"/>
      <c r="S177" s="81"/>
      <c r="T177" s="135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3"/>
      <c r="AH177" s="58"/>
      <c r="AI177" s="59"/>
      <c r="AJ177" s="57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50" t="s">
        <v>3588</v>
      </c>
      <c r="E178" s="47" t="s">
        <v>3587</v>
      </c>
      <c r="F178" s="47" t="s">
        <v>3983</v>
      </c>
      <c r="G178" s="130" t="s">
        <v>707</v>
      </c>
      <c r="H178" s="131"/>
      <c r="I178" s="132"/>
      <c r="J178" s="76"/>
      <c r="K178" s="81" t="s">
        <v>4042</v>
      </c>
      <c r="L178" s="47" t="s">
        <v>4043</v>
      </c>
      <c r="M178" s="47" t="s">
        <v>4044</v>
      </c>
      <c r="N178" s="134">
        <v>23.096373</v>
      </c>
      <c r="O178" s="134">
        <v>92.037741</v>
      </c>
      <c r="P178" s="81">
        <v>80</v>
      </c>
      <c r="Q178" s="47"/>
      <c r="R178" s="81"/>
      <c r="S178" s="81"/>
      <c r="T178" s="135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3"/>
      <c r="AH178" s="58"/>
      <c r="AI178" s="59"/>
      <c r="AJ178" s="57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50" t="s">
        <v>3588</v>
      </c>
      <c r="E179" s="47" t="s">
        <v>3587</v>
      </c>
      <c r="F179" s="47" t="s">
        <v>3983</v>
      </c>
      <c r="G179" s="130" t="s">
        <v>726</v>
      </c>
      <c r="H179" s="131"/>
      <c r="I179" s="132"/>
      <c r="J179" s="76"/>
      <c r="K179" s="81" t="s">
        <v>3159</v>
      </c>
      <c r="L179" s="47" t="s">
        <v>3160</v>
      </c>
      <c r="M179" s="47" t="s">
        <v>4045</v>
      </c>
      <c r="N179" s="134">
        <v>23.071395</v>
      </c>
      <c r="O179" s="134">
        <v>92.015661</v>
      </c>
      <c r="P179" s="81">
        <v>540</v>
      </c>
      <c r="Q179" s="47"/>
      <c r="R179" s="81"/>
      <c r="S179" s="81"/>
      <c r="T179" s="135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3"/>
      <c r="AH179" s="58"/>
      <c r="AI179" s="59"/>
      <c r="AJ179" s="57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50" t="s">
        <v>3588</v>
      </c>
      <c r="E180" s="47" t="s">
        <v>3587</v>
      </c>
      <c r="F180" s="47" t="s">
        <v>3983</v>
      </c>
      <c r="G180" s="130" t="s">
        <v>726</v>
      </c>
      <c r="H180" s="131"/>
      <c r="I180" s="132"/>
      <c r="J180" s="76"/>
      <c r="K180" s="81" t="s">
        <v>4046</v>
      </c>
      <c r="L180" s="47" t="s">
        <v>4047</v>
      </c>
      <c r="M180" s="47" t="s">
        <v>4048</v>
      </c>
      <c r="N180" s="134">
        <v>23.064788</v>
      </c>
      <c r="O180" s="134">
        <v>92.008248</v>
      </c>
      <c r="P180" s="81">
        <v>350</v>
      </c>
      <c r="Q180" s="47"/>
      <c r="R180" s="81"/>
      <c r="S180" s="81"/>
      <c r="T180" s="135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3"/>
      <c r="AH180" s="58"/>
      <c r="AI180" s="59"/>
      <c r="AJ180" s="57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50" t="s">
        <v>3588</v>
      </c>
      <c r="E181" s="47" t="s">
        <v>3587</v>
      </c>
      <c r="F181" s="47" t="s">
        <v>3983</v>
      </c>
      <c r="G181" s="130" t="s">
        <v>726</v>
      </c>
      <c r="H181" s="131"/>
      <c r="I181" s="132"/>
      <c r="J181" s="76"/>
      <c r="K181" s="81" t="s">
        <v>4049</v>
      </c>
      <c r="L181" s="47" t="s">
        <v>4050</v>
      </c>
      <c r="M181" s="47" t="s">
        <v>4051</v>
      </c>
      <c r="N181" s="134">
        <v>23.069465</v>
      </c>
      <c r="O181" s="134">
        <v>92.012256</v>
      </c>
      <c r="P181" s="81">
        <v>150</v>
      </c>
      <c r="Q181" s="47"/>
      <c r="R181" s="81"/>
      <c r="S181" s="81"/>
      <c r="T181" s="135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3"/>
      <c r="AH181" s="58"/>
      <c r="AI181" s="59"/>
      <c r="AJ181" s="57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50" t="s">
        <v>3588</v>
      </c>
      <c r="E182" s="47" t="s">
        <v>3587</v>
      </c>
      <c r="F182" s="47" t="s">
        <v>3983</v>
      </c>
      <c r="G182" s="130" t="s">
        <v>726</v>
      </c>
      <c r="H182" s="131"/>
      <c r="I182" s="132"/>
      <c r="J182" s="76"/>
      <c r="K182" s="81" t="s">
        <v>4052</v>
      </c>
      <c r="L182" s="47" t="s">
        <v>4053</v>
      </c>
      <c r="M182" s="47" t="s">
        <v>4054</v>
      </c>
      <c r="N182" s="134">
        <v>23.070687</v>
      </c>
      <c r="O182" s="134">
        <v>92.008189</v>
      </c>
      <c r="P182" s="81">
        <v>250</v>
      </c>
      <c r="Q182" s="47"/>
      <c r="R182" s="81"/>
      <c r="S182" s="81"/>
      <c r="T182" s="135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3"/>
      <c r="AH182" s="58"/>
      <c r="AI182" s="59"/>
      <c r="AJ182" s="57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50" t="s">
        <v>3588</v>
      </c>
      <c r="E183" s="47" t="s">
        <v>3587</v>
      </c>
      <c r="F183" s="47" t="s">
        <v>3983</v>
      </c>
      <c r="G183" s="130" t="s">
        <v>726</v>
      </c>
      <c r="H183" s="131"/>
      <c r="I183" s="132"/>
      <c r="J183" s="76"/>
      <c r="K183" s="81" t="s">
        <v>4055</v>
      </c>
      <c r="L183" s="47" t="s">
        <v>4056</v>
      </c>
      <c r="M183" s="47" t="s">
        <v>4057</v>
      </c>
      <c r="N183" s="134">
        <v>23.07534</v>
      </c>
      <c r="O183" s="134">
        <v>92.009177</v>
      </c>
      <c r="P183" s="81">
        <v>450</v>
      </c>
      <c r="Q183" s="47"/>
      <c r="R183" s="81"/>
      <c r="S183" s="81"/>
      <c r="T183" s="135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3"/>
      <c r="AH183" s="58"/>
      <c r="AI183" s="59"/>
      <c r="AJ183" s="57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50" t="s">
        <v>3588</v>
      </c>
      <c r="E184" s="47" t="s">
        <v>3587</v>
      </c>
      <c r="F184" s="47" t="s">
        <v>3983</v>
      </c>
      <c r="G184" s="130" t="s">
        <v>726</v>
      </c>
      <c r="H184" s="131"/>
      <c r="I184" s="132"/>
      <c r="J184" s="76"/>
      <c r="K184" s="81" t="s">
        <v>4058</v>
      </c>
      <c r="L184" s="47" t="s">
        <v>4059</v>
      </c>
      <c r="M184" s="47" t="s">
        <v>4060</v>
      </c>
      <c r="N184" s="134">
        <v>23.072497</v>
      </c>
      <c r="O184" s="134">
        <v>92.009077</v>
      </c>
      <c r="P184" s="81"/>
      <c r="Q184" s="81"/>
      <c r="R184" s="81"/>
      <c r="S184" s="81"/>
      <c r="T184" s="135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3"/>
      <c r="AH184" s="58"/>
      <c r="AI184" s="59"/>
      <c r="AJ184" s="57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50" t="s">
        <v>3588</v>
      </c>
      <c r="E185" s="47" t="s">
        <v>3587</v>
      </c>
      <c r="F185" s="47" t="s">
        <v>3983</v>
      </c>
      <c r="G185" s="130" t="s">
        <v>742</v>
      </c>
      <c r="H185" s="131"/>
      <c r="I185" s="132"/>
      <c r="J185" s="76"/>
      <c r="K185" s="81" t="s">
        <v>4061</v>
      </c>
      <c r="L185" s="47" t="s">
        <v>4062</v>
      </c>
      <c r="M185" s="47" t="s">
        <v>4063</v>
      </c>
      <c r="N185" s="134">
        <v>23.057645</v>
      </c>
      <c r="O185" s="134">
        <v>92.009945</v>
      </c>
      <c r="P185" s="81">
        <v>920</v>
      </c>
      <c r="Q185" s="47"/>
      <c r="R185" s="81"/>
      <c r="S185" s="81"/>
      <c r="T185" s="135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3"/>
      <c r="AH185" s="58"/>
      <c r="AI185" s="59"/>
      <c r="AJ185" s="57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50" t="s">
        <v>3588</v>
      </c>
      <c r="E186" s="47" t="s">
        <v>3587</v>
      </c>
      <c r="F186" s="47" t="s">
        <v>3983</v>
      </c>
      <c r="G186" s="130" t="s">
        <v>742</v>
      </c>
      <c r="H186" s="131"/>
      <c r="I186" s="132"/>
      <c r="J186" s="76"/>
      <c r="K186" s="81" t="s">
        <v>4064</v>
      </c>
      <c r="L186" s="47" t="s">
        <v>4065</v>
      </c>
      <c r="M186" s="47" t="s">
        <v>4066</v>
      </c>
      <c r="N186" s="134">
        <v>23.061828</v>
      </c>
      <c r="O186" s="134">
        <v>92.003056</v>
      </c>
      <c r="P186" s="81">
        <v>160</v>
      </c>
      <c r="Q186" s="47"/>
      <c r="R186" s="81"/>
      <c r="S186" s="81"/>
      <c r="T186" s="135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3"/>
      <c r="AH186" s="58"/>
      <c r="AI186" s="59"/>
      <c r="AJ186" s="57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50" t="s">
        <v>3588</v>
      </c>
      <c r="E187" s="47" t="s">
        <v>3587</v>
      </c>
      <c r="F187" s="47" t="s">
        <v>3983</v>
      </c>
      <c r="G187" s="130" t="s">
        <v>742</v>
      </c>
      <c r="H187" s="131"/>
      <c r="I187" s="132"/>
      <c r="J187" s="76"/>
      <c r="K187" s="81" t="s">
        <v>4067</v>
      </c>
      <c r="L187" s="47" t="s">
        <v>4068</v>
      </c>
      <c r="M187" s="47" t="s">
        <v>4069</v>
      </c>
      <c r="N187" s="134">
        <v>23.050832</v>
      </c>
      <c r="O187" s="134">
        <v>92.011496</v>
      </c>
      <c r="P187" s="81">
        <v>600</v>
      </c>
      <c r="Q187" s="47"/>
      <c r="R187" s="81"/>
      <c r="S187" s="81"/>
      <c r="T187" s="135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3"/>
      <c r="AH187" s="58"/>
      <c r="AI187" s="59"/>
      <c r="AJ187" s="57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50" t="s">
        <v>3588</v>
      </c>
      <c r="E188" s="47" t="s">
        <v>3587</v>
      </c>
      <c r="F188" s="47" t="s">
        <v>3983</v>
      </c>
      <c r="G188" s="130" t="s">
        <v>742</v>
      </c>
      <c r="H188" s="131"/>
      <c r="I188" s="132"/>
      <c r="J188" s="76"/>
      <c r="K188" s="81" t="s">
        <v>4070</v>
      </c>
      <c r="L188" s="47" t="s">
        <v>4071</v>
      </c>
      <c r="M188" s="47" t="s">
        <v>4072</v>
      </c>
      <c r="N188" s="134">
        <v>23.061381</v>
      </c>
      <c r="O188" s="134">
        <v>92.014074</v>
      </c>
      <c r="P188" s="81">
        <v>390</v>
      </c>
      <c r="Q188" s="47"/>
      <c r="R188" s="81"/>
      <c r="S188" s="81"/>
      <c r="T188" s="135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3"/>
      <c r="AH188" s="58"/>
      <c r="AI188" s="59"/>
      <c r="AJ188" s="57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50" t="s">
        <v>3588</v>
      </c>
      <c r="E189" s="47" t="s">
        <v>3587</v>
      </c>
      <c r="F189" s="47" t="s">
        <v>3983</v>
      </c>
      <c r="G189" s="130" t="s">
        <v>742</v>
      </c>
      <c r="H189" s="131"/>
      <c r="I189" s="132"/>
      <c r="J189" s="76"/>
      <c r="K189" s="81" t="s">
        <v>4073</v>
      </c>
      <c r="L189" s="47" t="s">
        <v>4074</v>
      </c>
      <c r="M189" s="47" t="s">
        <v>4075</v>
      </c>
      <c r="N189" s="134">
        <v>23.057943</v>
      </c>
      <c r="O189" s="134">
        <v>92.007858</v>
      </c>
      <c r="P189" s="81"/>
      <c r="Q189" s="81"/>
      <c r="R189" s="81"/>
      <c r="S189" s="81"/>
      <c r="T189" s="135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3"/>
      <c r="AH189" s="58"/>
      <c r="AI189" s="59"/>
      <c r="AJ189" s="57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50" t="s">
        <v>3588</v>
      </c>
      <c r="E190" s="47" t="s">
        <v>3587</v>
      </c>
      <c r="F190" s="47" t="s">
        <v>3983</v>
      </c>
      <c r="G190" s="130" t="s">
        <v>761</v>
      </c>
      <c r="H190" s="131"/>
      <c r="I190" s="132"/>
      <c r="J190" s="76"/>
      <c r="K190" s="81" t="s">
        <v>4076</v>
      </c>
      <c r="L190" s="47" t="s">
        <v>4077</v>
      </c>
      <c r="M190" s="47" t="s">
        <v>4078</v>
      </c>
      <c r="N190" s="134">
        <v>23.045987</v>
      </c>
      <c r="O190" s="134">
        <v>92.012393</v>
      </c>
      <c r="P190" s="81">
        <v>300</v>
      </c>
      <c r="Q190" s="47"/>
      <c r="R190" s="81"/>
      <c r="S190" s="81"/>
      <c r="T190" s="135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3"/>
      <c r="AH190" s="58"/>
      <c r="AI190" s="59"/>
      <c r="AJ190" s="57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50" t="s">
        <v>3588</v>
      </c>
      <c r="E191" s="47" t="s">
        <v>3587</v>
      </c>
      <c r="F191" s="47" t="s">
        <v>3983</v>
      </c>
      <c r="G191" s="130" t="s">
        <v>761</v>
      </c>
      <c r="H191" s="131"/>
      <c r="I191" s="132"/>
      <c r="J191" s="76"/>
      <c r="K191" s="81" t="s">
        <v>4079</v>
      </c>
      <c r="L191" s="47" t="s">
        <v>4080</v>
      </c>
      <c r="M191" s="47" t="s">
        <v>4081</v>
      </c>
      <c r="N191" s="134">
        <v>23.04162</v>
      </c>
      <c r="O191" s="134">
        <v>92.016088</v>
      </c>
      <c r="P191" s="81">
        <v>600</v>
      </c>
      <c r="Q191" s="47"/>
      <c r="R191" s="81"/>
      <c r="S191" s="81"/>
      <c r="T191" s="135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3"/>
      <c r="AH191" s="58"/>
      <c r="AI191" s="59"/>
      <c r="AJ191" s="57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50" t="s">
        <v>3588</v>
      </c>
      <c r="E192" s="47" t="s">
        <v>3587</v>
      </c>
      <c r="F192" s="47" t="s">
        <v>3983</v>
      </c>
      <c r="G192" s="130" t="s">
        <v>761</v>
      </c>
      <c r="H192" s="131"/>
      <c r="I192" s="132"/>
      <c r="J192" s="76"/>
      <c r="K192" s="81" t="s">
        <v>4082</v>
      </c>
      <c r="L192" s="47" t="s">
        <v>4083</v>
      </c>
      <c r="M192" s="47" t="s">
        <v>4084</v>
      </c>
      <c r="N192" s="134">
        <v>23.048058</v>
      </c>
      <c r="O192" s="134">
        <v>92.02446</v>
      </c>
      <c r="P192" s="81">
        <v>300</v>
      </c>
      <c r="Q192" s="47"/>
      <c r="R192" s="81"/>
      <c r="S192" s="81"/>
      <c r="T192" s="135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3"/>
      <c r="AH192" s="58"/>
      <c r="AI192" s="59"/>
      <c r="AJ192" s="57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50" t="s">
        <v>3588</v>
      </c>
      <c r="E193" s="47" t="s">
        <v>3587</v>
      </c>
      <c r="F193" s="47" t="s">
        <v>3983</v>
      </c>
      <c r="G193" s="130" t="s">
        <v>781</v>
      </c>
      <c r="H193" s="131"/>
      <c r="I193" s="132"/>
      <c r="J193" s="76"/>
      <c r="K193" s="81" t="s">
        <v>4085</v>
      </c>
      <c r="L193" s="47" t="s">
        <v>4086</v>
      </c>
      <c r="M193" s="47" t="s">
        <v>4087</v>
      </c>
      <c r="N193" s="134">
        <v>23.057053</v>
      </c>
      <c r="O193" s="134">
        <v>92.042153</v>
      </c>
      <c r="P193" s="81">
        <v>405</v>
      </c>
      <c r="Q193" s="47"/>
      <c r="R193" s="81"/>
      <c r="S193" s="81"/>
      <c r="T193" s="135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3"/>
      <c r="AH193" s="58"/>
      <c r="AI193" s="59"/>
      <c r="AJ193" s="57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50" t="s">
        <v>3588</v>
      </c>
      <c r="E194" s="47" t="s">
        <v>3587</v>
      </c>
      <c r="F194" s="47" t="s">
        <v>3983</v>
      </c>
      <c r="G194" s="130" t="s">
        <v>781</v>
      </c>
      <c r="H194" s="131"/>
      <c r="I194" s="132"/>
      <c r="J194" s="76"/>
      <c r="K194" s="81" t="s">
        <v>4088</v>
      </c>
      <c r="L194" s="47" t="s">
        <v>4089</v>
      </c>
      <c r="M194" s="47" t="s">
        <v>4090</v>
      </c>
      <c r="N194" s="134">
        <v>23.046704</v>
      </c>
      <c r="O194" s="134">
        <v>92.028076</v>
      </c>
      <c r="P194" s="81">
        <v>150</v>
      </c>
      <c r="Q194" s="47"/>
      <c r="R194" s="81"/>
      <c r="S194" s="81"/>
      <c r="T194" s="135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3"/>
      <c r="AH194" s="58"/>
      <c r="AI194" s="59"/>
      <c r="AJ194" s="57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50" t="s">
        <v>3588</v>
      </c>
      <c r="E195" s="47" t="s">
        <v>3587</v>
      </c>
      <c r="F195" s="47" t="s">
        <v>3983</v>
      </c>
      <c r="G195" s="130" t="s">
        <v>781</v>
      </c>
      <c r="H195" s="131"/>
      <c r="I195" s="132"/>
      <c r="J195" s="76"/>
      <c r="K195" s="81" t="s">
        <v>4091</v>
      </c>
      <c r="L195" s="47" t="s">
        <v>4092</v>
      </c>
      <c r="M195" s="47" t="s">
        <v>4093</v>
      </c>
      <c r="N195" s="134">
        <v>23.073808</v>
      </c>
      <c r="O195" s="134">
        <v>92.040627</v>
      </c>
      <c r="P195" s="81">
        <v>120</v>
      </c>
      <c r="Q195" s="47"/>
      <c r="R195" s="81"/>
      <c r="S195" s="81"/>
      <c r="T195" s="135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3"/>
      <c r="AH195" s="58"/>
      <c r="AI195" s="59"/>
      <c r="AJ195" s="57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50" t="s">
        <v>3588</v>
      </c>
      <c r="E196" s="47" t="s">
        <v>3587</v>
      </c>
      <c r="F196" s="47" t="s">
        <v>3983</v>
      </c>
      <c r="G196" s="130" t="s">
        <v>781</v>
      </c>
      <c r="H196" s="131"/>
      <c r="I196" s="132"/>
      <c r="J196" s="76"/>
      <c r="K196" s="81" t="s">
        <v>4094</v>
      </c>
      <c r="L196" s="47" t="s">
        <v>4095</v>
      </c>
      <c r="M196" s="47" t="s">
        <v>4096</v>
      </c>
      <c r="N196" s="134">
        <v>23.071101</v>
      </c>
      <c r="O196" s="134">
        <v>92.035516</v>
      </c>
      <c r="P196" s="81">
        <v>150</v>
      </c>
      <c r="Q196" s="47"/>
      <c r="R196" s="81"/>
      <c r="S196" s="81"/>
      <c r="T196" s="135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3"/>
      <c r="AH196" s="58"/>
      <c r="AI196" s="59"/>
      <c r="AJ196" s="57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50" t="s">
        <v>3588</v>
      </c>
      <c r="E197" s="47" t="s">
        <v>3587</v>
      </c>
      <c r="F197" s="47" t="s">
        <v>3983</v>
      </c>
      <c r="G197" s="130" t="s">
        <v>781</v>
      </c>
      <c r="H197" s="131"/>
      <c r="I197" s="132"/>
      <c r="J197" s="76"/>
      <c r="K197" s="81" t="s">
        <v>4030</v>
      </c>
      <c r="L197" s="47" t="s">
        <v>4031</v>
      </c>
      <c r="M197" s="47" t="s">
        <v>4097</v>
      </c>
      <c r="N197" s="134">
        <v>23.058545</v>
      </c>
      <c r="O197" s="134">
        <v>92.029824</v>
      </c>
      <c r="P197" s="81">
        <v>120</v>
      </c>
      <c r="Q197" s="47"/>
      <c r="R197" s="81"/>
      <c r="S197" s="81"/>
      <c r="T197" s="135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3"/>
      <c r="AH197" s="58"/>
      <c r="AI197" s="59"/>
      <c r="AJ197" s="57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50" t="s">
        <v>3588</v>
      </c>
      <c r="E198" s="47" t="s">
        <v>3587</v>
      </c>
      <c r="F198" s="47" t="s">
        <v>3983</v>
      </c>
      <c r="G198" s="130" t="s">
        <v>797</v>
      </c>
      <c r="H198" s="131"/>
      <c r="I198" s="132"/>
      <c r="J198" s="76"/>
      <c r="K198" s="81" t="s">
        <v>4098</v>
      </c>
      <c r="L198" s="47" t="s">
        <v>4099</v>
      </c>
      <c r="M198" s="47" t="s">
        <v>4100</v>
      </c>
      <c r="N198" s="134">
        <v>23.038522</v>
      </c>
      <c r="O198" s="134">
        <v>92.027906</v>
      </c>
      <c r="P198" s="81">
        <v>320</v>
      </c>
      <c r="Q198" s="47"/>
      <c r="R198" s="81"/>
      <c r="S198" s="81"/>
      <c r="T198" s="135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3"/>
      <c r="AH198" s="58"/>
      <c r="AI198" s="59"/>
      <c r="AJ198" s="57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50" t="s">
        <v>3588</v>
      </c>
      <c r="E199" s="47" t="s">
        <v>3587</v>
      </c>
      <c r="F199" s="47" t="s">
        <v>3983</v>
      </c>
      <c r="G199" s="130" t="s">
        <v>797</v>
      </c>
      <c r="H199" s="131"/>
      <c r="I199" s="132"/>
      <c r="J199" s="76"/>
      <c r="K199" s="81" t="s">
        <v>4101</v>
      </c>
      <c r="L199" s="47" t="s">
        <v>4102</v>
      </c>
      <c r="M199" s="47" t="s">
        <v>4103</v>
      </c>
      <c r="N199" s="134">
        <v>23.036454</v>
      </c>
      <c r="O199" s="134">
        <v>92.037336</v>
      </c>
      <c r="P199" s="81">
        <v>280</v>
      </c>
      <c r="Q199" s="47"/>
      <c r="R199" s="81"/>
      <c r="S199" s="81"/>
      <c r="T199" s="135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3"/>
      <c r="AH199" s="58"/>
      <c r="AI199" s="59"/>
      <c r="AJ199" s="57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50" t="s">
        <v>3588</v>
      </c>
      <c r="E200" s="47" t="s">
        <v>3587</v>
      </c>
      <c r="F200" s="47" t="s">
        <v>3983</v>
      </c>
      <c r="G200" s="130" t="s">
        <v>797</v>
      </c>
      <c r="H200" s="131"/>
      <c r="I200" s="132"/>
      <c r="J200" s="76"/>
      <c r="K200" s="81" t="s">
        <v>4104</v>
      </c>
      <c r="L200" s="47" t="s">
        <v>4105</v>
      </c>
      <c r="M200" s="47" t="s">
        <v>4106</v>
      </c>
      <c r="N200" s="134">
        <v>23.042</v>
      </c>
      <c r="O200" s="134">
        <v>92.035872</v>
      </c>
      <c r="P200" s="81">
        <v>480</v>
      </c>
      <c r="Q200" s="47"/>
      <c r="R200" s="81"/>
      <c r="S200" s="81"/>
      <c r="T200" s="135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3"/>
      <c r="AH200" s="58"/>
      <c r="AI200" s="59"/>
      <c r="AJ200" s="57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50" t="s">
        <v>3588</v>
      </c>
      <c r="E201" s="47" t="s">
        <v>3587</v>
      </c>
      <c r="F201" s="47" t="s">
        <v>3983</v>
      </c>
      <c r="G201" s="130" t="s">
        <v>797</v>
      </c>
      <c r="H201" s="131"/>
      <c r="I201" s="132"/>
      <c r="J201" s="76"/>
      <c r="K201" s="81" t="s">
        <v>3174</v>
      </c>
      <c r="L201" s="47" t="s">
        <v>3175</v>
      </c>
      <c r="M201" s="47" t="s">
        <v>4107</v>
      </c>
      <c r="N201" s="134">
        <v>23.044167</v>
      </c>
      <c r="O201" s="134">
        <v>92.042667</v>
      </c>
      <c r="P201" s="81">
        <v>120</v>
      </c>
      <c r="Q201" s="47"/>
      <c r="R201" s="81"/>
      <c r="S201" s="81"/>
      <c r="T201" s="135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3"/>
      <c r="AH201" s="58"/>
      <c r="AI201" s="59"/>
      <c r="AJ201" s="57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50" t="s">
        <v>3588</v>
      </c>
      <c r="E202" s="47" t="s">
        <v>3587</v>
      </c>
      <c r="F202" s="47" t="s">
        <v>3983</v>
      </c>
      <c r="G202" s="130" t="s">
        <v>797</v>
      </c>
      <c r="H202" s="131"/>
      <c r="I202" s="132"/>
      <c r="J202" s="76"/>
      <c r="K202" s="81" t="s">
        <v>4108</v>
      </c>
      <c r="L202" s="47" t="s">
        <v>4109</v>
      </c>
      <c r="M202" s="47" t="s">
        <v>4110</v>
      </c>
      <c r="N202" s="134">
        <v>23.052847</v>
      </c>
      <c r="O202" s="134">
        <v>92.042508</v>
      </c>
      <c r="P202" s="81">
        <v>60</v>
      </c>
      <c r="Q202" s="47"/>
      <c r="R202" s="81"/>
      <c r="S202" s="81"/>
      <c r="T202" s="135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3"/>
      <c r="AH202" s="58"/>
      <c r="AI202" s="59"/>
      <c r="AJ202" s="57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50" t="s">
        <v>3588</v>
      </c>
      <c r="E203" s="47" t="s">
        <v>3587</v>
      </c>
      <c r="F203" s="47" t="s">
        <v>3983</v>
      </c>
      <c r="G203" s="130" t="s">
        <v>797</v>
      </c>
      <c r="H203" s="131"/>
      <c r="I203" s="132"/>
      <c r="J203" s="76"/>
      <c r="K203" s="81" t="s">
        <v>4111</v>
      </c>
      <c r="L203" s="47" t="s">
        <v>4112</v>
      </c>
      <c r="M203" s="47" t="s">
        <v>4113</v>
      </c>
      <c r="N203" s="134">
        <v>23.049763</v>
      </c>
      <c r="O203" s="134">
        <v>92.03796</v>
      </c>
      <c r="P203" s="81">
        <v>120</v>
      </c>
      <c r="Q203" s="47"/>
      <c r="R203" s="81"/>
      <c r="S203" s="81"/>
      <c r="T203" s="135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3"/>
      <c r="AH203" s="58"/>
      <c r="AI203" s="59"/>
      <c r="AJ203" s="57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50" t="s">
        <v>3588</v>
      </c>
      <c r="E204" s="47" t="s">
        <v>3587</v>
      </c>
      <c r="F204" s="47" t="s">
        <v>3983</v>
      </c>
      <c r="G204" s="130" t="s">
        <v>797</v>
      </c>
      <c r="H204" s="131"/>
      <c r="I204" s="132"/>
      <c r="J204" s="76"/>
      <c r="K204" s="81" t="s">
        <v>3223</v>
      </c>
      <c r="L204" s="47" t="s">
        <v>3224</v>
      </c>
      <c r="M204" s="47" t="s">
        <v>4114</v>
      </c>
      <c r="N204" s="134">
        <v>23.048651</v>
      </c>
      <c r="O204" s="134">
        <v>92.050343</v>
      </c>
      <c r="P204" s="81">
        <v>80</v>
      </c>
      <c r="Q204" s="47"/>
      <c r="R204" s="81"/>
      <c r="S204" s="81"/>
      <c r="T204" s="135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3"/>
      <c r="AH204" s="58"/>
      <c r="AI204" s="59"/>
      <c r="AJ204" s="57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50" t="s">
        <v>3588</v>
      </c>
      <c r="E205" s="47" t="s">
        <v>3587</v>
      </c>
      <c r="F205" s="47" t="s">
        <v>3983</v>
      </c>
      <c r="G205" s="130" t="s">
        <v>797</v>
      </c>
      <c r="H205" s="131"/>
      <c r="I205" s="132"/>
      <c r="J205" s="76"/>
      <c r="K205" s="81" t="s">
        <v>4115</v>
      </c>
      <c r="L205" s="47" t="s">
        <v>4116</v>
      </c>
      <c r="M205" s="47" t="s">
        <v>4117</v>
      </c>
      <c r="N205" s="134">
        <v>23.06157</v>
      </c>
      <c r="O205" s="134">
        <v>92.050706</v>
      </c>
      <c r="P205" s="81">
        <v>240</v>
      </c>
      <c r="Q205" s="47"/>
      <c r="R205" s="81"/>
      <c r="S205" s="81"/>
      <c r="T205" s="135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3"/>
      <c r="AH205" s="58"/>
      <c r="AI205" s="59"/>
      <c r="AJ205" s="57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50" t="s">
        <v>3588</v>
      </c>
      <c r="E206" s="47" t="s">
        <v>3587</v>
      </c>
      <c r="F206" s="47" t="s">
        <v>3983</v>
      </c>
      <c r="G206" s="130" t="s">
        <v>797</v>
      </c>
      <c r="H206" s="131"/>
      <c r="I206" s="132"/>
      <c r="J206" s="76"/>
      <c r="K206" s="81" t="s">
        <v>4118</v>
      </c>
      <c r="L206" s="47" t="s">
        <v>4119</v>
      </c>
      <c r="M206" s="47" t="s">
        <v>4120</v>
      </c>
      <c r="N206" s="134">
        <v>23.073148</v>
      </c>
      <c r="O206" s="134">
        <v>92.048779</v>
      </c>
      <c r="P206" s="81">
        <v>200</v>
      </c>
      <c r="Q206" s="47"/>
      <c r="R206" s="81"/>
      <c r="S206" s="81"/>
      <c r="T206" s="135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3"/>
      <c r="AH206" s="58"/>
      <c r="AI206" s="59"/>
      <c r="AJ206" s="57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50" t="s">
        <v>3588</v>
      </c>
      <c r="E207" s="47" t="s">
        <v>3587</v>
      </c>
      <c r="F207" s="47" t="s">
        <v>3983</v>
      </c>
      <c r="G207" s="130" t="s">
        <v>797</v>
      </c>
      <c r="H207" s="131"/>
      <c r="I207" s="132"/>
      <c r="J207" s="76"/>
      <c r="K207" s="81" t="s">
        <v>4121</v>
      </c>
      <c r="L207" s="47" t="s">
        <v>4122</v>
      </c>
      <c r="M207" s="47" t="s">
        <v>4123</v>
      </c>
      <c r="N207" s="134">
        <v>23.086505</v>
      </c>
      <c r="O207" s="134">
        <v>92.043737</v>
      </c>
      <c r="P207" s="81">
        <v>110</v>
      </c>
      <c r="Q207" s="47"/>
      <c r="R207" s="81"/>
      <c r="S207" s="81"/>
      <c r="T207" s="135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3"/>
      <c r="AH207" s="58"/>
      <c r="AI207" s="59"/>
      <c r="AJ207" s="57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50" t="s">
        <v>3588</v>
      </c>
      <c r="E208" s="47" t="s">
        <v>3587</v>
      </c>
      <c r="F208" s="47" t="s">
        <v>3983</v>
      </c>
      <c r="G208" s="130" t="s">
        <v>797</v>
      </c>
      <c r="H208" s="131"/>
      <c r="I208" s="132"/>
      <c r="J208" s="76"/>
      <c r="K208" s="81" t="s">
        <v>4124</v>
      </c>
      <c r="L208" s="47" t="s">
        <v>4125</v>
      </c>
      <c r="M208" s="47" t="s">
        <v>4126</v>
      </c>
      <c r="N208" s="134">
        <v>23.090664</v>
      </c>
      <c r="O208" s="134">
        <v>92.041631</v>
      </c>
      <c r="P208" s="81">
        <v>160</v>
      </c>
      <c r="Q208" s="47"/>
      <c r="R208" s="81"/>
      <c r="S208" s="81"/>
      <c r="T208" s="135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3"/>
      <c r="AH208" s="58"/>
      <c r="AI208" s="59"/>
      <c r="AJ208" s="57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50" t="s">
        <v>3588</v>
      </c>
      <c r="E209" s="47" t="s">
        <v>3587</v>
      </c>
      <c r="F209" s="47" t="s">
        <v>3983</v>
      </c>
      <c r="G209" s="130" t="s">
        <v>797</v>
      </c>
      <c r="H209" s="131"/>
      <c r="I209" s="132"/>
      <c r="J209" s="76"/>
      <c r="K209" s="81" t="s">
        <v>4127</v>
      </c>
      <c r="L209" s="47" t="s">
        <v>4128</v>
      </c>
      <c r="M209" s="47" t="s">
        <v>4129</v>
      </c>
      <c r="N209" s="134">
        <v>23.033856</v>
      </c>
      <c r="O209" s="134">
        <v>92.034785</v>
      </c>
      <c r="P209" s="81"/>
      <c r="Q209" s="81"/>
      <c r="R209" s="81"/>
      <c r="S209" s="81"/>
      <c r="T209" s="135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3"/>
      <c r="AH209" s="58"/>
      <c r="AI209" s="59"/>
      <c r="AJ209" s="57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50" t="s">
        <v>3588</v>
      </c>
      <c r="E210" s="47" t="s">
        <v>3587</v>
      </c>
      <c r="F210" s="47" t="s">
        <v>4130</v>
      </c>
      <c r="G210" s="130" t="s">
        <v>677</v>
      </c>
      <c r="H210" s="131"/>
      <c r="I210" s="132"/>
      <c r="J210" s="76"/>
      <c r="K210" s="81" t="s">
        <v>4131</v>
      </c>
      <c r="L210" s="47" t="s">
        <v>4132</v>
      </c>
      <c r="M210" s="47" t="s">
        <v>4133</v>
      </c>
      <c r="N210" s="134">
        <v>23.126101</v>
      </c>
      <c r="O210" s="134">
        <v>91.966566</v>
      </c>
      <c r="P210" s="81">
        <v>1200</v>
      </c>
      <c r="Q210" s="47"/>
      <c r="R210" s="81"/>
      <c r="S210" s="81"/>
      <c r="T210" s="135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3"/>
      <c r="AH210" s="58"/>
      <c r="AI210" s="59"/>
      <c r="AJ210" s="57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50" t="s">
        <v>3588</v>
      </c>
      <c r="E211" s="47" t="s">
        <v>3587</v>
      </c>
      <c r="F211" s="47" t="s">
        <v>4130</v>
      </c>
      <c r="G211" s="130" t="s">
        <v>677</v>
      </c>
      <c r="H211" s="131"/>
      <c r="I211" s="132"/>
      <c r="J211" s="76"/>
      <c r="K211" s="81" t="s">
        <v>4134</v>
      </c>
      <c r="L211" s="47" t="s">
        <v>4135</v>
      </c>
      <c r="M211" s="47" t="s">
        <v>4136</v>
      </c>
      <c r="N211" s="134">
        <v>23.118318</v>
      </c>
      <c r="O211" s="134">
        <v>91.967288</v>
      </c>
      <c r="P211" s="81">
        <v>560</v>
      </c>
      <c r="Q211" s="47"/>
      <c r="R211" s="81"/>
      <c r="S211" s="81"/>
      <c r="T211" s="135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3"/>
      <c r="AH211" s="58"/>
      <c r="AI211" s="59"/>
      <c r="AJ211" s="57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50" t="s">
        <v>3588</v>
      </c>
      <c r="E212" s="47" t="s">
        <v>3587</v>
      </c>
      <c r="F212" s="47" t="s">
        <v>4130</v>
      </c>
      <c r="G212" s="130" t="s">
        <v>677</v>
      </c>
      <c r="H212" s="131"/>
      <c r="I212" s="132"/>
      <c r="J212" s="76"/>
      <c r="K212" s="81" t="s">
        <v>4137</v>
      </c>
      <c r="L212" s="47" t="s">
        <v>4138</v>
      </c>
      <c r="M212" s="47" t="s">
        <v>4139</v>
      </c>
      <c r="N212" s="134">
        <v>23.122091</v>
      </c>
      <c r="O212" s="134">
        <v>91.965834</v>
      </c>
      <c r="P212" s="81">
        <v>120</v>
      </c>
      <c r="Q212" s="47"/>
      <c r="R212" s="81"/>
      <c r="S212" s="81"/>
      <c r="T212" s="135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3"/>
      <c r="AH212" s="58"/>
      <c r="AI212" s="59"/>
      <c r="AJ212" s="57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50" t="s">
        <v>3588</v>
      </c>
      <c r="E213" s="47" t="s">
        <v>3587</v>
      </c>
      <c r="F213" s="47" t="s">
        <v>4130</v>
      </c>
      <c r="G213" s="130" t="s">
        <v>677</v>
      </c>
      <c r="H213" s="131"/>
      <c r="I213" s="132"/>
      <c r="J213" s="76"/>
      <c r="K213" s="81" t="s">
        <v>4140</v>
      </c>
      <c r="L213" s="47" t="s">
        <v>4141</v>
      </c>
      <c r="M213" s="47" t="s">
        <v>4142</v>
      </c>
      <c r="N213" s="134">
        <v>23.117082</v>
      </c>
      <c r="O213" s="134">
        <v>91.971573</v>
      </c>
      <c r="P213" s="81">
        <v>1470</v>
      </c>
      <c r="Q213" s="47"/>
      <c r="R213" s="81"/>
      <c r="S213" s="81"/>
      <c r="T213" s="135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3"/>
      <c r="AH213" s="58"/>
      <c r="AI213" s="59"/>
      <c r="AJ213" s="57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50" t="s">
        <v>3588</v>
      </c>
      <c r="E214" s="47" t="s">
        <v>3587</v>
      </c>
      <c r="F214" s="47" t="s">
        <v>4130</v>
      </c>
      <c r="G214" s="130" t="s">
        <v>677</v>
      </c>
      <c r="H214" s="131"/>
      <c r="I214" s="132"/>
      <c r="J214" s="76"/>
      <c r="K214" s="81" t="s">
        <v>4143</v>
      </c>
      <c r="L214" s="47" t="s">
        <v>4144</v>
      </c>
      <c r="M214" s="47" t="s">
        <v>4145</v>
      </c>
      <c r="N214" s="134">
        <v>23.120216</v>
      </c>
      <c r="O214" s="134">
        <v>91.966867</v>
      </c>
      <c r="P214" s="81">
        <v>1140</v>
      </c>
      <c r="Q214" s="47"/>
      <c r="R214" s="81"/>
      <c r="S214" s="81"/>
      <c r="T214" s="135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3"/>
      <c r="AH214" s="58"/>
      <c r="AI214" s="59"/>
      <c r="AJ214" s="57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50" t="s">
        <v>3588</v>
      </c>
      <c r="E215" s="47" t="s">
        <v>3587</v>
      </c>
      <c r="F215" s="47" t="s">
        <v>4130</v>
      </c>
      <c r="G215" s="130" t="s">
        <v>677</v>
      </c>
      <c r="H215" s="131"/>
      <c r="I215" s="132"/>
      <c r="J215" s="76"/>
      <c r="K215" s="81" t="s">
        <v>4146</v>
      </c>
      <c r="L215" s="47" t="s">
        <v>4147</v>
      </c>
      <c r="M215" s="47" t="s">
        <v>4148</v>
      </c>
      <c r="N215" s="134">
        <v>23.120118</v>
      </c>
      <c r="O215" s="134">
        <v>91.974407</v>
      </c>
      <c r="P215" s="81">
        <v>625</v>
      </c>
      <c r="Q215" s="47"/>
      <c r="R215" s="81"/>
      <c r="S215" s="81"/>
      <c r="T215" s="135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3"/>
      <c r="AH215" s="58"/>
      <c r="AI215" s="59"/>
      <c r="AJ215" s="57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50" t="s">
        <v>3588</v>
      </c>
      <c r="E216" s="47" t="s">
        <v>3587</v>
      </c>
      <c r="F216" s="47" t="s">
        <v>4130</v>
      </c>
      <c r="G216" s="130" t="s">
        <v>677</v>
      </c>
      <c r="H216" s="131"/>
      <c r="I216" s="132"/>
      <c r="J216" s="76"/>
      <c r="K216" s="81" t="s">
        <v>4149</v>
      </c>
      <c r="L216" s="47" t="s">
        <v>4150</v>
      </c>
      <c r="M216" s="47" t="s">
        <v>4151</v>
      </c>
      <c r="N216" s="134">
        <v>23.107907</v>
      </c>
      <c r="O216" s="134">
        <v>91.969827</v>
      </c>
      <c r="P216" s="81">
        <v>268</v>
      </c>
      <c r="Q216" s="47"/>
      <c r="R216" s="81"/>
      <c r="S216" s="81"/>
      <c r="T216" s="7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3"/>
      <c r="AH216" s="58"/>
      <c r="AI216" s="59"/>
      <c r="AJ216" s="57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50" t="s">
        <v>3588</v>
      </c>
      <c r="E217" s="47" t="s">
        <v>3587</v>
      </c>
      <c r="F217" s="47" t="s">
        <v>4130</v>
      </c>
      <c r="G217" s="130" t="s">
        <v>677</v>
      </c>
      <c r="H217" s="131"/>
      <c r="I217" s="132"/>
      <c r="J217" s="76"/>
      <c r="K217" s="81" t="s">
        <v>4152</v>
      </c>
      <c r="L217" s="47" t="s">
        <v>4153</v>
      </c>
      <c r="M217" s="47" t="s">
        <v>4154</v>
      </c>
      <c r="N217" s="134">
        <v>23.111321</v>
      </c>
      <c r="O217" s="134">
        <v>91.968599</v>
      </c>
      <c r="P217" s="81">
        <v>504</v>
      </c>
      <c r="Q217" s="47"/>
      <c r="R217" s="81"/>
      <c r="S217" s="81"/>
      <c r="T217" s="135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3"/>
      <c r="AH217" s="58"/>
      <c r="AI217" s="59"/>
      <c r="AJ217" s="57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50" t="s">
        <v>3588</v>
      </c>
      <c r="E218" s="47" t="s">
        <v>3587</v>
      </c>
      <c r="F218" s="47" t="s">
        <v>4130</v>
      </c>
      <c r="G218" s="130" t="s">
        <v>677</v>
      </c>
      <c r="H218" s="131"/>
      <c r="I218" s="132"/>
      <c r="J218" s="76"/>
      <c r="K218" s="81" t="s">
        <v>4155</v>
      </c>
      <c r="L218" s="47" t="s">
        <v>4156</v>
      </c>
      <c r="M218" s="47" t="s">
        <v>4157</v>
      </c>
      <c r="N218" s="134">
        <v>23.116206</v>
      </c>
      <c r="O218" s="134">
        <v>91.967908</v>
      </c>
      <c r="P218" s="81">
        <v>1020</v>
      </c>
      <c r="Q218" s="47"/>
      <c r="R218" s="81"/>
      <c r="S218" s="81"/>
      <c r="T218" s="135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3"/>
      <c r="AH218" s="58"/>
      <c r="AI218" s="59"/>
      <c r="AJ218" s="57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50" t="s">
        <v>3588</v>
      </c>
      <c r="E219" s="47" t="s">
        <v>3587</v>
      </c>
      <c r="F219" s="47" t="s">
        <v>4130</v>
      </c>
      <c r="G219" s="130" t="s">
        <v>677</v>
      </c>
      <c r="H219" s="131"/>
      <c r="I219" s="132"/>
      <c r="J219" s="76"/>
      <c r="K219" s="81" t="s">
        <v>652</v>
      </c>
      <c r="L219" s="47" t="s">
        <v>3954</v>
      </c>
      <c r="M219" s="47" t="s">
        <v>4158</v>
      </c>
      <c r="N219" s="134">
        <v>23.11599</v>
      </c>
      <c r="O219" s="134">
        <v>91.976754</v>
      </c>
      <c r="P219" s="81">
        <v>276</v>
      </c>
      <c r="Q219" s="47"/>
      <c r="R219" s="81"/>
      <c r="S219" s="81"/>
      <c r="T219" s="135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3"/>
      <c r="AH219" s="58"/>
      <c r="AI219" s="59"/>
      <c r="AJ219" s="57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50" t="s">
        <v>3588</v>
      </c>
      <c r="E220" s="47" t="s">
        <v>3587</v>
      </c>
      <c r="F220" s="47" t="s">
        <v>4130</v>
      </c>
      <c r="G220" s="130" t="s">
        <v>677</v>
      </c>
      <c r="H220" s="131"/>
      <c r="I220" s="132"/>
      <c r="J220" s="76"/>
      <c r="K220" s="81" t="s">
        <v>4159</v>
      </c>
      <c r="L220" s="47" t="s">
        <v>4160</v>
      </c>
      <c r="M220" s="47" t="s">
        <v>4161</v>
      </c>
      <c r="N220" s="134">
        <v>23.12531</v>
      </c>
      <c r="O220" s="134">
        <v>91.973883</v>
      </c>
      <c r="P220" s="81"/>
      <c r="Q220" s="81"/>
      <c r="R220" s="81"/>
      <c r="S220" s="81"/>
      <c r="T220" s="135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3"/>
      <c r="AH220" s="58"/>
      <c r="AI220" s="59"/>
      <c r="AJ220" s="57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50" t="s">
        <v>3588</v>
      </c>
      <c r="E221" s="47" t="s">
        <v>3587</v>
      </c>
      <c r="F221" s="47" t="s">
        <v>4130</v>
      </c>
      <c r="G221" s="130" t="s">
        <v>684</v>
      </c>
      <c r="H221" s="131"/>
      <c r="I221" s="132"/>
      <c r="J221" s="76"/>
      <c r="K221" s="81" t="s">
        <v>4162</v>
      </c>
      <c r="L221" s="47" t="s">
        <v>4163</v>
      </c>
      <c r="M221" s="47" t="s">
        <v>4164</v>
      </c>
      <c r="N221" s="134">
        <v>23.11403</v>
      </c>
      <c r="O221" s="134">
        <v>91.975264</v>
      </c>
      <c r="P221" s="81">
        <v>130</v>
      </c>
      <c r="Q221" s="47"/>
      <c r="R221" s="81"/>
      <c r="S221" s="81"/>
      <c r="T221" s="135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3"/>
      <c r="AH221" s="58"/>
      <c r="AI221" s="59"/>
      <c r="AJ221" s="57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50" t="s">
        <v>3588</v>
      </c>
      <c r="E222" s="47" t="s">
        <v>3587</v>
      </c>
      <c r="F222" s="47" t="s">
        <v>4130</v>
      </c>
      <c r="G222" s="130" t="s">
        <v>684</v>
      </c>
      <c r="H222" s="131"/>
      <c r="I222" s="132"/>
      <c r="J222" s="76"/>
      <c r="K222" s="81" t="s">
        <v>4165</v>
      </c>
      <c r="L222" s="47" t="s">
        <v>4166</v>
      </c>
      <c r="M222" s="47" t="s">
        <v>4167</v>
      </c>
      <c r="N222" s="134">
        <v>23.114727</v>
      </c>
      <c r="O222" s="134">
        <v>91.979023</v>
      </c>
      <c r="P222" s="81">
        <v>315</v>
      </c>
      <c r="Q222" s="47"/>
      <c r="R222" s="81"/>
      <c r="S222" s="81"/>
      <c r="T222" s="135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3"/>
      <c r="AH222" s="58"/>
      <c r="AI222" s="59"/>
      <c r="AJ222" s="57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50" t="s">
        <v>3588</v>
      </c>
      <c r="E223" s="47" t="s">
        <v>3587</v>
      </c>
      <c r="F223" s="47" t="s">
        <v>4130</v>
      </c>
      <c r="G223" s="130" t="s">
        <v>684</v>
      </c>
      <c r="H223" s="131"/>
      <c r="I223" s="132"/>
      <c r="J223" s="76"/>
      <c r="K223" s="81" t="s">
        <v>652</v>
      </c>
      <c r="L223" s="47" t="s">
        <v>3954</v>
      </c>
      <c r="M223" s="47" t="s">
        <v>4168</v>
      </c>
      <c r="N223" s="134">
        <v>23.114705</v>
      </c>
      <c r="O223" s="134">
        <v>91.975895</v>
      </c>
      <c r="P223" s="81">
        <v>345</v>
      </c>
      <c r="Q223" s="47"/>
      <c r="R223" s="81"/>
      <c r="S223" s="81"/>
      <c r="T223" s="135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3"/>
      <c r="AH223" s="58"/>
      <c r="AI223" s="59"/>
      <c r="AJ223" s="57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50" t="s">
        <v>3588</v>
      </c>
      <c r="E224" s="47" t="s">
        <v>3587</v>
      </c>
      <c r="F224" s="47" t="s">
        <v>4130</v>
      </c>
      <c r="G224" s="130" t="s">
        <v>684</v>
      </c>
      <c r="H224" s="131"/>
      <c r="I224" s="132"/>
      <c r="J224" s="76"/>
      <c r="K224" s="81" t="s">
        <v>4169</v>
      </c>
      <c r="L224" s="47" t="s">
        <v>4170</v>
      </c>
      <c r="M224" s="47" t="s">
        <v>4171</v>
      </c>
      <c r="N224" s="134">
        <v>23.112703</v>
      </c>
      <c r="O224" s="134">
        <v>91.975567</v>
      </c>
      <c r="P224" s="81">
        <v>350</v>
      </c>
      <c r="Q224" s="47"/>
      <c r="R224" s="81"/>
      <c r="S224" s="81"/>
      <c r="T224" s="135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3"/>
      <c r="AH224" s="58"/>
      <c r="AI224" s="59"/>
      <c r="AJ224" s="57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50" t="s">
        <v>3588</v>
      </c>
      <c r="E225" s="47" t="s">
        <v>3587</v>
      </c>
      <c r="F225" s="47" t="s">
        <v>4130</v>
      </c>
      <c r="G225" s="130" t="s">
        <v>684</v>
      </c>
      <c r="H225" s="131"/>
      <c r="I225" s="132"/>
      <c r="J225" s="76"/>
      <c r="K225" s="81" t="s">
        <v>4172</v>
      </c>
      <c r="L225" s="47" t="s">
        <v>2489</v>
      </c>
      <c r="M225" s="47" t="s">
        <v>4173</v>
      </c>
      <c r="N225" s="134">
        <v>23.116046</v>
      </c>
      <c r="O225" s="134">
        <v>91.979053</v>
      </c>
      <c r="P225" s="81">
        <v>390</v>
      </c>
      <c r="Q225" s="47"/>
      <c r="R225" s="81"/>
      <c r="S225" s="81"/>
      <c r="T225" s="135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3"/>
      <c r="AH225" s="58"/>
      <c r="AI225" s="59"/>
      <c r="AJ225" s="57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50" t="s">
        <v>3588</v>
      </c>
      <c r="E226" s="47" t="s">
        <v>3587</v>
      </c>
      <c r="F226" s="47" t="s">
        <v>4130</v>
      </c>
      <c r="G226" s="130" t="s">
        <v>684</v>
      </c>
      <c r="H226" s="131"/>
      <c r="I226" s="132"/>
      <c r="J226" s="76"/>
      <c r="K226" s="81" t="s">
        <v>4174</v>
      </c>
      <c r="L226" s="47" t="s">
        <v>4175</v>
      </c>
      <c r="M226" s="47" t="s">
        <v>4176</v>
      </c>
      <c r="N226" s="134">
        <v>23.121024</v>
      </c>
      <c r="O226" s="134">
        <v>91.97965</v>
      </c>
      <c r="P226" s="81">
        <v>1416</v>
      </c>
      <c r="Q226" s="47"/>
      <c r="R226" s="81"/>
      <c r="S226" s="81"/>
      <c r="T226" s="135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3"/>
      <c r="AH226" s="58"/>
      <c r="AI226" s="59"/>
      <c r="AJ226" s="57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50" t="s">
        <v>3588</v>
      </c>
      <c r="E227" s="47" t="s">
        <v>3587</v>
      </c>
      <c r="F227" s="47" t="s">
        <v>4130</v>
      </c>
      <c r="G227" s="130" t="s">
        <v>684</v>
      </c>
      <c r="H227" s="131"/>
      <c r="I227" s="132"/>
      <c r="J227" s="76"/>
      <c r="K227" s="81" t="s">
        <v>4177</v>
      </c>
      <c r="L227" s="47" t="s">
        <v>4178</v>
      </c>
      <c r="M227" s="47" t="s">
        <v>4179</v>
      </c>
      <c r="N227" s="134">
        <v>23.117386</v>
      </c>
      <c r="O227" s="134">
        <v>91.975302</v>
      </c>
      <c r="P227" s="81">
        <v>450</v>
      </c>
      <c r="Q227" s="47"/>
      <c r="R227" s="81"/>
      <c r="S227" s="81"/>
      <c r="T227" s="135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3"/>
      <c r="AH227" s="58"/>
      <c r="AI227" s="59"/>
      <c r="AJ227" s="57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50" t="s">
        <v>3588</v>
      </c>
      <c r="E228" s="47" t="s">
        <v>3587</v>
      </c>
      <c r="F228" s="47" t="s">
        <v>4130</v>
      </c>
      <c r="G228" s="130" t="s">
        <v>684</v>
      </c>
      <c r="H228" s="131"/>
      <c r="I228" s="132"/>
      <c r="J228" s="76"/>
      <c r="K228" s="81" t="s">
        <v>2594</v>
      </c>
      <c r="L228" s="47" t="s">
        <v>2595</v>
      </c>
      <c r="M228" s="47" t="s">
        <v>4180</v>
      </c>
      <c r="N228" s="134">
        <v>23.12792</v>
      </c>
      <c r="O228" s="134">
        <v>91.985859</v>
      </c>
      <c r="P228" s="81">
        <v>1580</v>
      </c>
      <c r="Q228" s="47"/>
      <c r="R228" s="81"/>
      <c r="S228" s="81"/>
      <c r="T228" s="135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3"/>
      <c r="AH228" s="58"/>
      <c r="AI228" s="59"/>
      <c r="AJ228" s="57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50" t="s">
        <v>3588</v>
      </c>
      <c r="E229" s="47" t="s">
        <v>3587</v>
      </c>
      <c r="F229" s="47" t="s">
        <v>4130</v>
      </c>
      <c r="G229" s="130" t="s">
        <v>684</v>
      </c>
      <c r="H229" s="131"/>
      <c r="I229" s="132"/>
      <c r="J229" s="76"/>
      <c r="K229" s="81" t="s">
        <v>4181</v>
      </c>
      <c r="L229" s="47" t="s">
        <v>4182</v>
      </c>
      <c r="M229" s="47" t="s">
        <v>4183</v>
      </c>
      <c r="N229" s="134">
        <v>23.134372</v>
      </c>
      <c r="O229" s="134">
        <v>91.992024</v>
      </c>
      <c r="P229" s="81">
        <v>195</v>
      </c>
      <c r="Q229" s="47"/>
      <c r="R229" s="81"/>
      <c r="S229" s="81"/>
      <c r="T229" s="135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3"/>
      <c r="AH229" s="58"/>
      <c r="AI229" s="59"/>
      <c r="AJ229" s="57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50" t="s">
        <v>3588</v>
      </c>
      <c r="E230" s="47" t="s">
        <v>3587</v>
      </c>
      <c r="F230" s="47" t="s">
        <v>4130</v>
      </c>
      <c r="G230" s="130" t="s">
        <v>684</v>
      </c>
      <c r="H230" s="131"/>
      <c r="I230" s="132"/>
      <c r="J230" s="76"/>
      <c r="K230" s="81" t="s">
        <v>4184</v>
      </c>
      <c r="L230" s="47" t="s">
        <v>4185</v>
      </c>
      <c r="M230" s="47" t="s">
        <v>4186</v>
      </c>
      <c r="N230" s="134">
        <v>23.126927</v>
      </c>
      <c r="O230" s="134">
        <v>91.976748</v>
      </c>
      <c r="P230" s="81">
        <v>975</v>
      </c>
      <c r="Q230" s="47"/>
      <c r="R230" s="81"/>
      <c r="S230" s="81"/>
      <c r="T230" s="135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3"/>
      <c r="AH230" s="58"/>
      <c r="AI230" s="59"/>
      <c r="AJ230" s="57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50" t="s">
        <v>3588</v>
      </c>
      <c r="E231" s="47" t="s">
        <v>3587</v>
      </c>
      <c r="F231" s="47" t="s">
        <v>4130</v>
      </c>
      <c r="G231" s="130" t="s">
        <v>684</v>
      </c>
      <c r="H231" s="131"/>
      <c r="I231" s="132"/>
      <c r="J231" s="76"/>
      <c r="K231" s="81" t="s">
        <v>4187</v>
      </c>
      <c r="L231" s="47" t="s">
        <v>4188</v>
      </c>
      <c r="M231" s="47" t="s">
        <v>4189</v>
      </c>
      <c r="N231" s="134">
        <v>23.117139</v>
      </c>
      <c r="O231" s="134">
        <v>91.984614</v>
      </c>
      <c r="P231" s="81"/>
      <c r="Q231" s="81"/>
      <c r="R231" s="81"/>
      <c r="S231" s="81"/>
      <c r="T231" s="135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3"/>
      <c r="AH231" s="58"/>
      <c r="AI231" s="59"/>
      <c r="AJ231" s="57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50" t="s">
        <v>3588</v>
      </c>
      <c r="E232" s="47" t="s">
        <v>3587</v>
      </c>
      <c r="F232" s="47" t="s">
        <v>4130</v>
      </c>
      <c r="G232" s="130" t="s">
        <v>697</v>
      </c>
      <c r="H232" s="131"/>
      <c r="I232" s="132"/>
      <c r="J232" s="76"/>
      <c r="K232" s="81" t="s">
        <v>4190</v>
      </c>
      <c r="L232" s="47" t="s">
        <v>4191</v>
      </c>
      <c r="M232" s="47" t="s">
        <v>4192</v>
      </c>
      <c r="N232" s="134">
        <v>23.106606</v>
      </c>
      <c r="O232" s="134">
        <v>91.971986</v>
      </c>
      <c r="P232" s="81">
        <v>1225</v>
      </c>
      <c r="Q232" s="47"/>
      <c r="R232" s="81"/>
      <c r="S232" s="81"/>
      <c r="T232" s="135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3"/>
      <c r="AH232" s="58"/>
      <c r="AI232" s="59"/>
      <c r="AJ232" s="57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50" t="s">
        <v>3588</v>
      </c>
      <c r="E233" s="47" t="s">
        <v>3587</v>
      </c>
      <c r="F233" s="47" t="s">
        <v>4130</v>
      </c>
      <c r="G233" s="130" t="s">
        <v>697</v>
      </c>
      <c r="H233" s="131"/>
      <c r="I233" s="132"/>
      <c r="J233" s="76"/>
      <c r="K233" s="81" t="s">
        <v>3301</v>
      </c>
      <c r="L233" s="47" t="s">
        <v>3302</v>
      </c>
      <c r="M233" s="47" t="s">
        <v>4193</v>
      </c>
      <c r="N233" s="134">
        <v>23.109722</v>
      </c>
      <c r="O233" s="134">
        <v>91.977692</v>
      </c>
      <c r="P233" s="81">
        <v>840</v>
      </c>
      <c r="Q233" s="47"/>
      <c r="R233" s="81"/>
      <c r="S233" s="81"/>
      <c r="T233" s="135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3"/>
      <c r="AH233" s="58"/>
      <c r="AI233" s="59"/>
      <c r="AJ233" s="57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50" t="s">
        <v>3588</v>
      </c>
      <c r="E234" s="47" t="s">
        <v>3587</v>
      </c>
      <c r="F234" s="47" t="s">
        <v>4130</v>
      </c>
      <c r="G234" s="130" t="s">
        <v>697</v>
      </c>
      <c r="H234" s="131"/>
      <c r="I234" s="132"/>
      <c r="J234" s="76"/>
      <c r="K234" s="81" t="s">
        <v>4194</v>
      </c>
      <c r="L234" s="47" t="s">
        <v>4195</v>
      </c>
      <c r="M234" s="47" t="s">
        <v>4196</v>
      </c>
      <c r="N234" s="134">
        <v>23.110286</v>
      </c>
      <c r="O234" s="134">
        <v>91.975193</v>
      </c>
      <c r="P234" s="81">
        <v>340</v>
      </c>
      <c r="Q234" s="47"/>
      <c r="R234" s="81"/>
      <c r="S234" s="81"/>
      <c r="T234" s="135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3"/>
      <c r="AH234" s="58"/>
      <c r="AI234" s="59"/>
      <c r="AJ234" s="57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50" t="s">
        <v>3588</v>
      </c>
      <c r="E235" s="47" t="s">
        <v>3587</v>
      </c>
      <c r="F235" s="47" t="s">
        <v>4130</v>
      </c>
      <c r="G235" s="130" t="s">
        <v>697</v>
      </c>
      <c r="H235" s="131"/>
      <c r="I235" s="132"/>
      <c r="J235" s="76"/>
      <c r="K235" s="81" t="s">
        <v>364</v>
      </c>
      <c r="L235" s="47" t="s">
        <v>2930</v>
      </c>
      <c r="M235" s="47" t="s">
        <v>4197</v>
      </c>
      <c r="N235" s="134">
        <v>23.104969</v>
      </c>
      <c r="O235" s="134">
        <v>91.979292</v>
      </c>
      <c r="P235" s="81">
        <v>625</v>
      </c>
      <c r="Q235" s="47"/>
      <c r="R235" s="81"/>
      <c r="S235" s="81"/>
      <c r="T235" s="135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3"/>
      <c r="AH235" s="58"/>
      <c r="AI235" s="59"/>
      <c r="AJ235" s="57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50" t="s">
        <v>3588</v>
      </c>
      <c r="E236" s="47" t="s">
        <v>3587</v>
      </c>
      <c r="F236" s="47" t="s">
        <v>4130</v>
      </c>
      <c r="G236" s="130" t="s">
        <v>697</v>
      </c>
      <c r="H236" s="131"/>
      <c r="I236" s="132"/>
      <c r="J236" s="76"/>
      <c r="K236" s="81" t="s">
        <v>4198</v>
      </c>
      <c r="L236" s="47" t="s">
        <v>4199</v>
      </c>
      <c r="M236" s="47" t="s">
        <v>4200</v>
      </c>
      <c r="N236" s="134">
        <v>23.107183</v>
      </c>
      <c r="O236" s="134">
        <v>91.979813</v>
      </c>
      <c r="P236" s="81">
        <v>1280</v>
      </c>
      <c r="Q236" s="47"/>
      <c r="R236" s="81"/>
      <c r="S236" s="81"/>
      <c r="T236" s="135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3"/>
      <c r="AH236" s="58"/>
      <c r="AI236" s="59"/>
      <c r="AJ236" s="57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50" t="s">
        <v>3588</v>
      </c>
      <c r="E237" s="47" t="s">
        <v>3587</v>
      </c>
      <c r="F237" s="47" t="s">
        <v>4130</v>
      </c>
      <c r="G237" s="130" t="s">
        <v>697</v>
      </c>
      <c r="H237" s="131"/>
      <c r="I237" s="132"/>
      <c r="J237" s="76"/>
      <c r="K237" s="81" t="s">
        <v>4201</v>
      </c>
      <c r="L237" s="47" t="s">
        <v>4202</v>
      </c>
      <c r="M237" s="47" t="s">
        <v>4203</v>
      </c>
      <c r="N237" s="134">
        <v>23.112368</v>
      </c>
      <c r="O237" s="134">
        <v>91.980047</v>
      </c>
      <c r="P237" s="81">
        <v>350</v>
      </c>
      <c r="Q237" s="47"/>
      <c r="R237" s="81"/>
      <c r="S237" s="81"/>
      <c r="T237" s="135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3"/>
      <c r="AH237" s="58"/>
      <c r="AI237" s="59"/>
      <c r="AJ237" s="57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50" t="s">
        <v>3588</v>
      </c>
      <c r="E238" s="47" t="s">
        <v>3587</v>
      </c>
      <c r="F238" s="47" t="s">
        <v>4130</v>
      </c>
      <c r="G238" s="130" t="s">
        <v>697</v>
      </c>
      <c r="H238" s="131"/>
      <c r="I238" s="132"/>
      <c r="J238" s="76"/>
      <c r="K238" s="81" t="s">
        <v>4204</v>
      </c>
      <c r="L238" s="47" t="s">
        <v>4205</v>
      </c>
      <c r="M238" s="47" t="s">
        <v>4206</v>
      </c>
      <c r="N238" s="134">
        <v>23.110016</v>
      </c>
      <c r="O238" s="134">
        <v>91.97979</v>
      </c>
      <c r="P238" s="81">
        <v>1200</v>
      </c>
      <c r="Q238" s="47"/>
      <c r="R238" s="81"/>
      <c r="S238" s="81"/>
      <c r="T238" s="135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3"/>
      <c r="AH238" s="58"/>
      <c r="AI238" s="59"/>
      <c r="AJ238" s="57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50" t="s">
        <v>3588</v>
      </c>
      <c r="E239" s="47" t="s">
        <v>3587</v>
      </c>
      <c r="F239" s="47" t="s">
        <v>4130</v>
      </c>
      <c r="G239" s="130" t="s">
        <v>697</v>
      </c>
      <c r="H239" s="131"/>
      <c r="I239" s="132"/>
      <c r="J239" s="76"/>
      <c r="K239" s="81" t="s">
        <v>4207</v>
      </c>
      <c r="L239" s="47" t="s">
        <v>4208</v>
      </c>
      <c r="M239" s="47" t="s">
        <v>4209</v>
      </c>
      <c r="N239" s="134">
        <v>23.112124</v>
      </c>
      <c r="O239" s="134">
        <v>91.978145</v>
      </c>
      <c r="P239" s="81">
        <v>225</v>
      </c>
      <c r="Q239" s="47"/>
      <c r="R239" s="81"/>
      <c r="S239" s="81"/>
      <c r="T239" s="135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3"/>
      <c r="AH239" s="58"/>
      <c r="AI239" s="59"/>
      <c r="AJ239" s="57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50" t="s">
        <v>3588</v>
      </c>
      <c r="E240" s="47" t="s">
        <v>3587</v>
      </c>
      <c r="F240" s="47" t="s">
        <v>4130</v>
      </c>
      <c r="G240" s="130" t="s">
        <v>707</v>
      </c>
      <c r="H240" s="131"/>
      <c r="I240" s="132"/>
      <c r="J240" s="76"/>
      <c r="K240" s="81" t="s">
        <v>3288</v>
      </c>
      <c r="L240" s="47" t="s">
        <v>3289</v>
      </c>
      <c r="M240" s="47" t="s">
        <v>4210</v>
      </c>
      <c r="N240" s="134">
        <v>23.112547</v>
      </c>
      <c r="O240" s="134">
        <v>91.982026</v>
      </c>
      <c r="P240" s="81">
        <v>1600</v>
      </c>
      <c r="Q240" s="47"/>
      <c r="R240" s="81"/>
      <c r="S240" s="81"/>
      <c r="T240" s="135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3"/>
      <c r="AH240" s="58"/>
      <c r="AI240" s="59"/>
      <c r="AJ240" s="57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50" t="s">
        <v>3588</v>
      </c>
      <c r="E241" s="47" t="s">
        <v>3587</v>
      </c>
      <c r="F241" s="47" t="s">
        <v>4130</v>
      </c>
      <c r="G241" s="130" t="s">
        <v>707</v>
      </c>
      <c r="H241" s="131"/>
      <c r="I241" s="132"/>
      <c r="J241" s="76"/>
      <c r="K241" s="81" t="s">
        <v>346</v>
      </c>
      <c r="L241" s="47" t="s">
        <v>1692</v>
      </c>
      <c r="M241" s="47" t="s">
        <v>4211</v>
      </c>
      <c r="N241" s="134">
        <v>23.109613</v>
      </c>
      <c r="O241" s="134">
        <v>91.983291</v>
      </c>
      <c r="P241" s="81">
        <v>350</v>
      </c>
      <c r="Q241" s="47"/>
      <c r="R241" s="81"/>
      <c r="S241" s="81"/>
      <c r="T241" s="135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3"/>
      <c r="AH241" s="58"/>
      <c r="AI241" s="59"/>
      <c r="AJ241" s="57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50" t="s">
        <v>3588</v>
      </c>
      <c r="E242" s="47" t="s">
        <v>3587</v>
      </c>
      <c r="F242" s="47" t="s">
        <v>4130</v>
      </c>
      <c r="G242" s="130" t="s">
        <v>707</v>
      </c>
      <c r="H242" s="131"/>
      <c r="I242" s="132"/>
      <c r="J242" s="76"/>
      <c r="K242" s="81" t="s">
        <v>4212</v>
      </c>
      <c r="L242" s="47" t="s">
        <v>4213</v>
      </c>
      <c r="M242" s="47" t="s">
        <v>4214</v>
      </c>
      <c r="N242" s="134">
        <v>23.108957</v>
      </c>
      <c r="O242" s="134">
        <v>91.981472</v>
      </c>
      <c r="P242" s="81">
        <v>360</v>
      </c>
      <c r="Q242" s="47"/>
      <c r="R242" s="81"/>
      <c r="S242" s="81"/>
      <c r="T242" s="135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3"/>
      <c r="AH242" s="58"/>
      <c r="AI242" s="59"/>
      <c r="AJ242" s="57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50" t="s">
        <v>3588</v>
      </c>
      <c r="E243" s="47" t="s">
        <v>3587</v>
      </c>
      <c r="F243" s="47" t="s">
        <v>4130</v>
      </c>
      <c r="G243" s="130" t="s">
        <v>707</v>
      </c>
      <c r="H243" s="131"/>
      <c r="I243" s="132"/>
      <c r="J243" s="76"/>
      <c r="K243" s="81" t="s">
        <v>4215</v>
      </c>
      <c r="L243" s="47" t="s">
        <v>4216</v>
      </c>
      <c r="M243" s="47" t="s">
        <v>4217</v>
      </c>
      <c r="N243" s="134">
        <v>23.112644</v>
      </c>
      <c r="O243" s="134">
        <v>91.986202</v>
      </c>
      <c r="P243" s="81">
        <v>1200</v>
      </c>
      <c r="Q243" s="47"/>
      <c r="R243" s="81"/>
      <c r="S243" s="81"/>
      <c r="T243" s="135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3"/>
      <c r="AH243" s="58"/>
      <c r="AI243" s="59"/>
      <c r="AJ243" s="57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50" t="s">
        <v>3588</v>
      </c>
      <c r="E244" s="47" t="s">
        <v>3587</v>
      </c>
      <c r="F244" s="47" t="s">
        <v>4130</v>
      </c>
      <c r="G244" s="130" t="s">
        <v>707</v>
      </c>
      <c r="H244" s="131"/>
      <c r="I244" s="132"/>
      <c r="J244" s="76"/>
      <c r="K244" s="81" t="s">
        <v>4218</v>
      </c>
      <c r="L244" s="47" t="s">
        <v>4219</v>
      </c>
      <c r="M244" s="47" t="s">
        <v>4220</v>
      </c>
      <c r="N244" s="134">
        <v>23.110094</v>
      </c>
      <c r="O244" s="134">
        <v>91.984409</v>
      </c>
      <c r="P244" s="81">
        <v>675</v>
      </c>
      <c r="Q244" s="47"/>
      <c r="R244" s="81"/>
      <c r="S244" s="81"/>
      <c r="T244" s="7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3"/>
      <c r="AH244" s="58"/>
      <c r="AI244" s="59"/>
      <c r="AJ244" s="57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50" t="s">
        <v>3588</v>
      </c>
      <c r="E245" s="47" t="s">
        <v>3587</v>
      </c>
      <c r="F245" s="47" t="s">
        <v>4130</v>
      </c>
      <c r="G245" s="130" t="s">
        <v>707</v>
      </c>
      <c r="H245" s="131"/>
      <c r="I245" s="132"/>
      <c r="J245" s="76"/>
      <c r="K245" s="81" t="s">
        <v>4221</v>
      </c>
      <c r="L245" s="47" t="s">
        <v>4222</v>
      </c>
      <c r="M245" s="47" t="s">
        <v>4223</v>
      </c>
      <c r="N245" s="134">
        <v>23.107296</v>
      </c>
      <c r="O245" s="134">
        <v>91.982765</v>
      </c>
      <c r="P245" s="81">
        <v>300</v>
      </c>
      <c r="Q245" s="47"/>
      <c r="R245" s="81"/>
      <c r="S245" s="81"/>
      <c r="T245" s="135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3"/>
      <c r="AH245" s="58"/>
      <c r="AI245" s="59"/>
      <c r="AJ245" s="57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50" t="s">
        <v>3588</v>
      </c>
      <c r="E246" s="47" t="s">
        <v>3587</v>
      </c>
      <c r="F246" s="47" t="s">
        <v>4130</v>
      </c>
      <c r="G246" s="130" t="s">
        <v>726</v>
      </c>
      <c r="H246" s="131"/>
      <c r="I246" s="132"/>
      <c r="J246" s="136"/>
      <c r="K246" s="81" t="s">
        <v>4215</v>
      </c>
      <c r="L246" s="47" t="s">
        <v>4216</v>
      </c>
      <c r="M246" s="47" t="s">
        <v>4224</v>
      </c>
      <c r="N246" s="134">
        <v>23.113651</v>
      </c>
      <c r="O246" s="134">
        <v>91.987981</v>
      </c>
      <c r="P246" s="81">
        <v>120</v>
      </c>
      <c r="Q246" s="47"/>
      <c r="R246" s="81"/>
      <c r="S246" s="81"/>
      <c r="T246" s="135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3"/>
      <c r="AH246" s="58"/>
      <c r="AI246" s="59"/>
      <c r="AJ246" s="57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50" t="s">
        <v>3588</v>
      </c>
      <c r="E247" s="47" t="s">
        <v>3587</v>
      </c>
      <c r="F247" s="47" t="s">
        <v>4130</v>
      </c>
      <c r="G247" s="130" t="s">
        <v>726</v>
      </c>
      <c r="H247" s="131"/>
      <c r="I247" s="132"/>
      <c r="J247" s="76"/>
      <c r="K247" s="81" t="s">
        <v>601</v>
      </c>
      <c r="L247" s="47" t="s">
        <v>1602</v>
      </c>
      <c r="M247" s="47" t="s">
        <v>4225</v>
      </c>
      <c r="N247" s="134">
        <v>23.115356</v>
      </c>
      <c r="O247" s="134">
        <v>91.990294</v>
      </c>
      <c r="P247" s="81">
        <v>1120</v>
      </c>
      <c r="Q247" s="47"/>
      <c r="R247" s="81"/>
      <c r="S247" s="81"/>
      <c r="T247" s="135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3"/>
      <c r="AH247" s="58"/>
      <c r="AI247" s="59"/>
      <c r="AJ247" s="57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50" t="s">
        <v>3588</v>
      </c>
      <c r="E248" s="47" t="s">
        <v>3587</v>
      </c>
      <c r="F248" s="47" t="s">
        <v>4130</v>
      </c>
      <c r="G248" s="130" t="s">
        <v>726</v>
      </c>
      <c r="H248" s="131"/>
      <c r="I248" s="132"/>
      <c r="J248" s="76"/>
      <c r="K248" s="81" t="s">
        <v>4226</v>
      </c>
      <c r="L248" s="47" t="s">
        <v>4227</v>
      </c>
      <c r="M248" s="47" t="s">
        <v>4228</v>
      </c>
      <c r="N248" s="134">
        <v>23.110261</v>
      </c>
      <c r="O248" s="134">
        <v>91.994273</v>
      </c>
      <c r="P248" s="81">
        <v>1100</v>
      </c>
      <c r="Q248" s="47"/>
      <c r="R248" s="81"/>
      <c r="S248" s="81"/>
      <c r="T248" s="135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3"/>
      <c r="AH248" s="58"/>
      <c r="AI248" s="59"/>
      <c r="AJ248" s="57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50" t="s">
        <v>3588</v>
      </c>
      <c r="E249" s="47" t="s">
        <v>3587</v>
      </c>
      <c r="F249" s="47" t="s">
        <v>4130</v>
      </c>
      <c r="G249" s="130" t="s">
        <v>726</v>
      </c>
      <c r="H249" s="131"/>
      <c r="I249" s="132"/>
      <c r="J249" s="76"/>
      <c r="K249" s="81" t="s">
        <v>4229</v>
      </c>
      <c r="L249" s="47" t="s">
        <v>4230</v>
      </c>
      <c r="M249" s="47" t="s">
        <v>4231</v>
      </c>
      <c r="N249" s="134">
        <v>23.12003</v>
      </c>
      <c r="O249" s="134">
        <v>91.992248</v>
      </c>
      <c r="P249" s="81">
        <v>1560</v>
      </c>
      <c r="Q249" s="47"/>
      <c r="R249" s="81"/>
      <c r="S249" s="81"/>
      <c r="T249" s="135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3"/>
      <c r="AH249" s="58"/>
      <c r="AI249" s="59"/>
      <c r="AJ249" s="57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50" t="s">
        <v>3588</v>
      </c>
      <c r="E250" s="47" t="s">
        <v>3587</v>
      </c>
      <c r="F250" s="47" t="s">
        <v>4130</v>
      </c>
      <c r="G250" s="130" t="s">
        <v>726</v>
      </c>
      <c r="H250" s="131"/>
      <c r="I250" s="132"/>
      <c r="J250" s="76"/>
      <c r="K250" s="81" t="s">
        <v>486</v>
      </c>
      <c r="L250" s="47" t="s">
        <v>4232</v>
      </c>
      <c r="M250" s="47" t="s">
        <v>4233</v>
      </c>
      <c r="N250" s="134">
        <v>23.122986</v>
      </c>
      <c r="O250" s="134">
        <v>91.991543</v>
      </c>
      <c r="P250" s="81">
        <v>60</v>
      </c>
      <c r="Q250" s="47"/>
      <c r="R250" s="81"/>
      <c r="S250" s="81"/>
      <c r="T250" s="135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3"/>
      <c r="AH250" s="58"/>
      <c r="AI250" s="59"/>
      <c r="AJ250" s="57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50" t="s">
        <v>3588</v>
      </c>
      <c r="E251" s="47" t="s">
        <v>3587</v>
      </c>
      <c r="F251" s="47" t="s">
        <v>4130</v>
      </c>
      <c r="G251" s="130" t="s">
        <v>726</v>
      </c>
      <c r="H251" s="131"/>
      <c r="I251" s="132"/>
      <c r="J251" s="57"/>
      <c r="K251" s="81" t="s">
        <v>4234</v>
      </c>
      <c r="L251" s="47" t="s">
        <v>4235</v>
      </c>
      <c r="M251" s="47" t="s">
        <v>4236</v>
      </c>
      <c r="N251" s="134">
        <v>23.111213</v>
      </c>
      <c r="O251" s="134">
        <v>91.992193</v>
      </c>
      <c r="P251" s="81">
        <v>400</v>
      </c>
      <c r="Q251" s="47"/>
      <c r="R251" s="81"/>
      <c r="S251" s="81"/>
      <c r="T251" s="135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3"/>
      <c r="AH251" s="58"/>
      <c r="AI251" s="59"/>
      <c r="AJ251" s="57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50" t="s">
        <v>3588</v>
      </c>
      <c r="E252" s="47" t="s">
        <v>3587</v>
      </c>
      <c r="F252" s="47" t="s">
        <v>4130</v>
      </c>
      <c r="G252" s="130" t="s">
        <v>726</v>
      </c>
      <c r="H252" s="131"/>
      <c r="I252" s="132"/>
      <c r="J252" s="76"/>
      <c r="K252" s="81" t="s">
        <v>4237</v>
      </c>
      <c r="L252" s="47" t="s">
        <v>4238</v>
      </c>
      <c r="M252" s="47" t="s">
        <v>4239</v>
      </c>
      <c r="N252" s="134">
        <v>23.11014</v>
      </c>
      <c r="O252" s="134">
        <v>91.990529</v>
      </c>
      <c r="P252" s="81">
        <v>600</v>
      </c>
      <c r="Q252" s="47"/>
      <c r="R252" s="81"/>
      <c r="S252" s="81"/>
      <c r="T252" s="135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3"/>
      <c r="AH252" s="58"/>
      <c r="AI252" s="59"/>
      <c r="AJ252" s="57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50" t="s">
        <v>3588</v>
      </c>
      <c r="E253" s="47" t="s">
        <v>3587</v>
      </c>
      <c r="F253" s="47" t="s">
        <v>4130</v>
      </c>
      <c r="G253" s="130" t="s">
        <v>726</v>
      </c>
      <c r="H253" s="131"/>
      <c r="I253" s="132"/>
      <c r="J253" s="76"/>
      <c r="K253" s="81" t="s">
        <v>4240</v>
      </c>
      <c r="L253" s="47" t="s">
        <v>4241</v>
      </c>
      <c r="M253" s="47" t="s">
        <v>4242</v>
      </c>
      <c r="N253" s="134">
        <v>23.112476</v>
      </c>
      <c r="O253" s="134">
        <v>91.993439</v>
      </c>
      <c r="P253" s="81">
        <v>200</v>
      </c>
      <c r="Q253" s="47"/>
      <c r="R253" s="81"/>
      <c r="S253" s="81"/>
      <c r="T253" s="135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3"/>
      <c r="AH253" s="58"/>
      <c r="AI253" s="59"/>
      <c r="AJ253" s="57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50" t="s">
        <v>3588</v>
      </c>
      <c r="E254" s="47" t="s">
        <v>3587</v>
      </c>
      <c r="F254" s="47" t="s">
        <v>4130</v>
      </c>
      <c r="G254" s="130" t="s">
        <v>742</v>
      </c>
      <c r="H254" s="131"/>
      <c r="I254" s="132"/>
      <c r="J254" s="76"/>
      <c r="K254" s="81" t="s">
        <v>4243</v>
      </c>
      <c r="L254" s="47" t="s">
        <v>4244</v>
      </c>
      <c r="M254" s="47" t="s">
        <v>4245</v>
      </c>
      <c r="N254" s="134">
        <v>23.117694</v>
      </c>
      <c r="O254" s="134">
        <v>91.995739</v>
      </c>
      <c r="P254" s="81">
        <v>508</v>
      </c>
      <c r="Q254" s="47"/>
      <c r="R254" s="81"/>
      <c r="S254" s="81"/>
      <c r="T254" s="135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3"/>
      <c r="AH254" s="58"/>
      <c r="AI254" s="59"/>
      <c r="AJ254" s="57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50" t="s">
        <v>3588</v>
      </c>
      <c r="E255" s="47" t="s">
        <v>3587</v>
      </c>
      <c r="F255" s="47" t="s">
        <v>4130</v>
      </c>
      <c r="G255" s="130" t="s">
        <v>742</v>
      </c>
      <c r="H255" s="131"/>
      <c r="I255" s="132"/>
      <c r="J255" s="76"/>
      <c r="K255" s="81" t="s">
        <v>3950</v>
      </c>
      <c r="L255" s="47" t="s">
        <v>3951</v>
      </c>
      <c r="M255" s="47" t="s">
        <v>4246</v>
      </c>
      <c r="N255" s="134">
        <v>23.113918</v>
      </c>
      <c r="O255" s="134">
        <v>91.994124</v>
      </c>
      <c r="P255" s="81">
        <v>400</v>
      </c>
      <c r="Q255" s="47"/>
      <c r="R255" s="81"/>
      <c r="S255" s="81"/>
      <c r="T255" s="135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3"/>
      <c r="AH255" s="58"/>
      <c r="AI255" s="59"/>
      <c r="AJ255" s="57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50" t="s">
        <v>3588</v>
      </c>
      <c r="E256" s="47" t="s">
        <v>3587</v>
      </c>
      <c r="F256" s="47" t="s">
        <v>4130</v>
      </c>
      <c r="G256" s="130" t="s">
        <v>742</v>
      </c>
      <c r="H256" s="131"/>
      <c r="I256" s="132"/>
      <c r="J256" s="76"/>
      <c r="K256" s="81" t="s">
        <v>4247</v>
      </c>
      <c r="L256" s="47" t="s">
        <v>4248</v>
      </c>
      <c r="M256" s="47" t="s">
        <v>4249</v>
      </c>
      <c r="N256" s="134">
        <v>23.115852</v>
      </c>
      <c r="O256" s="134">
        <v>91.997209</v>
      </c>
      <c r="P256" s="81">
        <v>250</v>
      </c>
      <c r="Q256" s="47"/>
      <c r="R256" s="81"/>
      <c r="S256" s="81"/>
      <c r="T256" s="135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3"/>
      <c r="AH256" s="58"/>
      <c r="AI256" s="59"/>
      <c r="AJ256" s="57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50" t="s">
        <v>3588</v>
      </c>
      <c r="E257" s="47" t="s">
        <v>3587</v>
      </c>
      <c r="F257" s="47" t="s">
        <v>4130</v>
      </c>
      <c r="G257" s="130" t="s">
        <v>742</v>
      </c>
      <c r="H257" s="131"/>
      <c r="I257" s="132"/>
      <c r="J257" s="76"/>
      <c r="K257" s="81" t="s">
        <v>4250</v>
      </c>
      <c r="L257" s="47" t="s">
        <v>4251</v>
      </c>
      <c r="M257" s="47" t="s">
        <v>4252</v>
      </c>
      <c r="N257" s="134">
        <v>23.113986</v>
      </c>
      <c r="O257" s="134">
        <v>91.997363</v>
      </c>
      <c r="P257" s="81">
        <v>2600</v>
      </c>
      <c r="Q257" s="47"/>
      <c r="R257" s="81"/>
      <c r="S257" s="81"/>
      <c r="T257" s="135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3"/>
      <c r="AH257" s="58"/>
      <c r="AI257" s="59"/>
      <c r="AJ257" s="57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50" t="s">
        <v>3588</v>
      </c>
      <c r="E258" s="47" t="s">
        <v>3587</v>
      </c>
      <c r="F258" s="47" t="s">
        <v>4130</v>
      </c>
      <c r="G258" s="130" t="s">
        <v>742</v>
      </c>
      <c r="H258" s="131"/>
      <c r="I258" s="132"/>
      <c r="J258" s="76"/>
      <c r="K258" s="81" t="s">
        <v>4172</v>
      </c>
      <c r="L258" s="47" t="s">
        <v>2489</v>
      </c>
      <c r="M258" s="47" t="s">
        <v>4253</v>
      </c>
      <c r="N258" s="134">
        <v>23.111131</v>
      </c>
      <c r="O258" s="134">
        <v>92.00097</v>
      </c>
      <c r="P258" s="81">
        <v>2060</v>
      </c>
      <c r="Q258" s="47"/>
      <c r="R258" s="81"/>
      <c r="S258" s="81"/>
      <c r="T258" s="135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3"/>
      <c r="AH258" s="58"/>
      <c r="AI258" s="59"/>
      <c r="AJ258" s="57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50" t="s">
        <v>3588</v>
      </c>
      <c r="E259" s="47" t="s">
        <v>3587</v>
      </c>
      <c r="F259" s="47" t="s">
        <v>4130</v>
      </c>
      <c r="G259" s="130" t="s">
        <v>742</v>
      </c>
      <c r="H259" s="131"/>
      <c r="I259" s="132"/>
      <c r="J259" s="76"/>
      <c r="K259" s="81" t="s">
        <v>3260</v>
      </c>
      <c r="L259" s="47" t="s">
        <v>3261</v>
      </c>
      <c r="M259" s="47" t="s">
        <v>4254</v>
      </c>
      <c r="N259" s="134">
        <v>23.113678</v>
      </c>
      <c r="O259" s="134">
        <v>91.999882</v>
      </c>
      <c r="P259" s="81">
        <v>560</v>
      </c>
      <c r="Q259" s="47"/>
      <c r="R259" s="81"/>
      <c r="S259" s="81"/>
      <c r="T259" s="7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3"/>
      <c r="AH259" s="58"/>
      <c r="AI259" s="59"/>
      <c r="AJ259" s="57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50" t="s">
        <v>3588</v>
      </c>
      <c r="E260" s="47" t="s">
        <v>3587</v>
      </c>
      <c r="F260" s="47" t="s">
        <v>4130</v>
      </c>
      <c r="G260" s="130" t="s">
        <v>742</v>
      </c>
      <c r="H260" s="131"/>
      <c r="I260" s="132"/>
      <c r="J260" s="76"/>
      <c r="K260" s="81" t="s">
        <v>4255</v>
      </c>
      <c r="L260" s="47" t="s">
        <v>4256</v>
      </c>
      <c r="M260" s="47" t="s">
        <v>4257</v>
      </c>
      <c r="N260" s="134">
        <v>23.110414</v>
      </c>
      <c r="O260" s="134">
        <v>91.998141</v>
      </c>
      <c r="P260" s="81">
        <v>1100</v>
      </c>
      <c r="Q260" s="47"/>
      <c r="R260" s="81"/>
      <c r="S260" s="81"/>
      <c r="T260" s="135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3"/>
      <c r="AH260" s="58"/>
      <c r="AI260" s="59"/>
      <c r="AJ260" s="57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50" t="s">
        <v>3588</v>
      </c>
      <c r="E261" s="47" t="s">
        <v>3587</v>
      </c>
      <c r="F261" s="47" t="s">
        <v>4130</v>
      </c>
      <c r="G261" s="130" t="s">
        <v>742</v>
      </c>
      <c r="H261" s="131"/>
      <c r="I261" s="132"/>
      <c r="J261" s="76"/>
      <c r="K261" s="81" t="s">
        <v>1408</v>
      </c>
      <c r="L261" s="47" t="s">
        <v>1409</v>
      </c>
      <c r="M261" s="47" t="s">
        <v>4258</v>
      </c>
      <c r="N261" s="134">
        <v>23.120107</v>
      </c>
      <c r="O261" s="134">
        <v>92.000578</v>
      </c>
      <c r="P261" s="81">
        <v>850</v>
      </c>
      <c r="Q261" s="47"/>
      <c r="R261" s="81"/>
      <c r="S261" s="81"/>
      <c r="T261" s="135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3"/>
      <c r="AH261" s="58"/>
      <c r="AI261" s="59"/>
      <c r="AJ261" s="57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50" t="s">
        <v>3588</v>
      </c>
      <c r="E262" s="47" t="s">
        <v>3587</v>
      </c>
      <c r="F262" s="47" t="s">
        <v>4130</v>
      </c>
      <c r="G262" s="130" t="s">
        <v>742</v>
      </c>
      <c r="H262" s="131"/>
      <c r="I262" s="132"/>
      <c r="J262" s="76"/>
      <c r="K262" s="81" t="s">
        <v>4259</v>
      </c>
      <c r="L262" s="47" t="s">
        <v>4260</v>
      </c>
      <c r="M262" s="47" t="s">
        <v>4261</v>
      </c>
      <c r="N262" s="134">
        <v>23.119323</v>
      </c>
      <c r="O262" s="134">
        <v>92.004631</v>
      </c>
      <c r="P262" s="81">
        <v>450</v>
      </c>
      <c r="Q262" s="47"/>
      <c r="R262" s="81"/>
      <c r="S262" s="81"/>
      <c r="T262" s="135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3"/>
      <c r="AH262" s="58"/>
      <c r="AI262" s="59"/>
      <c r="AJ262" s="57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50" t="s">
        <v>3588</v>
      </c>
      <c r="E263" s="47" t="s">
        <v>3587</v>
      </c>
      <c r="F263" s="47" t="s">
        <v>4130</v>
      </c>
      <c r="G263" s="130" t="s">
        <v>742</v>
      </c>
      <c r="H263" s="131"/>
      <c r="I263" s="132"/>
      <c r="J263" s="76"/>
      <c r="K263" s="81" t="s">
        <v>4262</v>
      </c>
      <c r="L263" s="47" t="s">
        <v>4263</v>
      </c>
      <c r="M263" s="47" t="s">
        <v>4264</v>
      </c>
      <c r="N263" s="134">
        <v>23.122445</v>
      </c>
      <c r="O263" s="134">
        <v>92.001238</v>
      </c>
      <c r="P263" s="81">
        <v>165</v>
      </c>
      <c r="Q263" s="47"/>
      <c r="R263" s="81"/>
      <c r="S263" s="81"/>
      <c r="T263" s="135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3"/>
      <c r="AH263" s="58"/>
      <c r="AI263" s="59"/>
      <c r="AJ263" s="57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50" t="s">
        <v>3588</v>
      </c>
      <c r="E264" s="47" t="s">
        <v>3587</v>
      </c>
      <c r="F264" s="47" t="s">
        <v>4130</v>
      </c>
      <c r="G264" s="130" t="s">
        <v>742</v>
      </c>
      <c r="H264" s="131"/>
      <c r="I264" s="132"/>
      <c r="J264" s="76"/>
      <c r="K264" s="81" t="s">
        <v>4265</v>
      </c>
      <c r="L264" s="47" t="s">
        <v>4266</v>
      </c>
      <c r="M264" s="47" t="s">
        <v>4267</v>
      </c>
      <c r="N264" s="134">
        <v>23.121663</v>
      </c>
      <c r="O264" s="134">
        <v>91.996155</v>
      </c>
      <c r="P264" s="81"/>
      <c r="Q264" s="81"/>
      <c r="R264" s="81"/>
      <c r="S264" s="81"/>
      <c r="T264" s="135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3"/>
      <c r="AH264" s="58"/>
      <c r="AI264" s="59"/>
      <c r="AJ264" s="57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50" t="s">
        <v>3588</v>
      </c>
      <c r="E265" s="47" t="s">
        <v>3587</v>
      </c>
      <c r="F265" s="47" t="s">
        <v>4130</v>
      </c>
      <c r="G265" s="130" t="s">
        <v>761</v>
      </c>
      <c r="H265" s="131"/>
      <c r="I265" s="132"/>
      <c r="J265" s="76"/>
      <c r="K265" s="81" t="s">
        <v>4268</v>
      </c>
      <c r="L265" s="47" t="s">
        <v>4269</v>
      </c>
      <c r="M265" s="47" t="s">
        <v>4270</v>
      </c>
      <c r="N265" s="134">
        <v>23.10449</v>
      </c>
      <c r="O265" s="134">
        <v>91.991779</v>
      </c>
      <c r="P265" s="81">
        <v>654</v>
      </c>
      <c r="Q265" s="47"/>
      <c r="R265" s="81"/>
      <c r="S265" s="81"/>
      <c r="T265" s="135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3"/>
      <c r="AH265" s="58"/>
      <c r="AI265" s="59"/>
      <c r="AJ265" s="57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50" t="s">
        <v>3588</v>
      </c>
      <c r="E266" s="47" t="s">
        <v>3587</v>
      </c>
      <c r="F266" s="47" t="s">
        <v>4130</v>
      </c>
      <c r="G266" s="130" t="s">
        <v>761</v>
      </c>
      <c r="H266" s="131"/>
      <c r="I266" s="132"/>
      <c r="J266" s="57"/>
      <c r="K266" s="81" t="s">
        <v>643</v>
      </c>
      <c r="L266" s="47" t="s">
        <v>4271</v>
      </c>
      <c r="M266" s="47" t="s">
        <v>4272</v>
      </c>
      <c r="N266" s="134">
        <v>23.109514</v>
      </c>
      <c r="O266" s="134">
        <v>91.995016</v>
      </c>
      <c r="P266" s="81">
        <v>790</v>
      </c>
      <c r="Q266" s="47"/>
      <c r="R266" s="81"/>
      <c r="S266" s="81"/>
      <c r="T266" s="135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3"/>
      <c r="AH266" s="58"/>
      <c r="AI266" s="59"/>
      <c r="AJ266" s="57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50" t="s">
        <v>3588</v>
      </c>
      <c r="E267" s="47" t="s">
        <v>3587</v>
      </c>
      <c r="F267" s="47" t="s">
        <v>4130</v>
      </c>
      <c r="G267" s="130" t="s">
        <v>761</v>
      </c>
      <c r="H267" s="131"/>
      <c r="I267" s="132"/>
      <c r="J267" s="57"/>
      <c r="K267" s="81" t="s">
        <v>4273</v>
      </c>
      <c r="L267" s="47" t="s">
        <v>4274</v>
      </c>
      <c r="M267" s="47" t="s">
        <v>4275</v>
      </c>
      <c r="N267" s="134">
        <v>23.104304</v>
      </c>
      <c r="O267" s="134">
        <v>91.984994</v>
      </c>
      <c r="P267" s="81">
        <v>250</v>
      </c>
      <c r="Q267" s="47"/>
      <c r="R267" s="81"/>
      <c r="S267" s="81"/>
      <c r="T267" s="135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3"/>
      <c r="AH267" s="58"/>
      <c r="AI267" s="59"/>
      <c r="AJ267" s="57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50" t="s">
        <v>3588</v>
      </c>
      <c r="E268" s="47" t="s">
        <v>3587</v>
      </c>
      <c r="F268" s="47" t="s">
        <v>4130</v>
      </c>
      <c r="G268" s="130" t="s">
        <v>761</v>
      </c>
      <c r="H268" s="131"/>
      <c r="I268" s="132"/>
      <c r="J268" s="57"/>
      <c r="K268" s="81" t="s">
        <v>2858</v>
      </c>
      <c r="L268" s="47" t="s">
        <v>2859</v>
      </c>
      <c r="M268" s="47" t="s">
        <v>4276</v>
      </c>
      <c r="N268" s="134">
        <v>23.105903</v>
      </c>
      <c r="O268" s="134">
        <v>91.995191</v>
      </c>
      <c r="P268" s="81">
        <v>930</v>
      </c>
      <c r="Q268" s="47"/>
      <c r="R268" s="81"/>
      <c r="S268" s="81"/>
      <c r="T268" s="7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3"/>
      <c r="AH268" s="58"/>
      <c r="AI268" s="59"/>
      <c r="AJ268" s="57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50" t="s">
        <v>3588</v>
      </c>
      <c r="E269" s="47" t="s">
        <v>3587</v>
      </c>
      <c r="F269" s="47" t="s">
        <v>4130</v>
      </c>
      <c r="G269" s="130" t="s">
        <v>761</v>
      </c>
      <c r="H269" s="131"/>
      <c r="I269" s="132"/>
      <c r="J269" s="57"/>
      <c r="K269" s="81" t="s">
        <v>4277</v>
      </c>
      <c r="L269" s="47" t="s">
        <v>4278</v>
      </c>
      <c r="M269" s="47" t="s">
        <v>4279</v>
      </c>
      <c r="N269" s="134">
        <v>23.105304</v>
      </c>
      <c r="O269" s="134">
        <v>91.99344</v>
      </c>
      <c r="P269" s="81">
        <v>185</v>
      </c>
      <c r="Q269" s="47"/>
      <c r="R269" s="81"/>
      <c r="S269" s="81"/>
      <c r="T269" s="135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3"/>
      <c r="AH269" s="58"/>
      <c r="AI269" s="59"/>
      <c r="AJ269" s="57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50" t="s">
        <v>3588</v>
      </c>
      <c r="E270" s="47" t="s">
        <v>3587</v>
      </c>
      <c r="F270" s="47" t="s">
        <v>4130</v>
      </c>
      <c r="G270" s="130" t="s">
        <v>761</v>
      </c>
      <c r="H270" s="131"/>
      <c r="I270" s="132"/>
      <c r="J270" s="57"/>
      <c r="K270" s="81" t="s">
        <v>2536</v>
      </c>
      <c r="L270" s="47" t="s">
        <v>2872</v>
      </c>
      <c r="M270" s="47" t="s">
        <v>4280</v>
      </c>
      <c r="N270" s="134">
        <v>23.103831</v>
      </c>
      <c r="O270" s="134">
        <v>91.994095</v>
      </c>
      <c r="P270" s="81">
        <v>295</v>
      </c>
      <c r="Q270" s="47"/>
      <c r="R270" s="81"/>
      <c r="S270" s="81"/>
      <c r="T270" s="135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3"/>
      <c r="AH270" s="58"/>
      <c r="AI270" s="59"/>
      <c r="AJ270" s="57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50" t="s">
        <v>3588</v>
      </c>
      <c r="E271" s="47" t="s">
        <v>3587</v>
      </c>
      <c r="F271" s="47" t="s">
        <v>4130</v>
      </c>
      <c r="G271" s="130" t="s">
        <v>761</v>
      </c>
      <c r="H271" s="131"/>
      <c r="I271" s="132"/>
      <c r="J271" s="57"/>
      <c r="K271" s="81" t="s">
        <v>4281</v>
      </c>
      <c r="L271" s="47" t="s">
        <v>4282</v>
      </c>
      <c r="M271" s="47" t="s">
        <v>4283</v>
      </c>
      <c r="N271" s="134">
        <v>23.101955</v>
      </c>
      <c r="O271" s="134">
        <v>91.991254</v>
      </c>
      <c r="P271" s="81">
        <v>715</v>
      </c>
      <c r="Q271" s="47"/>
      <c r="R271" s="81"/>
      <c r="S271" s="81"/>
      <c r="T271" s="135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3"/>
      <c r="AH271" s="58"/>
      <c r="AI271" s="59"/>
      <c r="AJ271" s="57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50" t="s">
        <v>3588</v>
      </c>
      <c r="E272" s="47" t="s">
        <v>3587</v>
      </c>
      <c r="F272" s="47" t="s">
        <v>4130</v>
      </c>
      <c r="G272" s="130" t="s">
        <v>761</v>
      </c>
      <c r="H272" s="131"/>
      <c r="I272" s="132"/>
      <c r="J272" s="57"/>
      <c r="K272" s="81" t="s">
        <v>4284</v>
      </c>
      <c r="L272" s="47" t="s">
        <v>4285</v>
      </c>
      <c r="M272" s="47" t="s">
        <v>4286</v>
      </c>
      <c r="N272" s="134">
        <v>23.106183</v>
      </c>
      <c r="O272" s="134">
        <v>91.999031</v>
      </c>
      <c r="P272" s="81">
        <v>630</v>
      </c>
      <c r="Q272" s="47"/>
      <c r="R272" s="81"/>
      <c r="S272" s="81"/>
      <c r="T272" s="135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3"/>
      <c r="AH272" s="58"/>
      <c r="AI272" s="59"/>
      <c r="AJ272" s="57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50" t="s">
        <v>3588</v>
      </c>
      <c r="E273" s="47" t="s">
        <v>3587</v>
      </c>
      <c r="F273" s="47" t="s">
        <v>4130</v>
      </c>
      <c r="G273" s="130" t="s">
        <v>761</v>
      </c>
      <c r="H273" s="131"/>
      <c r="I273" s="132"/>
      <c r="J273" s="57"/>
      <c r="K273" s="81" t="s">
        <v>396</v>
      </c>
      <c r="L273" s="47" t="s">
        <v>4287</v>
      </c>
      <c r="M273" s="47" t="s">
        <v>4288</v>
      </c>
      <c r="N273" s="134">
        <v>23.104077</v>
      </c>
      <c r="O273" s="134">
        <v>91.987834</v>
      </c>
      <c r="P273" s="81">
        <v>630</v>
      </c>
      <c r="Q273" s="47"/>
      <c r="R273" s="81"/>
      <c r="S273" s="81"/>
      <c r="T273" s="135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3"/>
      <c r="AH273" s="58"/>
      <c r="AI273" s="59"/>
      <c r="AJ273" s="57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50" t="s">
        <v>3588</v>
      </c>
      <c r="E274" s="47" t="s">
        <v>3587</v>
      </c>
      <c r="F274" s="47" t="s">
        <v>4130</v>
      </c>
      <c r="G274" s="130" t="s">
        <v>761</v>
      </c>
      <c r="H274" s="57"/>
      <c r="I274" s="59"/>
      <c r="J274" s="57"/>
      <c r="K274" s="81" t="s">
        <v>4289</v>
      </c>
      <c r="L274" s="47" t="s">
        <v>4290</v>
      </c>
      <c r="M274" s="47" t="s">
        <v>4291</v>
      </c>
      <c r="N274" s="134">
        <v>23.100974</v>
      </c>
      <c r="O274" s="134">
        <v>91.999192</v>
      </c>
      <c r="P274" s="81">
        <v>435</v>
      </c>
      <c r="Q274" s="47"/>
      <c r="R274" s="81"/>
      <c r="S274" s="81"/>
      <c r="T274" s="135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3"/>
      <c r="AH274" s="58"/>
      <c r="AI274" s="59"/>
      <c r="AJ274" s="57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50" t="s">
        <v>3588</v>
      </c>
      <c r="E275" s="47" t="s">
        <v>3587</v>
      </c>
      <c r="F275" s="47" t="s">
        <v>4130</v>
      </c>
      <c r="G275" s="130" t="s">
        <v>761</v>
      </c>
      <c r="H275" s="57"/>
      <c r="I275" s="59"/>
      <c r="J275" s="57"/>
      <c r="K275" s="81" t="s">
        <v>4292</v>
      </c>
      <c r="L275" s="47" t="s">
        <v>4293</v>
      </c>
      <c r="M275" s="47" t="s">
        <v>4294</v>
      </c>
      <c r="N275" s="134">
        <v>23.10782</v>
      </c>
      <c r="O275" s="134">
        <v>91.993446</v>
      </c>
      <c r="P275" s="81">
        <v>200</v>
      </c>
      <c r="Q275" s="47"/>
      <c r="R275" s="81"/>
      <c r="S275" s="81"/>
      <c r="T275" s="135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3"/>
      <c r="AH275" s="58"/>
      <c r="AI275" s="59"/>
      <c r="AJ275" s="57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50" t="s">
        <v>3588</v>
      </c>
      <c r="E276" s="47" t="s">
        <v>3587</v>
      </c>
      <c r="F276" s="47" t="s">
        <v>4130</v>
      </c>
      <c r="G276" s="130" t="s">
        <v>761</v>
      </c>
      <c r="H276" s="57"/>
      <c r="I276" s="59"/>
      <c r="J276" s="57"/>
      <c r="K276" s="81" t="s">
        <v>4295</v>
      </c>
      <c r="L276" s="47" t="s">
        <v>4296</v>
      </c>
      <c r="M276" s="47" t="s">
        <v>4297</v>
      </c>
      <c r="N276" s="134">
        <v>23.106503</v>
      </c>
      <c r="O276" s="134">
        <v>91.991558</v>
      </c>
      <c r="P276" s="81">
        <v>1505</v>
      </c>
      <c r="Q276" s="47"/>
      <c r="R276" s="81"/>
      <c r="S276" s="81"/>
      <c r="T276" s="135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3"/>
      <c r="AH276" s="58"/>
      <c r="AI276" s="59"/>
      <c r="AJ276" s="57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50" t="s">
        <v>3588</v>
      </c>
      <c r="E277" s="47" t="s">
        <v>3587</v>
      </c>
      <c r="F277" s="47" t="s">
        <v>4130</v>
      </c>
      <c r="G277" s="130" t="s">
        <v>761</v>
      </c>
      <c r="H277" s="57"/>
      <c r="I277" s="59"/>
      <c r="J277" s="57"/>
      <c r="K277" s="81" t="s">
        <v>4298</v>
      </c>
      <c r="L277" s="47" t="s">
        <v>4299</v>
      </c>
      <c r="M277" s="47" t="s">
        <v>4300</v>
      </c>
      <c r="N277" s="134">
        <v>23.109003</v>
      </c>
      <c r="O277" s="134">
        <v>91.990818</v>
      </c>
      <c r="P277" s="81">
        <v>60</v>
      </c>
      <c r="Q277" s="47"/>
      <c r="R277" s="81"/>
      <c r="S277" s="81"/>
      <c r="T277" s="135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3"/>
      <c r="AH277" s="58"/>
      <c r="AI277" s="59"/>
      <c r="AJ277" s="57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50" t="s">
        <v>3588</v>
      </c>
      <c r="E278" s="47" t="s">
        <v>3587</v>
      </c>
      <c r="F278" s="47" t="s">
        <v>4130</v>
      </c>
      <c r="G278" s="130" t="s">
        <v>781</v>
      </c>
      <c r="H278" s="57"/>
      <c r="I278" s="59"/>
      <c r="J278" s="57"/>
      <c r="K278" s="81" t="s">
        <v>4301</v>
      </c>
      <c r="L278" s="47" t="s">
        <v>4302</v>
      </c>
      <c r="M278" s="47" t="s">
        <v>4303</v>
      </c>
      <c r="N278" s="134">
        <v>23.105992</v>
      </c>
      <c r="O278" s="134">
        <v>91.982244</v>
      </c>
      <c r="P278" s="81">
        <v>115</v>
      </c>
      <c r="Q278" s="47"/>
      <c r="R278" s="81"/>
      <c r="S278" s="81"/>
      <c r="T278" s="135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3"/>
      <c r="AH278" s="58"/>
      <c r="AI278" s="59"/>
      <c r="AJ278" s="57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50" t="s">
        <v>3588</v>
      </c>
      <c r="E279" s="47" t="s">
        <v>3587</v>
      </c>
      <c r="F279" s="47" t="s">
        <v>4130</v>
      </c>
      <c r="G279" s="130" t="s">
        <v>781</v>
      </c>
      <c r="H279" s="57"/>
      <c r="I279" s="59"/>
      <c r="J279" s="57"/>
      <c r="K279" s="81" t="s">
        <v>4304</v>
      </c>
      <c r="L279" s="47" t="s">
        <v>4305</v>
      </c>
      <c r="M279" s="47" t="s">
        <v>4306</v>
      </c>
      <c r="N279" s="134">
        <v>23.102801</v>
      </c>
      <c r="O279" s="134">
        <v>91.981221</v>
      </c>
      <c r="P279" s="81">
        <v>1370</v>
      </c>
      <c r="Q279" s="47"/>
      <c r="R279" s="81"/>
      <c r="S279" s="81"/>
      <c r="T279" s="135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3"/>
      <c r="AH279" s="58"/>
      <c r="AI279" s="59"/>
      <c r="AJ279" s="57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50" t="s">
        <v>3588</v>
      </c>
      <c r="E280" s="47" t="s">
        <v>3587</v>
      </c>
      <c r="F280" s="47" t="s">
        <v>4130</v>
      </c>
      <c r="G280" s="130" t="s">
        <v>781</v>
      </c>
      <c r="H280" s="57"/>
      <c r="I280" s="59"/>
      <c r="J280" s="57"/>
      <c r="K280" s="81" t="s">
        <v>4307</v>
      </c>
      <c r="L280" s="47" t="s">
        <v>4308</v>
      </c>
      <c r="M280" s="47" t="s">
        <v>4309</v>
      </c>
      <c r="N280" s="134">
        <v>23.10466</v>
      </c>
      <c r="O280" s="134">
        <v>91.983697</v>
      </c>
      <c r="P280" s="81">
        <v>530</v>
      </c>
      <c r="Q280" s="47"/>
      <c r="R280" s="81"/>
      <c r="S280" s="81"/>
      <c r="T280" s="7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3"/>
      <c r="AH280" s="58"/>
      <c r="AI280" s="59"/>
      <c r="AJ280" s="57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50" t="s">
        <v>3588</v>
      </c>
      <c r="E281" s="47" t="s">
        <v>3587</v>
      </c>
      <c r="F281" s="47" t="s">
        <v>4130</v>
      </c>
      <c r="G281" s="130" t="s">
        <v>781</v>
      </c>
      <c r="H281" s="57"/>
      <c r="I281" s="59"/>
      <c r="J281" s="57"/>
      <c r="K281" s="81" t="s">
        <v>4268</v>
      </c>
      <c r="L281" s="47" t="s">
        <v>4269</v>
      </c>
      <c r="M281" s="47" t="s">
        <v>4310</v>
      </c>
      <c r="N281" s="134">
        <v>23.106756</v>
      </c>
      <c r="O281" s="134">
        <v>91.986976</v>
      </c>
      <c r="P281" s="81">
        <v>1865</v>
      </c>
      <c r="Q281" s="47"/>
      <c r="R281" s="81"/>
      <c r="S281" s="81"/>
      <c r="T281" s="7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3"/>
      <c r="AH281" s="58"/>
      <c r="AI281" s="59"/>
      <c r="AJ281" s="57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50" t="s">
        <v>3588</v>
      </c>
      <c r="E282" s="47" t="s">
        <v>3587</v>
      </c>
      <c r="F282" s="47" t="s">
        <v>4130</v>
      </c>
      <c r="G282" s="130" t="s">
        <v>781</v>
      </c>
      <c r="H282" s="57"/>
      <c r="I282" s="59"/>
      <c r="J282" s="57"/>
      <c r="K282" s="81" t="s">
        <v>4311</v>
      </c>
      <c r="L282" s="47" t="s">
        <v>4312</v>
      </c>
      <c r="M282" s="47" t="s">
        <v>4313</v>
      </c>
      <c r="N282" s="134">
        <v>23.107817</v>
      </c>
      <c r="O282" s="134">
        <v>91.984756</v>
      </c>
      <c r="P282" s="81">
        <v>205</v>
      </c>
      <c r="Q282" s="47"/>
      <c r="R282" s="81"/>
      <c r="S282" s="81"/>
      <c r="T282" s="135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3"/>
      <c r="AH282" s="58"/>
      <c r="AI282" s="59"/>
      <c r="AJ282" s="57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50" t="s">
        <v>3588</v>
      </c>
      <c r="E283" s="47" t="s">
        <v>3587</v>
      </c>
      <c r="F283" s="47" t="s">
        <v>4130</v>
      </c>
      <c r="G283" s="130" t="s">
        <v>781</v>
      </c>
      <c r="H283" s="57"/>
      <c r="I283" s="59"/>
      <c r="J283" s="57"/>
      <c r="K283" s="81" t="s">
        <v>4314</v>
      </c>
      <c r="L283" s="47" t="s">
        <v>4315</v>
      </c>
      <c r="M283" s="47" t="s">
        <v>4316</v>
      </c>
      <c r="N283" s="134">
        <v>23.10611</v>
      </c>
      <c r="O283" s="134">
        <v>91.983089</v>
      </c>
      <c r="P283" s="81">
        <v>175</v>
      </c>
      <c r="Q283" s="47"/>
      <c r="R283" s="81"/>
      <c r="S283" s="81"/>
      <c r="T283" s="7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3"/>
      <c r="AH283" s="58"/>
      <c r="AI283" s="59"/>
      <c r="AJ283" s="57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50" t="s">
        <v>3588</v>
      </c>
      <c r="E284" s="47" t="s">
        <v>3587</v>
      </c>
      <c r="F284" s="47" t="s">
        <v>4130</v>
      </c>
      <c r="G284" s="130" t="s">
        <v>781</v>
      </c>
      <c r="H284" s="57"/>
      <c r="I284" s="59"/>
      <c r="J284" s="57"/>
      <c r="K284" s="81" t="s">
        <v>4317</v>
      </c>
      <c r="L284" s="47" t="s">
        <v>4318</v>
      </c>
      <c r="M284" s="47" t="s">
        <v>4319</v>
      </c>
      <c r="N284" s="134">
        <v>23.105601</v>
      </c>
      <c r="O284" s="134">
        <v>91.981623</v>
      </c>
      <c r="P284" s="81">
        <v>95</v>
      </c>
      <c r="Q284" s="47"/>
      <c r="R284" s="81"/>
      <c r="S284" s="81"/>
      <c r="T284" s="7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3"/>
      <c r="AH284" s="58"/>
      <c r="AI284" s="59"/>
      <c r="AJ284" s="57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50" t="s">
        <v>3588</v>
      </c>
      <c r="E285" s="47" t="s">
        <v>3587</v>
      </c>
      <c r="F285" s="47" t="s">
        <v>4130</v>
      </c>
      <c r="G285" s="130" t="s">
        <v>781</v>
      </c>
      <c r="H285" s="57"/>
      <c r="I285" s="59"/>
      <c r="J285" s="57"/>
      <c r="K285" s="81" t="s">
        <v>4320</v>
      </c>
      <c r="L285" s="47" t="s">
        <v>4321</v>
      </c>
      <c r="M285" s="47" t="s">
        <v>4322</v>
      </c>
      <c r="N285" s="134">
        <v>23.105111</v>
      </c>
      <c r="O285" s="134">
        <v>91.98191</v>
      </c>
      <c r="P285" s="81">
        <v>50</v>
      </c>
      <c r="Q285" s="47"/>
      <c r="R285" s="81"/>
      <c r="S285" s="81"/>
      <c r="T285" s="135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3"/>
      <c r="AH285" s="58"/>
      <c r="AI285" s="59"/>
      <c r="AJ285" s="57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50" t="s">
        <v>3588</v>
      </c>
      <c r="E286" s="47" t="s">
        <v>3587</v>
      </c>
      <c r="F286" s="47" t="s">
        <v>4130</v>
      </c>
      <c r="G286" s="130" t="s">
        <v>781</v>
      </c>
      <c r="H286" s="57"/>
      <c r="I286" s="59"/>
      <c r="J286" s="57"/>
      <c r="K286" s="81" t="s">
        <v>4323</v>
      </c>
      <c r="L286" s="47" t="s">
        <v>4324</v>
      </c>
      <c r="M286" s="47" t="s">
        <v>4325</v>
      </c>
      <c r="N286" s="134">
        <v>23.103426</v>
      </c>
      <c r="O286" s="134">
        <v>91.982351</v>
      </c>
      <c r="P286" s="81">
        <v>105</v>
      </c>
      <c r="Q286" s="47"/>
      <c r="R286" s="81"/>
      <c r="S286" s="81"/>
      <c r="T286" s="135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3"/>
      <c r="AH286" s="58"/>
      <c r="AI286" s="59"/>
      <c r="AJ286" s="57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50" t="s">
        <v>3588</v>
      </c>
      <c r="E287" s="47" t="s">
        <v>3587</v>
      </c>
      <c r="F287" s="47" t="s">
        <v>4130</v>
      </c>
      <c r="G287" s="130" t="s">
        <v>781</v>
      </c>
      <c r="H287" s="57"/>
      <c r="I287" s="59"/>
      <c r="J287" s="57"/>
      <c r="K287" s="81" t="s">
        <v>4326</v>
      </c>
      <c r="L287" s="47" t="s">
        <v>4327</v>
      </c>
      <c r="M287" s="47" t="s">
        <v>4328</v>
      </c>
      <c r="N287" s="134">
        <v>23.103549</v>
      </c>
      <c r="O287" s="134">
        <v>91.98293</v>
      </c>
      <c r="P287" s="81">
        <v>195</v>
      </c>
      <c r="Q287" s="47"/>
      <c r="R287" s="81"/>
      <c r="S287" s="81"/>
      <c r="T287" s="135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3"/>
      <c r="AH287" s="58"/>
      <c r="AI287" s="59"/>
      <c r="AJ287" s="57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50" t="s">
        <v>3588</v>
      </c>
      <c r="E288" s="47" t="s">
        <v>3587</v>
      </c>
      <c r="F288" s="47" t="s">
        <v>4130</v>
      </c>
      <c r="G288" s="130" t="s">
        <v>797</v>
      </c>
      <c r="H288" s="57"/>
      <c r="I288" s="59"/>
      <c r="J288" s="57"/>
      <c r="K288" s="81" t="s">
        <v>835</v>
      </c>
      <c r="L288" s="47" t="s">
        <v>836</v>
      </c>
      <c r="M288" s="47" t="s">
        <v>4329</v>
      </c>
      <c r="N288" s="134">
        <v>23.085701</v>
      </c>
      <c r="O288" s="134">
        <v>91.98336</v>
      </c>
      <c r="P288" s="81">
        <v>960</v>
      </c>
      <c r="Q288" s="47"/>
      <c r="R288" s="81"/>
      <c r="S288" s="81"/>
      <c r="T288" s="135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3"/>
      <c r="AH288" s="58"/>
      <c r="AI288" s="59"/>
      <c r="AJ288" s="57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50" t="s">
        <v>3588</v>
      </c>
      <c r="E289" s="47" t="s">
        <v>3587</v>
      </c>
      <c r="F289" s="47" t="s">
        <v>4130</v>
      </c>
      <c r="G289" s="130" t="s">
        <v>797</v>
      </c>
      <c r="H289" s="57"/>
      <c r="I289" s="59"/>
      <c r="J289" s="57"/>
      <c r="K289" s="81" t="s">
        <v>4330</v>
      </c>
      <c r="L289" s="47" t="s">
        <v>4331</v>
      </c>
      <c r="M289" s="47" t="s">
        <v>4332</v>
      </c>
      <c r="N289" s="134">
        <v>23.098987</v>
      </c>
      <c r="O289" s="134">
        <v>91.982548</v>
      </c>
      <c r="P289" s="81">
        <v>195</v>
      </c>
      <c r="Q289" s="47"/>
      <c r="R289" s="81"/>
      <c r="S289" s="81"/>
      <c r="T289" s="135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3"/>
      <c r="AH289" s="58"/>
      <c r="AI289" s="59"/>
      <c r="AJ289" s="57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50" t="s">
        <v>3588</v>
      </c>
      <c r="E290" s="47" t="s">
        <v>3587</v>
      </c>
      <c r="F290" s="47" t="s">
        <v>4130</v>
      </c>
      <c r="G290" s="130" t="s">
        <v>797</v>
      </c>
      <c r="H290" s="57"/>
      <c r="I290" s="59"/>
      <c r="J290" s="57"/>
      <c r="K290" s="81" t="s">
        <v>3120</v>
      </c>
      <c r="L290" s="47" t="s">
        <v>3121</v>
      </c>
      <c r="M290" s="47" t="s">
        <v>4333</v>
      </c>
      <c r="N290" s="134">
        <v>23.090909</v>
      </c>
      <c r="O290" s="134">
        <v>91.988852</v>
      </c>
      <c r="P290" s="81">
        <v>235</v>
      </c>
      <c r="Q290" s="47"/>
      <c r="R290" s="81"/>
      <c r="S290" s="81"/>
      <c r="T290" s="135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3"/>
      <c r="AH290" s="58"/>
      <c r="AI290" s="59"/>
      <c r="AJ290" s="57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50" t="s">
        <v>3588</v>
      </c>
      <c r="E291" s="47" t="s">
        <v>3587</v>
      </c>
      <c r="F291" s="47" t="s">
        <v>4130</v>
      </c>
      <c r="G291" s="130" t="s">
        <v>797</v>
      </c>
      <c r="H291" s="57"/>
      <c r="I291" s="59"/>
      <c r="J291" s="57"/>
      <c r="K291" s="81" t="s">
        <v>3997</v>
      </c>
      <c r="L291" s="47" t="s">
        <v>3998</v>
      </c>
      <c r="M291" s="47" t="s">
        <v>4334</v>
      </c>
      <c r="N291" s="134">
        <v>23.08707</v>
      </c>
      <c r="O291" s="134">
        <v>91.993188</v>
      </c>
      <c r="P291" s="81">
        <v>420</v>
      </c>
      <c r="Q291" s="47"/>
      <c r="R291" s="81"/>
      <c r="S291" s="81"/>
      <c r="T291" s="7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3"/>
      <c r="AH291" s="58"/>
      <c r="AI291" s="59"/>
      <c r="AJ291" s="57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50" t="s">
        <v>3588</v>
      </c>
      <c r="E292" s="47" t="s">
        <v>3587</v>
      </c>
      <c r="F292" s="47" t="s">
        <v>4130</v>
      </c>
      <c r="G292" s="130" t="s">
        <v>797</v>
      </c>
      <c r="H292" s="57"/>
      <c r="I292" s="59"/>
      <c r="J292" s="57"/>
      <c r="K292" s="81" t="s">
        <v>4335</v>
      </c>
      <c r="L292" s="47" t="s">
        <v>4336</v>
      </c>
      <c r="M292" s="47" t="s">
        <v>4337</v>
      </c>
      <c r="N292" s="134">
        <v>23.087989</v>
      </c>
      <c r="O292" s="134">
        <v>91.989026</v>
      </c>
      <c r="P292" s="81">
        <v>300</v>
      </c>
      <c r="Q292" s="47"/>
      <c r="R292" s="81"/>
      <c r="S292" s="81"/>
      <c r="T292" s="7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3"/>
      <c r="AH292" s="58"/>
      <c r="AI292" s="59"/>
      <c r="AJ292" s="57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50" t="s">
        <v>3588</v>
      </c>
      <c r="E293" s="47" t="s">
        <v>3587</v>
      </c>
      <c r="F293" s="47" t="s">
        <v>4130</v>
      </c>
      <c r="G293" s="130" t="s">
        <v>797</v>
      </c>
      <c r="H293" s="57"/>
      <c r="I293" s="59"/>
      <c r="J293" s="57"/>
      <c r="K293" s="81" t="s">
        <v>4338</v>
      </c>
      <c r="L293" s="47" t="s">
        <v>4339</v>
      </c>
      <c r="M293" s="47" t="s">
        <v>4340</v>
      </c>
      <c r="N293" s="134">
        <v>23.094601</v>
      </c>
      <c r="O293" s="134">
        <v>91.980915</v>
      </c>
      <c r="P293" s="81">
        <v>655</v>
      </c>
      <c r="Q293" s="47"/>
      <c r="R293" s="81"/>
      <c r="S293" s="81"/>
      <c r="T293" s="7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3"/>
      <c r="AH293" s="58"/>
      <c r="AI293" s="59"/>
      <c r="AJ293" s="57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50" t="s">
        <v>3588</v>
      </c>
      <c r="E294" s="47" t="s">
        <v>3587</v>
      </c>
      <c r="F294" s="47" t="s">
        <v>4130</v>
      </c>
      <c r="G294" s="130" t="s">
        <v>797</v>
      </c>
      <c r="H294" s="57"/>
      <c r="I294" s="59"/>
      <c r="J294" s="57"/>
      <c r="K294" s="81" t="s">
        <v>4341</v>
      </c>
      <c r="L294" s="47" t="s">
        <v>4342</v>
      </c>
      <c r="M294" s="47" t="s">
        <v>4343</v>
      </c>
      <c r="N294" s="134">
        <v>23.100975</v>
      </c>
      <c r="O294" s="134">
        <v>91.983471</v>
      </c>
      <c r="P294" s="81">
        <v>450</v>
      </c>
      <c r="Q294" s="47"/>
      <c r="R294" s="81"/>
      <c r="S294" s="81"/>
      <c r="T294" s="135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3"/>
      <c r="AH294" s="58"/>
      <c r="AI294" s="59"/>
      <c r="AJ294" s="57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50" t="s">
        <v>3588</v>
      </c>
      <c r="E295" s="47" t="s">
        <v>3587</v>
      </c>
      <c r="F295" s="47" t="s">
        <v>4130</v>
      </c>
      <c r="G295" s="130" t="s">
        <v>797</v>
      </c>
      <c r="H295" s="57"/>
      <c r="I295" s="59"/>
      <c r="J295" s="57"/>
      <c r="K295" s="81" t="s">
        <v>4344</v>
      </c>
      <c r="L295" s="47" t="s">
        <v>4345</v>
      </c>
      <c r="M295" s="47" t="s">
        <v>4346</v>
      </c>
      <c r="N295" s="134">
        <v>23.091655</v>
      </c>
      <c r="O295" s="134">
        <v>91.984249</v>
      </c>
      <c r="P295" s="81">
        <v>655</v>
      </c>
      <c r="Q295" s="47"/>
      <c r="R295" s="81"/>
      <c r="S295" s="81"/>
      <c r="T295" s="7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3"/>
      <c r="AH295" s="58"/>
      <c r="AI295" s="59"/>
      <c r="AJ295" s="57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50" t="s">
        <v>3588</v>
      </c>
      <c r="E296" s="47" t="s">
        <v>3587</v>
      </c>
      <c r="F296" s="47" t="s">
        <v>4130</v>
      </c>
      <c r="G296" s="130" t="s">
        <v>797</v>
      </c>
      <c r="H296" s="57"/>
      <c r="I296" s="59"/>
      <c r="J296" s="57"/>
      <c r="K296" s="81" t="s">
        <v>4347</v>
      </c>
      <c r="L296" s="47" t="s">
        <v>4348</v>
      </c>
      <c r="M296" s="47" t="s">
        <v>4349</v>
      </c>
      <c r="N296" s="134">
        <v>23.101893</v>
      </c>
      <c r="O296" s="134">
        <v>91.986429</v>
      </c>
      <c r="P296" s="81">
        <v>1235</v>
      </c>
      <c r="Q296" s="47"/>
      <c r="R296" s="81"/>
      <c r="S296" s="81"/>
      <c r="T296" s="7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3"/>
      <c r="AH296" s="58"/>
      <c r="AI296" s="59"/>
      <c r="AJ296" s="57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50" t="s">
        <v>3588</v>
      </c>
      <c r="E297" s="47" t="s">
        <v>3587</v>
      </c>
      <c r="F297" s="47" t="s">
        <v>4130</v>
      </c>
      <c r="G297" s="130" t="s">
        <v>797</v>
      </c>
      <c r="H297" s="57"/>
      <c r="I297" s="59"/>
      <c r="J297" s="57"/>
      <c r="K297" s="81" t="s">
        <v>4010</v>
      </c>
      <c r="L297" s="47" t="s">
        <v>4011</v>
      </c>
      <c r="M297" s="47" t="s">
        <v>4350</v>
      </c>
      <c r="N297" s="134">
        <v>23.100541</v>
      </c>
      <c r="O297" s="134">
        <v>91.996459</v>
      </c>
      <c r="P297" s="81">
        <v>435</v>
      </c>
      <c r="Q297" s="47"/>
      <c r="R297" s="81"/>
      <c r="S297" s="81"/>
      <c r="T297" s="135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3"/>
      <c r="AH297" s="58"/>
      <c r="AI297" s="59"/>
      <c r="AJ297" s="57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50" t="s">
        <v>3588</v>
      </c>
      <c r="E298" s="47" t="s">
        <v>3587</v>
      </c>
      <c r="F298" s="47" t="s">
        <v>4130</v>
      </c>
      <c r="G298" s="130" t="s">
        <v>797</v>
      </c>
      <c r="H298" s="57"/>
      <c r="I298" s="59"/>
      <c r="J298" s="57"/>
      <c r="K298" s="81" t="s">
        <v>4351</v>
      </c>
      <c r="L298" s="47" t="s">
        <v>4352</v>
      </c>
      <c r="M298" s="47" t="s">
        <v>4353</v>
      </c>
      <c r="N298" s="134">
        <v>23.098051</v>
      </c>
      <c r="O298" s="134">
        <v>91.984547</v>
      </c>
      <c r="P298" s="81">
        <v>780</v>
      </c>
      <c r="Q298" s="47"/>
      <c r="R298" s="81"/>
      <c r="S298" s="81"/>
      <c r="T298" s="135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3"/>
      <c r="AH298" s="58"/>
      <c r="AI298" s="59"/>
      <c r="AJ298" s="57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50" t="s">
        <v>3588</v>
      </c>
      <c r="E299" s="47" t="s">
        <v>3587</v>
      </c>
      <c r="F299" s="47" t="s">
        <v>4130</v>
      </c>
      <c r="G299" s="130" t="s">
        <v>797</v>
      </c>
      <c r="H299" s="57"/>
      <c r="I299" s="59"/>
      <c r="J299" s="57"/>
      <c r="K299" s="81" t="s">
        <v>4354</v>
      </c>
      <c r="L299" s="47" t="s">
        <v>4355</v>
      </c>
      <c r="M299" s="47" t="s">
        <v>4356</v>
      </c>
      <c r="N299" s="134">
        <v>23.073178</v>
      </c>
      <c r="O299" s="134">
        <v>91.982388</v>
      </c>
      <c r="P299" s="81">
        <v>505</v>
      </c>
      <c r="Q299" s="47"/>
      <c r="R299" s="81"/>
      <c r="S299" s="81"/>
      <c r="T299" s="7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3"/>
      <c r="AH299" s="58"/>
      <c r="AI299" s="59"/>
      <c r="AJ299" s="57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50" t="s">
        <v>3588</v>
      </c>
      <c r="E300" s="47" t="s">
        <v>3587</v>
      </c>
      <c r="F300" s="47" t="s">
        <v>49</v>
      </c>
      <c r="G300" s="130" t="s">
        <v>677</v>
      </c>
      <c r="H300" s="57"/>
      <c r="I300" s="59"/>
      <c r="J300" s="57"/>
      <c r="K300" s="81" t="s">
        <v>4357</v>
      </c>
      <c r="L300" s="47" t="s">
        <v>4358</v>
      </c>
      <c r="M300" s="47" t="s">
        <v>4359</v>
      </c>
      <c r="N300" s="134">
        <v>23.076843</v>
      </c>
      <c r="O300" s="134">
        <v>91.973156</v>
      </c>
      <c r="P300" s="81">
        <v>240</v>
      </c>
      <c r="Q300" s="47"/>
      <c r="R300" s="81"/>
      <c r="S300" s="81"/>
      <c r="T300" s="135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3"/>
      <c r="AH300" s="58"/>
      <c r="AI300" s="59"/>
      <c r="AJ300" s="57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50" t="s">
        <v>3588</v>
      </c>
      <c r="E301" s="47" t="s">
        <v>3587</v>
      </c>
      <c r="F301" s="47" t="s">
        <v>49</v>
      </c>
      <c r="G301" s="130" t="s">
        <v>677</v>
      </c>
      <c r="H301" s="57"/>
      <c r="I301" s="59"/>
      <c r="J301" s="57"/>
      <c r="K301" s="81" t="s">
        <v>3417</v>
      </c>
      <c r="L301" s="47" t="s">
        <v>3418</v>
      </c>
      <c r="M301" s="47" t="s">
        <v>4360</v>
      </c>
      <c r="N301" s="134">
        <v>23.069835</v>
      </c>
      <c r="O301" s="134">
        <v>91.968966</v>
      </c>
      <c r="P301" s="81">
        <v>1200</v>
      </c>
      <c r="Q301" s="47"/>
      <c r="R301" s="81"/>
      <c r="S301" s="81"/>
      <c r="T301" s="135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3"/>
      <c r="AH301" s="58"/>
      <c r="AI301" s="59"/>
      <c r="AJ301" s="57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50" t="s">
        <v>3588</v>
      </c>
      <c r="E302" s="47" t="s">
        <v>3587</v>
      </c>
      <c r="F302" s="47" t="s">
        <v>49</v>
      </c>
      <c r="G302" s="130" t="s">
        <v>677</v>
      </c>
      <c r="H302" s="57"/>
      <c r="I302" s="59"/>
      <c r="J302" s="57"/>
      <c r="K302" s="81" t="s">
        <v>2457</v>
      </c>
      <c r="L302" s="47" t="s">
        <v>2458</v>
      </c>
      <c r="M302" s="47" t="s">
        <v>4361</v>
      </c>
      <c r="N302" s="134">
        <v>23.072282</v>
      </c>
      <c r="O302" s="134">
        <v>91.976515</v>
      </c>
      <c r="P302" s="81">
        <v>1200</v>
      </c>
      <c r="Q302" s="47"/>
      <c r="R302" s="81"/>
      <c r="S302" s="81"/>
      <c r="T302" s="135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3"/>
      <c r="AH302" s="58"/>
      <c r="AI302" s="59"/>
      <c r="AJ302" s="57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50" t="s">
        <v>3588</v>
      </c>
      <c r="E303" s="47" t="s">
        <v>3587</v>
      </c>
      <c r="F303" s="47" t="s">
        <v>49</v>
      </c>
      <c r="G303" s="130" t="s">
        <v>684</v>
      </c>
      <c r="H303" s="57"/>
      <c r="I303" s="59"/>
      <c r="J303" s="57"/>
      <c r="K303" s="81" t="s">
        <v>4362</v>
      </c>
      <c r="L303" s="47" t="s">
        <v>4363</v>
      </c>
      <c r="M303" s="47" t="s">
        <v>4364</v>
      </c>
      <c r="N303" s="134">
        <v>23.063926</v>
      </c>
      <c r="O303" s="134">
        <v>91.980995</v>
      </c>
      <c r="P303" s="81">
        <v>350</v>
      </c>
      <c r="Q303" s="47"/>
      <c r="R303" s="81"/>
      <c r="S303" s="81"/>
      <c r="T303" s="135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3"/>
      <c r="AH303" s="58"/>
      <c r="AI303" s="59"/>
      <c r="AJ303" s="57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50" t="s">
        <v>3588</v>
      </c>
      <c r="E304" s="47" t="s">
        <v>3587</v>
      </c>
      <c r="F304" s="47" t="s">
        <v>49</v>
      </c>
      <c r="G304" s="130" t="s">
        <v>684</v>
      </c>
      <c r="H304" s="57"/>
      <c r="I304" s="59"/>
      <c r="J304" s="57"/>
      <c r="K304" s="81" t="s">
        <v>4365</v>
      </c>
      <c r="L304" s="47" t="s">
        <v>4366</v>
      </c>
      <c r="M304" s="47" t="s">
        <v>4367</v>
      </c>
      <c r="N304" s="134">
        <v>23.063254</v>
      </c>
      <c r="O304" s="134">
        <v>91.976124</v>
      </c>
      <c r="P304" s="81">
        <v>291</v>
      </c>
      <c r="Q304" s="47"/>
      <c r="R304" s="81"/>
      <c r="S304" s="81"/>
      <c r="T304" s="135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3"/>
      <c r="AH304" s="58"/>
      <c r="AI304" s="59"/>
      <c r="AJ304" s="57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50" t="s">
        <v>3588</v>
      </c>
      <c r="E305" s="47" t="s">
        <v>3587</v>
      </c>
      <c r="F305" s="47" t="s">
        <v>49</v>
      </c>
      <c r="G305" s="130" t="s">
        <v>684</v>
      </c>
      <c r="H305" s="57"/>
      <c r="I305" s="59"/>
      <c r="J305" s="57"/>
      <c r="K305" s="81" t="s">
        <v>4368</v>
      </c>
      <c r="L305" s="47" t="s">
        <v>4369</v>
      </c>
      <c r="M305" s="47" t="s">
        <v>4370</v>
      </c>
      <c r="N305" s="134">
        <v>23.066681</v>
      </c>
      <c r="O305" s="134">
        <v>91.988596</v>
      </c>
      <c r="P305" s="81">
        <v>150</v>
      </c>
      <c r="Q305" s="47"/>
      <c r="R305" s="81"/>
      <c r="S305" s="81"/>
      <c r="T305" s="135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3"/>
      <c r="AH305" s="58"/>
      <c r="AI305" s="59"/>
      <c r="AJ305" s="57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50" t="s">
        <v>3588</v>
      </c>
      <c r="E306" s="47" t="s">
        <v>3587</v>
      </c>
      <c r="F306" s="47" t="s">
        <v>49</v>
      </c>
      <c r="G306" s="130" t="s">
        <v>684</v>
      </c>
      <c r="H306" s="57"/>
      <c r="I306" s="59"/>
      <c r="J306" s="57"/>
      <c r="K306" s="81" t="s">
        <v>4371</v>
      </c>
      <c r="L306" s="47" t="s">
        <v>4372</v>
      </c>
      <c r="M306" s="47" t="s">
        <v>4373</v>
      </c>
      <c r="N306" s="134">
        <v>23.057957</v>
      </c>
      <c r="O306" s="134">
        <v>91.978085</v>
      </c>
      <c r="P306" s="81">
        <v>252</v>
      </c>
      <c r="Q306" s="47"/>
      <c r="R306" s="81"/>
      <c r="S306" s="81"/>
      <c r="T306" s="135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3"/>
      <c r="AH306" s="58"/>
      <c r="AI306" s="59"/>
      <c r="AJ306" s="57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50" t="s">
        <v>3588</v>
      </c>
      <c r="E307" s="47" t="s">
        <v>3587</v>
      </c>
      <c r="F307" s="47" t="s">
        <v>49</v>
      </c>
      <c r="G307" s="130" t="s">
        <v>697</v>
      </c>
      <c r="H307" s="57"/>
      <c r="I307" s="59"/>
      <c r="J307" s="57"/>
      <c r="K307" s="81" t="s">
        <v>4374</v>
      </c>
      <c r="L307" s="47" t="s">
        <v>4375</v>
      </c>
      <c r="M307" s="47" t="s">
        <v>4376</v>
      </c>
      <c r="N307" s="134">
        <v>23.053701</v>
      </c>
      <c r="O307" s="134">
        <v>91.984469</v>
      </c>
      <c r="P307" s="81">
        <v>600</v>
      </c>
      <c r="Q307" s="47"/>
      <c r="R307" s="81"/>
      <c r="S307" s="81"/>
      <c r="T307" s="135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3"/>
      <c r="AH307" s="58"/>
      <c r="AI307" s="59"/>
      <c r="AJ307" s="57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50" t="s">
        <v>3588</v>
      </c>
      <c r="E308" s="47" t="s">
        <v>3587</v>
      </c>
      <c r="F308" s="47" t="s">
        <v>49</v>
      </c>
      <c r="G308" s="130" t="s">
        <v>697</v>
      </c>
      <c r="H308" s="57"/>
      <c r="I308" s="59"/>
      <c r="J308" s="57"/>
      <c r="K308" s="81" t="s">
        <v>4377</v>
      </c>
      <c r="L308" s="47" t="s">
        <v>4378</v>
      </c>
      <c r="M308" s="47" t="s">
        <v>4379</v>
      </c>
      <c r="N308" s="134">
        <v>23.055466</v>
      </c>
      <c r="O308" s="134">
        <v>91.978882</v>
      </c>
      <c r="P308" s="81">
        <v>400</v>
      </c>
      <c r="Q308" s="47"/>
      <c r="R308" s="81"/>
      <c r="S308" s="81"/>
      <c r="T308" s="135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3"/>
      <c r="AH308" s="58"/>
      <c r="AI308" s="59"/>
      <c r="AJ308" s="57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50" t="s">
        <v>3588</v>
      </c>
      <c r="E309" s="47" t="s">
        <v>3587</v>
      </c>
      <c r="F309" s="47" t="s">
        <v>49</v>
      </c>
      <c r="G309" s="130" t="s">
        <v>697</v>
      </c>
      <c r="H309" s="57"/>
      <c r="I309" s="59"/>
      <c r="J309" s="57"/>
      <c r="K309" s="81" t="s">
        <v>4380</v>
      </c>
      <c r="L309" s="47" t="s">
        <v>4381</v>
      </c>
      <c r="M309" s="47" t="s">
        <v>4382</v>
      </c>
      <c r="N309" s="134">
        <v>23.056579</v>
      </c>
      <c r="O309" s="134">
        <v>91.985638</v>
      </c>
      <c r="P309" s="81">
        <v>400</v>
      </c>
      <c r="Q309" s="47"/>
      <c r="R309" s="81"/>
      <c r="S309" s="81"/>
      <c r="T309" s="135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3"/>
      <c r="AH309" s="58"/>
      <c r="AI309" s="59"/>
      <c r="AJ309" s="57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50" t="s">
        <v>3588</v>
      </c>
      <c r="E310" s="47" t="s">
        <v>3587</v>
      </c>
      <c r="F310" s="47" t="s">
        <v>49</v>
      </c>
      <c r="G310" s="130" t="s">
        <v>697</v>
      </c>
      <c r="H310" s="57"/>
      <c r="I310" s="59"/>
      <c r="J310" s="57"/>
      <c r="K310" s="81" t="s">
        <v>4383</v>
      </c>
      <c r="L310" s="47" t="s">
        <v>4384</v>
      </c>
      <c r="M310" s="47" t="s">
        <v>4385</v>
      </c>
      <c r="N310" s="134">
        <v>23.059343</v>
      </c>
      <c r="O310" s="134">
        <v>91.986041</v>
      </c>
      <c r="P310" s="81">
        <v>600</v>
      </c>
      <c r="Q310" s="47"/>
      <c r="R310" s="81"/>
      <c r="S310" s="81"/>
      <c r="T310" s="135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3"/>
      <c r="AH310" s="58"/>
      <c r="AI310" s="59"/>
      <c r="AJ310" s="57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50" t="s">
        <v>3588</v>
      </c>
      <c r="E311" s="47" t="s">
        <v>3587</v>
      </c>
      <c r="F311" s="47" t="s">
        <v>49</v>
      </c>
      <c r="G311" s="130" t="s">
        <v>707</v>
      </c>
      <c r="H311" s="57"/>
      <c r="I311" s="59"/>
      <c r="J311" s="57"/>
      <c r="K311" s="81" t="s">
        <v>4386</v>
      </c>
      <c r="L311" s="47" t="s">
        <v>4387</v>
      </c>
      <c r="M311" s="47" t="s">
        <v>4388</v>
      </c>
      <c r="N311" s="134">
        <v>23.046683</v>
      </c>
      <c r="O311" s="134">
        <v>91.981846</v>
      </c>
      <c r="P311" s="81">
        <v>1200</v>
      </c>
      <c r="Q311" s="47"/>
      <c r="R311" s="81"/>
      <c r="S311" s="81"/>
      <c r="T311" s="135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3"/>
      <c r="AH311" s="58"/>
      <c r="AI311" s="59"/>
      <c r="AJ311" s="57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50" t="s">
        <v>3588</v>
      </c>
      <c r="E312" s="47" t="s">
        <v>3587</v>
      </c>
      <c r="F312" s="47" t="s">
        <v>49</v>
      </c>
      <c r="G312" s="130" t="s">
        <v>707</v>
      </c>
      <c r="H312" s="57"/>
      <c r="I312" s="59"/>
      <c r="J312" s="57"/>
      <c r="K312" s="81" t="s">
        <v>4389</v>
      </c>
      <c r="L312" s="47" t="s">
        <v>4390</v>
      </c>
      <c r="M312" s="47" t="s">
        <v>4391</v>
      </c>
      <c r="N312" s="134">
        <v>23.050471</v>
      </c>
      <c r="O312" s="134">
        <v>91.991354</v>
      </c>
      <c r="P312" s="81">
        <v>450</v>
      </c>
      <c r="Q312" s="47"/>
      <c r="R312" s="81"/>
      <c r="S312" s="81"/>
      <c r="T312" s="135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8"/>
      <c r="AI312" s="59"/>
      <c r="AJ312" s="57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50" t="s">
        <v>3588</v>
      </c>
      <c r="E313" s="47" t="s">
        <v>3587</v>
      </c>
      <c r="F313" s="47" t="s">
        <v>49</v>
      </c>
      <c r="G313" s="130" t="s">
        <v>707</v>
      </c>
      <c r="H313" s="57"/>
      <c r="I313" s="59"/>
      <c r="J313" s="57"/>
      <c r="K313" s="81" t="s">
        <v>4392</v>
      </c>
      <c r="L313" s="47" t="s">
        <v>4393</v>
      </c>
      <c r="M313" s="47" t="s">
        <v>4394</v>
      </c>
      <c r="N313" s="134">
        <v>23.041908</v>
      </c>
      <c r="O313" s="134">
        <v>91.984079</v>
      </c>
      <c r="P313" s="81">
        <v>600</v>
      </c>
      <c r="Q313" s="47"/>
      <c r="R313" s="81"/>
      <c r="S313" s="81"/>
      <c r="T313" s="7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3"/>
      <c r="AH313" s="58"/>
      <c r="AI313" s="59"/>
      <c r="AJ313" s="57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50" t="s">
        <v>3588</v>
      </c>
      <c r="E314" s="47" t="s">
        <v>3587</v>
      </c>
      <c r="F314" s="47" t="s">
        <v>49</v>
      </c>
      <c r="G314" s="130" t="s">
        <v>707</v>
      </c>
      <c r="H314" s="57"/>
      <c r="I314" s="59"/>
      <c r="J314" s="57"/>
      <c r="K314" s="81" t="s">
        <v>4395</v>
      </c>
      <c r="L314" s="47" t="s">
        <v>4396</v>
      </c>
      <c r="M314" s="47" t="s">
        <v>4397</v>
      </c>
      <c r="N314" s="134">
        <v>23.04497</v>
      </c>
      <c r="O314" s="134">
        <v>91.978076</v>
      </c>
      <c r="P314" s="81">
        <v>270</v>
      </c>
      <c r="Q314" s="47"/>
      <c r="R314" s="81"/>
      <c r="S314" s="81"/>
      <c r="T314" s="135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3"/>
      <c r="AH314" s="58"/>
      <c r="AI314" s="59"/>
      <c r="AJ314" s="57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50" t="s">
        <v>3588</v>
      </c>
      <c r="E315" s="47" t="s">
        <v>3587</v>
      </c>
      <c r="F315" s="47" t="s">
        <v>49</v>
      </c>
      <c r="G315" s="130" t="s">
        <v>707</v>
      </c>
      <c r="H315" s="57"/>
      <c r="I315" s="59"/>
      <c r="J315" s="57"/>
      <c r="K315" s="81" t="s">
        <v>4398</v>
      </c>
      <c r="L315" s="47" t="s">
        <v>4399</v>
      </c>
      <c r="M315" s="47" t="s">
        <v>4400</v>
      </c>
      <c r="N315" s="134">
        <v>23.050266</v>
      </c>
      <c r="O315" s="134">
        <v>91.985777</v>
      </c>
      <c r="P315" s="81">
        <v>800</v>
      </c>
      <c r="Q315" s="47"/>
      <c r="R315" s="81"/>
      <c r="S315" s="81"/>
      <c r="T315" s="135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3"/>
      <c r="AH315" s="58"/>
      <c r="AI315" s="59"/>
      <c r="AJ315" s="57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50" t="s">
        <v>3588</v>
      </c>
      <c r="E316" s="47" t="s">
        <v>3587</v>
      </c>
      <c r="F316" s="47" t="s">
        <v>49</v>
      </c>
      <c r="G316" s="130" t="s">
        <v>707</v>
      </c>
      <c r="H316" s="57"/>
      <c r="I316" s="59"/>
      <c r="J316" s="57"/>
      <c r="K316" s="81" t="s">
        <v>4401</v>
      </c>
      <c r="L316" s="47" t="s">
        <v>4402</v>
      </c>
      <c r="M316" s="47" t="s">
        <v>4403</v>
      </c>
      <c r="N316" s="134">
        <v>23.045806</v>
      </c>
      <c r="O316" s="134">
        <v>91.990755</v>
      </c>
      <c r="P316" s="81">
        <v>360</v>
      </c>
      <c r="Q316" s="47"/>
      <c r="R316" s="81"/>
      <c r="S316" s="81"/>
      <c r="T316" s="7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3"/>
      <c r="AH316" s="58"/>
      <c r="AI316" s="59"/>
      <c r="AJ316" s="57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50" t="s">
        <v>3588</v>
      </c>
      <c r="E317" s="47" t="s">
        <v>3587</v>
      </c>
      <c r="F317" s="47" t="s">
        <v>49</v>
      </c>
      <c r="G317" s="130" t="s">
        <v>707</v>
      </c>
      <c r="H317" s="57"/>
      <c r="I317" s="59"/>
      <c r="J317" s="57"/>
      <c r="K317" s="81" t="s">
        <v>4404</v>
      </c>
      <c r="L317" s="47" t="s">
        <v>4405</v>
      </c>
      <c r="M317" s="47" t="s">
        <v>4406</v>
      </c>
      <c r="N317" s="134">
        <v>23.044271</v>
      </c>
      <c r="O317" s="134">
        <v>91.99698</v>
      </c>
      <c r="P317" s="81">
        <v>750</v>
      </c>
      <c r="Q317" s="47"/>
      <c r="R317" s="81"/>
      <c r="S317" s="81"/>
      <c r="T317" s="7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3"/>
      <c r="AH317" s="58"/>
      <c r="AI317" s="59"/>
      <c r="AJ317" s="57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50" t="s">
        <v>3588</v>
      </c>
      <c r="E318" s="47" t="s">
        <v>3587</v>
      </c>
      <c r="F318" s="47" t="s">
        <v>49</v>
      </c>
      <c r="G318" s="130" t="s">
        <v>707</v>
      </c>
      <c r="H318" s="57"/>
      <c r="I318" s="59"/>
      <c r="J318" s="57"/>
      <c r="K318" s="81" t="s">
        <v>4407</v>
      </c>
      <c r="L318" s="47" t="s">
        <v>4408</v>
      </c>
      <c r="M318" s="47" t="s">
        <v>4409</v>
      </c>
      <c r="N318" s="134">
        <v>23.040975</v>
      </c>
      <c r="O318" s="134">
        <v>91.985302</v>
      </c>
      <c r="P318" s="81"/>
      <c r="Q318" s="81"/>
      <c r="R318" s="81"/>
      <c r="S318" s="81"/>
      <c r="T318" s="135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3"/>
      <c r="AH318" s="58"/>
      <c r="AI318" s="59"/>
      <c r="AJ318" s="57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50" t="s">
        <v>3588</v>
      </c>
      <c r="E319" s="47" t="s">
        <v>3587</v>
      </c>
      <c r="F319" s="47" t="s">
        <v>49</v>
      </c>
      <c r="G319" s="130" t="s">
        <v>726</v>
      </c>
      <c r="H319" s="57"/>
      <c r="I319" s="59"/>
      <c r="J319" s="57"/>
      <c r="K319" s="81" t="s">
        <v>4410</v>
      </c>
      <c r="L319" s="47" t="s">
        <v>4411</v>
      </c>
      <c r="M319" s="47" t="s">
        <v>4412</v>
      </c>
      <c r="N319" s="134">
        <v>23.02908</v>
      </c>
      <c r="O319" s="134">
        <v>91.990432</v>
      </c>
      <c r="P319" s="81">
        <v>750</v>
      </c>
      <c r="Q319" s="47"/>
      <c r="R319" s="81"/>
      <c r="S319" s="81"/>
      <c r="T319" s="135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3"/>
      <c r="AH319" s="58"/>
      <c r="AI319" s="59"/>
      <c r="AJ319" s="57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50" t="s">
        <v>3588</v>
      </c>
      <c r="E320" s="47" t="s">
        <v>3587</v>
      </c>
      <c r="F320" s="47" t="s">
        <v>49</v>
      </c>
      <c r="G320" s="130" t="s">
        <v>726</v>
      </c>
      <c r="H320" s="57"/>
      <c r="I320" s="59"/>
      <c r="J320" s="57"/>
      <c r="K320" s="81" t="s">
        <v>4413</v>
      </c>
      <c r="L320" s="47" t="s">
        <v>4414</v>
      </c>
      <c r="M320" s="47" t="s">
        <v>4415</v>
      </c>
      <c r="N320" s="134">
        <v>23.034079</v>
      </c>
      <c r="O320" s="134">
        <v>91.988568</v>
      </c>
      <c r="P320" s="81">
        <v>750</v>
      </c>
      <c r="Q320" s="47"/>
      <c r="R320" s="81"/>
      <c r="S320" s="81"/>
      <c r="T320" s="135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3"/>
      <c r="AH320" s="58"/>
      <c r="AI320" s="59"/>
      <c r="AJ320" s="57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50" t="s">
        <v>3588</v>
      </c>
      <c r="E321" s="47" t="s">
        <v>3587</v>
      </c>
      <c r="F321" s="47" t="s">
        <v>49</v>
      </c>
      <c r="G321" s="130" t="s">
        <v>726</v>
      </c>
      <c r="H321" s="57"/>
      <c r="I321" s="59"/>
      <c r="J321" s="57"/>
      <c r="K321" s="81" t="s">
        <v>4416</v>
      </c>
      <c r="L321" s="47" t="s">
        <v>4417</v>
      </c>
      <c r="M321" s="47" t="s">
        <v>4418</v>
      </c>
      <c r="N321" s="134">
        <v>23.020425</v>
      </c>
      <c r="O321" s="134">
        <v>91.988264</v>
      </c>
      <c r="P321" s="81">
        <v>1000</v>
      </c>
      <c r="Q321" s="47"/>
      <c r="R321" s="81"/>
      <c r="S321" s="81"/>
      <c r="T321" s="135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3"/>
      <c r="AH321" s="58"/>
      <c r="AI321" s="59"/>
      <c r="AJ321" s="57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50" t="s">
        <v>3588</v>
      </c>
      <c r="E322" s="47" t="s">
        <v>3587</v>
      </c>
      <c r="F322" s="47" t="s">
        <v>49</v>
      </c>
      <c r="G322" s="130" t="s">
        <v>726</v>
      </c>
      <c r="H322" s="57"/>
      <c r="I322" s="59"/>
      <c r="J322" s="57"/>
      <c r="K322" s="81" t="s">
        <v>4419</v>
      </c>
      <c r="L322" s="47" t="s">
        <v>4420</v>
      </c>
      <c r="M322" s="47" t="s">
        <v>4421</v>
      </c>
      <c r="N322" s="134">
        <v>23.028938</v>
      </c>
      <c r="O322" s="134">
        <v>91.987288</v>
      </c>
      <c r="P322" s="81">
        <v>240</v>
      </c>
      <c r="Q322" s="47"/>
      <c r="R322" s="81"/>
      <c r="S322" s="81"/>
      <c r="T322" s="135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3"/>
      <c r="AH322" s="58"/>
      <c r="AI322" s="59"/>
      <c r="AJ322" s="57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50" t="s">
        <v>3588</v>
      </c>
      <c r="E323" s="47" t="s">
        <v>3587</v>
      </c>
      <c r="F323" s="47" t="s">
        <v>49</v>
      </c>
      <c r="G323" s="130" t="s">
        <v>726</v>
      </c>
      <c r="H323" s="57"/>
      <c r="I323" s="59"/>
      <c r="J323" s="57"/>
      <c r="K323" s="81" t="s">
        <v>4422</v>
      </c>
      <c r="L323" s="47" t="s">
        <v>4423</v>
      </c>
      <c r="M323" s="47" t="s">
        <v>4424</v>
      </c>
      <c r="N323" s="134">
        <v>23.015371</v>
      </c>
      <c r="O323" s="134">
        <v>91.981696</v>
      </c>
      <c r="P323" s="81">
        <v>600</v>
      </c>
      <c r="Q323" s="47"/>
      <c r="R323" s="81"/>
      <c r="S323" s="81"/>
      <c r="T323" s="7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3"/>
      <c r="AH323" s="58"/>
      <c r="AI323" s="59"/>
      <c r="AJ323" s="57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50" t="s">
        <v>3588</v>
      </c>
      <c r="E324" s="47" t="s">
        <v>3587</v>
      </c>
      <c r="F324" s="47" t="s">
        <v>49</v>
      </c>
      <c r="G324" s="130" t="s">
        <v>742</v>
      </c>
      <c r="H324" s="57"/>
      <c r="I324" s="59"/>
      <c r="J324" s="57"/>
      <c r="K324" s="81" t="s">
        <v>4425</v>
      </c>
      <c r="L324" s="47" t="s">
        <v>4426</v>
      </c>
      <c r="M324" s="47" t="s">
        <v>4427</v>
      </c>
      <c r="N324" s="134">
        <v>23.042531</v>
      </c>
      <c r="O324" s="134">
        <v>91.99865</v>
      </c>
      <c r="P324" s="81">
        <v>220</v>
      </c>
      <c r="Q324" s="47"/>
      <c r="R324" s="81"/>
      <c r="S324" s="81"/>
      <c r="T324" s="135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3"/>
      <c r="AH324" s="58"/>
      <c r="AI324" s="59"/>
      <c r="AJ324" s="57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50" t="s">
        <v>3588</v>
      </c>
      <c r="E325" s="47" t="s">
        <v>3587</v>
      </c>
      <c r="F325" s="47" t="s">
        <v>49</v>
      </c>
      <c r="G325" s="130" t="s">
        <v>742</v>
      </c>
      <c r="H325" s="57"/>
      <c r="I325" s="59"/>
      <c r="J325" s="57"/>
      <c r="K325" s="81" t="s">
        <v>4428</v>
      </c>
      <c r="L325" s="47" t="s">
        <v>4429</v>
      </c>
      <c r="M325" s="47" t="s">
        <v>4430</v>
      </c>
      <c r="N325" s="134">
        <v>23.034041</v>
      </c>
      <c r="O325" s="134">
        <v>91.996181</v>
      </c>
      <c r="P325" s="81">
        <v>450</v>
      </c>
      <c r="Q325" s="47"/>
      <c r="R325" s="81"/>
      <c r="S325" s="81"/>
      <c r="T325" s="135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3"/>
      <c r="AH325" s="58"/>
      <c r="AI325" s="59"/>
      <c r="AJ325" s="57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50" t="s">
        <v>3588</v>
      </c>
      <c r="E326" s="47" t="s">
        <v>3587</v>
      </c>
      <c r="F326" s="47" t="s">
        <v>49</v>
      </c>
      <c r="G326" s="130" t="s">
        <v>742</v>
      </c>
      <c r="H326" s="57"/>
      <c r="I326" s="59"/>
      <c r="J326" s="57"/>
      <c r="K326" s="81" t="s">
        <v>4431</v>
      </c>
      <c r="L326" s="47" t="s">
        <v>4432</v>
      </c>
      <c r="M326" s="47" t="s">
        <v>4433</v>
      </c>
      <c r="N326" s="134">
        <v>23.029589</v>
      </c>
      <c r="O326" s="134">
        <v>92.003258</v>
      </c>
      <c r="P326" s="81">
        <v>35</v>
      </c>
      <c r="Q326" s="47"/>
      <c r="R326" s="81"/>
      <c r="S326" s="81"/>
      <c r="T326" s="135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8"/>
      <c r="AI326" s="59"/>
      <c r="AJ326" s="57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50" t="s">
        <v>3588</v>
      </c>
      <c r="E327" s="47" t="s">
        <v>3587</v>
      </c>
      <c r="F327" s="47" t="s">
        <v>49</v>
      </c>
      <c r="G327" s="130" t="s">
        <v>742</v>
      </c>
      <c r="H327" s="57"/>
      <c r="I327" s="59"/>
      <c r="J327" s="57"/>
      <c r="K327" s="81" t="s">
        <v>4434</v>
      </c>
      <c r="L327" s="47" t="s">
        <v>4435</v>
      </c>
      <c r="M327" s="47" t="s">
        <v>4436</v>
      </c>
      <c r="N327" s="134">
        <v>23.023803</v>
      </c>
      <c r="O327" s="134">
        <v>91.999634</v>
      </c>
      <c r="P327" s="81">
        <v>210</v>
      </c>
      <c r="Q327" s="47"/>
      <c r="R327" s="81"/>
      <c r="S327" s="81"/>
      <c r="T327" s="135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3"/>
      <c r="AH327" s="58"/>
      <c r="AI327" s="59"/>
      <c r="AJ327" s="57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50" t="s">
        <v>3588</v>
      </c>
      <c r="E328" s="47" t="s">
        <v>3587</v>
      </c>
      <c r="F328" s="47" t="s">
        <v>49</v>
      </c>
      <c r="G328" s="130" t="s">
        <v>742</v>
      </c>
      <c r="H328" s="57"/>
      <c r="I328" s="59"/>
      <c r="J328" s="57"/>
      <c r="K328" s="81" t="s">
        <v>4437</v>
      </c>
      <c r="L328" s="47" t="s">
        <v>4438</v>
      </c>
      <c r="M328" s="47" t="s">
        <v>4439</v>
      </c>
      <c r="N328" s="134">
        <v>23.021154</v>
      </c>
      <c r="O328" s="134">
        <v>92.002277</v>
      </c>
      <c r="P328" s="81">
        <v>900</v>
      </c>
      <c r="Q328" s="47"/>
      <c r="R328" s="81"/>
      <c r="S328" s="81"/>
      <c r="T328" s="135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3"/>
      <c r="AH328" s="58"/>
      <c r="AI328" s="59"/>
      <c r="AJ328" s="57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50" t="s">
        <v>3588</v>
      </c>
      <c r="E329" s="47" t="s">
        <v>3587</v>
      </c>
      <c r="F329" s="47" t="s">
        <v>49</v>
      </c>
      <c r="G329" s="130" t="s">
        <v>742</v>
      </c>
      <c r="H329" s="57"/>
      <c r="I329" s="59"/>
      <c r="J329" s="57"/>
      <c r="K329" s="81" t="s">
        <v>4440</v>
      </c>
      <c r="L329" s="47" t="s">
        <v>4441</v>
      </c>
      <c r="M329" s="47" t="s">
        <v>4442</v>
      </c>
      <c r="N329" s="134">
        <v>23.023988</v>
      </c>
      <c r="O329" s="134">
        <v>92.00988</v>
      </c>
      <c r="P329" s="81">
        <v>400</v>
      </c>
      <c r="Q329" s="47"/>
      <c r="R329" s="81"/>
      <c r="S329" s="81"/>
      <c r="T329" s="135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3"/>
      <c r="AH329" s="58"/>
      <c r="AI329" s="59"/>
      <c r="AJ329" s="57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50" t="s">
        <v>3588</v>
      </c>
      <c r="E330" s="47" t="s">
        <v>3587</v>
      </c>
      <c r="F330" s="47" t="s">
        <v>49</v>
      </c>
      <c r="G330" s="130" t="s">
        <v>742</v>
      </c>
      <c r="H330" s="57"/>
      <c r="I330" s="59"/>
      <c r="J330" s="57"/>
      <c r="K330" s="81" t="s">
        <v>4443</v>
      </c>
      <c r="L330" s="47" t="s">
        <v>4444</v>
      </c>
      <c r="M330" s="47" t="s">
        <v>4445</v>
      </c>
      <c r="N330" s="134">
        <v>23.030755</v>
      </c>
      <c r="O330" s="134">
        <v>92.006769</v>
      </c>
      <c r="P330" s="81">
        <v>240</v>
      </c>
      <c r="Q330" s="47"/>
      <c r="R330" s="81"/>
      <c r="S330" s="81"/>
      <c r="T330" s="135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3"/>
      <c r="AH330" s="58"/>
      <c r="AI330" s="59"/>
      <c r="AJ330" s="57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50" t="s">
        <v>3588</v>
      </c>
      <c r="E331" s="47" t="s">
        <v>3587</v>
      </c>
      <c r="F331" s="47" t="s">
        <v>49</v>
      </c>
      <c r="G331" s="130" t="s">
        <v>761</v>
      </c>
      <c r="H331" s="57"/>
      <c r="I331" s="59"/>
      <c r="J331" s="57"/>
      <c r="K331" s="81" t="s">
        <v>4446</v>
      </c>
      <c r="L331" s="47" t="s">
        <v>4447</v>
      </c>
      <c r="M331" s="47" t="s">
        <v>4448</v>
      </c>
      <c r="N331" s="134">
        <v>23.059535</v>
      </c>
      <c r="O331" s="134">
        <v>91.996678</v>
      </c>
      <c r="P331" s="81">
        <v>300</v>
      </c>
      <c r="Q331" s="47"/>
      <c r="R331" s="81"/>
      <c r="S331" s="81"/>
      <c r="T331" s="135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3"/>
      <c r="AH331" s="58"/>
      <c r="AI331" s="59"/>
      <c r="AJ331" s="57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50" t="s">
        <v>3588</v>
      </c>
      <c r="E332" s="47" t="s">
        <v>3587</v>
      </c>
      <c r="F332" s="47" t="s">
        <v>49</v>
      </c>
      <c r="G332" s="130" t="s">
        <v>761</v>
      </c>
      <c r="H332" s="57"/>
      <c r="I332" s="59"/>
      <c r="J332" s="57"/>
      <c r="K332" s="81" t="s">
        <v>4449</v>
      </c>
      <c r="L332" s="47" t="s">
        <v>4450</v>
      </c>
      <c r="M332" s="47" t="s">
        <v>4451</v>
      </c>
      <c r="N332" s="134">
        <v>23.057535</v>
      </c>
      <c r="O332" s="134">
        <v>92.001524</v>
      </c>
      <c r="P332" s="81">
        <v>222</v>
      </c>
      <c r="Q332" s="47"/>
      <c r="R332" s="81"/>
      <c r="S332" s="81"/>
      <c r="T332" s="7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3"/>
      <c r="AH332" s="58"/>
      <c r="AI332" s="59"/>
      <c r="AJ332" s="57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50" t="s">
        <v>3588</v>
      </c>
      <c r="E333" s="47" t="s">
        <v>3587</v>
      </c>
      <c r="F333" s="47" t="s">
        <v>49</v>
      </c>
      <c r="G333" s="130" t="s">
        <v>761</v>
      </c>
      <c r="H333" s="57"/>
      <c r="I333" s="59"/>
      <c r="J333" s="57"/>
      <c r="K333" s="81" t="s">
        <v>4452</v>
      </c>
      <c r="L333" s="47" t="s">
        <v>4453</v>
      </c>
      <c r="M333" s="47" t="s">
        <v>4454</v>
      </c>
      <c r="N333" s="134">
        <v>23.064933</v>
      </c>
      <c r="O333" s="134">
        <v>91.99409</v>
      </c>
      <c r="P333" s="81">
        <v>150</v>
      </c>
      <c r="Q333" s="47"/>
      <c r="R333" s="81"/>
      <c r="S333" s="81"/>
      <c r="T333" s="7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3"/>
      <c r="AH333" s="58"/>
      <c r="AI333" s="59"/>
      <c r="AJ333" s="57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50" t="s">
        <v>3588</v>
      </c>
      <c r="E334" s="47" t="s">
        <v>3587</v>
      </c>
      <c r="F334" s="47" t="s">
        <v>49</v>
      </c>
      <c r="G334" s="130" t="s">
        <v>761</v>
      </c>
      <c r="H334" s="57"/>
      <c r="I334" s="59"/>
      <c r="J334" s="57"/>
      <c r="K334" s="81" t="s">
        <v>2536</v>
      </c>
      <c r="L334" s="47" t="s">
        <v>2872</v>
      </c>
      <c r="M334" s="47" t="s">
        <v>4455</v>
      </c>
      <c r="N334" s="134">
        <v>23.056764</v>
      </c>
      <c r="O334" s="134">
        <v>91.993176</v>
      </c>
      <c r="P334" s="81">
        <v>80</v>
      </c>
      <c r="Q334" s="47"/>
      <c r="R334" s="81"/>
      <c r="S334" s="81"/>
      <c r="T334" s="7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3"/>
      <c r="AH334" s="58"/>
      <c r="AI334" s="59"/>
      <c r="AJ334" s="57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50" t="s">
        <v>3588</v>
      </c>
      <c r="E335" s="47" t="s">
        <v>3587</v>
      </c>
      <c r="F335" s="47" t="s">
        <v>49</v>
      </c>
      <c r="G335" s="130" t="s">
        <v>781</v>
      </c>
      <c r="H335" s="57"/>
      <c r="I335" s="59"/>
      <c r="J335" s="57"/>
      <c r="K335" s="81" t="s">
        <v>4456</v>
      </c>
      <c r="L335" s="47" t="s">
        <v>4457</v>
      </c>
      <c r="M335" s="47" t="s">
        <v>4458</v>
      </c>
      <c r="N335" s="134">
        <v>23.050508</v>
      </c>
      <c r="O335" s="134">
        <v>92.003339</v>
      </c>
      <c r="P335" s="81">
        <v>205</v>
      </c>
      <c r="Q335" s="47"/>
      <c r="R335" s="81"/>
      <c r="S335" s="81"/>
      <c r="T335" s="135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3"/>
      <c r="AH335" s="58"/>
      <c r="AI335" s="59"/>
      <c r="AJ335" s="57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50" t="s">
        <v>3588</v>
      </c>
      <c r="E336" s="47" t="s">
        <v>3587</v>
      </c>
      <c r="F336" s="47" t="s">
        <v>49</v>
      </c>
      <c r="G336" s="130" t="s">
        <v>781</v>
      </c>
      <c r="H336" s="57"/>
      <c r="I336" s="59"/>
      <c r="J336" s="57"/>
      <c r="K336" s="81" t="s">
        <v>3822</v>
      </c>
      <c r="L336" s="47" t="s">
        <v>3823</v>
      </c>
      <c r="M336" s="47" t="s">
        <v>4459</v>
      </c>
      <c r="N336" s="134">
        <v>23.047551</v>
      </c>
      <c r="O336" s="134">
        <v>92.000638</v>
      </c>
      <c r="P336" s="81">
        <v>120</v>
      </c>
      <c r="Q336" s="47"/>
      <c r="R336" s="81"/>
      <c r="S336" s="81"/>
      <c r="T336" s="135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3"/>
      <c r="AH336" s="58"/>
      <c r="AI336" s="59"/>
      <c r="AJ336" s="57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50" t="s">
        <v>3588</v>
      </c>
      <c r="E337" s="47" t="s">
        <v>3587</v>
      </c>
      <c r="F337" s="47" t="s">
        <v>49</v>
      </c>
      <c r="G337" s="130" t="s">
        <v>781</v>
      </c>
      <c r="H337" s="57"/>
      <c r="I337" s="59"/>
      <c r="J337" s="57"/>
      <c r="K337" s="81" t="s">
        <v>4460</v>
      </c>
      <c r="L337" s="47" t="s">
        <v>4461</v>
      </c>
      <c r="M337" s="47" t="s">
        <v>4462</v>
      </c>
      <c r="N337" s="134">
        <v>23.042612</v>
      </c>
      <c r="O337" s="134">
        <v>92.004403</v>
      </c>
      <c r="P337" s="81">
        <v>95</v>
      </c>
      <c r="Q337" s="47"/>
      <c r="R337" s="81"/>
      <c r="S337" s="81"/>
      <c r="T337" s="135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3"/>
      <c r="AH337" s="58"/>
      <c r="AI337" s="59"/>
      <c r="AJ337" s="57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50" t="s">
        <v>3588</v>
      </c>
      <c r="E338" s="47" t="s">
        <v>3587</v>
      </c>
      <c r="F338" s="47" t="s">
        <v>49</v>
      </c>
      <c r="G338" s="130" t="s">
        <v>781</v>
      </c>
      <c r="H338" s="57"/>
      <c r="I338" s="59"/>
      <c r="J338" s="57"/>
      <c r="K338" s="81" t="s">
        <v>4463</v>
      </c>
      <c r="L338" s="47" t="s">
        <v>4464</v>
      </c>
      <c r="M338" s="47" t="s">
        <v>4465</v>
      </c>
      <c r="N338" s="134">
        <v>23.037289</v>
      </c>
      <c r="O338" s="134">
        <v>92.010988</v>
      </c>
      <c r="P338" s="81">
        <v>122</v>
      </c>
      <c r="Q338" s="47"/>
      <c r="R338" s="81"/>
      <c r="S338" s="81"/>
      <c r="T338" s="135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3"/>
      <c r="AH338" s="58"/>
      <c r="AI338" s="59"/>
      <c r="AJ338" s="57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50" t="s">
        <v>3588</v>
      </c>
      <c r="E339" s="47" t="s">
        <v>3587</v>
      </c>
      <c r="F339" s="47" t="s">
        <v>49</v>
      </c>
      <c r="G339" s="130" t="s">
        <v>781</v>
      </c>
      <c r="H339" s="57"/>
      <c r="I339" s="59"/>
      <c r="J339" s="57"/>
      <c r="K339" s="81" t="s">
        <v>4466</v>
      </c>
      <c r="L339" s="47" t="s">
        <v>4467</v>
      </c>
      <c r="M339" s="47" t="s">
        <v>4468</v>
      </c>
      <c r="N339" s="134">
        <v>23.037051</v>
      </c>
      <c r="O339" s="134">
        <v>92.006419</v>
      </c>
      <c r="P339" s="81">
        <v>281</v>
      </c>
      <c r="Q339" s="47"/>
      <c r="R339" s="81"/>
      <c r="S339" s="81"/>
      <c r="T339" s="135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3"/>
      <c r="AH339" s="58"/>
      <c r="AI339" s="59"/>
      <c r="AJ339" s="57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50" t="s">
        <v>3588</v>
      </c>
      <c r="E340" s="47" t="s">
        <v>3587</v>
      </c>
      <c r="F340" s="47" t="s">
        <v>49</v>
      </c>
      <c r="G340" s="130" t="s">
        <v>797</v>
      </c>
      <c r="H340" s="57"/>
      <c r="I340" s="59"/>
      <c r="J340" s="57"/>
      <c r="K340" s="81" t="s">
        <v>4469</v>
      </c>
      <c r="L340" s="47" t="s">
        <v>4470</v>
      </c>
      <c r="M340" s="47" t="s">
        <v>4471</v>
      </c>
      <c r="N340" s="134">
        <v>23.031601</v>
      </c>
      <c r="O340" s="134">
        <v>92.017256</v>
      </c>
      <c r="P340" s="81">
        <v>1000</v>
      </c>
      <c r="Q340" s="47"/>
      <c r="R340" s="81"/>
      <c r="S340" s="81"/>
      <c r="T340" s="7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3"/>
      <c r="AH340" s="58"/>
      <c r="AI340" s="59"/>
      <c r="AJ340" s="57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50" t="s">
        <v>3588</v>
      </c>
      <c r="E341" s="47" t="s">
        <v>3587</v>
      </c>
      <c r="F341" s="47" t="s">
        <v>49</v>
      </c>
      <c r="G341" s="130" t="s">
        <v>797</v>
      </c>
      <c r="H341" s="57"/>
      <c r="I341" s="59"/>
      <c r="J341" s="57"/>
      <c r="K341" s="81" t="s">
        <v>4466</v>
      </c>
      <c r="L341" s="47" t="s">
        <v>4467</v>
      </c>
      <c r="M341" s="47" t="s">
        <v>4472</v>
      </c>
      <c r="N341" s="134">
        <v>23.032368</v>
      </c>
      <c r="O341" s="134">
        <v>92.009336</v>
      </c>
      <c r="P341" s="81">
        <v>950</v>
      </c>
      <c r="Q341" s="47"/>
      <c r="R341" s="81"/>
      <c r="S341" s="81"/>
      <c r="T341" s="135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3"/>
      <c r="AH341" s="58"/>
      <c r="AI341" s="59"/>
      <c r="AJ341" s="57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50" t="s">
        <v>3588</v>
      </c>
      <c r="E342" s="47" t="s">
        <v>3587</v>
      </c>
      <c r="F342" s="47" t="s">
        <v>49</v>
      </c>
      <c r="G342" s="130" t="s">
        <v>797</v>
      </c>
      <c r="H342" s="57"/>
      <c r="I342" s="59"/>
      <c r="J342" s="57"/>
      <c r="K342" s="81" t="s">
        <v>4473</v>
      </c>
      <c r="L342" s="47" t="s">
        <v>4474</v>
      </c>
      <c r="M342" s="47" t="s">
        <v>4475</v>
      </c>
      <c r="N342" s="134">
        <v>23.020407</v>
      </c>
      <c r="O342" s="134">
        <v>92.023059</v>
      </c>
      <c r="P342" s="81">
        <v>530</v>
      </c>
      <c r="Q342" s="47"/>
      <c r="R342" s="81"/>
      <c r="S342" s="81"/>
      <c r="T342" s="135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3"/>
      <c r="AH342" s="58"/>
      <c r="AI342" s="59"/>
      <c r="AJ342" s="57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50" t="s">
        <v>3588</v>
      </c>
      <c r="E343" s="47" t="s">
        <v>3587</v>
      </c>
      <c r="F343" s="47" t="s">
        <v>49</v>
      </c>
      <c r="G343" s="130" t="s">
        <v>797</v>
      </c>
      <c r="H343" s="57"/>
      <c r="I343" s="59"/>
      <c r="J343" s="57"/>
      <c r="K343" s="81" t="s">
        <v>4476</v>
      </c>
      <c r="L343" s="47" t="s">
        <v>4477</v>
      </c>
      <c r="M343" s="47" t="s">
        <v>4478</v>
      </c>
      <c r="N343" s="134">
        <v>23.019352</v>
      </c>
      <c r="O343" s="134">
        <v>92.021426</v>
      </c>
      <c r="P343" s="81">
        <v>280</v>
      </c>
      <c r="Q343" s="47"/>
      <c r="R343" s="81"/>
      <c r="S343" s="81"/>
      <c r="T343" s="135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3"/>
      <c r="AH343" s="58"/>
      <c r="AI343" s="59"/>
      <c r="AJ343" s="57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50" t="s">
        <v>3588</v>
      </c>
      <c r="E344" s="47" t="s">
        <v>3587</v>
      </c>
      <c r="F344" s="47" t="s">
        <v>49</v>
      </c>
      <c r="G344" s="130" t="s">
        <v>797</v>
      </c>
      <c r="H344" s="57"/>
      <c r="I344" s="59"/>
      <c r="J344" s="57"/>
      <c r="K344" s="81" t="s">
        <v>4479</v>
      </c>
      <c r="L344" s="47" t="s">
        <v>4480</v>
      </c>
      <c r="M344" s="47" t="s">
        <v>4481</v>
      </c>
      <c r="N344" s="134">
        <v>23.039224</v>
      </c>
      <c r="O344" s="134">
        <v>92.003431</v>
      </c>
      <c r="P344" s="81"/>
      <c r="Q344" s="81"/>
      <c r="R344" s="81"/>
      <c r="S344" s="81"/>
      <c r="T344" s="135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3"/>
      <c r="AH344" s="58"/>
      <c r="AI344" s="59"/>
      <c r="AJ344" s="57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50" t="s">
        <v>3588</v>
      </c>
      <c r="E345" s="47" t="s">
        <v>3587</v>
      </c>
      <c r="F345" s="47" t="s">
        <v>4482</v>
      </c>
      <c r="G345" s="130" t="s">
        <v>677</v>
      </c>
      <c r="H345" s="57"/>
      <c r="I345" s="59"/>
      <c r="J345" s="57"/>
      <c r="K345" s="81" t="s">
        <v>4483</v>
      </c>
      <c r="L345" s="47" t="s">
        <v>4484</v>
      </c>
      <c r="M345" s="47" t="s">
        <v>4485</v>
      </c>
      <c r="N345" s="134">
        <v>23.107033</v>
      </c>
      <c r="O345" s="134">
        <v>91.96532</v>
      </c>
      <c r="P345" s="81">
        <v>400</v>
      </c>
      <c r="Q345" s="47"/>
      <c r="R345" s="81"/>
      <c r="S345" s="81"/>
      <c r="T345" s="135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3"/>
      <c r="AH345" s="58"/>
      <c r="AI345" s="59"/>
      <c r="AJ345" s="57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50" t="s">
        <v>3588</v>
      </c>
      <c r="E346" s="47" t="s">
        <v>3587</v>
      </c>
      <c r="F346" s="47" t="s">
        <v>4482</v>
      </c>
      <c r="G346" s="130" t="s">
        <v>677</v>
      </c>
      <c r="H346" s="57"/>
      <c r="I346" s="59"/>
      <c r="J346" s="57"/>
      <c r="K346" s="81" t="s">
        <v>4486</v>
      </c>
      <c r="L346" s="47" t="s">
        <v>4487</v>
      </c>
      <c r="M346" s="47" t="s">
        <v>4488</v>
      </c>
      <c r="N346" s="134">
        <v>23.114176</v>
      </c>
      <c r="O346" s="134">
        <v>91.963464</v>
      </c>
      <c r="P346" s="81">
        <v>150</v>
      </c>
      <c r="Q346" s="47"/>
      <c r="R346" s="81"/>
      <c r="S346" s="81"/>
      <c r="T346" s="135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3"/>
      <c r="AH346" s="58"/>
      <c r="AI346" s="59"/>
      <c r="AJ346" s="57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50" t="s">
        <v>3588</v>
      </c>
      <c r="E347" s="47" t="s">
        <v>3587</v>
      </c>
      <c r="F347" s="47" t="s">
        <v>4482</v>
      </c>
      <c r="G347" s="130" t="s">
        <v>677</v>
      </c>
      <c r="H347" s="57"/>
      <c r="I347" s="59"/>
      <c r="J347" s="57"/>
      <c r="K347" s="81" t="s">
        <v>4489</v>
      </c>
      <c r="L347" s="47" t="s">
        <v>4490</v>
      </c>
      <c r="M347" s="47" t="s">
        <v>4491</v>
      </c>
      <c r="N347" s="134">
        <v>23.108385</v>
      </c>
      <c r="O347" s="134">
        <v>91.949819</v>
      </c>
      <c r="P347" s="81">
        <v>220</v>
      </c>
      <c r="Q347" s="47"/>
      <c r="R347" s="81"/>
      <c r="S347" s="81"/>
      <c r="T347" s="135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3"/>
      <c r="AH347" s="58"/>
      <c r="AI347" s="59"/>
      <c r="AJ347" s="57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50" t="s">
        <v>3588</v>
      </c>
      <c r="E348" s="47" t="s">
        <v>3587</v>
      </c>
      <c r="F348" s="47" t="s">
        <v>4482</v>
      </c>
      <c r="G348" s="130" t="s">
        <v>677</v>
      </c>
      <c r="H348" s="57"/>
      <c r="I348" s="59"/>
      <c r="J348" s="57"/>
      <c r="K348" s="81" t="s">
        <v>140</v>
      </c>
      <c r="L348" s="47" t="s">
        <v>141</v>
      </c>
      <c r="M348" s="47" t="s">
        <v>4492</v>
      </c>
      <c r="N348" s="134">
        <v>23.120568</v>
      </c>
      <c r="O348" s="134">
        <v>91.960833</v>
      </c>
      <c r="P348" s="81">
        <v>1100</v>
      </c>
      <c r="Q348" s="47"/>
      <c r="R348" s="81"/>
      <c r="S348" s="81"/>
      <c r="T348" s="77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53"/>
      <c r="AH348" s="58"/>
      <c r="AI348" s="59"/>
      <c r="AJ348" s="57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50" t="s">
        <v>3588</v>
      </c>
      <c r="E349" s="47" t="s">
        <v>3587</v>
      </c>
      <c r="F349" s="47" t="s">
        <v>4482</v>
      </c>
      <c r="G349" s="130" t="s">
        <v>684</v>
      </c>
      <c r="H349" s="57"/>
      <c r="I349" s="59"/>
      <c r="J349" s="57"/>
      <c r="K349" s="81" t="s">
        <v>4493</v>
      </c>
      <c r="L349" s="47" t="s">
        <v>4494</v>
      </c>
      <c r="M349" s="47" t="s">
        <v>4495</v>
      </c>
      <c r="N349" s="134">
        <v>23.131896</v>
      </c>
      <c r="O349" s="134">
        <v>91.956055</v>
      </c>
      <c r="P349" s="81">
        <v>428</v>
      </c>
      <c r="Q349" s="47"/>
      <c r="R349" s="81"/>
      <c r="S349" s="81"/>
      <c r="T349" s="77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53"/>
      <c r="AH349" s="58"/>
      <c r="AI349" s="59"/>
      <c r="AJ349" s="57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50" t="s">
        <v>3588</v>
      </c>
      <c r="E350" s="47" t="s">
        <v>3587</v>
      </c>
      <c r="F350" s="47" t="s">
        <v>4482</v>
      </c>
      <c r="G350" s="130" t="s">
        <v>684</v>
      </c>
      <c r="H350" s="57"/>
      <c r="I350" s="59"/>
      <c r="J350" s="57"/>
      <c r="K350" s="81" t="s">
        <v>1015</v>
      </c>
      <c r="L350" s="47" t="s">
        <v>3346</v>
      </c>
      <c r="M350" s="47" t="s">
        <v>4496</v>
      </c>
      <c r="N350" s="134">
        <v>23.125464</v>
      </c>
      <c r="O350" s="134">
        <v>91.956759</v>
      </c>
      <c r="P350" s="81">
        <v>320</v>
      </c>
      <c r="Q350" s="47"/>
      <c r="R350" s="81"/>
      <c r="S350" s="81"/>
      <c r="T350" s="135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53"/>
      <c r="AH350" s="58"/>
      <c r="AI350" s="59"/>
      <c r="AJ350" s="57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50" t="s">
        <v>3588</v>
      </c>
      <c r="E351" s="47" t="s">
        <v>3587</v>
      </c>
      <c r="F351" s="47" t="s">
        <v>4482</v>
      </c>
      <c r="G351" s="130" t="s">
        <v>684</v>
      </c>
      <c r="H351" s="57"/>
      <c r="I351" s="59"/>
      <c r="J351" s="57"/>
      <c r="K351" s="81" t="s">
        <v>3662</v>
      </c>
      <c r="L351" s="47" t="s">
        <v>3663</v>
      </c>
      <c r="M351" s="47" t="s">
        <v>4497</v>
      </c>
      <c r="N351" s="134">
        <v>23.128038</v>
      </c>
      <c r="O351" s="134">
        <v>91.942431</v>
      </c>
      <c r="P351" s="81">
        <v>265</v>
      </c>
      <c r="Q351" s="47"/>
      <c r="R351" s="81"/>
      <c r="S351" s="81"/>
      <c r="T351" s="77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53"/>
      <c r="AH351" s="145"/>
      <c r="AI351" s="146"/>
      <c r="AJ351" s="147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50" t="s">
        <v>3588</v>
      </c>
      <c r="E352" s="47" t="s">
        <v>3587</v>
      </c>
      <c r="F352" s="47" t="s">
        <v>4482</v>
      </c>
      <c r="G352" s="130" t="s">
        <v>697</v>
      </c>
      <c r="H352" s="57"/>
      <c r="I352" s="59"/>
      <c r="J352" s="57"/>
      <c r="K352" s="81" t="s">
        <v>4498</v>
      </c>
      <c r="L352" s="47" t="s">
        <v>4499</v>
      </c>
      <c r="M352" s="47" t="s">
        <v>4500</v>
      </c>
      <c r="N352" s="134">
        <v>23.140203</v>
      </c>
      <c r="O352" s="134">
        <v>91.956454</v>
      </c>
      <c r="P352" s="81">
        <v>1200</v>
      </c>
      <c r="Q352" s="47"/>
      <c r="R352" s="81"/>
      <c r="S352" s="81"/>
      <c r="T352" s="77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53"/>
      <c r="AH352" s="145"/>
      <c r="AI352" s="146"/>
      <c r="AJ352" s="147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50" t="s">
        <v>3588</v>
      </c>
      <c r="E353" s="47" t="s">
        <v>3587</v>
      </c>
      <c r="F353" s="47" t="s">
        <v>4482</v>
      </c>
      <c r="G353" s="130" t="s">
        <v>697</v>
      </c>
      <c r="H353" s="131"/>
      <c r="I353" s="59"/>
      <c r="J353" s="57"/>
      <c r="K353" s="81" t="s">
        <v>4501</v>
      </c>
      <c r="L353" s="47" t="s">
        <v>4502</v>
      </c>
      <c r="M353" s="47" t="s">
        <v>4503</v>
      </c>
      <c r="N353" s="134">
        <v>23.134548</v>
      </c>
      <c r="O353" s="134">
        <v>91.956631</v>
      </c>
      <c r="P353" s="81">
        <v>280</v>
      </c>
      <c r="Q353" s="47"/>
      <c r="R353" s="81"/>
      <c r="S353" s="81"/>
      <c r="T353" s="77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53"/>
      <c r="AH353" s="59"/>
      <c r="AI353" s="146"/>
      <c r="AJ353" s="147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50" t="s">
        <v>3588</v>
      </c>
      <c r="E354" s="47" t="s">
        <v>3587</v>
      </c>
      <c r="F354" s="47" t="s">
        <v>4482</v>
      </c>
      <c r="G354" s="130" t="s">
        <v>697</v>
      </c>
      <c r="H354" s="131"/>
      <c r="I354" s="59"/>
      <c r="J354" s="57"/>
      <c r="K354" s="81" t="s">
        <v>4504</v>
      </c>
      <c r="L354" s="47" t="s">
        <v>4505</v>
      </c>
      <c r="M354" s="47" t="s">
        <v>4506</v>
      </c>
      <c r="N354" s="134">
        <v>23.132251</v>
      </c>
      <c r="O354" s="134">
        <v>91.941648</v>
      </c>
      <c r="P354" s="81">
        <v>110</v>
      </c>
      <c r="Q354" s="47"/>
      <c r="R354" s="81"/>
      <c r="S354" s="81"/>
      <c r="T354" s="77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53"/>
      <c r="AH354" s="59"/>
      <c r="AI354" s="146"/>
      <c r="AJ354" s="147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50" t="s">
        <v>3588</v>
      </c>
      <c r="E355" s="47" t="s">
        <v>3587</v>
      </c>
      <c r="F355" s="47" t="s">
        <v>4482</v>
      </c>
      <c r="G355" s="130" t="s">
        <v>707</v>
      </c>
      <c r="H355" s="131"/>
      <c r="I355" s="59"/>
      <c r="J355" s="57"/>
      <c r="K355" s="81" t="s">
        <v>4507</v>
      </c>
      <c r="L355" s="47" t="s">
        <v>4508</v>
      </c>
      <c r="M355" s="47" t="s">
        <v>4509</v>
      </c>
      <c r="N355" s="134">
        <v>23.138263</v>
      </c>
      <c r="O355" s="134">
        <v>91.966594</v>
      </c>
      <c r="P355" s="81">
        <v>800</v>
      </c>
      <c r="Q355" s="47"/>
      <c r="R355" s="81"/>
      <c r="S355" s="81"/>
      <c r="T355" s="77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53"/>
      <c r="AH355" s="59"/>
      <c r="AI355" s="146"/>
      <c r="AJ355" s="147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50" t="s">
        <v>3588</v>
      </c>
      <c r="E356" s="47" t="s">
        <v>3587</v>
      </c>
      <c r="F356" s="47" t="s">
        <v>4482</v>
      </c>
      <c r="G356" s="130" t="s">
        <v>707</v>
      </c>
      <c r="H356" s="131"/>
      <c r="I356" s="59"/>
      <c r="J356" s="57"/>
      <c r="K356" s="81" t="s">
        <v>4510</v>
      </c>
      <c r="L356" s="47" t="s">
        <v>4511</v>
      </c>
      <c r="M356" s="47" t="s">
        <v>4512</v>
      </c>
      <c r="N356" s="134">
        <v>23.130635</v>
      </c>
      <c r="O356" s="134">
        <v>91.971212</v>
      </c>
      <c r="P356" s="81">
        <v>500</v>
      </c>
      <c r="Q356" s="47"/>
      <c r="R356" s="81"/>
      <c r="S356" s="81"/>
      <c r="T356" s="77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53"/>
      <c r="AH356" s="59"/>
      <c r="AI356" s="146"/>
      <c r="AJ356" s="147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50" t="s">
        <v>3588</v>
      </c>
      <c r="E357" s="47" t="s">
        <v>3587</v>
      </c>
      <c r="F357" s="47" t="s">
        <v>4482</v>
      </c>
      <c r="G357" s="130" t="s">
        <v>707</v>
      </c>
      <c r="H357" s="131"/>
      <c r="I357" s="59"/>
      <c r="J357" s="76"/>
      <c r="K357" s="81" t="s">
        <v>4513</v>
      </c>
      <c r="L357" s="47" t="s">
        <v>4514</v>
      </c>
      <c r="M357" s="47" t="s">
        <v>4515</v>
      </c>
      <c r="N357" s="134">
        <v>23.139681</v>
      </c>
      <c r="O357" s="134">
        <v>91.98287</v>
      </c>
      <c r="P357" s="81">
        <v>500</v>
      </c>
      <c r="Q357" s="47"/>
      <c r="R357" s="81"/>
      <c r="S357" s="81"/>
      <c r="T357" s="77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53"/>
      <c r="AH357" s="145"/>
      <c r="AI357" s="146"/>
      <c r="AJ357" s="147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50" t="s">
        <v>3588</v>
      </c>
      <c r="E358" s="47" t="s">
        <v>3587</v>
      </c>
      <c r="F358" s="47" t="s">
        <v>4482</v>
      </c>
      <c r="G358" s="130" t="s">
        <v>707</v>
      </c>
      <c r="H358" s="57"/>
      <c r="I358" s="59"/>
      <c r="J358" s="57"/>
      <c r="K358" s="81" t="s">
        <v>4516</v>
      </c>
      <c r="L358" s="47" t="s">
        <v>4517</v>
      </c>
      <c r="M358" s="47" t="s">
        <v>4518</v>
      </c>
      <c r="N358" s="134">
        <v>23.132143</v>
      </c>
      <c r="O358" s="134">
        <v>91.962991</v>
      </c>
      <c r="P358" s="81">
        <v>600</v>
      </c>
      <c r="Q358" s="47"/>
      <c r="R358" s="81"/>
      <c r="S358" s="81"/>
      <c r="T358" s="77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53"/>
      <c r="AH358" s="145"/>
      <c r="AI358" s="146"/>
      <c r="AJ358" s="147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50" t="s">
        <v>3588</v>
      </c>
      <c r="E359" s="47" t="s">
        <v>3587</v>
      </c>
      <c r="F359" s="47" t="s">
        <v>4482</v>
      </c>
      <c r="G359" s="130" t="s">
        <v>726</v>
      </c>
      <c r="H359" s="57"/>
      <c r="I359" s="59"/>
      <c r="J359" s="57"/>
      <c r="K359" s="81" t="s">
        <v>4519</v>
      </c>
      <c r="L359" s="47" t="s">
        <v>4520</v>
      </c>
      <c r="M359" s="47" t="s">
        <v>4521</v>
      </c>
      <c r="N359" s="134">
        <v>23.171043</v>
      </c>
      <c r="O359" s="134">
        <v>91.979768</v>
      </c>
      <c r="P359" s="81">
        <v>325</v>
      </c>
      <c r="Q359" s="47"/>
      <c r="R359" s="81"/>
      <c r="S359" s="81"/>
      <c r="T359" s="77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53"/>
      <c r="AH359" s="145"/>
      <c r="AI359" s="146"/>
      <c r="AJ359" s="147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50" t="s">
        <v>3588</v>
      </c>
      <c r="E360" s="47" t="s">
        <v>3587</v>
      </c>
      <c r="F360" s="47" t="s">
        <v>4482</v>
      </c>
      <c r="G360" s="130" t="s">
        <v>726</v>
      </c>
      <c r="H360" s="57"/>
      <c r="I360" s="59"/>
      <c r="J360" s="57"/>
      <c r="K360" s="81" t="s">
        <v>4522</v>
      </c>
      <c r="L360" s="47" t="s">
        <v>4523</v>
      </c>
      <c r="M360" s="47" t="s">
        <v>4524</v>
      </c>
      <c r="N360" s="134">
        <v>23.16095</v>
      </c>
      <c r="O360" s="134">
        <v>91.982089</v>
      </c>
      <c r="P360" s="81">
        <v>372</v>
      </c>
      <c r="Q360" s="47"/>
      <c r="R360" s="81"/>
      <c r="S360" s="81"/>
      <c r="T360" s="77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53"/>
      <c r="AH360" s="145"/>
      <c r="AI360" s="146"/>
      <c r="AJ360" s="147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50" t="s">
        <v>3588</v>
      </c>
      <c r="E361" s="47" t="s">
        <v>3587</v>
      </c>
      <c r="F361" s="47" t="s">
        <v>4482</v>
      </c>
      <c r="G361" s="130" t="s">
        <v>726</v>
      </c>
      <c r="H361" s="57"/>
      <c r="I361" s="59"/>
      <c r="J361" s="57"/>
      <c r="K361" s="81" t="s">
        <v>3656</v>
      </c>
      <c r="L361" s="47" t="s">
        <v>3657</v>
      </c>
      <c r="M361" s="47" t="s">
        <v>4525</v>
      </c>
      <c r="N361" s="134">
        <v>23.157266</v>
      </c>
      <c r="O361" s="134">
        <v>91.963238</v>
      </c>
      <c r="P361" s="81">
        <v>565</v>
      </c>
      <c r="Q361" s="47"/>
      <c r="R361" s="81"/>
      <c r="S361" s="81"/>
      <c r="T361" s="77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53"/>
      <c r="AH361" s="145"/>
      <c r="AI361" s="146"/>
      <c r="AJ361" s="147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50" t="s">
        <v>3588</v>
      </c>
      <c r="E362" s="47" t="s">
        <v>3587</v>
      </c>
      <c r="F362" s="47" t="s">
        <v>4482</v>
      </c>
      <c r="G362" s="130" t="s">
        <v>726</v>
      </c>
      <c r="H362" s="131"/>
      <c r="I362" s="132"/>
      <c r="J362" s="57"/>
      <c r="K362" s="81" t="s">
        <v>328</v>
      </c>
      <c r="L362" s="47" t="s">
        <v>2236</v>
      </c>
      <c r="M362" s="47" t="s">
        <v>4526</v>
      </c>
      <c r="N362" s="134">
        <v>23.148092</v>
      </c>
      <c r="O362" s="134">
        <v>91.96179</v>
      </c>
      <c r="P362" s="81">
        <v>1152</v>
      </c>
      <c r="Q362" s="47"/>
      <c r="R362" s="81"/>
      <c r="S362" s="81"/>
      <c r="T362" s="77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53"/>
      <c r="AH362" s="145"/>
      <c r="AI362" s="146"/>
      <c r="AJ362" s="147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50" t="s">
        <v>3588</v>
      </c>
      <c r="E363" s="47" t="s">
        <v>3587</v>
      </c>
      <c r="F363" s="47" t="s">
        <v>4482</v>
      </c>
      <c r="G363" s="130" t="s">
        <v>742</v>
      </c>
      <c r="H363" s="57"/>
      <c r="I363" s="132"/>
      <c r="J363" s="57"/>
      <c r="K363" s="81" t="s">
        <v>4527</v>
      </c>
      <c r="L363" s="47" t="s">
        <v>4528</v>
      </c>
      <c r="M363" s="47" t="s">
        <v>4529</v>
      </c>
      <c r="N363" s="134">
        <v>23.152067</v>
      </c>
      <c r="O363" s="134">
        <v>91.981188</v>
      </c>
      <c r="P363" s="81">
        <v>240</v>
      </c>
      <c r="Q363" s="47"/>
      <c r="R363" s="81"/>
      <c r="S363" s="81"/>
      <c r="T363" s="77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148"/>
      <c r="AE363" s="148"/>
      <c r="AF363" s="148"/>
      <c r="AG363" s="53"/>
      <c r="AH363" s="145"/>
      <c r="AI363" s="146"/>
      <c r="AJ363" s="147"/>
    </row>
    <row x14ac:dyDescent="0.25" r="364" customHeight="1" ht="18">
      <c r="A364" s="45">
        <v>358</v>
      </c>
      <c r="B364" s="46" t="s">
        <v>47</v>
      </c>
      <c r="C364" s="46" t="s">
        <v>48</v>
      </c>
      <c r="D364" s="50" t="s">
        <v>3588</v>
      </c>
      <c r="E364" s="47" t="s">
        <v>3587</v>
      </c>
      <c r="F364" s="47" t="s">
        <v>4482</v>
      </c>
      <c r="G364" s="130" t="s">
        <v>742</v>
      </c>
      <c r="H364" s="133"/>
      <c r="I364" s="149"/>
      <c r="J364" s="133"/>
      <c r="K364" s="81" t="s">
        <v>4530</v>
      </c>
      <c r="L364" s="47" t="s">
        <v>4531</v>
      </c>
      <c r="M364" s="47" t="s">
        <v>4532</v>
      </c>
      <c r="N364" s="134">
        <v>23.151477</v>
      </c>
      <c r="O364" s="134">
        <v>91.988415</v>
      </c>
      <c r="P364" s="81">
        <v>312</v>
      </c>
      <c r="Q364" s="47"/>
      <c r="R364" s="81"/>
      <c r="S364" s="81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58"/>
      <c r="AI364" s="146"/>
      <c r="AJ364" s="147"/>
    </row>
    <row x14ac:dyDescent="0.25" r="365" customHeight="1" ht="18">
      <c r="A365" s="45">
        <v>359</v>
      </c>
      <c r="B365" s="46" t="s">
        <v>47</v>
      </c>
      <c r="C365" s="46" t="s">
        <v>48</v>
      </c>
      <c r="D365" s="50" t="s">
        <v>3588</v>
      </c>
      <c r="E365" s="47" t="s">
        <v>3587</v>
      </c>
      <c r="F365" s="47" t="s">
        <v>4482</v>
      </c>
      <c r="G365" s="130" t="s">
        <v>742</v>
      </c>
      <c r="H365" s="133"/>
      <c r="I365" s="149"/>
      <c r="J365" s="133"/>
      <c r="K365" s="81" t="s">
        <v>4533</v>
      </c>
      <c r="L365" s="47" t="s">
        <v>4534</v>
      </c>
      <c r="M365" s="47" t="s">
        <v>4535</v>
      </c>
      <c r="N365" s="134">
        <v>23.149107</v>
      </c>
      <c r="O365" s="134">
        <v>91.970959</v>
      </c>
      <c r="P365" s="81">
        <v>250</v>
      </c>
      <c r="Q365" s="47"/>
      <c r="R365" s="81"/>
      <c r="S365" s="81"/>
      <c r="T365" s="77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77"/>
      <c r="AH365" s="145"/>
      <c r="AI365" s="146"/>
      <c r="AJ365" s="147"/>
    </row>
    <row x14ac:dyDescent="0.25" r="366" customHeight="1" ht="18">
      <c r="A366" s="45">
        <v>360</v>
      </c>
      <c r="B366" s="46" t="s">
        <v>47</v>
      </c>
      <c r="C366" s="46" t="s">
        <v>48</v>
      </c>
      <c r="D366" s="50" t="s">
        <v>3588</v>
      </c>
      <c r="E366" s="47" t="s">
        <v>3587</v>
      </c>
      <c r="F366" s="47" t="s">
        <v>4482</v>
      </c>
      <c r="G366" s="130" t="s">
        <v>761</v>
      </c>
      <c r="H366" s="133"/>
      <c r="I366" s="149"/>
      <c r="J366" s="133"/>
      <c r="K366" s="81" t="s">
        <v>4536</v>
      </c>
      <c r="L366" s="47" t="s">
        <v>4537</v>
      </c>
      <c r="M366" s="47" t="s">
        <v>4538</v>
      </c>
      <c r="N366" s="134">
        <v>23.127808</v>
      </c>
      <c r="O366" s="134">
        <v>91.996556</v>
      </c>
      <c r="P366" s="81">
        <v>350</v>
      </c>
      <c r="Q366" s="47"/>
      <c r="R366" s="81"/>
      <c r="S366" s="81"/>
      <c r="T366" s="77"/>
      <c r="U366" s="150"/>
      <c r="V366" s="150"/>
      <c r="W366" s="150"/>
      <c r="X366" s="150"/>
      <c r="Y366" s="150"/>
      <c r="Z366" s="150"/>
      <c r="AA366" s="150"/>
      <c r="AB366" s="150"/>
      <c r="AC366" s="150"/>
      <c r="AD366" s="150"/>
      <c r="AE366" s="150"/>
      <c r="AF366" s="150"/>
      <c r="AG366" s="77"/>
      <c r="AH366" s="145"/>
      <c r="AI366" s="146"/>
      <c r="AJ366" s="147"/>
    </row>
    <row x14ac:dyDescent="0.25" r="367" customHeight="1" ht="18">
      <c r="A367" s="45">
        <v>361</v>
      </c>
      <c r="B367" s="46" t="s">
        <v>47</v>
      </c>
      <c r="C367" s="46" t="s">
        <v>48</v>
      </c>
      <c r="D367" s="50" t="s">
        <v>3588</v>
      </c>
      <c r="E367" s="47" t="s">
        <v>3587</v>
      </c>
      <c r="F367" s="47" t="s">
        <v>4482</v>
      </c>
      <c r="G367" s="130" t="s">
        <v>761</v>
      </c>
      <c r="H367" s="133"/>
      <c r="I367" s="149"/>
      <c r="J367" s="133"/>
      <c r="K367" s="81" t="s">
        <v>4539</v>
      </c>
      <c r="L367" s="47" t="s">
        <v>4540</v>
      </c>
      <c r="M367" s="47" t="s">
        <v>4541</v>
      </c>
      <c r="N367" s="134">
        <v>23.131661</v>
      </c>
      <c r="O367" s="134">
        <v>91.996426</v>
      </c>
      <c r="P367" s="81">
        <v>350</v>
      </c>
      <c r="Q367" s="47"/>
      <c r="R367" s="81"/>
      <c r="S367" s="81"/>
      <c r="T367" s="77"/>
      <c r="U367" s="150"/>
      <c r="V367" s="150"/>
      <c r="W367" s="150"/>
      <c r="X367" s="150"/>
      <c r="Y367" s="150"/>
      <c r="Z367" s="150"/>
      <c r="AA367" s="150"/>
      <c r="AB367" s="150"/>
      <c r="AC367" s="150"/>
      <c r="AD367" s="150"/>
      <c r="AE367" s="150"/>
      <c r="AF367" s="150"/>
      <c r="AG367" s="77"/>
      <c r="AH367" s="145"/>
      <c r="AI367" s="146"/>
      <c r="AJ367" s="147"/>
    </row>
    <row x14ac:dyDescent="0.25" r="368" customHeight="1" ht="18">
      <c r="A368" s="45">
        <v>362</v>
      </c>
      <c r="B368" s="46" t="s">
        <v>47</v>
      </c>
      <c r="C368" s="46" t="s">
        <v>48</v>
      </c>
      <c r="D368" s="50" t="s">
        <v>3588</v>
      </c>
      <c r="E368" s="47" t="s">
        <v>3587</v>
      </c>
      <c r="F368" s="47" t="s">
        <v>4482</v>
      </c>
      <c r="G368" s="130" t="s">
        <v>761</v>
      </c>
      <c r="H368" s="133"/>
      <c r="I368" s="149"/>
      <c r="J368" s="133"/>
      <c r="K368" s="81" t="s">
        <v>4542</v>
      </c>
      <c r="L368" s="47" t="s">
        <v>4543</v>
      </c>
      <c r="M368" s="47" t="s">
        <v>4544</v>
      </c>
      <c r="N368" s="134">
        <v>23.125805</v>
      </c>
      <c r="O368" s="134">
        <v>91.99144</v>
      </c>
      <c r="P368" s="81">
        <v>150</v>
      </c>
      <c r="Q368" s="47"/>
      <c r="R368" s="81"/>
      <c r="S368" s="81"/>
      <c r="T368" s="77"/>
      <c r="U368" s="150"/>
      <c r="V368" s="150"/>
      <c r="W368" s="150"/>
      <c r="X368" s="150"/>
      <c r="Y368" s="150"/>
      <c r="Z368" s="150"/>
      <c r="AA368" s="150"/>
      <c r="AB368" s="150"/>
      <c r="AC368" s="150"/>
      <c r="AD368" s="150"/>
      <c r="AE368" s="150"/>
      <c r="AF368" s="150"/>
      <c r="AG368" s="77"/>
      <c r="AH368" s="145"/>
      <c r="AI368" s="146"/>
      <c r="AJ368" s="147"/>
    </row>
    <row x14ac:dyDescent="0.25" r="369" customHeight="1" ht="18">
      <c r="A369" s="45">
        <v>363</v>
      </c>
      <c r="B369" s="46" t="s">
        <v>47</v>
      </c>
      <c r="C369" s="46" t="s">
        <v>48</v>
      </c>
      <c r="D369" s="50" t="s">
        <v>3588</v>
      </c>
      <c r="E369" s="47" t="s">
        <v>3587</v>
      </c>
      <c r="F369" s="47" t="s">
        <v>4482</v>
      </c>
      <c r="G369" s="130" t="s">
        <v>761</v>
      </c>
      <c r="H369" s="133"/>
      <c r="I369" s="149"/>
      <c r="J369" s="133"/>
      <c r="K369" s="81" t="s">
        <v>4545</v>
      </c>
      <c r="L369" s="47" t="s">
        <v>4546</v>
      </c>
      <c r="M369" s="47" t="s">
        <v>4547</v>
      </c>
      <c r="N369" s="134">
        <v>23.125691</v>
      </c>
      <c r="O369" s="134">
        <v>92.00012</v>
      </c>
      <c r="P369" s="81">
        <v>150</v>
      </c>
      <c r="Q369" s="47"/>
      <c r="R369" s="81"/>
      <c r="S369" s="81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133"/>
      <c r="AH369" s="145"/>
      <c r="AI369" s="146"/>
      <c r="AJ369" s="147"/>
    </row>
    <row x14ac:dyDescent="0.25" r="370" customHeight="1" ht="18">
      <c r="A370" s="45">
        <v>364</v>
      </c>
      <c r="B370" s="46" t="s">
        <v>47</v>
      </c>
      <c r="C370" s="46" t="s">
        <v>48</v>
      </c>
      <c r="D370" s="50" t="s">
        <v>3588</v>
      </c>
      <c r="E370" s="47" t="s">
        <v>3587</v>
      </c>
      <c r="F370" s="47" t="s">
        <v>4482</v>
      </c>
      <c r="G370" s="130" t="s">
        <v>761</v>
      </c>
      <c r="H370" s="133"/>
      <c r="I370" s="149"/>
      <c r="J370" s="133"/>
      <c r="K370" s="81" t="s">
        <v>4548</v>
      </c>
      <c r="L370" s="47" t="s">
        <v>4549</v>
      </c>
      <c r="M370" s="47" t="s">
        <v>4550</v>
      </c>
      <c r="N370" s="134">
        <v>23.137719</v>
      </c>
      <c r="O370" s="134">
        <v>92.000788</v>
      </c>
      <c r="P370" s="81">
        <v>120</v>
      </c>
      <c r="Q370" s="47"/>
      <c r="R370" s="81"/>
      <c r="S370" s="81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133"/>
      <c r="AH370" s="145"/>
      <c r="AI370" s="146"/>
      <c r="AJ370" s="147"/>
    </row>
    <row x14ac:dyDescent="0.25" r="371" customHeight="1" ht="18">
      <c r="A371" s="45">
        <v>365</v>
      </c>
      <c r="B371" s="46" t="s">
        <v>47</v>
      </c>
      <c r="C371" s="46" t="s">
        <v>48</v>
      </c>
      <c r="D371" s="50" t="s">
        <v>3588</v>
      </c>
      <c r="E371" s="47" t="s">
        <v>3587</v>
      </c>
      <c r="F371" s="47" t="s">
        <v>4482</v>
      </c>
      <c r="G371" s="130" t="s">
        <v>761</v>
      </c>
      <c r="H371" s="133"/>
      <c r="I371" s="149"/>
      <c r="J371" s="133"/>
      <c r="K371" s="81" t="s">
        <v>1493</v>
      </c>
      <c r="L371" s="47" t="s">
        <v>4551</v>
      </c>
      <c r="M371" s="47" t="s">
        <v>4552</v>
      </c>
      <c r="N371" s="134">
        <v>23.127563</v>
      </c>
      <c r="O371" s="134">
        <v>91.994882</v>
      </c>
      <c r="P371" s="81">
        <v>350</v>
      </c>
      <c r="Q371" s="47"/>
      <c r="R371" s="81"/>
      <c r="S371" s="81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133"/>
      <c r="AH371" s="145"/>
      <c r="AI371" s="146"/>
      <c r="AJ371" s="147"/>
    </row>
    <row x14ac:dyDescent="0.25" r="372" customHeight="1" ht="18">
      <c r="A372" s="45">
        <v>366</v>
      </c>
      <c r="B372" s="46" t="s">
        <v>47</v>
      </c>
      <c r="C372" s="46" t="s">
        <v>48</v>
      </c>
      <c r="D372" s="50" t="s">
        <v>3588</v>
      </c>
      <c r="E372" s="47" t="s">
        <v>3587</v>
      </c>
      <c r="F372" s="47" t="s">
        <v>4482</v>
      </c>
      <c r="G372" s="130" t="s">
        <v>761</v>
      </c>
      <c r="H372" s="133"/>
      <c r="I372" s="149"/>
      <c r="J372" s="133"/>
      <c r="K372" s="81" t="s">
        <v>4553</v>
      </c>
      <c r="L372" s="47" t="s">
        <v>4554</v>
      </c>
      <c r="M372" s="47" t="s">
        <v>4555</v>
      </c>
      <c r="N372" s="134">
        <v>23.136191</v>
      </c>
      <c r="O372" s="134">
        <v>92.00225</v>
      </c>
      <c r="P372" s="81">
        <v>900</v>
      </c>
      <c r="Q372" s="47"/>
      <c r="R372" s="81"/>
      <c r="S372" s="81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133"/>
      <c r="AH372" s="145"/>
      <c r="AI372" s="146"/>
      <c r="AJ372" s="147"/>
    </row>
    <row x14ac:dyDescent="0.25" r="373" customHeight="1" ht="18">
      <c r="A373" s="45">
        <v>367</v>
      </c>
      <c r="B373" s="46" t="s">
        <v>47</v>
      </c>
      <c r="C373" s="46" t="s">
        <v>48</v>
      </c>
      <c r="D373" s="50" t="s">
        <v>3588</v>
      </c>
      <c r="E373" s="47" t="s">
        <v>3587</v>
      </c>
      <c r="F373" s="47" t="s">
        <v>4482</v>
      </c>
      <c r="G373" s="130" t="s">
        <v>761</v>
      </c>
      <c r="H373" s="133"/>
      <c r="I373" s="149"/>
      <c r="J373" s="133"/>
      <c r="K373" s="81" t="s">
        <v>4556</v>
      </c>
      <c r="L373" s="47" t="s">
        <v>4557</v>
      </c>
      <c r="M373" s="47" t="s">
        <v>4558</v>
      </c>
      <c r="N373" s="134">
        <v>23.143367</v>
      </c>
      <c r="O373" s="134">
        <v>91.999086</v>
      </c>
      <c r="P373" s="81"/>
      <c r="Q373" s="81"/>
      <c r="R373" s="81"/>
      <c r="S373" s="81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133"/>
      <c r="AH373" s="145"/>
      <c r="AI373" s="146"/>
      <c r="AJ373" s="147"/>
    </row>
    <row x14ac:dyDescent="0.25" r="374" customHeight="1" ht="18">
      <c r="A374" s="45">
        <v>368</v>
      </c>
      <c r="B374" s="46" t="s">
        <v>47</v>
      </c>
      <c r="C374" s="46" t="s">
        <v>48</v>
      </c>
      <c r="D374" s="50" t="s">
        <v>3588</v>
      </c>
      <c r="E374" s="47" t="s">
        <v>3587</v>
      </c>
      <c r="F374" s="47" t="s">
        <v>4482</v>
      </c>
      <c r="G374" s="130" t="s">
        <v>781</v>
      </c>
      <c r="H374" s="133"/>
      <c r="I374" s="149"/>
      <c r="J374" s="133"/>
      <c r="K374" s="81" t="s">
        <v>4559</v>
      </c>
      <c r="L374" s="47" t="s">
        <v>4560</v>
      </c>
      <c r="M374" s="47" t="s">
        <v>4561</v>
      </c>
      <c r="N374" s="134">
        <v>23.149764</v>
      </c>
      <c r="O374" s="134">
        <v>91.99935</v>
      </c>
      <c r="P374" s="81">
        <v>450</v>
      </c>
      <c r="Q374" s="47"/>
      <c r="R374" s="81"/>
      <c r="S374" s="81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133"/>
      <c r="AH374" s="145"/>
      <c r="AI374" s="146"/>
      <c r="AJ374" s="147"/>
    </row>
    <row x14ac:dyDescent="0.25" r="375" customHeight="1" ht="18">
      <c r="A375" s="45">
        <v>369</v>
      </c>
      <c r="B375" s="46" t="s">
        <v>47</v>
      </c>
      <c r="C375" s="46" t="s">
        <v>48</v>
      </c>
      <c r="D375" s="50" t="s">
        <v>3588</v>
      </c>
      <c r="E375" s="47" t="s">
        <v>3587</v>
      </c>
      <c r="F375" s="47" t="s">
        <v>4482</v>
      </c>
      <c r="G375" s="130" t="s">
        <v>781</v>
      </c>
      <c r="H375" s="133"/>
      <c r="I375" s="149"/>
      <c r="J375" s="133"/>
      <c r="K375" s="81" t="s">
        <v>4562</v>
      </c>
      <c r="L375" s="47" t="s">
        <v>4563</v>
      </c>
      <c r="M375" s="47" t="s">
        <v>4564</v>
      </c>
      <c r="N375" s="134">
        <v>23.154384</v>
      </c>
      <c r="O375" s="134">
        <v>92.005715</v>
      </c>
      <c r="P375" s="81">
        <v>300</v>
      </c>
      <c r="Q375" s="47"/>
      <c r="R375" s="81"/>
      <c r="S375" s="81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133"/>
      <c r="AH375" s="145"/>
      <c r="AI375" s="146"/>
      <c r="AJ375" s="147"/>
    </row>
    <row x14ac:dyDescent="0.25" r="376" customHeight="1" ht="18">
      <c r="A376" s="45">
        <v>370</v>
      </c>
      <c r="B376" s="46" t="s">
        <v>47</v>
      </c>
      <c r="C376" s="46" t="s">
        <v>48</v>
      </c>
      <c r="D376" s="50" t="s">
        <v>3588</v>
      </c>
      <c r="E376" s="47" t="s">
        <v>3587</v>
      </c>
      <c r="F376" s="47" t="s">
        <v>4482</v>
      </c>
      <c r="G376" s="130" t="s">
        <v>781</v>
      </c>
      <c r="H376" s="133"/>
      <c r="I376" s="149"/>
      <c r="J376" s="133"/>
      <c r="K376" s="81" t="s">
        <v>4565</v>
      </c>
      <c r="L376" s="47" t="s">
        <v>4566</v>
      </c>
      <c r="M376" s="47" t="s">
        <v>4567</v>
      </c>
      <c r="N376" s="134">
        <v>23.162569</v>
      </c>
      <c r="O376" s="134">
        <v>92.008823</v>
      </c>
      <c r="P376" s="81">
        <v>450</v>
      </c>
      <c r="Q376" s="47"/>
      <c r="R376" s="81"/>
      <c r="S376" s="81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133"/>
      <c r="AH376" s="145"/>
      <c r="AI376" s="146"/>
      <c r="AJ376" s="147"/>
    </row>
    <row x14ac:dyDescent="0.25" r="377" customHeight="1" ht="18">
      <c r="A377" s="45">
        <v>371</v>
      </c>
      <c r="B377" s="46" t="s">
        <v>47</v>
      </c>
      <c r="C377" s="46" t="s">
        <v>48</v>
      </c>
      <c r="D377" s="50" t="s">
        <v>3588</v>
      </c>
      <c r="E377" s="47" t="s">
        <v>3587</v>
      </c>
      <c r="F377" s="47" t="s">
        <v>4482</v>
      </c>
      <c r="G377" s="130" t="s">
        <v>781</v>
      </c>
      <c r="H377" s="133"/>
      <c r="I377" s="149"/>
      <c r="J377" s="133"/>
      <c r="K377" s="81" t="s">
        <v>4568</v>
      </c>
      <c r="L377" s="47" t="s">
        <v>4569</v>
      </c>
      <c r="M377" s="47" t="s">
        <v>4570</v>
      </c>
      <c r="N377" s="134">
        <v>23.165108</v>
      </c>
      <c r="O377" s="134">
        <v>92.001556</v>
      </c>
      <c r="P377" s="81">
        <v>300</v>
      </c>
      <c r="Q377" s="47"/>
      <c r="R377" s="81"/>
      <c r="S377" s="81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133"/>
      <c r="AH377" s="145"/>
      <c r="AI377" s="146"/>
      <c r="AJ377" s="147"/>
    </row>
    <row x14ac:dyDescent="0.25" r="378" customHeight="1" ht="18">
      <c r="A378" s="45">
        <v>372</v>
      </c>
      <c r="B378" s="46" t="s">
        <v>47</v>
      </c>
      <c r="C378" s="46" t="s">
        <v>48</v>
      </c>
      <c r="D378" s="50" t="s">
        <v>3588</v>
      </c>
      <c r="E378" s="47" t="s">
        <v>3587</v>
      </c>
      <c r="F378" s="47" t="s">
        <v>4482</v>
      </c>
      <c r="G378" s="130" t="s">
        <v>781</v>
      </c>
      <c r="H378" s="133"/>
      <c r="I378" s="149"/>
      <c r="J378" s="133"/>
      <c r="K378" s="81" t="s">
        <v>4571</v>
      </c>
      <c r="L378" s="47" t="s">
        <v>4572</v>
      </c>
      <c r="M378" s="47" t="s">
        <v>4573</v>
      </c>
      <c r="N378" s="134">
        <v>23.158093</v>
      </c>
      <c r="O378" s="134">
        <v>92.014395</v>
      </c>
      <c r="P378" s="81">
        <v>300</v>
      </c>
      <c r="Q378" s="47"/>
      <c r="R378" s="81"/>
      <c r="S378" s="81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133"/>
      <c r="AH378" s="145"/>
      <c r="AI378" s="146"/>
      <c r="AJ378" s="147"/>
    </row>
    <row x14ac:dyDescent="0.25" r="379" customHeight="1" ht="18">
      <c r="A379" s="45">
        <v>373</v>
      </c>
      <c r="B379" s="46" t="s">
        <v>47</v>
      </c>
      <c r="C379" s="46" t="s">
        <v>48</v>
      </c>
      <c r="D379" s="50" t="s">
        <v>3588</v>
      </c>
      <c r="E379" s="47" t="s">
        <v>3587</v>
      </c>
      <c r="F379" s="47" t="s">
        <v>4482</v>
      </c>
      <c r="G379" s="130" t="s">
        <v>781</v>
      </c>
      <c r="H379" s="133"/>
      <c r="I379" s="149"/>
      <c r="J379" s="133"/>
      <c r="K379" s="81" t="s">
        <v>88</v>
      </c>
      <c r="L379" s="47" t="s">
        <v>3258</v>
      </c>
      <c r="M379" s="47" t="s">
        <v>4574</v>
      </c>
      <c r="N379" s="134">
        <v>23.170298</v>
      </c>
      <c r="O379" s="134">
        <v>92.016213</v>
      </c>
      <c r="P379" s="81">
        <v>300</v>
      </c>
      <c r="Q379" s="47"/>
      <c r="R379" s="81"/>
      <c r="S379" s="81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133"/>
      <c r="AH379" s="145"/>
      <c r="AI379" s="146"/>
      <c r="AJ379" s="147"/>
    </row>
    <row x14ac:dyDescent="0.25" r="380" customHeight="1" ht="18">
      <c r="A380" s="45">
        <v>374</v>
      </c>
      <c r="B380" s="46" t="s">
        <v>47</v>
      </c>
      <c r="C380" s="46" t="s">
        <v>48</v>
      </c>
      <c r="D380" s="50" t="s">
        <v>3588</v>
      </c>
      <c r="E380" s="47" t="s">
        <v>3587</v>
      </c>
      <c r="F380" s="47" t="s">
        <v>4482</v>
      </c>
      <c r="G380" s="130" t="s">
        <v>781</v>
      </c>
      <c r="H380" s="133"/>
      <c r="I380" s="149"/>
      <c r="J380" s="133"/>
      <c r="K380" s="81" t="s">
        <v>4575</v>
      </c>
      <c r="L380" s="47" t="s">
        <v>4576</v>
      </c>
      <c r="M380" s="47" t="s">
        <v>4577</v>
      </c>
      <c r="N380" s="134">
        <v>23.163545</v>
      </c>
      <c r="O380" s="134">
        <v>92.013267</v>
      </c>
      <c r="P380" s="81"/>
      <c r="Q380" s="81"/>
      <c r="R380" s="81"/>
      <c r="S380" s="81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133"/>
      <c r="AH380" s="145"/>
      <c r="AI380" s="146"/>
      <c r="AJ380" s="147"/>
    </row>
    <row x14ac:dyDescent="0.25" r="381" customHeight="1" ht="18">
      <c r="A381" s="45">
        <v>375</v>
      </c>
      <c r="B381" s="46" t="s">
        <v>47</v>
      </c>
      <c r="C381" s="46" t="s">
        <v>48</v>
      </c>
      <c r="D381" s="50" t="s">
        <v>3588</v>
      </c>
      <c r="E381" s="47" t="s">
        <v>3587</v>
      </c>
      <c r="F381" s="47" t="s">
        <v>4482</v>
      </c>
      <c r="G381" s="130" t="s">
        <v>797</v>
      </c>
      <c r="H381" s="133"/>
      <c r="I381" s="149"/>
      <c r="J381" s="133"/>
      <c r="K381" s="81" t="s">
        <v>4578</v>
      </c>
      <c r="L381" s="47" t="s">
        <v>4579</v>
      </c>
      <c r="M381" s="47" t="s">
        <v>4580</v>
      </c>
      <c r="N381" s="134">
        <v>23.17064</v>
      </c>
      <c r="O381" s="134">
        <v>92.003368</v>
      </c>
      <c r="P381" s="81">
        <v>1000</v>
      </c>
      <c r="Q381" s="47"/>
      <c r="R381" s="81"/>
      <c r="S381" s="81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133"/>
      <c r="AH381" s="145"/>
      <c r="AI381" s="146"/>
      <c r="AJ381" s="147"/>
    </row>
    <row x14ac:dyDescent="0.25" r="382" customHeight="1" ht="18">
      <c r="A382" s="45">
        <v>376</v>
      </c>
      <c r="B382" s="46" t="s">
        <v>47</v>
      </c>
      <c r="C382" s="46" t="s">
        <v>48</v>
      </c>
      <c r="D382" s="50" t="s">
        <v>3588</v>
      </c>
      <c r="E382" s="47" t="s">
        <v>3587</v>
      </c>
      <c r="F382" s="47" t="s">
        <v>4482</v>
      </c>
      <c r="G382" s="130" t="s">
        <v>797</v>
      </c>
      <c r="H382" s="133"/>
      <c r="I382" s="149"/>
      <c r="J382" s="133"/>
      <c r="K382" s="81" t="s">
        <v>4581</v>
      </c>
      <c r="L382" s="47" t="s">
        <v>4582</v>
      </c>
      <c r="M382" s="47" t="s">
        <v>4583</v>
      </c>
      <c r="N382" s="134">
        <v>23.180239</v>
      </c>
      <c r="O382" s="134">
        <v>91.99925</v>
      </c>
      <c r="P382" s="81">
        <v>280</v>
      </c>
      <c r="Q382" s="47"/>
      <c r="R382" s="81"/>
      <c r="S382" s="81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133"/>
      <c r="AH382" s="145"/>
      <c r="AI382" s="146"/>
      <c r="AJ382" s="147"/>
    </row>
    <row x14ac:dyDescent="0.25" r="383" customHeight="1" ht="18">
      <c r="A383" s="45">
        <v>377</v>
      </c>
      <c r="B383" s="46" t="s">
        <v>47</v>
      </c>
      <c r="C383" s="46" t="s">
        <v>48</v>
      </c>
      <c r="D383" s="50" t="s">
        <v>3588</v>
      </c>
      <c r="E383" s="47" t="s">
        <v>3587</v>
      </c>
      <c r="F383" s="47" t="s">
        <v>4482</v>
      </c>
      <c r="G383" s="130" t="s">
        <v>797</v>
      </c>
      <c r="H383" s="133"/>
      <c r="I383" s="149"/>
      <c r="J383" s="133"/>
      <c r="K383" s="81" t="s">
        <v>4584</v>
      </c>
      <c r="L383" s="47" t="s">
        <v>4585</v>
      </c>
      <c r="M383" s="47" t="s">
        <v>4586</v>
      </c>
      <c r="N383" s="134">
        <v>23.171674</v>
      </c>
      <c r="O383" s="134">
        <v>91.99731</v>
      </c>
      <c r="P383" s="81">
        <v>150</v>
      </c>
      <c r="Q383" s="47"/>
      <c r="R383" s="81"/>
      <c r="S383" s="81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133"/>
      <c r="AH383" s="145"/>
      <c r="AI383" s="146"/>
      <c r="AJ383" s="147"/>
    </row>
    <row x14ac:dyDescent="0.25" r="384" customHeight="1" ht="18">
      <c r="A384" s="45">
        <v>378</v>
      </c>
      <c r="B384" s="46" t="s">
        <v>47</v>
      </c>
      <c r="C384" s="46" t="s">
        <v>48</v>
      </c>
      <c r="D384" s="50" t="s">
        <v>3588</v>
      </c>
      <c r="E384" s="47" t="s">
        <v>3587</v>
      </c>
      <c r="F384" s="47" t="s">
        <v>4482</v>
      </c>
      <c r="G384" s="130" t="s">
        <v>797</v>
      </c>
      <c r="H384" s="133"/>
      <c r="I384" s="149"/>
      <c r="J384" s="133"/>
      <c r="K384" s="81" t="s">
        <v>4587</v>
      </c>
      <c r="L384" s="47" t="s">
        <v>4588</v>
      </c>
      <c r="M384" s="47" t="s">
        <v>4589</v>
      </c>
      <c r="N384" s="134">
        <v>23.177424</v>
      </c>
      <c r="O384" s="134">
        <v>92.010734</v>
      </c>
      <c r="P384" s="81">
        <v>100</v>
      </c>
      <c r="Q384" s="47"/>
      <c r="R384" s="81"/>
      <c r="S384" s="81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133"/>
      <c r="AH384" s="145"/>
      <c r="AI384" s="146"/>
      <c r="AJ384" s="147"/>
    </row>
    <row x14ac:dyDescent="0.25" r="385" customHeight="1" ht="18">
      <c r="A385" s="45">
        <v>379</v>
      </c>
      <c r="B385" s="46" t="s">
        <v>47</v>
      </c>
      <c r="C385" s="46" t="s">
        <v>48</v>
      </c>
      <c r="D385" s="50" t="s">
        <v>3588</v>
      </c>
      <c r="E385" s="47" t="s">
        <v>3587</v>
      </c>
      <c r="F385" s="47" t="s">
        <v>4482</v>
      </c>
      <c r="G385" s="130" t="s">
        <v>797</v>
      </c>
      <c r="H385" s="133"/>
      <c r="I385" s="149"/>
      <c r="J385" s="133"/>
      <c r="K385" s="81" t="s">
        <v>4590</v>
      </c>
      <c r="L385" s="47" t="s">
        <v>4591</v>
      </c>
      <c r="M385" s="47" t="s">
        <v>4592</v>
      </c>
      <c r="N385" s="134">
        <v>23.184388</v>
      </c>
      <c r="O385" s="134">
        <v>92.019256</v>
      </c>
      <c r="P385" s="81">
        <v>160</v>
      </c>
      <c r="Q385" s="47"/>
      <c r="R385" s="81"/>
      <c r="S385" s="81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133"/>
      <c r="AH385" s="145"/>
      <c r="AI385" s="146"/>
      <c r="AJ385" s="147"/>
    </row>
    <row x14ac:dyDescent="0.25" r="386" customHeight="1" ht="18">
      <c r="A386" s="45">
        <v>380</v>
      </c>
      <c r="B386" s="46" t="s">
        <v>47</v>
      </c>
      <c r="C386" s="46" t="s">
        <v>48</v>
      </c>
      <c r="D386" s="50" t="s">
        <v>3588</v>
      </c>
      <c r="E386" s="47" t="s">
        <v>3587</v>
      </c>
      <c r="F386" s="47" t="s">
        <v>4482</v>
      </c>
      <c r="G386" s="130" t="s">
        <v>797</v>
      </c>
      <c r="H386" s="133"/>
      <c r="I386" s="149"/>
      <c r="J386" s="133"/>
      <c r="K386" s="81" t="s">
        <v>4593</v>
      </c>
      <c r="L386" s="47" t="s">
        <v>4594</v>
      </c>
      <c r="M386" s="47" t="s">
        <v>4595</v>
      </c>
      <c r="N386" s="134">
        <v>23.189571</v>
      </c>
      <c r="O386" s="134">
        <v>92.00839</v>
      </c>
      <c r="P386" s="81">
        <v>200</v>
      </c>
      <c r="Q386" s="47"/>
      <c r="R386" s="81"/>
      <c r="S386" s="81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133"/>
      <c r="AH386" s="145"/>
      <c r="AI386" s="146"/>
      <c r="AJ386" s="147"/>
    </row>
    <row x14ac:dyDescent="0.25" r="387" customHeight="1" ht="18">
      <c r="A387" s="45">
        <v>381</v>
      </c>
      <c r="B387" s="46" t="s">
        <v>47</v>
      </c>
      <c r="C387" s="46" t="s">
        <v>48</v>
      </c>
      <c r="D387" s="50" t="s">
        <v>3588</v>
      </c>
      <c r="E387" s="47" t="s">
        <v>3587</v>
      </c>
      <c r="F387" s="47" t="s">
        <v>4482</v>
      </c>
      <c r="G387" s="130" t="s">
        <v>797</v>
      </c>
      <c r="H387" s="133"/>
      <c r="I387" s="149"/>
      <c r="J387" s="133"/>
      <c r="K387" s="81" t="s">
        <v>4596</v>
      </c>
      <c r="L387" s="47" t="s">
        <v>4597</v>
      </c>
      <c r="M387" s="47" t="s">
        <v>4598</v>
      </c>
      <c r="N387" s="134">
        <v>23.201373</v>
      </c>
      <c r="O387" s="134">
        <v>92.032454</v>
      </c>
      <c r="P387" s="81">
        <v>70</v>
      </c>
      <c r="Q387" s="47"/>
      <c r="R387" s="81"/>
      <c r="S387" s="81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133"/>
      <c r="AH387" s="145"/>
      <c r="AI387" s="146"/>
      <c r="AJ387" s="147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71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6" width="9.576428571428572" customWidth="1" bestFit="1"/>
    <col min="3" max="3" style="85" width="14.719285714285713" customWidth="1" bestFit="1"/>
    <col min="4" max="4" style="88" width="4.576428571428571" customWidth="1" bestFit="1"/>
    <col min="5" max="5" style="85" width="11.290714285714287" customWidth="1" bestFit="1"/>
    <col min="6" max="6" style="85" width="14.290714285714287" customWidth="1" bestFit="1"/>
    <col min="7" max="7" style="85" width="14.719285714285713" customWidth="1" bestFit="1"/>
    <col min="8" max="8" style="85" width="14.719285714285713" customWidth="1" bestFit="1"/>
    <col min="9" max="9" style="85" width="15.43357142857143" customWidth="1" bestFit="1"/>
    <col min="10" max="10" style="140" width="6.862142857142857" customWidth="1" bestFit="1"/>
    <col min="11" max="11" style="91" width="19.719285714285714" customWidth="1" bestFit="1"/>
    <col min="12" max="12" style="92" width="7.2907142857142855" customWidth="1" bestFit="1"/>
    <col min="13" max="13" style="91" width="15.719285714285713" customWidth="1" bestFit="1"/>
    <col min="14" max="14" style="88" width="23.433571428571426" customWidth="1" bestFit="1"/>
    <col min="15" max="15" style="85" width="19.290714285714284" customWidth="1" bestFit="1"/>
    <col min="16" max="16" style="85" width="8.290714285714287" customWidth="1" bestFit="1"/>
    <col min="17" max="17" style="141" width="9.719285714285713" customWidth="1" bestFit="1"/>
    <col min="18" max="18" style="141" width="10.43357142857143" customWidth="1" bestFit="1"/>
    <col min="19" max="19" style="88" width="8.719285714285713" customWidth="1" bestFit="1"/>
    <col min="20" max="20" style="88" width="8.719285714285713" customWidth="1" bestFit="1"/>
    <col min="21" max="21" style="85" width="7.2907142857142855" customWidth="1" bestFit="1"/>
    <col min="22" max="22" style="85" width="7.433571428571429" customWidth="1" bestFit="1"/>
    <col min="23" max="23" style="86" width="7.2907142857142855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91" width="4.719285714285714" customWidth="1" bestFit="1"/>
    <col min="34" max="34" style="91" width="4.719285714285714" customWidth="1" bestFit="1"/>
    <col min="35" max="35" style="91" width="4.719285714285714" customWidth="1" bestFit="1"/>
    <col min="36" max="36" style="86" width="15.005" customWidth="1" bestFit="1"/>
    <col min="37" max="37" style="92" width="13.005" customWidth="1" bestFit="1"/>
    <col min="38" max="38" style="92" width="13.005" customWidth="1" bestFit="1"/>
    <col min="39" max="39" style="91" width="13.005" customWidth="1" bestFit="1"/>
  </cols>
  <sheetData>
    <row x14ac:dyDescent="0.25" r="1" customHeight="1" ht="18">
      <c r="A1" s="1"/>
      <c r="B1" s="2"/>
      <c r="C1" s="2"/>
      <c r="D1" s="1"/>
      <c r="E1" s="2"/>
      <c r="F1" s="2"/>
      <c r="G1" s="2"/>
      <c r="H1" s="2"/>
      <c r="I1" s="2"/>
      <c r="J1" s="119" t="s">
        <v>0</v>
      </c>
      <c r="K1" s="4" t="s">
        <v>1</v>
      </c>
      <c r="L1" s="5">
        <f>COUNTIF(L7:L490,"SK(H)")</f>
      </c>
      <c r="M1" s="4" t="s">
        <v>2</v>
      </c>
      <c r="N1" s="6">
        <f>COUNTA(M7:M506)</f>
      </c>
      <c r="O1" s="7"/>
      <c r="P1" s="7"/>
      <c r="Q1" s="120"/>
      <c r="R1" s="120"/>
      <c r="S1" s="152"/>
      <c r="T1" s="152"/>
      <c r="U1" s="122"/>
      <c r="V1" s="122"/>
      <c r="W1" s="19"/>
      <c r="X1" s="11"/>
      <c r="Y1" s="11"/>
      <c r="Z1" s="11"/>
      <c r="AA1" s="11"/>
      <c r="AB1" s="11"/>
      <c r="AC1" s="12"/>
      <c r="AD1" s="2"/>
      <c r="AE1" s="2"/>
      <c r="AF1" s="2"/>
      <c r="AG1" s="12"/>
      <c r="AH1" s="12"/>
      <c r="AI1" s="12" t="s">
        <v>3</v>
      </c>
      <c r="AJ1" s="12"/>
      <c r="AK1" s="13"/>
      <c r="AL1" s="14"/>
      <c r="AM1" s="2"/>
    </row>
    <row x14ac:dyDescent="0.25" r="2" customHeight="1" ht="18">
      <c r="A2" s="1"/>
      <c r="B2" s="15"/>
      <c r="C2" s="7"/>
      <c r="D2" s="18"/>
      <c r="E2" s="7"/>
      <c r="F2" s="7"/>
      <c r="G2" s="7"/>
      <c r="H2" s="7"/>
      <c r="I2" s="7"/>
      <c r="J2" s="123"/>
      <c r="K2" s="4" t="s">
        <v>4</v>
      </c>
      <c r="L2" s="5">
        <f>COUNTIF(L7:L491,"SHW(H)")</f>
      </c>
      <c r="M2" s="4" t="s">
        <v>5</v>
      </c>
      <c r="N2" s="6">
        <f>COUNTA(N7:N171)</f>
      </c>
      <c r="O2" s="7"/>
      <c r="P2" s="7"/>
      <c r="Q2" s="120"/>
      <c r="R2" s="120"/>
      <c r="S2" s="152"/>
      <c r="T2" s="152"/>
      <c r="U2" s="122"/>
      <c r="V2" s="122"/>
      <c r="W2" s="19"/>
      <c r="X2" s="11"/>
      <c r="Y2" s="11"/>
      <c r="Z2" s="11"/>
      <c r="AA2" s="11"/>
      <c r="AB2" s="11"/>
      <c r="AC2" s="12"/>
      <c r="AD2" s="2"/>
      <c r="AE2" s="2"/>
      <c r="AF2" s="2"/>
      <c r="AG2" s="12"/>
      <c r="AH2" s="12"/>
      <c r="AI2" s="12" t="s">
        <v>6</v>
      </c>
      <c r="AJ2" s="12"/>
      <c r="AK2" s="13"/>
      <c r="AL2" s="14"/>
      <c r="AM2" s="2"/>
    </row>
    <row x14ac:dyDescent="0.25" r="3" customHeight="1" ht="18">
      <c r="A3" s="1"/>
      <c r="B3" s="15"/>
      <c r="C3" s="7"/>
      <c r="D3" s="18"/>
      <c r="E3" s="7"/>
      <c r="F3" s="7"/>
      <c r="G3" s="7"/>
      <c r="H3" s="7"/>
      <c r="I3" s="7"/>
      <c r="J3" s="123"/>
      <c r="K3" s="7"/>
      <c r="L3" s="17"/>
      <c r="M3" s="7"/>
      <c r="N3" s="18"/>
      <c r="O3" s="7"/>
      <c r="P3" s="7"/>
      <c r="Q3" s="120"/>
      <c r="R3" s="120"/>
      <c r="S3" s="152"/>
      <c r="T3" s="152"/>
      <c r="U3" s="122"/>
      <c r="V3" s="122"/>
      <c r="W3" s="19"/>
      <c r="X3" s="11"/>
      <c r="Y3" s="11"/>
      <c r="Z3" s="11"/>
      <c r="AA3" s="11"/>
      <c r="AB3" s="11"/>
      <c r="AC3" s="12"/>
      <c r="AD3" s="2"/>
      <c r="AE3" s="2"/>
      <c r="AF3" s="2"/>
      <c r="AG3" s="12"/>
      <c r="AH3" s="12"/>
      <c r="AI3" s="12" t="s">
        <v>7</v>
      </c>
      <c r="AJ3" s="12"/>
      <c r="AK3" s="13"/>
      <c r="AL3" s="14"/>
      <c r="AM3" s="2"/>
    </row>
    <row x14ac:dyDescent="0.25" r="4" customHeight="1" ht="18">
      <c r="A4" s="1"/>
      <c r="B4" s="2"/>
      <c r="C4" s="12"/>
      <c r="D4" s="20"/>
      <c r="E4" s="12"/>
      <c r="F4" s="12"/>
      <c r="G4" s="12"/>
      <c r="H4" s="12"/>
      <c r="I4" s="12"/>
      <c r="J4" s="124"/>
      <c r="K4" s="2"/>
      <c r="L4" s="14"/>
      <c r="M4" s="11"/>
      <c r="N4" s="20"/>
      <c r="O4" s="12"/>
      <c r="P4" s="12"/>
      <c r="Q4" s="125"/>
      <c r="R4" s="125"/>
      <c r="S4" s="152"/>
      <c r="T4" s="152"/>
      <c r="U4" s="122"/>
      <c r="V4" s="122"/>
      <c r="W4" s="19"/>
      <c r="X4" s="11"/>
      <c r="Y4" s="11"/>
      <c r="Z4" s="11"/>
      <c r="AA4" s="11"/>
      <c r="AB4" s="11"/>
      <c r="AC4" s="12"/>
      <c r="AD4" s="2"/>
      <c r="AE4" s="2"/>
      <c r="AF4" s="2"/>
      <c r="AG4" s="12"/>
      <c r="AH4" s="12"/>
      <c r="AI4" s="11"/>
      <c r="AJ4" s="12"/>
      <c r="AK4" s="13"/>
      <c r="AL4" s="21"/>
      <c r="AM4" s="11"/>
    </row>
    <row x14ac:dyDescent="0.25" r="5" customHeight="1" ht="19.8">
      <c r="A5" s="22" t="s">
        <v>8</v>
      </c>
      <c r="B5" s="23"/>
      <c r="C5" s="23" t="s">
        <v>3151</v>
      </c>
      <c r="D5" s="22"/>
      <c r="E5" s="23"/>
      <c r="F5" s="23"/>
      <c r="G5" s="23" t="s">
        <v>2757</v>
      </c>
      <c r="H5" s="23" t="s">
        <v>3152</v>
      </c>
      <c r="I5" s="23"/>
      <c r="J5" s="126"/>
      <c r="K5" s="12"/>
      <c r="L5" s="14"/>
      <c r="M5" s="2"/>
      <c r="N5" s="24"/>
      <c r="O5" s="25"/>
      <c r="P5" s="25"/>
      <c r="Q5" s="127"/>
      <c r="R5" s="127"/>
      <c r="S5" s="154"/>
      <c r="T5" s="154"/>
      <c r="U5" s="27"/>
      <c r="V5" s="27"/>
      <c r="W5" s="2"/>
      <c r="X5" s="28" t="s">
        <v>3153</v>
      </c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"/>
      <c r="AK5" s="13"/>
      <c r="AL5" s="29"/>
      <c r="AM5" s="30"/>
    </row>
    <row x14ac:dyDescent="0.25" r="6" customHeight="1" ht="84.6" customFormat="1" s="31">
      <c r="A6" s="32" t="s">
        <v>11</v>
      </c>
      <c r="B6" s="33" t="s">
        <v>14</v>
      </c>
      <c r="C6" s="33" t="s">
        <v>15</v>
      </c>
      <c r="D6" s="159" t="s">
        <v>2759</v>
      </c>
      <c r="E6" s="33" t="s">
        <v>12</v>
      </c>
      <c r="F6" s="33" t="s">
        <v>13</v>
      </c>
      <c r="G6" s="33" t="s">
        <v>14</v>
      </c>
      <c r="H6" s="33" t="s">
        <v>15</v>
      </c>
      <c r="I6" s="33" t="s">
        <v>16</v>
      </c>
      <c r="J6" s="128" t="s">
        <v>17</v>
      </c>
      <c r="K6" s="34" t="s">
        <v>18</v>
      </c>
      <c r="L6" s="35" t="s">
        <v>19</v>
      </c>
      <c r="M6" s="36" t="s">
        <v>20</v>
      </c>
      <c r="N6" s="37" t="s">
        <v>21</v>
      </c>
      <c r="O6" s="38" t="s">
        <v>22</v>
      </c>
      <c r="P6" s="38" t="s">
        <v>23</v>
      </c>
      <c r="Q6" s="129" t="s">
        <v>24</v>
      </c>
      <c r="R6" s="129" t="s">
        <v>25</v>
      </c>
      <c r="S6" s="39" t="s">
        <v>26</v>
      </c>
      <c r="T6" s="39" t="s">
        <v>27</v>
      </c>
      <c r="U6" s="34" t="s">
        <v>28</v>
      </c>
      <c r="V6" s="34" t="s">
        <v>29</v>
      </c>
      <c r="W6" s="34" t="s">
        <v>30</v>
      </c>
      <c r="X6" s="40" t="s">
        <v>31</v>
      </c>
      <c r="Y6" s="33" t="s">
        <v>32</v>
      </c>
      <c r="Z6" s="33" t="s">
        <v>33</v>
      </c>
      <c r="AA6" s="33" t="s">
        <v>34</v>
      </c>
      <c r="AB6" s="33" t="s">
        <v>35</v>
      </c>
      <c r="AC6" s="33" t="s">
        <v>36</v>
      </c>
      <c r="AD6" s="33" t="s">
        <v>37</v>
      </c>
      <c r="AE6" s="33" t="s">
        <v>38</v>
      </c>
      <c r="AF6" s="33" t="s">
        <v>39</v>
      </c>
      <c r="AG6" s="33" t="s">
        <v>40</v>
      </c>
      <c r="AH6" s="33" t="s">
        <v>41</v>
      </c>
      <c r="AI6" s="33" t="s">
        <v>42</v>
      </c>
      <c r="AJ6" s="41" t="s">
        <v>43</v>
      </c>
      <c r="AK6" s="42" t="s">
        <v>44</v>
      </c>
      <c r="AL6" s="43" t="s">
        <v>45</v>
      </c>
      <c r="AM6" s="44" t="s">
        <v>46</v>
      </c>
    </row>
    <row x14ac:dyDescent="0.25" r="7" customHeight="1" ht="18">
      <c r="A7" s="45">
        <v>1</v>
      </c>
      <c r="B7" s="50" t="s">
        <v>2760</v>
      </c>
      <c r="C7" s="47" t="s">
        <v>3151</v>
      </c>
      <c r="D7" s="160">
        <v>1</v>
      </c>
      <c r="E7" s="46" t="s">
        <v>47</v>
      </c>
      <c r="F7" s="46" t="s">
        <v>48</v>
      </c>
      <c r="G7" s="47" t="s">
        <v>49</v>
      </c>
      <c r="H7" s="47" t="s">
        <v>3154</v>
      </c>
      <c r="I7" s="47" t="s">
        <v>3155</v>
      </c>
      <c r="J7" s="130" t="s">
        <v>677</v>
      </c>
      <c r="K7" s="131"/>
      <c r="L7" s="132"/>
      <c r="M7" s="76"/>
      <c r="N7" s="81" t="s">
        <v>3156</v>
      </c>
      <c r="O7" s="47" t="s">
        <v>3157</v>
      </c>
      <c r="P7" s="47" t="s">
        <v>3158</v>
      </c>
      <c r="Q7" s="134">
        <v>22.980096</v>
      </c>
      <c r="R7" s="134">
        <v>92.033496</v>
      </c>
      <c r="S7" s="81">
        <v>1000</v>
      </c>
      <c r="T7" s="81"/>
      <c r="U7" s="81"/>
      <c r="V7" s="81"/>
      <c r="W7" s="7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47"/>
      <c r="AK7" s="58"/>
      <c r="AL7" s="59"/>
      <c r="AM7" s="57"/>
    </row>
    <row x14ac:dyDescent="0.25" r="8" customHeight="1" ht="18">
      <c r="A8" s="45">
        <v>2</v>
      </c>
      <c r="B8" s="50" t="s">
        <v>2760</v>
      </c>
      <c r="C8" s="47" t="s">
        <v>3151</v>
      </c>
      <c r="D8" s="160">
        <v>2</v>
      </c>
      <c r="E8" s="46" t="s">
        <v>47</v>
      </c>
      <c r="F8" s="46" t="s">
        <v>48</v>
      </c>
      <c r="G8" s="47" t="s">
        <v>49</v>
      </c>
      <c r="H8" s="47" t="s">
        <v>3154</v>
      </c>
      <c r="I8" s="47" t="s">
        <v>3155</v>
      </c>
      <c r="J8" s="130" t="s">
        <v>677</v>
      </c>
      <c r="K8" s="131"/>
      <c r="L8" s="132"/>
      <c r="M8" s="76"/>
      <c r="N8" s="81" t="s">
        <v>3159</v>
      </c>
      <c r="O8" s="47" t="s">
        <v>3160</v>
      </c>
      <c r="P8" s="47" t="s">
        <v>3161</v>
      </c>
      <c r="Q8" s="134">
        <v>22.977457</v>
      </c>
      <c r="R8" s="134">
        <v>92.042593</v>
      </c>
      <c r="S8" s="81">
        <v>500</v>
      </c>
      <c r="T8" s="81"/>
      <c r="U8" s="81"/>
      <c r="V8" s="81"/>
      <c r="W8" s="7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3"/>
      <c r="AK8" s="58"/>
      <c r="AL8" s="59"/>
      <c r="AM8" s="57"/>
    </row>
    <row x14ac:dyDescent="0.25" r="9" customHeight="1" ht="18">
      <c r="A9" s="45">
        <v>3</v>
      </c>
      <c r="B9" s="50" t="s">
        <v>2760</v>
      </c>
      <c r="C9" s="47" t="s">
        <v>3151</v>
      </c>
      <c r="D9" s="160">
        <v>3</v>
      </c>
      <c r="E9" s="46" t="s">
        <v>47</v>
      </c>
      <c r="F9" s="46" t="s">
        <v>48</v>
      </c>
      <c r="G9" s="47" t="s">
        <v>49</v>
      </c>
      <c r="H9" s="47" t="s">
        <v>3154</v>
      </c>
      <c r="I9" s="47" t="s">
        <v>3155</v>
      </c>
      <c r="J9" s="130" t="s">
        <v>677</v>
      </c>
      <c r="K9" s="131"/>
      <c r="L9" s="132"/>
      <c r="M9" s="76"/>
      <c r="N9" s="81" t="s">
        <v>3162</v>
      </c>
      <c r="O9" s="47" t="s">
        <v>3163</v>
      </c>
      <c r="P9" s="47" t="s">
        <v>3164</v>
      </c>
      <c r="Q9" s="134">
        <v>22.981795</v>
      </c>
      <c r="R9" s="134">
        <v>92.029353</v>
      </c>
      <c r="S9" s="81"/>
      <c r="T9" s="81"/>
      <c r="U9" s="81"/>
      <c r="V9" s="81"/>
      <c r="W9" s="7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3"/>
      <c r="AK9" s="58"/>
      <c r="AL9" s="59"/>
      <c r="AM9" s="57"/>
    </row>
    <row x14ac:dyDescent="0.25" r="10" customHeight="1" ht="18">
      <c r="A10" s="45">
        <v>4</v>
      </c>
      <c r="B10" s="50" t="s">
        <v>2760</v>
      </c>
      <c r="C10" s="47" t="s">
        <v>3151</v>
      </c>
      <c r="D10" s="160">
        <v>4</v>
      </c>
      <c r="E10" s="46" t="s">
        <v>47</v>
      </c>
      <c r="F10" s="46" t="s">
        <v>48</v>
      </c>
      <c r="G10" s="47" t="s">
        <v>49</v>
      </c>
      <c r="H10" s="47" t="s">
        <v>3154</v>
      </c>
      <c r="I10" s="47" t="s">
        <v>3155</v>
      </c>
      <c r="J10" s="130" t="s">
        <v>684</v>
      </c>
      <c r="K10" s="131"/>
      <c r="L10" s="132"/>
      <c r="M10" s="76"/>
      <c r="N10" s="81" t="s">
        <v>3165</v>
      </c>
      <c r="O10" s="47" t="s">
        <v>3166</v>
      </c>
      <c r="P10" s="47" t="s">
        <v>3167</v>
      </c>
      <c r="Q10" s="134">
        <v>22.972281</v>
      </c>
      <c r="R10" s="134">
        <v>92.030057</v>
      </c>
      <c r="S10" s="81">
        <v>450</v>
      </c>
      <c r="T10" s="81"/>
      <c r="U10" s="81"/>
      <c r="V10" s="81"/>
      <c r="W10" s="7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3"/>
      <c r="AK10" s="58"/>
      <c r="AL10" s="59"/>
      <c r="AM10" s="57"/>
    </row>
    <row x14ac:dyDescent="0.25" r="11" customHeight="1" ht="18">
      <c r="A11" s="45">
        <v>5</v>
      </c>
      <c r="B11" s="50" t="s">
        <v>2760</v>
      </c>
      <c r="C11" s="47" t="s">
        <v>3151</v>
      </c>
      <c r="D11" s="160">
        <v>5</v>
      </c>
      <c r="E11" s="46" t="s">
        <v>47</v>
      </c>
      <c r="F11" s="46" t="s">
        <v>48</v>
      </c>
      <c r="G11" s="47" t="s">
        <v>49</v>
      </c>
      <c r="H11" s="47" t="s">
        <v>3154</v>
      </c>
      <c r="I11" s="47" t="s">
        <v>3155</v>
      </c>
      <c r="J11" s="130" t="s">
        <v>684</v>
      </c>
      <c r="K11" s="131"/>
      <c r="L11" s="132"/>
      <c r="M11" s="76"/>
      <c r="N11" s="81" t="s">
        <v>3168</v>
      </c>
      <c r="O11" s="47" t="s">
        <v>3169</v>
      </c>
      <c r="P11" s="47" t="s">
        <v>3170</v>
      </c>
      <c r="Q11" s="134">
        <v>22.965298</v>
      </c>
      <c r="R11" s="134">
        <v>92.039982</v>
      </c>
      <c r="S11" s="81">
        <v>400</v>
      </c>
      <c r="T11" s="81"/>
      <c r="U11" s="81"/>
      <c r="V11" s="81"/>
      <c r="W11" s="7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47"/>
      <c r="AK11" s="58"/>
      <c r="AL11" s="59"/>
      <c r="AM11" s="57"/>
    </row>
    <row x14ac:dyDescent="0.25" r="12" customHeight="1" ht="18">
      <c r="A12" s="45">
        <v>6</v>
      </c>
      <c r="B12" s="50" t="s">
        <v>2760</v>
      </c>
      <c r="C12" s="47" t="s">
        <v>3151</v>
      </c>
      <c r="D12" s="160">
        <v>6</v>
      </c>
      <c r="E12" s="46" t="s">
        <v>47</v>
      </c>
      <c r="F12" s="46" t="s">
        <v>48</v>
      </c>
      <c r="G12" s="47" t="s">
        <v>49</v>
      </c>
      <c r="H12" s="47" t="s">
        <v>3154</v>
      </c>
      <c r="I12" s="47" t="s">
        <v>3155</v>
      </c>
      <c r="J12" s="130" t="s">
        <v>697</v>
      </c>
      <c r="K12" s="131"/>
      <c r="L12" s="132"/>
      <c r="M12" s="76"/>
      <c r="N12" s="81" t="s">
        <v>3171</v>
      </c>
      <c r="O12" s="47" t="s">
        <v>3172</v>
      </c>
      <c r="P12" s="47" t="s">
        <v>3173</v>
      </c>
      <c r="Q12" s="134">
        <v>22.983087</v>
      </c>
      <c r="R12" s="134">
        <v>92.040218</v>
      </c>
      <c r="S12" s="81">
        <v>700</v>
      </c>
      <c r="T12" s="81"/>
      <c r="U12" s="81"/>
      <c r="V12" s="81"/>
      <c r="W12" s="7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3"/>
      <c r="AK12" s="58"/>
      <c r="AL12" s="59"/>
      <c r="AM12" s="57"/>
    </row>
    <row x14ac:dyDescent="0.25" r="13" customHeight="1" ht="18">
      <c r="A13" s="45">
        <v>7</v>
      </c>
      <c r="B13" s="50" t="s">
        <v>2760</v>
      </c>
      <c r="C13" s="47" t="s">
        <v>3151</v>
      </c>
      <c r="D13" s="160">
        <v>7</v>
      </c>
      <c r="E13" s="46" t="s">
        <v>47</v>
      </c>
      <c r="F13" s="46" t="s">
        <v>48</v>
      </c>
      <c r="G13" s="47" t="s">
        <v>49</v>
      </c>
      <c r="H13" s="47" t="s">
        <v>3154</v>
      </c>
      <c r="I13" s="47" t="s">
        <v>3155</v>
      </c>
      <c r="J13" s="130" t="s">
        <v>697</v>
      </c>
      <c r="K13" s="131"/>
      <c r="L13" s="132"/>
      <c r="M13" s="76"/>
      <c r="N13" s="81" t="s">
        <v>3174</v>
      </c>
      <c r="O13" s="47" t="s">
        <v>3175</v>
      </c>
      <c r="P13" s="47" t="s">
        <v>3176</v>
      </c>
      <c r="Q13" s="134">
        <v>22.982946</v>
      </c>
      <c r="R13" s="134">
        <v>92.061392</v>
      </c>
      <c r="S13" s="81">
        <v>480</v>
      </c>
      <c r="T13" s="81"/>
      <c r="U13" s="81"/>
      <c r="V13" s="81"/>
      <c r="W13" s="7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3"/>
      <c r="AK13" s="58"/>
      <c r="AL13" s="59"/>
      <c r="AM13" s="57"/>
    </row>
    <row x14ac:dyDescent="0.25" r="14" customHeight="1" ht="18">
      <c r="A14" s="45">
        <v>8</v>
      </c>
      <c r="B14" s="50" t="s">
        <v>2760</v>
      </c>
      <c r="C14" s="47" t="s">
        <v>3151</v>
      </c>
      <c r="D14" s="160">
        <v>8</v>
      </c>
      <c r="E14" s="46" t="s">
        <v>47</v>
      </c>
      <c r="F14" s="46" t="s">
        <v>48</v>
      </c>
      <c r="G14" s="47" t="s">
        <v>49</v>
      </c>
      <c r="H14" s="47" t="s">
        <v>3154</v>
      </c>
      <c r="I14" s="47" t="s">
        <v>3155</v>
      </c>
      <c r="J14" s="130" t="s">
        <v>707</v>
      </c>
      <c r="K14" s="76"/>
      <c r="L14" s="132"/>
      <c r="M14" s="76"/>
      <c r="N14" s="81" t="s">
        <v>3177</v>
      </c>
      <c r="O14" s="157" t="s">
        <v>3178</v>
      </c>
      <c r="P14" s="47" t="s">
        <v>3179</v>
      </c>
      <c r="Q14" s="134">
        <v>22.996313</v>
      </c>
      <c r="R14" s="134">
        <v>92.039358</v>
      </c>
      <c r="S14" s="81">
        <v>1000</v>
      </c>
      <c r="T14" s="81"/>
      <c r="U14" s="81"/>
      <c r="V14" s="81"/>
      <c r="W14" s="135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47"/>
      <c r="AK14" s="58"/>
      <c r="AL14" s="59"/>
      <c r="AM14" s="57"/>
    </row>
    <row x14ac:dyDescent="0.25" r="15" customHeight="1" ht="18">
      <c r="A15" s="45">
        <v>9</v>
      </c>
      <c r="B15" s="50" t="s">
        <v>2760</v>
      </c>
      <c r="C15" s="47" t="s">
        <v>3151</v>
      </c>
      <c r="D15" s="160">
        <v>9</v>
      </c>
      <c r="E15" s="46" t="s">
        <v>47</v>
      </c>
      <c r="F15" s="46" t="s">
        <v>48</v>
      </c>
      <c r="G15" s="47" t="s">
        <v>49</v>
      </c>
      <c r="H15" s="47" t="s">
        <v>3154</v>
      </c>
      <c r="I15" s="47" t="s">
        <v>3155</v>
      </c>
      <c r="J15" s="130" t="s">
        <v>707</v>
      </c>
      <c r="K15" s="76"/>
      <c r="L15" s="132"/>
      <c r="M15" s="76"/>
      <c r="N15" s="81" t="s">
        <v>3180</v>
      </c>
      <c r="O15" s="47" t="s">
        <v>3181</v>
      </c>
      <c r="P15" s="47" t="s">
        <v>3182</v>
      </c>
      <c r="Q15" s="134">
        <v>22.995484</v>
      </c>
      <c r="R15" s="134">
        <v>92.055538</v>
      </c>
      <c r="S15" s="81">
        <v>750</v>
      </c>
      <c r="T15" s="81"/>
      <c r="U15" s="81"/>
      <c r="V15" s="81"/>
      <c r="W15" s="135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3"/>
      <c r="AK15" s="58"/>
      <c r="AL15" s="59"/>
      <c r="AM15" s="57"/>
    </row>
    <row x14ac:dyDescent="0.25" r="16" customHeight="1" ht="18">
      <c r="A16" s="45">
        <v>10</v>
      </c>
      <c r="B16" s="50" t="s">
        <v>2760</v>
      </c>
      <c r="C16" s="47" t="s">
        <v>3151</v>
      </c>
      <c r="D16" s="160">
        <v>10</v>
      </c>
      <c r="E16" s="46" t="s">
        <v>47</v>
      </c>
      <c r="F16" s="46" t="s">
        <v>48</v>
      </c>
      <c r="G16" s="47" t="s">
        <v>49</v>
      </c>
      <c r="H16" s="47" t="s">
        <v>3154</v>
      </c>
      <c r="I16" s="47" t="s">
        <v>3155</v>
      </c>
      <c r="J16" s="130" t="s">
        <v>726</v>
      </c>
      <c r="K16" s="76"/>
      <c r="L16" s="132"/>
      <c r="M16" s="76"/>
      <c r="N16" s="81" t="s">
        <v>3183</v>
      </c>
      <c r="O16" s="47" t="s">
        <v>3184</v>
      </c>
      <c r="P16" s="47" t="s">
        <v>3185</v>
      </c>
      <c r="Q16" s="134">
        <v>23.006023</v>
      </c>
      <c r="R16" s="134">
        <v>92.027472</v>
      </c>
      <c r="S16" s="81">
        <v>410</v>
      </c>
      <c r="T16" s="81"/>
      <c r="U16" s="81"/>
      <c r="V16" s="81"/>
      <c r="W16" s="135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3"/>
      <c r="AK16" s="58"/>
      <c r="AL16" s="59"/>
      <c r="AM16" s="57"/>
    </row>
    <row x14ac:dyDescent="0.25" r="17" customHeight="1" ht="18">
      <c r="A17" s="45">
        <v>11</v>
      </c>
      <c r="B17" s="50" t="s">
        <v>2760</v>
      </c>
      <c r="C17" s="47" t="s">
        <v>3151</v>
      </c>
      <c r="D17" s="160">
        <v>11</v>
      </c>
      <c r="E17" s="46" t="s">
        <v>47</v>
      </c>
      <c r="F17" s="46" t="s">
        <v>48</v>
      </c>
      <c r="G17" s="47" t="s">
        <v>49</v>
      </c>
      <c r="H17" s="47" t="s">
        <v>3154</v>
      </c>
      <c r="I17" s="47" t="s">
        <v>3155</v>
      </c>
      <c r="J17" s="130" t="s">
        <v>726</v>
      </c>
      <c r="K17" s="76"/>
      <c r="L17" s="132"/>
      <c r="M17" s="136"/>
      <c r="N17" s="81" t="s">
        <v>3186</v>
      </c>
      <c r="O17" s="47" t="s">
        <v>3187</v>
      </c>
      <c r="P17" s="47" t="s">
        <v>3188</v>
      </c>
      <c r="Q17" s="134">
        <v>23.006917</v>
      </c>
      <c r="R17" s="134">
        <v>92.049523</v>
      </c>
      <c r="S17" s="81">
        <v>625</v>
      </c>
      <c r="T17" s="81"/>
      <c r="U17" s="81"/>
      <c r="V17" s="81"/>
      <c r="W17" s="135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3"/>
      <c r="AK17" s="58"/>
      <c r="AL17" s="59"/>
      <c r="AM17" s="57"/>
    </row>
    <row x14ac:dyDescent="0.25" r="18" customHeight="1" ht="18">
      <c r="A18" s="45">
        <v>12</v>
      </c>
      <c r="B18" s="50" t="s">
        <v>2760</v>
      </c>
      <c r="C18" s="47" t="s">
        <v>3151</v>
      </c>
      <c r="D18" s="160">
        <v>12</v>
      </c>
      <c r="E18" s="46" t="s">
        <v>47</v>
      </c>
      <c r="F18" s="46" t="s">
        <v>48</v>
      </c>
      <c r="G18" s="47" t="s">
        <v>49</v>
      </c>
      <c r="H18" s="47" t="s">
        <v>3154</v>
      </c>
      <c r="I18" s="47" t="s">
        <v>3155</v>
      </c>
      <c r="J18" s="130" t="s">
        <v>742</v>
      </c>
      <c r="K18" s="76"/>
      <c r="L18" s="132"/>
      <c r="M18" s="76"/>
      <c r="N18" s="81" t="s">
        <v>704</v>
      </c>
      <c r="O18" s="47" t="s">
        <v>705</v>
      </c>
      <c r="P18" s="47" t="s">
        <v>3189</v>
      </c>
      <c r="Q18" s="134">
        <v>23.006245</v>
      </c>
      <c r="R18" s="134">
        <v>92.034859</v>
      </c>
      <c r="S18" s="81">
        <v>120</v>
      </c>
      <c r="T18" s="81"/>
      <c r="U18" s="81"/>
      <c r="V18" s="81"/>
      <c r="W18" s="135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3"/>
      <c r="AK18" s="58"/>
      <c r="AL18" s="59"/>
      <c r="AM18" s="57"/>
    </row>
    <row x14ac:dyDescent="0.25" r="19" customHeight="1" ht="18">
      <c r="A19" s="45">
        <v>13</v>
      </c>
      <c r="B19" s="50" t="s">
        <v>2760</v>
      </c>
      <c r="C19" s="47" t="s">
        <v>3151</v>
      </c>
      <c r="D19" s="160">
        <v>13</v>
      </c>
      <c r="E19" s="46" t="s">
        <v>47</v>
      </c>
      <c r="F19" s="46" t="s">
        <v>48</v>
      </c>
      <c r="G19" s="47" t="s">
        <v>49</v>
      </c>
      <c r="H19" s="47" t="s">
        <v>3154</v>
      </c>
      <c r="I19" s="47" t="s">
        <v>3155</v>
      </c>
      <c r="J19" s="130" t="s">
        <v>742</v>
      </c>
      <c r="K19" s="76"/>
      <c r="L19" s="132"/>
      <c r="M19" s="76"/>
      <c r="N19" s="81" t="s">
        <v>94</v>
      </c>
      <c r="O19" s="47" t="s">
        <v>3190</v>
      </c>
      <c r="P19" s="47" t="s">
        <v>3191</v>
      </c>
      <c r="Q19" s="134">
        <v>23.023251</v>
      </c>
      <c r="R19" s="134">
        <v>92.051984</v>
      </c>
      <c r="S19" s="81">
        <v>435</v>
      </c>
      <c r="T19" s="81"/>
      <c r="U19" s="81"/>
      <c r="V19" s="81"/>
      <c r="W19" s="135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3"/>
      <c r="AK19" s="58"/>
      <c r="AL19" s="59"/>
      <c r="AM19" s="57"/>
    </row>
    <row x14ac:dyDescent="0.25" r="20" customHeight="1" ht="18">
      <c r="A20" s="45">
        <v>14</v>
      </c>
      <c r="B20" s="50" t="s">
        <v>2760</v>
      </c>
      <c r="C20" s="47" t="s">
        <v>3151</v>
      </c>
      <c r="D20" s="160">
        <v>14</v>
      </c>
      <c r="E20" s="46" t="s">
        <v>47</v>
      </c>
      <c r="F20" s="46" t="s">
        <v>48</v>
      </c>
      <c r="G20" s="47" t="s">
        <v>49</v>
      </c>
      <c r="H20" s="47" t="s">
        <v>3154</v>
      </c>
      <c r="I20" s="47" t="s">
        <v>3155</v>
      </c>
      <c r="J20" s="130" t="s">
        <v>742</v>
      </c>
      <c r="K20" s="76"/>
      <c r="L20" s="132"/>
      <c r="M20" s="76"/>
      <c r="N20" s="81" t="s">
        <v>3192</v>
      </c>
      <c r="O20" s="47" t="s">
        <v>3193</v>
      </c>
      <c r="P20" s="47" t="s">
        <v>3194</v>
      </c>
      <c r="Q20" s="134">
        <v>22.991923</v>
      </c>
      <c r="R20" s="134">
        <v>92.061667</v>
      </c>
      <c r="S20" s="81">
        <v>140</v>
      </c>
      <c r="T20" s="81"/>
      <c r="U20" s="81"/>
      <c r="V20" s="81"/>
      <c r="W20" s="135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3"/>
      <c r="AK20" s="58"/>
      <c r="AL20" s="59"/>
      <c r="AM20" s="57"/>
    </row>
    <row x14ac:dyDescent="0.25" r="21" customHeight="1" ht="18">
      <c r="A21" s="45">
        <v>15</v>
      </c>
      <c r="B21" s="50" t="s">
        <v>2760</v>
      </c>
      <c r="C21" s="47" t="s">
        <v>3151</v>
      </c>
      <c r="D21" s="160">
        <v>15</v>
      </c>
      <c r="E21" s="46" t="s">
        <v>47</v>
      </c>
      <c r="F21" s="46" t="s">
        <v>48</v>
      </c>
      <c r="G21" s="47" t="s">
        <v>49</v>
      </c>
      <c r="H21" s="47" t="s">
        <v>3154</v>
      </c>
      <c r="I21" s="47" t="s">
        <v>3155</v>
      </c>
      <c r="J21" s="130" t="s">
        <v>742</v>
      </c>
      <c r="K21" s="76"/>
      <c r="L21" s="132"/>
      <c r="M21" s="76"/>
      <c r="N21" s="81" t="s">
        <v>3195</v>
      </c>
      <c r="O21" s="47" t="s">
        <v>3196</v>
      </c>
      <c r="P21" s="47" t="s">
        <v>3197</v>
      </c>
      <c r="Q21" s="134">
        <v>23.009624</v>
      </c>
      <c r="R21" s="134">
        <v>92.057834</v>
      </c>
      <c r="S21" s="81">
        <v>100</v>
      </c>
      <c r="T21" s="81"/>
      <c r="U21" s="81"/>
      <c r="V21" s="81"/>
      <c r="W21" s="7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3"/>
      <c r="AK21" s="58"/>
      <c r="AL21" s="59"/>
      <c r="AM21" s="57"/>
    </row>
    <row x14ac:dyDescent="0.25" r="22" customHeight="1" ht="18">
      <c r="A22" s="45">
        <v>16</v>
      </c>
      <c r="B22" s="50" t="s">
        <v>2760</v>
      </c>
      <c r="C22" s="47" t="s">
        <v>3151</v>
      </c>
      <c r="D22" s="160">
        <v>16</v>
      </c>
      <c r="E22" s="46" t="s">
        <v>47</v>
      </c>
      <c r="F22" s="46" t="s">
        <v>48</v>
      </c>
      <c r="G22" s="47" t="s">
        <v>49</v>
      </c>
      <c r="H22" s="47" t="s">
        <v>3154</v>
      </c>
      <c r="I22" s="47" t="s">
        <v>3155</v>
      </c>
      <c r="J22" s="130" t="s">
        <v>742</v>
      </c>
      <c r="K22" s="76"/>
      <c r="L22" s="132"/>
      <c r="M22" s="76"/>
      <c r="N22" s="81" t="s">
        <v>3198</v>
      </c>
      <c r="O22" s="47" t="s">
        <v>3199</v>
      </c>
      <c r="P22" s="47" t="s">
        <v>3200</v>
      </c>
      <c r="Q22" s="134">
        <v>22.999708</v>
      </c>
      <c r="R22" s="134">
        <v>92.066721</v>
      </c>
      <c r="S22" s="81">
        <v>300</v>
      </c>
      <c r="T22" s="81"/>
      <c r="U22" s="81"/>
      <c r="V22" s="81"/>
      <c r="W22" s="135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3"/>
      <c r="AK22" s="58"/>
      <c r="AL22" s="59"/>
      <c r="AM22" s="57"/>
    </row>
    <row x14ac:dyDescent="0.25" r="23" customHeight="1" ht="18">
      <c r="A23" s="45">
        <v>17</v>
      </c>
      <c r="B23" s="50" t="s">
        <v>2760</v>
      </c>
      <c r="C23" s="47" t="s">
        <v>3151</v>
      </c>
      <c r="D23" s="160">
        <v>17</v>
      </c>
      <c r="E23" s="46" t="s">
        <v>47</v>
      </c>
      <c r="F23" s="46" t="s">
        <v>48</v>
      </c>
      <c r="G23" s="47" t="s">
        <v>49</v>
      </c>
      <c r="H23" s="47" t="s">
        <v>3154</v>
      </c>
      <c r="I23" s="47" t="s">
        <v>3155</v>
      </c>
      <c r="J23" s="130" t="s">
        <v>742</v>
      </c>
      <c r="K23" s="131"/>
      <c r="L23" s="132"/>
      <c r="M23" s="76"/>
      <c r="N23" s="81" t="s">
        <v>1769</v>
      </c>
      <c r="O23" s="47" t="s">
        <v>1770</v>
      </c>
      <c r="P23" s="47" t="s">
        <v>3201</v>
      </c>
      <c r="Q23" s="134">
        <v>23.016118</v>
      </c>
      <c r="R23" s="134">
        <v>92.04642</v>
      </c>
      <c r="S23" s="81">
        <v>350</v>
      </c>
      <c r="T23" s="81"/>
      <c r="U23" s="81"/>
      <c r="V23" s="81"/>
      <c r="W23" s="135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3"/>
      <c r="AK23" s="58"/>
      <c r="AL23" s="59"/>
      <c r="AM23" s="57"/>
    </row>
    <row x14ac:dyDescent="0.25" r="24" customHeight="1" ht="18">
      <c r="A24" s="45">
        <v>18</v>
      </c>
      <c r="B24" s="50" t="s">
        <v>2760</v>
      </c>
      <c r="C24" s="47" t="s">
        <v>3151</v>
      </c>
      <c r="D24" s="160">
        <v>18</v>
      </c>
      <c r="E24" s="46" t="s">
        <v>47</v>
      </c>
      <c r="F24" s="46" t="s">
        <v>48</v>
      </c>
      <c r="G24" s="47" t="s">
        <v>49</v>
      </c>
      <c r="H24" s="47" t="s">
        <v>3154</v>
      </c>
      <c r="I24" s="47" t="s">
        <v>3155</v>
      </c>
      <c r="J24" s="130" t="s">
        <v>742</v>
      </c>
      <c r="K24" s="131"/>
      <c r="L24" s="132"/>
      <c r="M24" s="76"/>
      <c r="N24" s="81" t="s">
        <v>3202</v>
      </c>
      <c r="O24" s="47" t="s">
        <v>3203</v>
      </c>
      <c r="P24" s="47" t="s">
        <v>3204</v>
      </c>
      <c r="Q24" s="134">
        <v>23.00238</v>
      </c>
      <c r="R24" s="134">
        <v>92.069258</v>
      </c>
      <c r="S24" s="81">
        <v>120</v>
      </c>
      <c r="T24" s="81"/>
      <c r="U24" s="81"/>
      <c r="V24" s="81"/>
      <c r="W24" s="135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3"/>
      <c r="AK24" s="58"/>
      <c r="AL24" s="59"/>
      <c r="AM24" s="57"/>
    </row>
    <row x14ac:dyDescent="0.25" r="25" customHeight="1" ht="18">
      <c r="A25" s="45">
        <v>19</v>
      </c>
      <c r="B25" s="50" t="s">
        <v>2760</v>
      </c>
      <c r="C25" s="47" t="s">
        <v>3151</v>
      </c>
      <c r="D25" s="160">
        <v>19</v>
      </c>
      <c r="E25" s="46" t="s">
        <v>47</v>
      </c>
      <c r="F25" s="46" t="s">
        <v>48</v>
      </c>
      <c r="G25" s="47" t="s">
        <v>49</v>
      </c>
      <c r="H25" s="47" t="s">
        <v>3154</v>
      </c>
      <c r="I25" s="47" t="s">
        <v>3155</v>
      </c>
      <c r="J25" s="130" t="s">
        <v>742</v>
      </c>
      <c r="K25" s="131"/>
      <c r="L25" s="132"/>
      <c r="M25" s="76"/>
      <c r="N25" s="81" t="s">
        <v>3205</v>
      </c>
      <c r="O25" s="47" t="s">
        <v>3206</v>
      </c>
      <c r="P25" s="47" t="s">
        <v>3207</v>
      </c>
      <c r="Q25" s="134">
        <v>23.011113</v>
      </c>
      <c r="R25" s="134">
        <v>92.039378</v>
      </c>
      <c r="S25" s="81"/>
      <c r="T25" s="81"/>
      <c r="U25" s="81"/>
      <c r="V25" s="81"/>
      <c r="W25" s="135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3"/>
      <c r="AK25" s="58"/>
      <c r="AL25" s="59"/>
      <c r="AM25" s="57"/>
    </row>
    <row x14ac:dyDescent="0.25" r="26" customHeight="1" ht="18">
      <c r="A26" s="45">
        <v>20</v>
      </c>
      <c r="B26" s="50" t="s">
        <v>2760</v>
      </c>
      <c r="C26" s="47" t="s">
        <v>3151</v>
      </c>
      <c r="D26" s="160">
        <v>20</v>
      </c>
      <c r="E26" s="46" t="s">
        <v>47</v>
      </c>
      <c r="F26" s="46" t="s">
        <v>48</v>
      </c>
      <c r="G26" s="47" t="s">
        <v>49</v>
      </c>
      <c r="H26" s="47" t="s">
        <v>3154</v>
      </c>
      <c r="I26" s="47" t="s">
        <v>3155</v>
      </c>
      <c r="J26" s="130" t="s">
        <v>761</v>
      </c>
      <c r="K26" s="131"/>
      <c r="L26" s="132"/>
      <c r="M26" s="76"/>
      <c r="N26" s="81" t="s">
        <v>3208</v>
      </c>
      <c r="O26" s="47" t="s">
        <v>3209</v>
      </c>
      <c r="P26" s="47" t="s">
        <v>3210</v>
      </c>
      <c r="Q26" s="134">
        <v>23.000332</v>
      </c>
      <c r="R26" s="134">
        <v>92.078269</v>
      </c>
      <c r="S26" s="81">
        <v>650</v>
      </c>
      <c r="T26" s="81"/>
      <c r="U26" s="81"/>
      <c r="V26" s="81"/>
      <c r="W26" s="135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3"/>
      <c r="AK26" s="58"/>
      <c r="AL26" s="59"/>
      <c r="AM26" s="57"/>
    </row>
    <row x14ac:dyDescent="0.25" r="27" customHeight="1" ht="18">
      <c r="A27" s="45">
        <v>21</v>
      </c>
      <c r="B27" s="50" t="s">
        <v>2760</v>
      </c>
      <c r="C27" s="47" t="s">
        <v>3151</v>
      </c>
      <c r="D27" s="160">
        <v>21</v>
      </c>
      <c r="E27" s="46" t="s">
        <v>47</v>
      </c>
      <c r="F27" s="46" t="s">
        <v>48</v>
      </c>
      <c r="G27" s="47" t="s">
        <v>49</v>
      </c>
      <c r="H27" s="47" t="s">
        <v>3154</v>
      </c>
      <c r="I27" s="47" t="s">
        <v>3155</v>
      </c>
      <c r="J27" s="130" t="s">
        <v>761</v>
      </c>
      <c r="K27" s="131"/>
      <c r="L27" s="132"/>
      <c r="M27" s="76"/>
      <c r="N27" s="81" t="s">
        <v>3211</v>
      </c>
      <c r="O27" s="47" t="s">
        <v>3212</v>
      </c>
      <c r="P27" s="47" t="s">
        <v>3213</v>
      </c>
      <c r="Q27" s="134">
        <v>23.018467</v>
      </c>
      <c r="R27" s="134">
        <v>92.032521</v>
      </c>
      <c r="S27" s="81">
        <v>375</v>
      </c>
      <c r="T27" s="81"/>
      <c r="U27" s="81"/>
      <c r="V27" s="81"/>
      <c r="W27" s="7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3"/>
      <c r="AK27" s="58"/>
      <c r="AL27" s="59"/>
      <c r="AM27" s="57"/>
    </row>
    <row x14ac:dyDescent="0.25" r="28" customHeight="1" ht="18">
      <c r="A28" s="45">
        <v>22</v>
      </c>
      <c r="B28" s="50" t="s">
        <v>2760</v>
      </c>
      <c r="C28" s="47" t="s">
        <v>3151</v>
      </c>
      <c r="D28" s="160">
        <v>22</v>
      </c>
      <c r="E28" s="46" t="s">
        <v>47</v>
      </c>
      <c r="F28" s="46" t="s">
        <v>48</v>
      </c>
      <c r="G28" s="47" t="s">
        <v>49</v>
      </c>
      <c r="H28" s="47" t="s">
        <v>3154</v>
      </c>
      <c r="I28" s="47" t="s">
        <v>3155</v>
      </c>
      <c r="J28" s="130" t="s">
        <v>761</v>
      </c>
      <c r="K28" s="131"/>
      <c r="L28" s="132"/>
      <c r="M28" s="76"/>
      <c r="N28" s="81" t="s">
        <v>3214</v>
      </c>
      <c r="O28" s="47" t="s">
        <v>3215</v>
      </c>
      <c r="P28" s="47" t="s">
        <v>3216</v>
      </c>
      <c r="Q28" s="134">
        <v>23.011292</v>
      </c>
      <c r="R28" s="134">
        <v>92.029427</v>
      </c>
      <c r="S28" s="81">
        <v>210</v>
      </c>
      <c r="T28" s="81"/>
      <c r="U28" s="81"/>
      <c r="V28" s="81"/>
      <c r="W28" s="135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3"/>
      <c r="AK28" s="58"/>
      <c r="AL28" s="59"/>
      <c r="AM28" s="57"/>
    </row>
    <row x14ac:dyDescent="0.25" r="29" customHeight="1" ht="18">
      <c r="A29" s="45">
        <v>23</v>
      </c>
      <c r="B29" s="50" t="s">
        <v>2760</v>
      </c>
      <c r="C29" s="47" t="s">
        <v>3151</v>
      </c>
      <c r="D29" s="160">
        <v>23</v>
      </c>
      <c r="E29" s="46" t="s">
        <v>47</v>
      </c>
      <c r="F29" s="46" t="s">
        <v>48</v>
      </c>
      <c r="G29" s="47" t="s">
        <v>49</v>
      </c>
      <c r="H29" s="47" t="s">
        <v>3154</v>
      </c>
      <c r="I29" s="47" t="s">
        <v>3155</v>
      </c>
      <c r="J29" s="130" t="s">
        <v>781</v>
      </c>
      <c r="K29" s="131"/>
      <c r="L29" s="132"/>
      <c r="M29" s="76"/>
      <c r="N29" s="81" t="s">
        <v>3217</v>
      </c>
      <c r="O29" s="47" t="s">
        <v>3218</v>
      </c>
      <c r="P29" s="47" t="s">
        <v>3219</v>
      </c>
      <c r="Q29" s="134">
        <v>23.034909</v>
      </c>
      <c r="R29" s="134">
        <v>92.060297</v>
      </c>
      <c r="S29" s="81">
        <v>400</v>
      </c>
      <c r="T29" s="81"/>
      <c r="U29" s="81"/>
      <c r="V29" s="81"/>
      <c r="W29" s="135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3"/>
      <c r="AK29" s="58"/>
      <c r="AL29" s="59"/>
      <c r="AM29" s="57"/>
    </row>
    <row x14ac:dyDescent="0.25" r="30" customHeight="1" ht="18">
      <c r="A30" s="45">
        <v>24</v>
      </c>
      <c r="B30" s="50" t="s">
        <v>2760</v>
      </c>
      <c r="C30" s="47" t="s">
        <v>3151</v>
      </c>
      <c r="D30" s="160">
        <v>24</v>
      </c>
      <c r="E30" s="46" t="s">
        <v>47</v>
      </c>
      <c r="F30" s="46" t="s">
        <v>48</v>
      </c>
      <c r="G30" s="47" t="s">
        <v>49</v>
      </c>
      <c r="H30" s="47" t="s">
        <v>3154</v>
      </c>
      <c r="I30" s="47" t="s">
        <v>3155</v>
      </c>
      <c r="J30" s="130" t="s">
        <v>781</v>
      </c>
      <c r="K30" s="131"/>
      <c r="L30" s="132"/>
      <c r="M30" s="76"/>
      <c r="N30" s="161" t="s">
        <v>3220</v>
      </c>
      <c r="O30" s="47" t="s">
        <v>3221</v>
      </c>
      <c r="P30" s="47" t="s">
        <v>3222</v>
      </c>
      <c r="Q30" s="134">
        <v>23.030027</v>
      </c>
      <c r="R30" s="134">
        <v>92.039035</v>
      </c>
      <c r="S30" s="81">
        <v>800</v>
      </c>
      <c r="T30" s="81"/>
      <c r="U30" s="81"/>
      <c r="V30" s="81"/>
      <c r="W30" s="135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3"/>
      <c r="AK30" s="58"/>
      <c r="AL30" s="59"/>
      <c r="AM30" s="57"/>
    </row>
    <row x14ac:dyDescent="0.25" r="31" customHeight="1" ht="18">
      <c r="A31" s="45">
        <v>25</v>
      </c>
      <c r="B31" s="50" t="s">
        <v>2760</v>
      </c>
      <c r="C31" s="47" t="s">
        <v>3151</v>
      </c>
      <c r="D31" s="160">
        <v>25</v>
      </c>
      <c r="E31" s="46" t="s">
        <v>47</v>
      </c>
      <c r="F31" s="46" t="s">
        <v>48</v>
      </c>
      <c r="G31" s="47" t="s">
        <v>49</v>
      </c>
      <c r="H31" s="47" t="s">
        <v>3154</v>
      </c>
      <c r="I31" s="47" t="s">
        <v>3155</v>
      </c>
      <c r="J31" s="130" t="s">
        <v>781</v>
      </c>
      <c r="K31" s="131"/>
      <c r="L31" s="132"/>
      <c r="M31" s="76"/>
      <c r="N31" s="161" t="s">
        <v>3223</v>
      </c>
      <c r="O31" s="47" t="s">
        <v>3224</v>
      </c>
      <c r="P31" s="47" t="s">
        <v>3225</v>
      </c>
      <c r="Q31" s="134">
        <v>23.042315</v>
      </c>
      <c r="R31" s="134">
        <v>92.058335</v>
      </c>
      <c r="S31" s="81">
        <v>100</v>
      </c>
      <c r="T31" s="81"/>
      <c r="U31" s="81"/>
      <c r="V31" s="81"/>
      <c r="W31" s="135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3"/>
      <c r="AK31" s="58"/>
      <c r="AL31" s="59"/>
      <c r="AM31" s="57"/>
    </row>
    <row x14ac:dyDescent="0.25" r="32" customHeight="1" ht="18">
      <c r="A32" s="45">
        <v>26</v>
      </c>
      <c r="B32" s="50" t="s">
        <v>2760</v>
      </c>
      <c r="C32" s="47" t="s">
        <v>3151</v>
      </c>
      <c r="D32" s="160">
        <v>26</v>
      </c>
      <c r="E32" s="46" t="s">
        <v>47</v>
      </c>
      <c r="F32" s="46" t="s">
        <v>48</v>
      </c>
      <c r="G32" s="47" t="s">
        <v>49</v>
      </c>
      <c r="H32" s="47" t="s">
        <v>3154</v>
      </c>
      <c r="I32" s="47" t="s">
        <v>3155</v>
      </c>
      <c r="J32" s="130" t="s">
        <v>797</v>
      </c>
      <c r="K32" s="131"/>
      <c r="L32" s="132"/>
      <c r="M32" s="76"/>
      <c r="N32" s="81" t="s">
        <v>1641</v>
      </c>
      <c r="O32" s="47" t="s">
        <v>1746</v>
      </c>
      <c r="P32" s="47" t="s">
        <v>3226</v>
      </c>
      <c r="Q32" s="134">
        <v>23.015328</v>
      </c>
      <c r="R32" s="134">
        <v>92.037328</v>
      </c>
      <c r="S32" s="81">
        <v>195</v>
      </c>
      <c r="T32" s="81"/>
      <c r="U32" s="81"/>
      <c r="V32" s="81"/>
      <c r="W32" s="135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3"/>
      <c r="AK32" s="58"/>
      <c r="AL32" s="59"/>
      <c r="AM32" s="57"/>
    </row>
    <row x14ac:dyDescent="0.25" r="33" customHeight="1" ht="18">
      <c r="A33" s="45">
        <v>27</v>
      </c>
      <c r="B33" s="50" t="s">
        <v>2760</v>
      </c>
      <c r="C33" s="47" t="s">
        <v>3151</v>
      </c>
      <c r="D33" s="160">
        <v>27</v>
      </c>
      <c r="E33" s="46" t="s">
        <v>47</v>
      </c>
      <c r="F33" s="46" t="s">
        <v>48</v>
      </c>
      <c r="G33" s="47" t="s">
        <v>49</v>
      </c>
      <c r="H33" s="47" t="s">
        <v>3154</v>
      </c>
      <c r="I33" s="47" t="s">
        <v>3155</v>
      </c>
      <c r="J33" s="130" t="s">
        <v>797</v>
      </c>
      <c r="K33" s="131"/>
      <c r="L33" s="132"/>
      <c r="M33" s="76"/>
      <c r="N33" s="81" t="s">
        <v>3227</v>
      </c>
      <c r="O33" s="47" t="s">
        <v>3228</v>
      </c>
      <c r="P33" s="47" t="s">
        <v>3229</v>
      </c>
      <c r="Q33" s="134">
        <v>23.0202</v>
      </c>
      <c r="R33" s="134">
        <v>92.040781</v>
      </c>
      <c r="S33" s="81">
        <v>215</v>
      </c>
      <c r="T33" s="81"/>
      <c r="U33" s="81"/>
      <c r="V33" s="81"/>
      <c r="W33" s="135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3"/>
      <c r="AK33" s="58"/>
      <c r="AL33" s="59"/>
      <c r="AM33" s="57"/>
    </row>
    <row x14ac:dyDescent="0.25" r="34" customHeight="1" ht="18">
      <c r="A34" s="45">
        <v>28</v>
      </c>
      <c r="B34" s="50" t="s">
        <v>2760</v>
      </c>
      <c r="C34" s="47" t="s">
        <v>3151</v>
      </c>
      <c r="D34" s="160">
        <v>28</v>
      </c>
      <c r="E34" s="46" t="s">
        <v>47</v>
      </c>
      <c r="F34" s="46" t="s">
        <v>48</v>
      </c>
      <c r="G34" s="47" t="s">
        <v>49</v>
      </c>
      <c r="H34" s="47" t="s">
        <v>3154</v>
      </c>
      <c r="I34" s="47" t="s">
        <v>3155</v>
      </c>
      <c r="J34" s="130" t="s">
        <v>797</v>
      </c>
      <c r="K34" s="131"/>
      <c r="L34" s="59"/>
      <c r="M34" s="76"/>
      <c r="N34" s="81" t="s">
        <v>3230</v>
      </c>
      <c r="O34" s="47" t="s">
        <v>3231</v>
      </c>
      <c r="P34" s="47" t="s">
        <v>3232</v>
      </c>
      <c r="Q34" s="134">
        <v>23.027341</v>
      </c>
      <c r="R34" s="134">
        <v>92.069823</v>
      </c>
      <c r="S34" s="81">
        <v>315</v>
      </c>
      <c r="T34" s="81"/>
      <c r="U34" s="81"/>
      <c r="V34" s="81"/>
      <c r="W34" s="135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3"/>
      <c r="AK34" s="58"/>
      <c r="AL34" s="59"/>
      <c r="AM34" s="57"/>
    </row>
    <row x14ac:dyDescent="0.25" r="35" customHeight="1" ht="18">
      <c r="A35" s="45">
        <v>29</v>
      </c>
      <c r="B35" s="50" t="s">
        <v>2760</v>
      </c>
      <c r="C35" s="47" t="s">
        <v>3151</v>
      </c>
      <c r="D35" s="160">
        <v>29</v>
      </c>
      <c r="E35" s="46" t="s">
        <v>47</v>
      </c>
      <c r="F35" s="46" t="s">
        <v>48</v>
      </c>
      <c r="G35" s="47" t="s">
        <v>49</v>
      </c>
      <c r="H35" s="47" t="s">
        <v>3154</v>
      </c>
      <c r="I35" s="47" t="s">
        <v>3155</v>
      </c>
      <c r="J35" s="130" t="s">
        <v>797</v>
      </c>
      <c r="K35" s="131"/>
      <c r="L35" s="59"/>
      <c r="M35" s="76"/>
      <c r="N35" s="81" t="s">
        <v>94</v>
      </c>
      <c r="O35" s="47" t="s">
        <v>3190</v>
      </c>
      <c r="P35" s="47" t="s">
        <v>3233</v>
      </c>
      <c r="Q35" s="134">
        <v>23.029</v>
      </c>
      <c r="R35" s="134">
        <v>92.048049</v>
      </c>
      <c r="S35" s="81">
        <v>135</v>
      </c>
      <c r="T35" s="81"/>
      <c r="U35" s="81"/>
      <c r="V35" s="81"/>
      <c r="W35" s="135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3"/>
      <c r="AK35" s="58"/>
      <c r="AL35" s="70"/>
      <c r="AM35" s="71"/>
    </row>
    <row x14ac:dyDescent="0.25" r="36" customHeight="1" ht="18">
      <c r="A36" s="45">
        <v>30</v>
      </c>
      <c r="B36" s="50" t="s">
        <v>2760</v>
      </c>
      <c r="C36" s="47" t="s">
        <v>3151</v>
      </c>
      <c r="D36" s="160">
        <v>30</v>
      </c>
      <c r="E36" s="46" t="s">
        <v>47</v>
      </c>
      <c r="F36" s="46" t="s">
        <v>48</v>
      </c>
      <c r="G36" s="47" t="s">
        <v>49</v>
      </c>
      <c r="H36" s="47" t="s">
        <v>3154</v>
      </c>
      <c r="I36" s="47" t="s">
        <v>3155</v>
      </c>
      <c r="J36" s="130" t="s">
        <v>797</v>
      </c>
      <c r="K36" s="131"/>
      <c r="L36" s="59"/>
      <c r="M36" s="76"/>
      <c r="N36" s="81" t="s">
        <v>3234</v>
      </c>
      <c r="O36" s="47" t="s">
        <v>3235</v>
      </c>
      <c r="P36" s="47" t="s">
        <v>3236</v>
      </c>
      <c r="Q36" s="134">
        <v>23.01447</v>
      </c>
      <c r="R36" s="134">
        <v>92.065818</v>
      </c>
      <c r="S36" s="81">
        <v>180</v>
      </c>
      <c r="T36" s="81"/>
      <c r="U36" s="81"/>
      <c r="V36" s="81"/>
      <c r="W36" s="135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3"/>
      <c r="AK36" s="58"/>
      <c r="AL36" s="72"/>
      <c r="AM36" s="72"/>
    </row>
    <row x14ac:dyDescent="0.25" r="37" customHeight="1" ht="18">
      <c r="A37" s="45">
        <v>31</v>
      </c>
      <c r="B37" s="50" t="s">
        <v>2760</v>
      </c>
      <c r="C37" s="47" t="s">
        <v>3151</v>
      </c>
      <c r="D37" s="160">
        <v>31</v>
      </c>
      <c r="E37" s="46" t="s">
        <v>47</v>
      </c>
      <c r="F37" s="46" t="s">
        <v>48</v>
      </c>
      <c r="G37" s="47" t="s">
        <v>49</v>
      </c>
      <c r="H37" s="47" t="s">
        <v>3154</v>
      </c>
      <c r="I37" s="47" t="s">
        <v>3154</v>
      </c>
      <c r="J37" s="130" t="s">
        <v>677</v>
      </c>
      <c r="K37" s="131"/>
      <c r="L37" s="59"/>
      <c r="M37" s="76"/>
      <c r="N37" s="81" t="s">
        <v>3237</v>
      </c>
      <c r="O37" s="47" t="s">
        <v>3238</v>
      </c>
      <c r="P37" s="47" t="s">
        <v>3239</v>
      </c>
      <c r="Q37" s="134">
        <v>22.933855</v>
      </c>
      <c r="R37" s="134">
        <v>92.030389</v>
      </c>
      <c r="S37" s="81">
        <v>650</v>
      </c>
      <c r="T37" s="81"/>
      <c r="U37" s="81"/>
      <c r="V37" s="81"/>
      <c r="W37" s="135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3"/>
      <c r="AK37" s="58"/>
      <c r="AL37" s="72"/>
      <c r="AM37" s="72"/>
    </row>
    <row x14ac:dyDescent="0.25" r="38" customHeight="1" ht="18">
      <c r="A38" s="45">
        <v>32</v>
      </c>
      <c r="B38" s="50" t="s">
        <v>2760</v>
      </c>
      <c r="C38" s="47" t="s">
        <v>3151</v>
      </c>
      <c r="D38" s="160">
        <v>32</v>
      </c>
      <c r="E38" s="46" t="s">
        <v>47</v>
      </c>
      <c r="F38" s="46" t="s">
        <v>48</v>
      </c>
      <c r="G38" s="47" t="s">
        <v>49</v>
      </c>
      <c r="H38" s="47" t="s">
        <v>3154</v>
      </c>
      <c r="I38" s="47" t="s">
        <v>3154</v>
      </c>
      <c r="J38" s="130" t="s">
        <v>677</v>
      </c>
      <c r="K38" s="131"/>
      <c r="L38" s="59"/>
      <c r="M38" s="76"/>
      <c r="N38" s="81" t="s">
        <v>3240</v>
      </c>
      <c r="O38" s="47" t="s">
        <v>3241</v>
      </c>
      <c r="P38" s="47" t="s">
        <v>3242</v>
      </c>
      <c r="Q38" s="134">
        <v>22.935567</v>
      </c>
      <c r="R38" s="134">
        <v>92.029244</v>
      </c>
      <c r="S38" s="81">
        <v>350</v>
      </c>
      <c r="T38" s="81"/>
      <c r="U38" s="81"/>
      <c r="V38" s="81"/>
      <c r="W38" s="7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3"/>
      <c r="AK38" s="58"/>
      <c r="AL38" s="72"/>
      <c r="AM38" s="72"/>
    </row>
    <row x14ac:dyDescent="0.25" r="39" customHeight="1" ht="18">
      <c r="A39" s="45">
        <v>33</v>
      </c>
      <c r="B39" s="50" t="s">
        <v>2760</v>
      </c>
      <c r="C39" s="47" t="s">
        <v>3151</v>
      </c>
      <c r="D39" s="160">
        <v>33</v>
      </c>
      <c r="E39" s="46" t="s">
        <v>47</v>
      </c>
      <c r="F39" s="46" t="s">
        <v>48</v>
      </c>
      <c r="G39" s="47" t="s">
        <v>49</v>
      </c>
      <c r="H39" s="47" t="s">
        <v>3154</v>
      </c>
      <c r="I39" s="47" t="s">
        <v>3154</v>
      </c>
      <c r="J39" s="130" t="s">
        <v>677</v>
      </c>
      <c r="K39" s="131"/>
      <c r="L39" s="59"/>
      <c r="M39" s="76"/>
      <c r="N39" s="81" t="s">
        <v>3243</v>
      </c>
      <c r="O39" s="47" t="s">
        <v>3244</v>
      </c>
      <c r="P39" s="47" t="s">
        <v>3245</v>
      </c>
      <c r="Q39" s="134">
        <v>22.933944</v>
      </c>
      <c r="R39" s="134">
        <v>92.034009</v>
      </c>
      <c r="S39" s="81">
        <v>1200</v>
      </c>
      <c r="T39" s="81"/>
      <c r="U39" s="81"/>
      <c r="V39" s="81"/>
      <c r="W39" s="7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3"/>
      <c r="AK39" s="58"/>
      <c r="AL39" s="70"/>
      <c r="AM39" s="71"/>
    </row>
    <row x14ac:dyDescent="0.25" r="40" customHeight="1" ht="18">
      <c r="A40" s="45">
        <v>34</v>
      </c>
      <c r="B40" s="50" t="s">
        <v>2760</v>
      </c>
      <c r="C40" s="47" t="s">
        <v>3151</v>
      </c>
      <c r="D40" s="160">
        <v>34</v>
      </c>
      <c r="E40" s="46" t="s">
        <v>47</v>
      </c>
      <c r="F40" s="46" t="s">
        <v>48</v>
      </c>
      <c r="G40" s="47" t="s">
        <v>49</v>
      </c>
      <c r="H40" s="47" t="s">
        <v>3154</v>
      </c>
      <c r="I40" s="47" t="s">
        <v>3154</v>
      </c>
      <c r="J40" s="130" t="s">
        <v>677</v>
      </c>
      <c r="K40" s="131"/>
      <c r="L40" s="59"/>
      <c r="M40" s="76"/>
      <c r="N40" s="81" t="s">
        <v>3246</v>
      </c>
      <c r="O40" s="47" t="s">
        <v>3247</v>
      </c>
      <c r="P40" s="47" t="s">
        <v>3248</v>
      </c>
      <c r="Q40" s="134">
        <v>22.93175</v>
      </c>
      <c r="R40" s="134">
        <v>92.03492</v>
      </c>
      <c r="S40" s="81">
        <v>300</v>
      </c>
      <c r="T40" s="81"/>
      <c r="U40" s="137"/>
      <c r="V40" s="137"/>
      <c r="W40" s="7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3"/>
      <c r="AK40" s="58"/>
      <c r="AL40" s="70"/>
      <c r="AM40" s="71"/>
    </row>
    <row x14ac:dyDescent="0.25" r="41" customHeight="1" ht="18">
      <c r="A41" s="45">
        <v>35</v>
      </c>
      <c r="B41" s="50" t="s">
        <v>2760</v>
      </c>
      <c r="C41" s="47" t="s">
        <v>3151</v>
      </c>
      <c r="D41" s="160">
        <v>35</v>
      </c>
      <c r="E41" s="46" t="s">
        <v>47</v>
      </c>
      <c r="F41" s="46" t="s">
        <v>48</v>
      </c>
      <c r="G41" s="47" t="s">
        <v>49</v>
      </c>
      <c r="H41" s="47" t="s">
        <v>3154</v>
      </c>
      <c r="I41" s="47" t="s">
        <v>3154</v>
      </c>
      <c r="J41" s="130" t="s">
        <v>677</v>
      </c>
      <c r="K41" s="131"/>
      <c r="L41" s="59"/>
      <c r="M41" s="76"/>
      <c r="N41" s="81" t="s">
        <v>3249</v>
      </c>
      <c r="O41" s="47" t="s">
        <v>3250</v>
      </c>
      <c r="P41" s="47" t="s">
        <v>3251</v>
      </c>
      <c r="Q41" s="134">
        <v>22.933384</v>
      </c>
      <c r="R41" s="134">
        <v>92.033525</v>
      </c>
      <c r="S41" s="81">
        <v>100</v>
      </c>
      <c r="T41" s="81"/>
      <c r="U41" s="81"/>
      <c r="V41" s="81"/>
      <c r="W41" s="7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3"/>
      <c r="AK41" s="58"/>
      <c r="AL41" s="59"/>
      <c r="AM41" s="57"/>
    </row>
    <row x14ac:dyDescent="0.25" r="42" customHeight="1" ht="18">
      <c r="A42" s="45">
        <v>36</v>
      </c>
      <c r="B42" s="50" t="s">
        <v>2760</v>
      </c>
      <c r="C42" s="47" t="s">
        <v>3151</v>
      </c>
      <c r="D42" s="160">
        <v>36</v>
      </c>
      <c r="E42" s="46" t="s">
        <v>47</v>
      </c>
      <c r="F42" s="46" t="s">
        <v>48</v>
      </c>
      <c r="G42" s="47" t="s">
        <v>49</v>
      </c>
      <c r="H42" s="47" t="s">
        <v>3154</v>
      </c>
      <c r="I42" s="47" t="s">
        <v>3154</v>
      </c>
      <c r="J42" s="130" t="s">
        <v>677</v>
      </c>
      <c r="K42" s="131"/>
      <c r="L42" s="59"/>
      <c r="M42" s="76"/>
      <c r="N42" s="81" t="s">
        <v>3252</v>
      </c>
      <c r="O42" s="47" t="s">
        <v>3253</v>
      </c>
      <c r="P42" s="47" t="s">
        <v>3254</v>
      </c>
      <c r="Q42" s="134">
        <v>22.936359</v>
      </c>
      <c r="R42" s="134">
        <v>92.032766</v>
      </c>
      <c r="S42" s="81">
        <v>90</v>
      </c>
      <c r="T42" s="81"/>
      <c r="U42" s="81"/>
      <c r="V42" s="81"/>
      <c r="W42" s="7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3"/>
      <c r="AK42" s="58"/>
      <c r="AL42" s="59"/>
      <c r="AM42" s="57"/>
    </row>
    <row x14ac:dyDescent="0.25" r="43" customHeight="1" ht="18">
      <c r="A43" s="45">
        <v>37</v>
      </c>
      <c r="B43" s="50" t="s">
        <v>2760</v>
      </c>
      <c r="C43" s="47" t="s">
        <v>3151</v>
      </c>
      <c r="D43" s="160">
        <v>37</v>
      </c>
      <c r="E43" s="46" t="s">
        <v>47</v>
      </c>
      <c r="F43" s="46" t="s">
        <v>48</v>
      </c>
      <c r="G43" s="47" t="s">
        <v>49</v>
      </c>
      <c r="H43" s="47" t="s">
        <v>3154</v>
      </c>
      <c r="I43" s="47" t="s">
        <v>3154</v>
      </c>
      <c r="J43" s="130" t="s">
        <v>677</v>
      </c>
      <c r="K43" s="131"/>
      <c r="L43" s="59"/>
      <c r="M43" s="131"/>
      <c r="N43" s="81" t="s">
        <v>3255</v>
      </c>
      <c r="O43" s="47" t="s">
        <v>3256</v>
      </c>
      <c r="P43" s="47" t="s">
        <v>3257</v>
      </c>
      <c r="Q43" s="134">
        <v>22.936604</v>
      </c>
      <c r="R43" s="134">
        <v>92.029525</v>
      </c>
      <c r="S43" s="81">
        <v>10</v>
      </c>
      <c r="T43" s="81"/>
      <c r="U43" s="81"/>
      <c r="V43" s="81"/>
      <c r="W43" s="7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3"/>
      <c r="AK43" s="58"/>
      <c r="AL43" s="59"/>
      <c r="AM43" s="57"/>
    </row>
    <row x14ac:dyDescent="0.25" r="44" customHeight="1" ht="18">
      <c r="A44" s="45">
        <v>38</v>
      </c>
      <c r="B44" s="50" t="s">
        <v>2760</v>
      </c>
      <c r="C44" s="47" t="s">
        <v>3151</v>
      </c>
      <c r="D44" s="160">
        <v>38</v>
      </c>
      <c r="E44" s="46" t="s">
        <v>47</v>
      </c>
      <c r="F44" s="46" t="s">
        <v>48</v>
      </c>
      <c r="G44" s="47" t="s">
        <v>49</v>
      </c>
      <c r="H44" s="47" t="s">
        <v>3154</v>
      </c>
      <c r="I44" s="47" t="s">
        <v>3154</v>
      </c>
      <c r="J44" s="130" t="s">
        <v>677</v>
      </c>
      <c r="K44" s="131"/>
      <c r="L44" s="59"/>
      <c r="M44" s="76"/>
      <c r="N44" s="81" t="s">
        <v>88</v>
      </c>
      <c r="O44" s="47" t="s">
        <v>3258</v>
      </c>
      <c r="P44" s="47" t="s">
        <v>3259</v>
      </c>
      <c r="Q44" s="134">
        <v>22.935108</v>
      </c>
      <c r="R44" s="134">
        <v>92.030537</v>
      </c>
      <c r="S44" s="81">
        <v>1200</v>
      </c>
      <c r="T44" s="81"/>
      <c r="U44" s="81"/>
      <c r="V44" s="81"/>
      <c r="W44" s="7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3"/>
      <c r="AK44" s="58"/>
      <c r="AL44" s="73"/>
      <c r="AM44" s="74"/>
    </row>
    <row x14ac:dyDescent="0.25" r="45" customHeight="1" ht="18">
      <c r="A45" s="45">
        <v>39</v>
      </c>
      <c r="B45" s="50" t="s">
        <v>2760</v>
      </c>
      <c r="C45" s="47" t="s">
        <v>3151</v>
      </c>
      <c r="D45" s="160">
        <v>39</v>
      </c>
      <c r="E45" s="46" t="s">
        <v>47</v>
      </c>
      <c r="F45" s="46" t="s">
        <v>48</v>
      </c>
      <c r="G45" s="47" t="s">
        <v>49</v>
      </c>
      <c r="H45" s="47" t="s">
        <v>3154</v>
      </c>
      <c r="I45" s="47" t="s">
        <v>3154</v>
      </c>
      <c r="J45" s="130" t="s">
        <v>677</v>
      </c>
      <c r="K45" s="131"/>
      <c r="L45" s="59"/>
      <c r="M45" s="76"/>
      <c r="N45" s="81" t="s">
        <v>3260</v>
      </c>
      <c r="O45" s="47" t="s">
        <v>3261</v>
      </c>
      <c r="P45" s="47" t="s">
        <v>3262</v>
      </c>
      <c r="Q45" s="134">
        <v>22.933845</v>
      </c>
      <c r="R45" s="134">
        <v>92.028078</v>
      </c>
      <c r="S45" s="81">
        <v>350</v>
      </c>
      <c r="T45" s="81"/>
      <c r="U45" s="81"/>
      <c r="V45" s="81"/>
      <c r="W45" s="7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3"/>
      <c r="AK45" s="58"/>
      <c r="AL45" s="75"/>
      <c r="AM45" s="76"/>
    </row>
    <row x14ac:dyDescent="0.25" r="46" customHeight="1" ht="18">
      <c r="A46" s="45">
        <v>40</v>
      </c>
      <c r="B46" s="50" t="s">
        <v>2760</v>
      </c>
      <c r="C46" s="47" t="s">
        <v>3151</v>
      </c>
      <c r="D46" s="160">
        <v>40</v>
      </c>
      <c r="E46" s="46" t="s">
        <v>47</v>
      </c>
      <c r="F46" s="46" t="s">
        <v>48</v>
      </c>
      <c r="G46" s="47" t="s">
        <v>49</v>
      </c>
      <c r="H46" s="47" t="s">
        <v>3154</v>
      </c>
      <c r="I46" s="47" t="s">
        <v>3154</v>
      </c>
      <c r="J46" s="130" t="s">
        <v>684</v>
      </c>
      <c r="K46" s="131"/>
      <c r="L46" s="59"/>
      <c r="M46" s="76"/>
      <c r="N46" s="81" t="s">
        <v>3263</v>
      </c>
      <c r="O46" s="47" t="s">
        <v>3264</v>
      </c>
      <c r="P46" s="47" t="s">
        <v>3265</v>
      </c>
      <c r="Q46" s="134">
        <v>22.9325</v>
      </c>
      <c r="R46" s="134">
        <v>92.031202</v>
      </c>
      <c r="S46" s="81">
        <v>1500</v>
      </c>
      <c r="T46" s="81"/>
      <c r="U46" s="81"/>
      <c r="V46" s="81"/>
      <c r="W46" s="7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3"/>
      <c r="AK46" s="58"/>
      <c r="AL46" s="75"/>
      <c r="AM46" s="76"/>
    </row>
    <row x14ac:dyDescent="0.25" r="47" customHeight="1" ht="18">
      <c r="A47" s="45">
        <v>41</v>
      </c>
      <c r="B47" s="50" t="s">
        <v>2760</v>
      </c>
      <c r="C47" s="47" t="s">
        <v>3151</v>
      </c>
      <c r="D47" s="160">
        <v>41</v>
      </c>
      <c r="E47" s="46" t="s">
        <v>47</v>
      </c>
      <c r="F47" s="46" t="s">
        <v>48</v>
      </c>
      <c r="G47" s="47" t="s">
        <v>49</v>
      </c>
      <c r="H47" s="47" t="s">
        <v>3154</v>
      </c>
      <c r="I47" s="47" t="s">
        <v>3154</v>
      </c>
      <c r="J47" s="130" t="s">
        <v>684</v>
      </c>
      <c r="K47" s="131"/>
      <c r="L47" s="59"/>
      <c r="M47" s="76"/>
      <c r="N47" s="81" t="s">
        <v>3266</v>
      </c>
      <c r="O47" s="47" t="s">
        <v>3267</v>
      </c>
      <c r="P47" s="47" t="s">
        <v>3268</v>
      </c>
      <c r="Q47" s="134">
        <v>22.930013</v>
      </c>
      <c r="R47" s="134">
        <v>92.027847</v>
      </c>
      <c r="S47" s="81">
        <v>400</v>
      </c>
      <c r="T47" s="81"/>
      <c r="U47" s="81"/>
      <c r="V47" s="81"/>
      <c r="W47" s="7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3"/>
      <c r="AK47" s="58"/>
      <c r="AL47" s="75"/>
      <c r="AM47" s="76"/>
    </row>
    <row x14ac:dyDescent="0.25" r="48" customHeight="1" ht="18">
      <c r="A48" s="45">
        <v>42</v>
      </c>
      <c r="B48" s="50" t="s">
        <v>2760</v>
      </c>
      <c r="C48" s="47" t="s">
        <v>3151</v>
      </c>
      <c r="D48" s="160">
        <v>42</v>
      </c>
      <c r="E48" s="46" t="s">
        <v>47</v>
      </c>
      <c r="F48" s="46" t="s">
        <v>48</v>
      </c>
      <c r="G48" s="47" t="s">
        <v>49</v>
      </c>
      <c r="H48" s="47" t="s">
        <v>3154</v>
      </c>
      <c r="I48" s="47" t="s">
        <v>3154</v>
      </c>
      <c r="J48" s="130" t="s">
        <v>684</v>
      </c>
      <c r="K48" s="131"/>
      <c r="L48" s="59"/>
      <c r="M48" s="76"/>
      <c r="N48" s="81" t="s">
        <v>1641</v>
      </c>
      <c r="O48" s="47" t="s">
        <v>1746</v>
      </c>
      <c r="P48" s="47" t="s">
        <v>3269</v>
      </c>
      <c r="Q48" s="134">
        <v>22.931085</v>
      </c>
      <c r="R48" s="134">
        <v>92.030888</v>
      </c>
      <c r="S48" s="81">
        <v>500</v>
      </c>
      <c r="T48" s="81"/>
      <c r="U48" s="81"/>
      <c r="V48" s="81"/>
      <c r="W48" s="7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77"/>
      <c r="AK48" s="58"/>
      <c r="AL48" s="75"/>
      <c r="AM48" s="76"/>
    </row>
    <row x14ac:dyDescent="0.25" r="49" customHeight="1" ht="18">
      <c r="A49" s="45">
        <v>43</v>
      </c>
      <c r="B49" s="50" t="s">
        <v>2760</v>
      </c>
      <c r="C49" s="47" t="s">
        <v>3151</v>
      </c>
      <c r="D49" s="160">
        <v>43</v>
      </c>
      <c r="E49" s="46" t="s">
        <v>47</v>
      </c>
      <c r="F49" s="46" t="s">
        <v>48</v>
      </c>
      <c r="G49" s="47" t="s">
        <v>49</v>
      </c>
      <c r="H49" s="47" t="s">
        <v>3154</v>
      </c>
      <c r="I49" s="47" t="s">
        <v>3154</v>
      </c>
      <c r="J49" s="130" t="s">
        <v>697</v>
      </c>
      <c r="K49" s="131"/>
      <c r="L49" s="59"/>
      <c r="M49" s="76"/>
      <c r="N49" s="81" t="s">
        <v>599</v>
      </c>
      <c r="O49" s="47" t="s">
        <v>2489</v>
      </c>
      <c r="P49" s="47" t="s">
        <v>3270</v>
      </c>
      <c r="Q49" s="134">
        <v>22.935448</v>
      </c>
      <c r="R49" s="134">
        <v>92.027069</v>
      </c>
      <c r="S49" s="81">
        <v>750</v>
      </c>
      <c r="T49" s="81"/>
      <c r="U49" s="81"/>
      <c r="V49" s="81"/>
      <c r="W49" s="135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3"/>
      <c r="AK49" s="58"/>
      <c r="AL49" s="75"/>
      <c r="AM49" s="76"/>
    </row>
    <row x14ac:dyDescent="0.25" r="50" customHeight="1" ht="18">
      <c r="A50" s="45">
        <v>44</v>
      </c>
      <c r="B50" s="50" t="s">
        <v>2760</v>
      </c>
      <c r="C50" s="47" t="s">
        <v>3151</v>
      </c>
      <c r="D50" s="160">
        <v>44</v>
      </c>
      <c r="E50" s="46" t="s">
        <v>47</v>
      </c>
      <c r="F50" s="46" t="s">
        <v>48</v>
      </c>
      <c r="G50" s="47" t="s">
        <v>49</v>
      </c>
      <c r="H50" s="47" t="s">
        <v>3154</v>
      </c>
      <c r="I50" s="47" t="s">
        <v>3154</v>
      </c>
      <c r="J50" s="130" t="s">
        <v>697</v>
      </c>
      <c r="K50" s="131"/>
      <c r="L50" s="59"/>
      <c r="M50" s="76"/>
      <c r="N50" s="81" t="s">
        <v>3271</v>
      </c>
      <c r="O50" s="47" t="s">
        <v>3272</v>
      </c>
      <c r="P50" s="47" t="s">
        <v>3273</v>
      </c>
      <c r="Q50" s="134">
        <v>22.939507</v>
      </c>
      <c r="R50" s="134">
        <v>92.028941</v>
      </c>
      <c r="S50" s="81">
        <v>400</v>
      </c>
      <c r="T50" s="81"/>
      <c r="U50" s="81"/>
      <c r="V50" s="81"/>
      <c r="W50" s="135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3"/>
      <c r="AK50" s="58"/>
      <c r="AL50" s="75"/>
      <c r="AM50" s="76"/>
    </row>
    <row x14ac:dyDescent="0.25" r="51" customHeight="1" ht="18">
      <c r="A51" s="45">
        <v>45</v>
      </c>
      <c r="B51" s="50" t="s">
        <v>2760</v>
      </c>
      <c r="C51" s="47" t="s">
        <v>3151</v>
      </c>
      <c r="D51" s="160">
        <v>45</v>
      </c>
      <c r="E51" s="46" t="s">
        <v>47</v>
      </c>
      <c r="F51" s="46" t="s">
        <v>48</v>
      </c>
      <c r="G51" s="47" t="s">
        <v>49</v>
      </c>
      <c r="H51" s="47" t="s">
        <v>3154</v>
      </c>
      <c r="I51" s="47" t="s">
        <v>3154</v>
      </c>
      <c r="J51" s="130" t="s">
        <v>697</v>
      </c>
      <c r="K51" s="131"/>
      <c r="L51" s="59"/>
      <c r="M51" s="76"/>
      <c r="N51" s="81" t="s">
        <v>2594</v>
      </c>
      <c r="O51" s="47" t="s">
        <v>2595</v>
      </c>
      <c r="P51" s="47" t="s">
        <v>3274</v>
      </c>
      <c r="Q51" s="134">
        <v>22.9299</v>
      </c>
      <c r="R51" s="134">
        <v>92.021471</v>
      </c>
      <c r="S51" s="81">
        <v>350</v>
      </c>
      <c r="T51" s="81"/>
      <c r="U51" s="81"/>
      <c r="V51" s="81"/>
      <c r="W51" s="135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3"/>
      <c r="AK51" s="58"/>
      <c r="AL51" s="59"/>
      <c r="AM51" s="57"/>
    </row>
    <row x14ac:dyDescent="0.25" r="52" customHeight="1" ht="18">
      <c r="A52" s="45">
        <v>46</v>
      </c>
      <c r="B52" s="50" t="s">
        <v>2760</v>
      </c>
      <c r="C52" s="47" t="s">
        <v>3151</v>
      </c>
      <c r="D52" s="160">
        <v>46</v>
      </c>
      <c r="E52" s="46" t="s">
        <v>47</v>
      </c>
      <c r="F52" s="46" t="s">
        <v>48</v>
      </c>
      <c r="G52" s="47" t="s">
        <v>49</v>
      </c>
      <c r="H52" s="47" t="s">
        <v>3154</v>
      </c>
      <c r="I52" s="47" t="s">
        <v>3154</v>
      </c>
      <c r="J52" s="130" t="s">
        <v>697</v>
      </c>
      <c r="K52" s="131"/>
      <c r="L52" s="59"/>
      <c r="M52" s="76"/>
      <c r="N52" s="81" t="s">
        <v>3275</v>
      </c>
      <c r="O52" s="47" t="s">
        <v>3276</v>
      </c>
      <c r="P52" s="47" t="s">
        <v>3277</v>
      </c>
      <c r="Q52" s="134">
        <v>22.931345</v>
      </c>
      <c r="R52" s="134">
        <v>92.026703</v>
      </c>
      <c r="S52" s="81">
        <v>735</v>
      </c>
      <c r="T52" s="81"/>
      <c r="U52" s="81"/>
      <c r="V52" s="81"/>
      <c r="W52" s="135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3"/>
      <c r="AK52" s="58"/>
      <c r="AL52" s="59"/>
      <c r="AM52" s="57"/>
    </row>
    <row x14ac:dyDescent="0.25" r="53" customHeight="1" ht="18">
      <c r="A53" s="45">
        <v>47</v>
      </c>
      <c r="B53" s="50" t="s">
        <v>2760</v>
      </c>
      <c r="C53" s="47" t="s">
        <v>3151</v>
      </c>
      <c r="D53" s="160">
        <v>47</v>
      </c>
      <c r="E53" s="46" t="s">
        <v>47</v>
      </c>
      <c r="F53" s="46" t="s">
        <v>48</v>
      </c>
      <c r="G53" s="47" t="s">
        <v>49</v>
      </c>
      <c r="H53" s="47" t="s">
        <v>3154</v>
      </c>
      <c r="I53" s="47" t="s">
        <v>3154</v>
      </c>
      <c r="J53" s="130" t="s">
        <v>697</v>
      </c>
      <c r="K53" s="131"/>
      <c r="L53" s="59"/>
      <c r="M53" s="76"/>
      <c r="N53" s="81" t="s">
        <v>3278</v>
      </c>
      <c r="O53" s="47" t="s">
        <v>3279</v>
      </c>
      <c r="P53" s="47" t="s">
        <v>3280</v>
      </c>
      <c r="Q53" s="134">
        <v>22.938009</v>
      </c>
      <c r="R53" s="134">
        <v>92.028163</v>
      </c>
      <c r="S53" s="81">
        <v>150</v>
      </c>
      <c r="T53" s="81"/>
      <c r="U53" s="81"/>
      <c r="V53" s="81"/>
      <c r="W53" s="135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3"/>
      <c r="AK53" s="58"/>
      <c r="AL53" s="59"/>
      <c r="AM53" s="57"/>
    </row>
    <row x14ac:dyDescent="0.25" r="54" customHeight="1" ht="18">
      <c r="A54" s="45">
        <v>48</v>
      </c>
      <c r="B54" s="50" t="s">
        <v>2760</v>
      </c>
      <c r="C54" s="47" t="s">
        <v>3151</v>
      </c>
      <c r="D54" s="160">
        <v>48</v>
      </c>
      <c r="E54" s="46" t="s">
        <v>47</v>
      </c>
      <c r="F54" s="46" t="s">
        <v>48</v>
      </c>
      <c r="G54" s="47" t="s">
        <v>49</v>
      </c>
      <c r="H54" s="47" t="s">
        <v>3154</v>
      </c>
      <c r="I54" s="47" t="s">
        <v>3154</v>
      </c>
      <c r="J54" s="130" t="s">
        <v>697</v>
      </c>
      <c r="K54" s="138"/>
      <c r="L54" s="132"/>
      <c r="M54" s="76"/>
      <c r="N54" s="81" t="s">
        <v>3162</v>
      </c>
      <c r="O54" s="47" t="s">
        <v>3163</v>
      </c>
      <c r="P54" s="47" t="s">
        <v>3281</v>
      </c>
      <c r="Q54" s="134">
        <v>22.933486</v>
      </c>
      <c r="R54" s="134">
        <v>92.022821</v>
      </c>
      <c r="S54" s="81"/>
      <c r="T54" s="81"/>
      <c r="U54" s="81"/>
      <c r="V54" s="81"/>
      <c r="W54" s="7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3"/>
      <c r="AK54" s="58"/>
      <c r="AL54" s="59"/>
      <c r="AM54" s="57"/>
    </row>
    <row x14ac:dyDescent="0.25" r="55" customHeight="1" ht="18">
      <c r="A55" s="45">
        <v>49</v>
      </c>
      <c r="B55" s="50" t="s">
        <v>2760</v>
      </c>
      <c r="C55" s="47" t="s">
        <v>3151</v>
      </c>
      <c r="D55" s="160">
        <v>49</v>
      </c>
      <c r="E55" s="46" t="s">
        <v>47</v>
      </c>
      <c r="F55" s="46" t="s">
        <v>48</v>
      </c>
      <c r="G55" s="47" t="s">
        <v>49</v>
      </c>
      <c r="H55" s="47" t="s">
        <v>3154</v>
      </c>
      <c r="I55" s="47" t="s">
        <v>3154</v>
      </c>
      <c r="J55" s="130" t="s">
        <v>697</v>
      </c>
      <c r="K55" s="131"/>
      <c r="L55" s="132"/>
      <c r="M55" s="76"/>
      <c r="N55" s="81" t="s">
        <v>3282</v>
      </c>
      <c r="O55" s="47" t="s">
        <v>3283</v>
      </c>
      <c r="P55" s="47" t="s">
        <v>3284</v>
      </c>
      <c r="Q55" s="134">
        <v>22.939577</v>
      </c>
      <c r="R55" s="134">
        <v>92.021852</v>
      </c>
      <c r="S55" s="81"/>
      <c r="T55" s="81"/>
      <c r="U55" s="81"/>
      <c r="V55" s="81"/>
      <c r="W55" s="7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3"/>
      <c r="AK55" s="58"/>
      <c r="AL55" s="59"/>
      <c r="AM55" s="57"/>
    </row>
    <row x14ac:dyDescent="0.25" r="56" customHeight="1" ht="18">
      <c r="A56" s="45">
        <v>50</v>
      </c>
      <c r="B56" s="50" t="s">
        <v>2760</v>
      </c>
      <c r="C56" s="47" t="s">
        <v>3151</v>
      </c>
      <c r="D56" s="160">
        <v>50</v>
      </c>
      <c r="E56" s="46" t="s">
        <v>47</v>
      </c>
      <c r="F56" s="46" t="s">
        <v>48</v>
      </c>
      <c r="G56" s="47" t="s">
        <v>49</v>
      </c>
      <c r="H56" s="47" t="s">
        <v>3154</v>
      </c>
      <c r="I56" s="47" t="s">
        <v>3154</v>
      </c>
      <c r="J56" s="130" t="s">
        <v>707</v>
      </c>
      <c r="K56" s="131"/>
      <c r="L56" s="132"/>
      <c r="M56" s="76"/>
      <c r="N56" s="81" t="s">
        <v>3285</v>
      </c>
      <c r="O56" s="47" t="s">
        <v>3286</v>
      </c>
      <c r="P56" s="47" t="s">
        <v>3287</v>
      </c>
      <c r="Q56" s="134">
        <v>22.942455</v>
      </c>
      <c r="R56" s="134">
        <v>92.033242</v>
      </c>
      <c r="S56" s="81">
        <v>600</v>
      </c>
      <c r="T56" s="81"/>
      <c r="U56" s="81"/>
      <c r="V56" s="81"/>
      <c r="W56" s="7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3"/>
      <c r="AK56" s="58"/>
      <c r="AL56" s="59"/>
      <c r="AM56" s="57"/>
    </row>
    <row x14ac:dyDescent="0.25" r="57" customHeight="1" ht="18">
      <c r="A57" s="45">
        <v>51</v>
      </c>
      <c r="B57" s="50" t="s">
        <v>2760</v>
      </c>
      <c r="C57" s="47" t="s">
        <v>3151</v>
      </c>
      <c r="D57" s="160">
        <v>51</v>
      </c>
      <c r="E57" s="46" t="s">
        <v>47</v>
      </c>
      <c r="F57" s="46" t="s">
        <v>48</v>
      </c>
      <c r="G57" s="47" t="s">
        <v>49</v>
      </c>
      <c r="H57" s="47" t="s">
        <v>3154</v>
      </c>
      <c r="I57" s="47" t="s">
        <v>3154</v>
      </c>
      <c r="J57" s="130" t="s">
        <v>707</v>
      </c>
      <c r="K57" s="131"/>
      <c r="L57" s="132"/>
      <c r="M57" s="76"/>
      <c r="N57" s="81" t="s">
        <v>3288</v>
      </c>
      <c r="O57" s="47" t="s">
        <v>3289</v>
      </c>
      <c r="P57" s="47" t="s">
        <v>3290</v>
      </c>
      <c r="Q57" s="134">
        <v>22.954998</v>
      </c>
      <c r="R57" s="134">
        <v>92.036596</v>
      </c>
      <c r="S57" s="81">
        <v>500</v>
      </c>
      <c r="T57" s="81"/>
      <c r="U57" s="81"/>
      <c r="V57" s="81"/>
      <c r="W57" s="7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3"/>
      <c r="AK57" s="58"/>
      <c r="AL57" s="59"/>
      <c r="AM57" s="57"/>
    </row>
    <row x14ac:dyDescent="0.25" r="58" customHeight="1" ht="18">
      <c r="A58" s="45">
        <v>52</v>
      </c>
      <c r="B58" s="50" t="s">
        <v>2760</v>
      </c>
      <c r="C58" s="47" t="s">
        <v>3151</v>
      </c>
      <c r="D58" s="160">
        <v>52</v>
      </c>
      <c r="E58" s="46" t="s">
        <v>47</v>
      </c>
      <c r="F58" s="46" t="s">
        <v>48</v>
      </c>
      <c r="G58" s="47" t="s">
        <v>49</v>
      </c>
      <c r="H58" s="47" t="s">
        <v>3154</v>
      </c>
      <c r="I58" s="47" t="s">
        <v>3154</v>
      </c>
      <c r="J58" s="130" t="s">
        <v>707</v>
      </c>
      <c r="K58" s="131"/>
      <c r="L58" s="132"/>
      <c r="M58" s="76"/>
      <c r="N58" s="81" t="s">
        <v>3291</v>
      </c>
      <c r="O58" s="47" t="s">
        <v>3292</v>
      </c>
      <c r="P58" s="47" t="s">
        <v>3293</v>
      </c>
      <c r="Q58" s="134">
        <v>22.951022</v>
      </c>
      <c r="R58" s="134">
        <v>92.041213</v>
      </c>
      <c r="S58" s="81">
        <v>400</v>
      </c>
      <c r="T58" s="81"/>
      <c r="U58" s="81"/>
      <c r="V58" s="81"/>
      <c r="W58" s="7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3"/>
      <c r="AK58" s="58"/>
      <c r="AL58" s="59"/>
      <c r="AM58" s="57"/>
    </row>
    <row x14ac:dyDescent="0.25" r="59" customHeight="1" ht="18">
      <c r="A59" s="45">
        <v>53</v>
      </c>
      <c r="B59" s="50" t="s">
        <v>2760</v>
      </c>
      <c r="C59" s="47" t="s">
        <v>3151</v>
      </c>
      <c r="D59" s="160">
        <v>53</v>
      </c>
      <c r="E59" s="46" t="s">
        <v>47</v>
      </c>
      <c r="F59" s="46" t="s">
        <v>48</v>
      </c>
      <c r="G59" s="47" t="s">
        <v>49</v>
      </c>
      <c r="H59" s="47" t="s">
        <v>3154</v>
      </c>
      <c r="I59" s="47" t="s">
        <v>3154</v>
      </c>
      <c r="J59" s="130" t="s">
        <v>707</v>
      </c>
      <c r="K59" s="131"/>
      <c r="L59" s="132"/>
      <c r="M59" s="76"/>
      <c r="N59" s="81" t="s">
        <v>3294</v>
      </c>
      <c r="O59" s="47" t="s">
        <v>3295</v>
      </c>
      <c r="P59" s="47" t="s">
        <v>3296</v>
      </c>
      <c r="Q59" s="134">
        <v>22.949174</v>
      </c>
      <c r="R59" s="134">
        <v>92.037613</v>
      </c>
      <c r="S59" s="81">
        <v>420</v>
      </c>
      <c r="T59" s="81"/>
      <c r="U59" s="81"/>
      <c r="V59" s="81"/>
      <c r="W59" s="7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3"/>
      <c r="AK59" s="58"/>
      <c r="AL59" s="59"/>
      <c r="AM59" s="57"/>
    </row>
    <row x14ac:dyDescent="0.25" r="60" customHeight="1" ht="18">
      <c r="A60" s="45">
        <v>54</v>
      </c>
      <c r="B60" s="50" t="s">
        <v>2760</v>
      </c>
      <c r="C60" s="47" t="s">
        <v>3151</v>
      </c>
      <c r="D60" s="160">
        <v>54</v>
      </c>
      <c r="E60" s="46" t="s">
        <v>47</v>
      </c>
      <c r="F60" s="46" t="s">
        <v>48</v>
      </c>
      <c r="G60" s="47" t="s">
        <v>49</v>
      </c>
      <c r="H60" s="47" t="s">
        <v>3154</v>
      </c>
      <c r="I60" s="47" t="s">
        <v>3154</v>
      </c>
      <c r="J60" s="130" t="s">
        <v>707</v>
      </c>
      <c r="K60" s="131"/>
      <c r="L60" s="132"/>
      <c r="M60" s="76"/>
      <c r="N60" s="81" t="s">
        <v>2536</v>
      </c>
      <c r="O60" s="47" t="s">
        <v>2872</v>
      </c>
      <c r="P60" s="47" t="s">
        <v>3297</v>
      </c>
      <c r="Q60" s="134">
        <v>22.958714</v>
      </c>
      <c r="R60" s="134">
        <v>92.036728</v>
      </c>
      <c r="S60" s="81">
        <v>80</v>
      </c>
      <c r="T60" s="81"/>
      <c r="U60" s="81"/>
      <c r="V60" s="81"/>
      <c r="W60" s="7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3"/>
      <c r="AK60" s="58"/>
      <c r="AL60" s="59"/>
      <c r="AM60" s="57"/>
    </row>
    <row x14ac:dyDescent="0.25" r="61" customHeight="1" ht="18">
      <c r="A61" s="45">
        <v>55</v>
      </c>
      <c r="B61" s="50" t="s">
        <v>2760</v>
      </c>
      <c r="C61" s="47" t="s">
        <v>3151</v>
      </c>
      <c r="D61" s="160">
        <v>55</v>
      </c>
      <c r="E61" s="46" t="s">
        <v>47</v>
      </c>
      <c r="F61" s="46" t="s">
        <v>48</v>
      </c>
      <c r="G61" s="47" t="s">
        <v>49</v>
      </c>
      <c r="H61" s="47" t="s">
        <v>3154</v>
      </c>
      <c r="I61" s="47" t="s">
        <v>3154</v>
      </c>
      <c r="J61" s="130" t="s">
        <v>726</v>
      </c>
      <c r="K61" s="131"/>
      <c r="L61" s="132"/>
      <c r="M61" s="76"/>
      <c r="N61" s="81" t="s">
        <v>3298</v>
      </c>
      <c r="O61" s="47" t="s">
        <v>3299</v>
      </c>
      <c r="P61" s="47" t="s">
        <v>3300</v>
      </c>
      <c r="Q61" s="134">
        <v>22.959355</v>
      </c>
      <c r="R61" s="134">
        <v>92.029475</v>
      </c>
      <c r="S61" s="81">
        <v>2200</v>
      </c>
      <c r="T61" s="81"/>
      <c r="U61" s="81"/>
      <c r="V61" s="81"/>
      <c r="W61" s="7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3"/>
      <c r="AK61" s="58"/>
      <c r="AL61" s="59"/>
      <c r="AM61" s="57"/>
    </row>
    <row x14ac:dyDescent="0.25" r="62" customHeight="1" ht="18">
      <c r="A62" s="45">
        <v>56</v>
      </c>
      <c r="B62" s="50" t="s">
        <v>2760</v>
      </c>
      <c r="C62" s="47" t="s">
        <v>3151</v>
      </c>
      <c r="D62" s="160">
        <v>56</v>
      </c>
      <c r="E62" s="46" t="s">
        <v>47</v>
      </c>
      <c r="F62" s="46" t="s">
        <v>48</v>
      </c>
      <c r="G62" s="47" t="s">
        <v>49</v>
      </c>
      <c r="H62" s="47" t="s">
        <v>3154</v>
      </c>
      <c r="I62" s="47" t="s">
        <v>3154</v>
      </c>
      <c r="J62" s="130" t="s">
        <v>726</v>
      </c>
      <c r="K62" s="131"/>
      <c r="L62" s="132"/>
      <c r="M62" s="76"/>
      <c r="N62" s="81" t="s">
        <v>3301</v>
      </c>
      <c r="O62" s="47" t="s">
        <v>3302</v>
      </c>
      <c r="P62" s="47" t="s">
        <v>3303</v>
      </c>
      <c r="Q62" s="134">
        <v>22.946912</v>
      </c>
      <c r="R62" s="134">
        <v>92.024415</v>
      </c>
      <c r="S62" s="81">
        <v>750</v>
      </c>
      <c r="T62" s="81"/>
      <c r="U62" s="81"/>
      <c r="V62" s="81"/>
      <c r="W62" s="135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3"/>
      <c r="AK62" s="58"/>
      <c r="AL62" s="59"/>
      <c r="AM62" s="57"/>
    </row>
    <row x14ac:dyDescent="0.25" r="63" customHeight="1" ht="18">
      <c r="A63" s="45">
        <v>57</v>
      </c>
      <c r="B63" s="50" t="s">
        <v>2760</v>
      </c>
      <c r="C63" s="47" t="s">
        <v>3151</v>
      </c>
      <c r="D63" s="160">
        <v>57</v>
      </c>
      <c r="E63" s="46" t="s">
        <v>47</v>
      </c>
      <c r="F63" s="46" t="s">
        <v>48</v>
      </c>
      <c r="G63" s="47" t="s">
        <v>49</v>
      </c>
      <c r="H63" s="47" t="s">
        <v>3154</v>
      </c>
      <c r="I63" s="47" t="s">
        <v>3154</v>
      </c>
      <c r="J63" s="130" t="s">
        <v>742</v>
      </c>
      <c r="K63" s="131"/>
      <c r="L63" s="132"/>
      <c r="M63" s="76"/>
      <c r="N63" s="81" t="s">
        <v>3304</v>
      </c>
      <c r="O63" s="47" t="s">
        <v>3305</v>
      </c>
      <c r="P63" s="47" t="s">
        <v>3306</v>
      </c>
      <c r="Q63" s="134">
        <v>22.953132</v>
      </c>
      <c r="R63" s="134">
        <v>92.017176</v>
      </c>
      <c r="S63" s="81">
        <v>2000</v>
      </c>
      <c r="T63" s="81"/>
      <c r="U63" s="81"/>
      <c r="V63" s="81"/>
      <c r="W63" s="7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3"/>
      <c r="AK63" s="58"/>
      <c r="AL63" s="59"/>
      <c r="AM63" s="57"/>
    </row>
    <row x14ac:dyDescent="0.25" r="64" customHeight="1" ht="18">
      <c r="A64" s="45">
        <v>58</v>
      </c>
      <c r="B64" s="50" t="s">
        <v>2760</v>
      </c>
      <c r="C64" s="47" t="s">
        <v>3151</v>
      </c>
      <c r="D64" s="160">
        <v>58</v>
      </c>
      <c r="E64" s="46" t="s">
        <v>47</v>
      </c>
      <c r="F64" s="46" t="s">
        <v>48</v>
      </c>
      <c r="G64" s="47" t="s">
        <v>49</v>
      </c>
      <c r="H64" s="47" t="s">
        <v>3154</v>
      </c>
      <c r="I64" s="47" t="s">
        <v>3154</v>
      </c>
      <c r="J64" s="130" t="s">
        <v>742</v>
      </c>
      <c r="K64" s="131"/>
      <c r="L64" s="132"/>
      <c r="M64" s="76"/>
      <c r="N64" s="81" t="s">
        <v>3307</v>
      </c>
      <c r="O64" s="47" t="s">
        <v>3308</v>
      </c>
      <c r="P64" s="47" t="s">
        <v>3309</v>
      </c>
      <c r="Q64" s="134">
        <v>22.950416</v>
      </c>
      <c r="R64" s="134">
        <v>92.010029</v>
      </c>
      <c r="S64" s="81">
        <v>1000</v>
      </c>
      <c r="T64" s="81"/>
      <c r="U64" s="81"/>
      <c r="V64" s="81"/>
      <c r="W64" s="7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3"/>
      <c r="AK64" s="58"/>
      <c r="AL64" s="59"/>
      <c r="AM64" s="57"/>
    </row>
    <row x14ac:dyDescent="0.25" r="65" customHeight="1" ht="18">
      <c r="A65" s="45">
        <v>59</v>
      </c>
      <c r="B65" s="50" t="s">
        <v>2760</v>
      </c>
      <c r="C65" s="47" t="s">
        <v>3151</v>
      </c>
      <c r="D65" s="160">
        <v>59</v>
      </c>
      <c r="E65" s="46" t="s">
        <v>47</v>
      </c>
      <c r="F65" s="46" t="s">
        <v>48</v>
      </c>
      <c r="G65" s="47" t="s">
        <v>49</v>
      </c>
      <c r="H65" s="47" t="s">
        <v>3154</v>
      </c>
      <c r="I65" s="47" t="s">
        <v>3154</v>
      </c>
      <c r="J65" s="130" t="s">
        <v>761</v>
      </c>
      <c r="K65" s="131"/>
      <c r="L65" s="132"/>
      <c r="M65" s="76"/>
      <c r="N65" s="81" t="s">
        <v>3310</v>
      </c>
      <c r="O65" s="47" t="s">
        <v>3311</v>
      </c>
      <c r="P65" s="47" t="s">
        <v>3312</v>
      </c>
      <c r="Q65" s="134">
        <v>22.924474</v>
      </c>
      <c r="R65" s="134">
        <v>92.032155</v>
      </c>
      <c r="S65" s="81">
        <v>500</v>
      </c>
      <c r="T65" s="81"/>
      <c r="U65" s="81"/>
      <c r="V65" s="81"/>
      <c r="W65" s="7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3"/>
      <c r="AK65" s="58"/>
      <c r="AL65" s="59"/>
      <c r="AM65" s="57"/>
    </row>
    <row x14ac:dyDescent="0.25" r="66" customHeight="1" ht="18">
      <c r="A66" s="45">
        <v>60</v>
      </c>
      <c r="B66" s="50" t="s">
        <v>2760</v>
      </c>
      <c r="C66" s="47" t="s">
        <v>3151</v>
      </c>
      <c r="D66" s="160">
        <v>60</v>
      </c>
      <c r="E66" s="46" t="s">
        <v>47</v>
      </c>
      <c r="F66" s="46" t="s">
        <v>48</v>
      </c>
      <c r="G66" s="47" t="s">
        <v>49</v>
      </c>
      <c r="H66" s="47" t="s">
        <v>3154</v>
      </c>
      <c r="I66" s="47" t="s">
        <v>3154</v>
      </c>
      <c r="J66" s="130" t="s">
        <v>761</v>
      </c>
      <c r="K66" s="131"/>
      <c r="L66" s="132"/>
      <c r="M66" s="76"/>
      <c r="N66" s="81" t="s">
        <v>3313</v>
      </c>
      <c r="O66" s="47" t="s">
        <v>3314</v>
      </c>
      <c r="P66" s="47" t="s">
        <v>3315</v>
      </c>
      <c r="Q66" s="134">
        <v>22.929098</v>
      </c>
      <c r="R66" s="134">
        <v>92.032729</v>
      </c>
      <c r="S66" s="81">
        <v>200</v>
      </c>
      <c r="T66" s="81"/>
      <c r="U66" s="81"/>
      <c r="V66" s="81"/>
      <c r="W66" s="7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3"/>
      <c r="AK66" s="58"/>
      <c r="AL66" s="59"/>
      <c r="AM66" s="57"/>
    </row>
    <row x14ac:dyDescent="0.25" r="67" customHeight="1" ht="18">
      <c r="A67" s="45">
        <v>61</v>
      </c>
      <c r="B67" s="50" t="s">
        <v>2760</v>
      </c>
      <c r="C67" s="47" t="s">
        <v>3151</v>
      </c>
      <c r="D67" s="160">
        <v>61</v>
      </c>
      <c r="E67" s="46" t="s">
        <v>47</v>
      </c>
      <c r="F67" s="46" t="s">
        <v>48</v>
      </c>
      <c r="G67" s="47" t="s">
        <v>49</v>
      </c>
      <c r="H67" s="47" t="s">
        <v>3154</v>
      </c>
      <c r="I67" s="47" t="s">
        <v>3154</v>
      </c>
      <c r="J67" s="130" t="s">
        <v>761</v>
      </c>
      <c r="K67" s="131"/>
      <c r="L67" s="132"/>
      <c r="M67" s="76"/>
      <c r="N67" s="81" t="s">
        <v>3316</v>
      </c>
      <c r="O67" s="47" t="s">
        <v>3317</v>
      </c>
      <c r="P67" s="47" t="s">
        <v>3318</v>
      </c>
      <c r="Q67" s="134">
        <v>22.914724</v>
      </c>
      <c r="R67" s="134">
        <v>92.029694</v>
      </c>
      <c r="S67" s="81">
        <v>450</v>
      </c>
      <c r="T67" s="81"/>
      <c r="U67" s="81"/>
      <c r="V67" s="81"/>
      <c r="W67" s="7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3"/>
      <c r="AK67" s="58"/>
      <c r="AL67" s="59"/>
      <c r="AM67" s="57"/>
    </row>
    <row x14ac:dyDescent="0.25" r="68" customHeight="1" ht="18">
      <c r="A68" s="45">
        <v>62</v>
      </c>
      <c r="B68" s="50" t="s">
        <v>2760</v>
      </c>
      <c r="C68" s="47" t="s">
        <v>3151</v>
      </c>
      <c r="D68" s="160">
        <v>62</v>
      </c>
      <c r="E68" s="46" t="s">
        <v>47</v>
      </c>
      <c r="F68" s="46" t="s">
        <v>48</v>
      </c>
      <c r="G68" s="47" t="s">
        <v>49</v>
      </c>
      <c r="H68" s="47" t="s">
        <v>3154</v>
      </c>
      <c r="I68" s="47" t="s">
        <v>3154</v>
      </c>
      <c r="J68" s="130" t="s">
        <v>761</v>
      </c>
      <c r="K68" s="131"/>
      <c r="L68" s="132"/>
      <c r="M68" s="76"/>
      <c r="N68" s="81" t="s">
        <v>3319</v>
      </c>
      <c r="O68" s="47" t="s">
        <v>3320</v>
      </c>
      <c r="P68" s="47" t="s">
        <v>3321</v>
      </c>
      <c r="Q68" s="134">
        <v>22.921863</v>
      </c>
      <c r="R68" s="134">
        <v>92.033321</v>
      </c>
      <c r="S68" s="81">
        <v>200</v>
      </c>
      <c r="T68" s="81"/>
      <c r="U68" s="81"/>
      <c r="V68" s="81"/>
      <c r="W68" s="7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3"/>
      <c r="AK68" s="58"/>
      <c r="AL68" s="59"/>
      <c r="AM68" s="57"/>
    </row>
    <row x14ac:dyDescent="0.25" r="69" customHeight="1" ht="18">
      <c r="A69" s="45">
        <v>63</v>
      </c>
      <c r="B69" s="50" t="s">
        <v>2760</v>
      </c>
      <c r="C69" s="47" t="s">
        <v>3151</v>
      </c>
      <c r="D69" s="160">
        <v>63</v>
      </c>
      <c r="E69" s="46" t="s">
        <v>47</v>
      </c>
      <c r="F69" s="46" t="s">
        <v>48</v>
      </c>
      <c r="G69" s="47" t="s">
        <v>49</v>
      </c>
      <c r="H69" s="47" t="s">
        <v>3154</v>
      </c>
      <c r="I69" s="47" t="s">
        <v>3154</v>
      </c>
      <c r="J69" s="130" t="s">
        <v>761</v>
      </c>
      <c r="K69" s="131"/>
      <c r="L69" s="132"/>
      <c r="M69" s="76"/>
      <c r="N69" s="81" t="s">
        <v>3322</v>
      </c>
      <c r="O69" s="47" t="s">
        <v>3323</v>
      </c>
      <c r="P69" s="47" t="s">
        <v>3324</v>
      </c>
      <c r="Q69" s="134">
        <v>22.912598</v>
      </c>
      <c r="R69" s="134">
        <v>92.044127</v>
      </c>
      <c r="S69" s="81">
        <v>550</v>
      </c>
      <c r="T69" s="81"/>
      <c r="U69" s="81"/>
      <c r="V69" s="81"/>
      <c r="W69" s="7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3"/>
      <c r="AK69" s="58"/>
      <c r="AL69" s="59"/>
      <c r="AM69" s="57"/>
    </row>
    <row x14ac:dyDescent="0.25" r="70" customHeight="1" ht="18">
      <c r="A70" s="45">
        <v>64</v>
      </c>
      <c r="B70" s="50" t="s">
        <v>2760</v>
      </c>
      <c r="C70" s="47" t="s">
        <v>3151</v>
      </c>
      <c r="D70" s="160">
        <v>64</v>
      </c>
      <c r="E70" s="46" t="s">
        <v>47</v>
      </c>
      <c r="F70" s="46" t="s">
        <v>48</v>
      </c>
      <c r="G70" s="47" t="s">
        <v>49</v>
      </c>
      <c r="H70" s="47" t="s">
        <v>3154</v>
      </c>
      <c r="I70" s="47" t="s">
        <v>3154</v>
      </c>
      <c r="J70" s="130" t="s">
        <v>761</v>
      </c>
      <c r="K70" s="131"/>
      <c r="L70" s="132"/>
      <c r="M70" s="76"/>
      <c r="N70" s="81" t="s">
        <v>3325</v>
      </c>
      <c r="O70" s="47" t="s">
        <v>3326</v>
      </c>
      <c r="P70" s="47" t="s">
        <v>3327</v>
      </c>
      <c r="Q70" s="134">
        <v>22.909386</v>
      </c>
      <c r="R70" s="134">
        <v>92.049352</v>
      </c>
      <c r="S70" s="81">
        <v>210</v>
      </c>
      <c r="T70" s="81"/>
      <c r="U70" s="81"/>
      <c r="V70" s="81"/>
      <c r="W70" s="7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3"/>
      <c r="AK70" s="58"/>
      <c r="AL70" s="59"/>
      <c r="AM70" s="57"/>
    </row>
    <row x14ac:dyDescent="0.25" r="71" customHeight="1" ht="18">
      <c r="A71" s="45">
        <v>65</v>
      </c>
      <c r="B71" s="50" t="s">
        <v>2760</v>
      </c>
      <c r="C71" s="47" t="s">
        <v>3151</v>
      </c>
      <c r="D71" s="160">
        <v>65</v>
      </c>
      <c r="E71" s="46" t="s">
        <v>47</v>
      </c>
      <c r="F71" s="46" t="s">
        <v>48</v>
      </c>
      <c r="G71" s="47" t="s">
        <v>49</v>
      </c>
      <c r="H71" s="47" t="s">
        <v>3154</v>
      </c>
      <c r="I71" s="47" t="s">
        <v>3154</v>
      </c>
      <c r="J71" s="130" t="s">
        <v>781</v>
      </c>
      <c r="K71" s="131"/>
      <c r="L71" s="132"/>
      <c r="M71" s="76"/>
      <c r="N71" s="81" t="s">
        <v>3328</v>
      </c>
      <c r="O71" s="47" t="s">
        <v>3329</v>
      </c>
      <c r="P71" s="47" t="s">
        <v>3330</v>
      </c>
      <c r="Q71" s="134">
        <v>22.904757</v>
      </c>
      <c r="R71" s="134">
        <v>92.0229</v>
      </c>
      <c r="S71" s="81">
        <v>70</v>
      </c>
      <c r="T71" s="81"/>
      <c r="U71" s="81"/>
      <c r="V71" s="81"/>
      <c r="W71" s="7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3"/>
      <c r="AK71" s="58"/>
      <c r="AL71" s="59"/>
      <c r="AM71" s="57"/>
    </row>
    <row x14ac:dyDescent="0.25" r="72" customHeight="1" ht="18">
      <c r="A72" s="45">
        <v>66</v>
      </c>
      <c r="B72" s="50" t="s">
        <v>2760</v>
      </c>
      <c r="C72" s="47" t="s">
        <v>3151</v>
      </c>
      <c r="D72" s="160">
        <v>66</v>
      </c>
      <c r="E72" s="46" t="s">
        <v>47</v>
      </c>
      <c r="F72" s="46" t="s">
        <v>48</v>
      </c>
      <c r="G72" s="47" t="s">
        <v>49</v>
      </c>
      <c r="H72" s="47" t="s">
        <v>3154</v>
      </c>
      <c r="I72" s="47" t="s">
        <v>3154</v>
      </c>
      <c r="J72" s="130" t="s">
        <v>781</v>
      </c>
      <c r="K72" s="131"/>
      <c r="L72" s="132"/>
      <c r="M72" s="76"/>
      <c r="N72" s="81" t="s">
        <v>3331</v>
      </c>
      <c r="O72" s="47" t="s">
        <v>3332</v>
      </c>
      <c r="P72" s="47" t="s">
        <v>3333</v>
      </c>
      <c r="Q72" s="134">
        <v>22.901541</v>
      </c>
      <c r="R72" s="134">
        <v>92.026046</v>
      </c>
      <c r="S72" s="81">
        <v>375</v>
      </c>
      <c r="T72" s="81"/>
      <c r="U72" s="81"/>
      <c r="V72" s="81"/>
      <c r="W72" s="135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3"/>
      <c r="AK72" s="58"/>
      <c r="AL72" s="59"/>
      <c r="AM72" s="57"/>
    </row>
    <row x14ac:dyDescent="0.25" r="73" customHeight="1" ht="18">
      <c r="A73" s="45">
        <v>67</v>
      </c>
      <c r="B73" s="50" t="s">
        <v>2760</v>
      </c>
      <c r="C73" s="47" t="s">
        <v>3151</v>
      </c>
      <c r="D73" s="160">
        <v>67</v>
      </c>
      <c r="E73" s="46" t="s">
        <v>47</v>
      </c>
      <c r="F73" s="46" t="s">
        <v>48</v>
      </c>
      <c r="G73" s="47" t="s">
        <v>49</v>
      </c>
      <c r="H73" s="47" t="s">
        <v>3154</v>
      </c>
      <c r="I73" s="47" t="s">
        <v>3154</v>
      </c>
      <c r="J73" s="130" t="s">
        <v>781</v>
      </c>
      <c r="K73" s="131"/>
      <c r="L73" s="132"/>
      <c r="M73" s="76"/>
      <c r="N73" s="81" t="s">
        <v>3334</v>
      </c>
      <c r="O73" s="47" t="s">
        <v>3335</v>
      </c>
      <c r="P73" s="47" t="s">
        <v>3336</v>
      </c>
      <c r="Q73" s="134">
        <v>22.90055</v>
      </c>
      <c r="R73" s="134">
        <v>92.034506</v>
      </c>
      <c r="S73" s="81">
        <v>175</v>
      </c>
      <c r="T73" s="81"/>
      <c r="U73" s="81"/>
      <c r="V73" s="81"/>
      <c r="W73" s="7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3"/>
      <c r="AK73" s="58"/>
      <c r="AL73" s="59"/>
      <c r="AM73" s="57"/>
    </row>
    <row x14ac:dyDescent="0.25" r="74" customHeight="1" ht="18">
      <c r="A74" s="45">
        <v>68</v>
      </c>
      <c r="B74" s="50" t="s">
        <v>2760</v>
      </c>
      <c r="C74" s="47" t="s">
        <v>3151</v>
      </c>
      <c r="D74" s="160">
        <v>68</v>
      </c>
      <c r="E74" s="46" t="s">
        <v>47</v>
      </c>
      <c r="F74" s="46" t="s">
        <v>48</v>
      </c>
      <c r="G74" s="47" t="s">
        <v>49</v>
      </c>
      <c r="H74" s="47" t="s">
        <v>3154</v>
      </c>
      <c r="I74" s="47" t="s">
        <v>3154</v>
      </c>
      <c r="J74" s="130" t="s">
        <v>781</v>
      </c>
      <c r="K74" s="131"/>
      <c r="L74" s="132"/>
      <c r="M74" s="76"/>
      <c r="N74" s="81" t="s">
        <v>3337</v>
      </c>
      <c r="O74" s="47" t="s">
        <v>3338</v>
      </c>
      <c r="P74" s="47" t="s">
        <v>3339</v>
      </c>
      <c r="Q74" s="134">
        <v>22.903828</v>
      </c>
      <c r="R74" s="134">
        <v>92.046248</v>
      </c>
      <c r="S74" s="81">
        <v>325</v>
      </c>
      <c r="T74" s="81"/>
      <c r="U74" s="81"/>
      <c r="V74" s="81"/>
      <c r="W74" s="7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3"/>
      <c r="AK74" s="58"/>
      <c r="AL74" s="59"/>
      <c r="AM74" s="57"/>
    </row>
    <row x14ac:dyDescent="0.25" r="75" customHeight="1" ht="18">
      <c r="A75" s="45">
        <v>69</v>
      </c>
      <c r="B75" s="50" t="s">
        <v>2760</v>
      </c>
      <c r="C75" s="47" t="s">
        <v>3151</v>
      </c>
      <c r="D75" s="160">
        <v>69</v>
      </c>
      <c r="E75" s="46" t="s">
        <v>47</v>
      </c>
      <c r="F75" s="46" t="s">
        <v>48</v>
      </c>
      <c r="G75" s="47" t="s">
        <v>49</v>
      </c>
      <c r="H75" s="47" t="s">
        <v>3154</v>
      </c>
      <c r="I75" s="47" t="s">
        <v>3154</v>
      </c>
      <c r="J75" s="130" t="s">
        <v>781</v>
      </c>
      <c r="K75" s="139"/>
      <c r="L75" s="59"/>
      <c r="M75" s="76"/>
      <c r="N75" s="81" t="s">
        <v>3340</v>
      </c>
      <c r="O75" s="47" t="s">
        <v>3341</v>
      </c>
      <c r="P75" s="47" t="s">
        <v>3342</v>
      </c>
      <c r="Q75" s="134">
        <v>22.911275</v>
      </c>
      <c r="R75" s="134">
        <v>92.054612</v>
      </c>
      <c r="S75" s="81">
        <v>160</v>
      </c>
      <c r="T75" s="81"/>
      <c r="U75" s="81"/>
      <c r="V75" s="81"/>
      <c r="W75" s="7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3"/>
      <c r="AK75" s="58"/>
      <c r="AL75" s="59"/>
      <c r="AM75" s="57"/>
    </row>
    <row x14ac:dyDescent="0.25" r="76" customHeight="1" ht="18">
      <c r="A76" s="45">
        <v>70</v>
      </c>
      <c r="B76" s="50" t="s">
        <v>2760</v>
      </c>
      <c r="C76" s="47" t="s">
        <v>3151</v>
      </c>
      <c r="D76" s="160">
        <v>70</v>
      </c>
      <c r="E76" s="46" t="s">
        <v>47</v>
      </c>
      <c r="F76" s="46" t="s">
        <v>48</v>
      </c>
      <c r="G76" s="47" t="s">
        <v>49</v>
      </c>
      <c r="H76" s="47" t="s">
        <v>3154</v>
      </c>
      <c r="I76" s="47" t="s">
        <v>3154</v>
      </c>
      <c r="J76" s="130" t="s">
        <v>781</v>
      </c>
      <c r="K76" s="131"/>
      <c r="L76" s="132"/>
      <c r="M76" s="76"/>
      <c r="N76" s="81" t="s">
        <v>3343</v>
      </c>
      <c r="O76" s="47" t="s">
        <v>3344</v>
      </c>
      <c r="P76" s="47" t="s">
        <v>3345</v>
      </c>
      <c r="Q76" s="134">
        <v>22.912502</v>
      </c>
      <c r="R76" s="134">
        <v>92.058676</v>
      </c>
      <c r="S76" s="81">
        <v>185</v>
      </c>
      <c r="T76" s="81"/>
      <c r="U76" s="81"/>
      <c r="V76" s="81"/>
      <c r="W76" s="7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3"/>
      <c r="AK76" s="58"/>
      <c r="AL76" s="59"/>
      <c r="AM76" s="57"/>
    </row>
    <row x14ac:dyDescent="0.25" r="77" customHeight="1" ht="18">
      <c r="A77" s="45">
        <v>71</v>
      </c>
      <c r="B77" s="50" t="s">
        <v>2760</v>
      </c>
      <c r="C77" s="47" t="s">
        <v>3151</v>
      </c>
      <c r="D77" s="160">
        <v>71</v>
      </c>
      <c r="E77" s="46" t="s">
        <v>47</v>
      </c>
      <c r="F77" s="46" t="s">
        <v>48</v>
      </c>
      <c r="G77" s="47" t="s">
        <v>49</v>
      </c>
      <c r="H77" s="47" t="s">
        <v>3154</v>
      </c>
      <c r="I77" s="47" t="s">
        <v>3154</v>
      </c>
      <c r="J77" s="130" t="s">
        <v>781</v>
      </c>
      <c r="K77" s="131"/>
      <c r="L77" s="59"/>
      <c r="M77" s="76"/>
      <c r="N77" s="81" t="s">
        <v>1015</v>
      </c>
      <c r="O77" s="47" t="s">
        <v>3346</v>
      </c>
      <c r="P77" s="47" t="s">
        <v>3347</v>
      </c>
      <c r="Q77" s="134">
        <v>22.907896</v>
      </c>
      <c r="R77" s="134">
        <v>92.016749</v>
      </c>
      <c r="S77" s="81">
        <v>130</v>
      </c>
      <c r="T77" s="81"/>
      <c r="U77" s="81"/>
      <c r="V77" s="81"/>
      <c r="W77" s="135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3"/>
      <c r="AK77" s="58"/>
      <c r="AL77" s="59"/>
      <c r="AM77" s="57"/>
    </row>
    <row x14ac:dyDescent="0.25" r="78" customHeight="1" ht="18">
      <c r="A78" s="45">
        <v>72</v>
      </c>
      <c r="B78" s="50" t="s">
        <v>2760</v>
      </c>
      <c r="C78" s="47" t="s">
        <v>3151</v>
      </c>
      <c r="D78" s="160">
        <v>72</v>
      </c>
      <c r="E78" s="46" t="s">
        <v>47</v>
      </c>
      <c r="F78" s="46" t="s">
        <v>48</v>
      </c>
      <c r="G78" s="47" t="s">
        <v>49</v>
      </c>
      <c r="H78" s="47" t="s">
        <v>3154</v>
      </c>
      <c r="I78" s="47" t="s">
        <v>3154</v>
      </c>
      <c r="J78" s="130" t="s">
        <v>797</v>
      </c>
      <c r="K78" s="131"/>
      <c r="L78" s="59"/>
      <c r="M78" s="76"/>
      <c r="N78" s="81" t="s">
        <v>984</v>
      </c>
      <c r="O78" s="47" t="s">
        <v>985</v>
      </c>
      <c r="P78" s="47" t="s">
        <v>3348</v>
      </c>
      <c r="Q78" s="134">
        <v>22.925464</v>
      </c>
      <c r="R78" s="134">
        <v>92.017726</v>
      </c>
      <c r="S78" s="81">
        <v>750</v>
      </c>
      <c r="T78" s="81"/>
      <c r="U78" s="81"/>
      <c r="V78" s="81"/>
      <c r="W78" s="135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3"/>
      <c r="AK78" s="58"/>
      <c r="AL78" s="59"/>
      <c r="AM78" s="57"/>
    </row>
    <row x14ac:dyDescent="0.25" r="79" customHeight="1" ht="18">
      <c r="A79" s="45">
        <v>73</v>
      </c>
      <c r="B79" s="50" t="s">
        <v>2760</v>
      </c>
      <c r="C79" s="47" t="s">
        <v>3151</v>
      </c>
      <c r="D79" s="160">
        <v>73</v>
      </c>
      <c r="E79" s="46" t="s">
        <v>47</v>
      </c>
      <c r="F79" s="46" t="s">
        <v>48</v>
      </c>
      <c r="G79" s="47" t="s">
        <v>49</v>
      </c>
      <c r="H79" s="47" t="s">
        <v>3154</v>
      </c>
      <c r="I79" s="47" t="s">
        <v>3154</v>
      </c>
      <c r="J79" s="130" t="s">
        <v>797</v>
      </c>
      <c r="K79" s="131"/>
      <c r="L79" s="59"/>
      <c r="M79" s="76"/>
      <c r="N79" s="81" t="s">
        <v>3349</v>
      </c>
      <c r="O79" s="47" t="s">
        <v>3350</v>
      </c>
      <c r="P79" s="47" t="s">
        <v>3351</v>
      </c>
      <c r="Q79" s="134">
        <v>22.922977</v>
      </c>
      <c r="R79" s="134">
        <v>92.012333</v>
      </c>
      <c r="S79" s="81">
        <v>175</v>
      </c>
      <c r="T79" s="81"/>
      <c r="U79" s="81"/>
      <c r="V79" s="81"/>
      <c r="W79" s="135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3"/>
      <c r="AK79" s="58"/>
      <c r="AL79" s="59"/>
      <c r="AM79" s="57"/>
    </row>
    <row x14ac:dyDescent="0.25" r="80" customHeight="1" ht="18">
      <c r="A80" s="45">
        <v>74</v>
      </c>
      <c r="B80" s="50" t="s">
        <v>2760</v>
      </c>
      <c r="C80" s="47" t="s">
        <v>3151</v>
      </c>
      <c r="D80" s="160">
        <v>74</v>
      </c>
      <c r="E80" s="46" t="s">
        <v>47</v>
      </c>
      <c r="F80" s="46" t="s">
        <v>48</v>
      </c>
      <c r="G80" s="47" t="s">
        <v>49</v>
      </c>
      <c r="H80" s="47" t="s">
        <v>3154</v>
      </c>
      <c r="I80" s="47" t="s">
        <v>3154</v>
      </c>
      <c r="J80" s="130" t="s">
        <v>797</v>
      </c>
      <c r="K80" s="131"/>
      <c r="L80" s="59"/>
      <c r="M80" s="76"/>
      <c r="N80" s="81" t="s">
        <v>3352</v>
      </c>
      <c r="O80" s="47" t="s">
        <v>3353</v>
      </c>
      <c r="P80" s="47" t="s">
        <v>3354</v>
      </c>
      <c r="Q80" s="134">
        <v>22.906051</v>
      </c>
      <c r="R80" s="134">
        <v>92.014657</v>
      </c>
      <c r="S80" s="81">
        <v>125</v>
      </c>
      <c r="T80" s="81"/>
      <c r="U80" s="81"/>
      <c r="V80" s="81"/>
      <c r="W80" s="135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3"/>
      <c r="AK80" s="58"/>
      <c r="AL80" s="59"/>
      <c r="AM80" s="57"/>
    </row>
    <row x14ac:dyDescent="0.25" r="81" customHeight="1" ht="18">
      <c r="A81" s="45">
        <v>75</v>
      </c>
      <c r="B81" s="50" t="s">
        <v>2760</v>
      </c>
      <c r="C81" s="47" t="s">
        <v>3151</v>
      </c>
      <c r="D81" s="160">
        <v>75</v>
      </c>
      <c r="E81" s="46" t="s">
        <v>47</v>
      </c>
      <c r="F81" s="46" t="s">
        <v>48</v>
      </c>
      <c r="G81" s="47" t="s">
        <v>49</v>
      </c>
      <c r="H81" s="47" t="s">
        <v>3154</v>
      </c>
      <c r="I81" s="47" t="s">
        <v>3154</v>
      </c>
      <c r="J81" s="130" t="s">
        <v>797</v>
      </c>
      <c r="K81" s="131"/>
      <c r="L81" s="59"/>
      <c r="M81" s="76"/>
      <c r="N81" s="81" t="s">
        <v>3355</v>
      </c>
      <c r="O81" s="47" t="s">
        <v>3356</v>
      </c>
      <c r="P81" s="47" t="s">
        <v>3357</v>
      </c>
      <c r="Q81" s="134">
        <v>22.915125</v>
      </c>
      <c r="R81" s="134">
        <v>92.001206</v>
      </c>
      <c r="S81" s="81">
        <v>175</v>
      </c>
      <c r="T81" s="81"/>
      <c r="U81" s="81"/>
      <c r="V81" s="81"/>
      <c r="W81" s="135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3"/>
      <c r="AK81" s="58"/>
      <c r="AL81" s="59"/>
      <c r="AM81" s="57"/>
    </row>
    <row x14ac:dyDescent="0.25" r="82" customHeight="1" ht="18">
      <c r="A82" s="45">
        <v>76</v>
      </c>
      <c r="B82" s="50" t="s">
        <v>2760</v>
      </c>
      <c r="C82" s="47" t="s">
        <v>3151</v>
      </c>
      <c r="D82" s="160">
        <v>76</v>
      </c>
      <c r="E82" s="46" t="s">
        <v>47</v>
      </c>
      <c r="F82" s="46" t="s">
        <v>48</v>
      </c>
      <c r="G82" s="47" t="s">
        <v>49</v>
      </c>
      <c r="H82" s="47" t="s">
        <v>3154</v>
      </c>
      <c r="I82" s="47" t="s">
        <v>3154</v>
      </c>
      <c r="J82" s="130" t="s">
        <v>797</v>
      </c>
      <c r="K82" s="131"/>
      <c r="L82" s="59"/>
      <c r="M82" s="76"/>
      <c r="N82" s="81" t="s">
        <v>3358</v>
      </c>
      <c r="O82" s="47" t="s">
        <v>3359</v>
      </c>
      <c r="P82" s="47" t="s">
        <v>3360</v>
      </c>
      <c r="Q82" s="134">
        <v>22.922144</v>
      </c>
      <c r="R82" s="134">
        <v>91.98132</v>
      </c>
      <c r="S82" s="81">
        <v>350</v>
      </c>
      <c r="T82" s="81"/>
      <c r="U82" s="81"/>
      <c r="V82" s="81"/>
      <c r="W82" s="135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3"/>
      <c r="AK82" s="58"/>
      <c r="AL82" s="59"/>
      <c r="AM82" s="57"/>
    </row>
    <row x14ac:dyDescent="0.25" r="83" customHeight="1" ht="18">
      <c r="A83" s="45">
        <v>77</v>
      </c>
      <c r="B83" s="50" t="s">
        <v>2760</v>
      </c>
      <c r="C83" s="47" t="s">
        <v>3151</v>
      </c>
      <c r="D83" s="160">
        <v>77</v>
      </c>
      <c r="E83" s="46" t="s">
        <v>47</v>
      </c>
      <c r="F83" s="46" t="s">
        <v>48</v>
      </c>
      <c r="G83" s="47" t="s">
        <v>49</v>
      </c>
      <c r="H83" s="47" t="s">
        <v>3154</v>
      </c>
      <c r="I83" s="47" t="s">
        <v>3154</v>
      </c>
      <c r="J83" s="130" t="s">
        <v>797</v>
      </c>
      <c r="K83" s="131"/>
      <c r="L83" s="59"/>
      <c r="M83" s="76"/>
      <c r="N83" s="81" t="s">
        <v>3192</v>
      </c>
      <c r="O83" s="47" t="s">
        <v>3193</v>
      </c>
      <c r="P83" s="47" t="s">
        <v>3361</v>
      </c>
      <c r="Q83" s="134">
        <v>22.916252</v>
      </c>
      <c r="R83" s="134">
        <v>92.01265</v>
      </c>
      <c r="S83" s="81">
        <v>175</v>
      </c>
      <c r="T83" s="81"/>
      <c r="U83" s="81"/>
      <c r="V83" s="81"/>
      <c r="W83" s="135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3"/>
      <c r="AK83" s="58"/>
      <c r="AL83" s="59"/>
      <c r="AM83" s="57"/>
    </row>
    <row x14ac:dyDescent="0.25" r="84" customHeight="1" ht="18">
      <c r="A84" s="45">
        <v>78</v>
      </c>
      <c r="B84" s="50" t="s">
        <v>2760</v>
      </c>
      <c r="C84" s="47" t="s">
        <v>3151</v>
      </c>
      <c r="D84" s="160">
        <v>78</v>
      </c>
      <c r="E84" s="46" t="s">
        <v>47</v>
      </c>
      <c r="F84" s="46" t="s">
        <v>48</v>
      </c>
      <c r="G84" s="47" t="s">
        <v>49</v>
      </c>
      <c r="H84" s="47" t="s">
        <v>3154</v>
      </c>
      <c r="I84" s="47" t="s">
        <v>3154</v>
      </c>
      <c r="J84" s="130" t="s">
        <v>797</v>
      </c>
      <c r="K84" s="131"/>
      <c r="L84" s="59"/>
      <c r="M84" s="76"/>
      <c r="N84" s="81" t="s">
        <v>3362</v>
      </c>
      <c r="O84" s="47" t="s">
        <v>3363</v>
      </c>
      <c r="P84" s="47" t="s">
        <v>3364</v>
      </c>
      <c r="Q84" s="134">
        <v>22.905393</v>
      </c>
      <c r="R84" s="134">
        <v>92.00227</v>
      </c>
      <c r="S84" s="81">
        <v>100</v>
      </c>
      <c r="T84" s="81"/>
      <c r="U84" s="81"/>
      <c r="V84" s="81"/>
      <c r="W84" s="135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3"/>
      <c r="AK84" s="58"/>
      <c r="AL84" s="59"/>
      <c r="AM84" s="57"/>
    </row>
    <row x14ac:dyDescent="0.25" r="85" customHeight="1" ht="18">
      <c r="A85" s="45">
        <v>79</v>
      </c>
      <c r="B85" s="50" t="s">
        <v>2760</v>
      </c>
      <c r="C85" s="47" t="s">
        <v>3151</v>
      </c>
      <c r="D85" s="160">
        <v>79</v>
      </c>
      <c r="E85" s="46" t="s">
        <v>47</v>
      </c>
      <c r="F85" s="46" t="s">
        <v>48</v>
      </c>
      <c r="G85" s="47" t="s">
        <v>49</v>
      </c>
      <c r="H85" s="47" t="s">
        <v>3154</v>
      </c>
      <c r="I85" s="47" t="s">
        <v>3154</v>
      </c>
      <c r="J85" s="130" t="s">
        <v>797</v>
      </c>
      <c r="K85" s="131"/>
      <c r="L85" s="59"/>
      <c r="M85" s="76"/>
      <c r="N85" s="81" t="s">
        <v>88</v>
      </c>
      <c r="O85" s="47" t="s">
        <v>3258</v>
      </c>
      <c r="P85" s="47" t="s">
        <v>3365</v>
      </c>
      <c r="Q85" s="134">
        <v>22.933708</v>
      </c>
      <c r="R85" s="134">
        <v>91.985041</v>
      </c>
      <c r="S85" s="81">
        <v>150</v>
      </c>
      <c r="T85" s="81"/>
      <c r="U85" s="81"/>
      <c r="V85" s="81"/>
      <c r="W85" s="135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3"/>
      <c r="AK85" s="58"/>
      <c r="AL85" s="59"/>
      <c r="AM85" s="57"/>
    </row>
    <row x14ac:dyDescent="0.25" r="86" customHeight="1" ht="18">
      <c r="A86" s="45">
        <v>80</v>
      </c>
      <c r="B86" s="50" t="s">
        <v>2760</v>
      </c>
      <c r="C86" s="47" t="s">
        <v>3151</v>
      </c>
      <c r="D86" s="160">
        <v>80</v>
      </c>
      <c r="E86" s="46" t="s">
        <v>47</v>
      </c>
      <c r="F86" s="46" t="s">
        <v>48</v>
      </c>
      <c r="G86" s="47" t="s">
        <v>49</v>
      </c>
      <c r="H86" s="47" t="s">
        <v>3154</v>
      </c>
      <c r="I86" s="47" t="s">
        <v>3154</v>
      </c>
      <c r="J86" s="130" t="s">
        <v>797</v>
      </c>
      <c r="K86" s="131"/>
      <c r="L86" s="59"/>
      <c r="M86" s="76"/>
      <c r="N86" s="81" t="s">
        <v>949</v>
      </c>
      <c r="O86" s="47" t="s">
        <v>950</v>
      </c>
      <c r="P86" s="47" t="s">
        <v>3366</v>
      </c>
      <c r="Q86" s="134">
        <v>22.926584</v>
      </c>
      <c r="R86" s="134">
        <v>92.02524</v>
      </c>
      <c r="S86" s="81">
        <v>600</v>
      </c>
      <c r="T86" s="81"/>
      <c r="U86" s="81"/>
      <c r="V86" s="81"/>
      <c r="W86" s="135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3"/>
      <c r="AK86" s="58"/>
      <c r="AL86" s="59"/>
      <c r="AM86" s="57"/>
    </row>
    <row x14ac:dyDescent="0.25" r="87" customHeight="1" ht="18">
      <c r="A87" s="45">
        <v>81</v>
      </c>
      <c r="B87" s="50" t="s">
        <v>2760</v>
      </c>
      <c r="C87" s="47" t="s">
        <v>3151</v>
      </c>
      <c r="D87" s="160">
        <v>81</v>
      </c>
      <c r="E87" s="46" t="s">
        <v>47</v>
      </c>
      <c r="F87" s="46" t="s">
        <v>48</v>
      </c>
      <c r="G87" s="47" t="s">
        <v>49</v>
      </c>
      <c r="H87" s="47" t="s">
        <v>3154</v>
      </c>
      <c r="I87" s="47" t="s">
        <v>3154</v>
      </c>
      <c r="J87" s="130" t="s">
        <v>797</v>
      </c>
      <c r="K87" s="131"/>
      <c r="L87" s="59"/>
      <c r="M87" s="76"/>
      <c r="N87" s="81" t="s">
        <v>3367</v>
      </c>
      <c r="O87" s="47" t="s">
        <v>3368</v>
      </c>
      <c r="P87" s="47" t="s">
        <v>3369</v>
      </c>
      <c r="Q87" s="134">
        <v>22.923625</v>
      </c>
      <c r="R87" s="134">
        <v>92.001919</v>
      </c>
      <c r="S87" s="81">
        <v>325</v>
      </c>
      <c r="T87" s="81"/>
      <c r="U87" s="137"/>
      <c r="V87" s="137"/>
      <c r="W87" s="135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3"/>
      <c r="AK87" s="58"/>
      <c r="AL87" s="59"/>
      <c r="AM87" s="57"/>
    </row>
    <row x14ac:dyDescent="0.25" r="88" customHeight="1" ht="18">
      <c r="A88" s="45">
        <v>82</v>
      </c>
      <c r="B88" s="50" t="s">
        <v>2760</v>
      </c>
      <c r="C88" s="47" t="s">
        <v>3151</v>
      </c>
      <c r="D88" s="160">
        <v>82</v>
      </c>
      <c r="E88" s="46" t="s">
        <v>47</v>
      </c>
      <c r="F88" s="46" t="s">
        <v>48</v>
      </c>
      <c r="G88" s="47" t="s">
        <v>49</v>
      </c>
      <c r="H88" s="47" t="s">
        <v>3154</v>
      </c>
      <c r="I88" s="47" t="s">
        <v>3154</v>
      </c>
      <c r="J88" s="130" t="s">
        <v>797</v>
      </c>
      <c r="K88" s="131"/>
      <c r="L88" s="132"/>
      <c r="M88" s="76"/>
      <c r="N88" s="81" t="s">
        <v>273</v>
      </c>
      <c r="O88" s="47" t="s">
        <v>274</v>
      </c>
      <c r="P88" s="47" t="s">
        <v>3370</v>
      </c>
      <c r="Q88" s="134">
        <v>22.933793</v>
      </c>
      <c r="R88" s="134">
        <v>92.015594</v>
      </c>
      <c r="S88" s="81">
        <v>500</v>
      </c>
      <c r="T88" s="81"/>
      <c r="U88" s="81"/>
      <c r="V88" s="81"/>
      <c r="W88" s="7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47"/>
      <c r="AK88" s="58"/>
      <c r="AL88" s="59"/>
      <c r="AM88" s="57"/>
    </row>
    <row x14ac:dyDescent="0.25" r="89" customHeight="1" ht="18">
      <c r="A89" s="45">
        <v>83</v>
      </c>
      <c r="B89" s="50" t="s">
        <v>2760</v>
      </c>
      <c r="C89" s="47" t="s">
        <v>3151</v>
      </c>
      <c r="D89" s="160">
        <v>83</v>
      </c>
      <c r="E89" s="46" t="s">
        <v>47</v>
      </c>
      <c r="F89" s="46" t="s">
        <v>48</v>
      </c>
      <c r="G89" s="47" t="s">
        <v>49</v>
      </c>
      <c r="H89" s="47" t="s">
        <v>3154</v>
      </c>
      <c r="I89" s="47" t="s">
        <v>3154</v>
      </c>
      <c r="J89" s="130" t="s">
        <v>797</v>
      </c>
      <c r="K89" s="131"/>
      <c r="L89" s="132"/>
      <c r="M89" s="76"/>
      <c r="N89" s="81" t="s">
        <v>3177</v>
      </c>
      <c r="O89" s="47" t="s">
        <v>3178</v>
      </c>
      <c r="P89" s="47" t="s">
        <v>3371</v>
      </c>
      <c r="Q89" s="134">
        <v>22.93709</v>
      </c>
      <c r="R89" s="134">
        <v>91.994321</v>
      </c>
      <c r="S89" s="81">
        <v>130</v>
      </c>
      <c r="T89" s="81"/>
      <c r="U89" s="81"/>
      <c r="V89" s="81"/>
      <c r="W89" s="135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3"/>
      <c r="AK89" s="58"/>
      <c r="AL89" s="59"/>
      <c r="AM89" s="57"/>
    </row>
    <row x14ac:dyDescent="0.25" r="90" customHeight="1" ht="18">
      <c r="A90" s="45">
        <v>84</v>
      </c>
      <c r="B90" s="50" t="s">
        <v>2760</v>
      </c>
      <c r="C90" s="47" t="s">
        <v>3151</v>
      </c>
      <c r="D90" s="160">
        <v>84</v>
      </c>
      <c r="E90" s="46" t="s">
        <v>47</v>
      </c>
      <c r="F90" s="46" t="s">
        <v>48</v>
      </c>
      <c r="G90" s="47" t="s">
        <v>49</v>
      </c>
      <c r="H90" s="47" t="s">
        <v>3154</v>
      </c>
      <c r="I90" s="47" t="s">
        <v>3154</v>
      </c>
      <c r="J90" s="130" t="s">
        <v>797</v>
      </c>
      <c r="K90" s="131"/>
      <c r="L90" s="132"/>
      <c r="M90" s="76"/>
      <c r="N90" s="81" t="s">
        <v>3372</v>
      </c>
      <c r="O90" s="47" t="s">
        <v>3373</v>
      </c>
      <c r="P90" s="47" t="s">
        <v>3374</v>
      </c>
      <c r="Q90" s="134">
        <v>22.940982</v>
      </c>
      <c r="R90" s="134">
        <v>92.013504</v>
      </c>
      <c r="S90" s="81">
        <v>375</v>
      </c>
      <c r="T90" s="81"/>
      <c r="U90" s="81"/>
      <c r="V90" s="81"/>
      <c r="W90" s="135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3"/>
      <c r="AK90" s="58"/>
      <c r="AL90" s="59"/>
      <c r="AM90" s="57"/>
    </row>
    <row x14ac:dyDescent="0.25" r="91" customHeight="1" ht="18">
      <c r="A91" s="45">
        <v>85</v>
      </c>
      <c r="B91" s="50" t="s">
        <v>2760</v>
      </c>
      <c r="C91" s="47" t="s">
        <v>3151</v>
      </c>
      <c r="D91" s="160">
        <v>85</v>
      </c>
      <c r="E91" s="46" t="s">
        <v>47</v>
      </c>
      <c r="F91" s="46" t="s">
        <v>48</v>
      </c>
      <c r="G91" s="47" t="s">
        <v>49</v>
      </c>
      <c r="H91" s="47" t="s">
        <v>3154</v>
      </c>
      <c r="I91" s="47" t="s">
        <v>3154</v>
      </c>
      <c r="J91" s="130" t="s">
        <v>797</v>
      </c>
      <c r="K91" s="131"/>
      <c r="L91" s="132"/>
      <c r="M91" s="76"/>
      <c r="N91" s="81" t="s">
        <v>3375</v>
      </c>
      <c r="O91" s="47" t="s">
        <v>3376</v>
      </c>
      <c r="P91" s="47" t="s">
        <v>3377</v>
      </c>
      <c r="Q91" s="134">
        <v>22.924915</v>
      </c>
      <c r="R91" s="134">
        <v>91.981021</v>
      </c>
      <c r="S91" s="81"/>
      <c r="T91" s="81"/>
      <c r="U91" s="81"/>
      <c r="V91" s="81"/>
      <c r="W91" s="135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3"/>
      <c r="AK91" s="58"/>
      <c r="AL91" s="59"/>
      <c r="AM91" s="57"/>
    </row>
    <row x14ac:dyDescent="0.25" r="92" customHeight="1" ht="18">
      <c r="A92" s="45">
        <v>86</v>
      </c>
      <c r="B92" s="50" t="s">
        <v>2760</v>
      </c>
      <c r="C92" s="47" t="s">
        <v>3151</v>
      </c>
      <c r="D92" s="160">
        <v>86</v>
      </c>
      <c r="E92" s="46" t="s">
        <v>47</v>
      </c>
      <c r="F92" s="46" t="s">
        <v>48</v>
      </c>
      <c r="G92" s="47" t="s">
        <v>49</v>
      </c>
      <c r="H92" s="47" t="s">
        <v>3154</v>
      </c>
      <c r="I92" s="47" t="s">
        <v>3378</v>
      </c>
      <c r="J92" s="130" t="s">
        <v>677</v>
      </c>
      <c r="K92" s="131"/>
      <c r="L92" s="132"/>
      <c r="M92" s="76"/>
      <c r="N92" s="81" t="s">
        <v>404</v>
      </c>
      <c r="O92" s="47" t="s">
        <v>1438</v>
      </c>
      <c r="P92" s="47" t="s">
        <v>3379</v>
      </c>
      <c r="Q92" s="134">
        <v>23.012043</v>
      </c>
      <c r="R92" s="134">
        <v>92.017179</v>
      </c>
      <c r="S92" s="81">
        <v>495</v>
      </c>
      <c r="T92" s="81"/>
      <c r="U92" s="81"/>
      <c r="V92" s="81"/>
      <c r="W92" s="135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3"/>
      <c r="AK92" s="58"/>
      <c r="AL92" s="59"/>
      <c r="AM92" s="57"/>
    </row>
    <row x14ac:dyDescent="0.25" r="93" customHeight="1" ht="18">
      <c r="A93" s="45">
        <v>87</v>
      </c>
      <c r="B93" s="50" t="s">
        <v>2760</v>
      </c>
      <c r="C93" s="47" t="s">
        <v>3151</v>
      </c>
      <c r="D93" s="160">
        <v>87</v>
      </c>
      <c r="E93" s="46" t="s">
        <v>47</v>
      </c>
      <c r="F93" s="46" t="s">
        <v>48</v>
      </c>
      <c r="G93" s="47" t="s">
        <v>49</v>
      </c>
      <c r="H93" s="47" t="s">
        <v>3154</v>
      </c>
      <c r="I93" s="47" t="s">
        <v>3378</v>
      </c>
      <c r="J93" s="130" t="s">
        <v>677</v>
      </c>
      <c r="K93" s="131"/>
      <c r="L93" s="132"/>
      <c r="M93" s="76"/>
      <c r="N93" s="81" t="s">
        <v>3380</v>
      </c>
      <c r="O93" s="47" t="s">
        <v>3381</v>
      </c>
      <c r="P93" s="47" t="s">
        <v>3382</v>
      </c>
      <c r="Q93" s="134">
        <v>23.014002</v>
      </c>
      <c r="R93" s="134">
        <v>92.024836</v>
      </c>
      <c r="S93" s="81">
        <v>325</v>
      </c>
      <c r="T93" s="81"/>
      <c r="U93" s="81"/>
      <c r="V93" s="81"/>
      <c r="W93" s="135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3"/>
      <c r="AK93" s="58"/>
      <c r="AL93" s="59"/>
      <c r="AM93" s="57"/>
    </row>
    <row x14ac:dyDescent="0.25" r="94" customHeight="1" ht="18">
      <c r="A94" s="45">
        <v>88</v>
      </c>
      <c r="B94" s="50" t="s">
        <v>2760</v>
      </c>
      <c r="C94" s="47" t="s">
        <v>3151</v>
      </c>
      <c r="D94" s="160">
        <v>88</v>
      </c>
      <c r="E94" s="46" t="s">
        <v>47</v>
      </c>
      <c r="F94" s="46" t="s">
        <v>48</v>
      </c>
      <c r="G94" s="47" t="s">
        <v>49</v>
      </c>
      <c r="H94" s="47" t="s">
        <v>3154</v>
      </c>
      <c r="I94" s="47" t="s">
        <v>3378</v>
      </c>
      <c r="J94" s="130" t="s">
        <v>677</v>
      </c>
      <c r="K94" s="131"/>
      <c r="L94" s="132"/>
      <c r="M94" s="76"/>
      <c r="N94" s="81" t="s">
        <v>3383</v>
      </c>
      <c r="O94" s="47" t="s">
        <v>3384</v>
      </c>
      <c r="P94" s="47" t="s">
        <v>3385</v>
      </c>
      <c r="Q94" s="134">
        <v>23.021612</v>
      </c>
      <c r="R94" s="134">
        <v>92.012939</v>
      </c>
      <c r="S94" s="81">
        <v>190</v>
      </c>
      <c r="T94" s="81"/>
      <c r="U94" s="81"/>
      <c r="V94" s="81"/>
      <c r="W94" s="135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3"/>
      <c r="AK94" s="58"/>
      <c r="AL94" s="59"/>
      <c r="AM94" s="57"/>
    </row>
    <row x14ac:dyDescent="0.25" r="95" customHeight="1" ht="18">
      <c r="A95" s="45">
        <v>89</v>
      </c>
      <c r="B95" s="50" t="s">
        <v>2760</v>
      </c>
      <c r="C95" s="47" t="s">
        <v>3151</v>
      </c>
      <c r="D95" s="160">
        <v>89</v>
      </c>
      <c r="E95" s="46" t="s">
        <v>47</v>
      </c>
      <c r="F95" s="46" t="s">
        <v>48</v>
      </c>
      <c r="G95" s="47" t="s">
        <v>49</v>
      </c>
      <c r="H95" s="47" t="s">
        <v>3154</v>
      </c>
      <c r="I95" s="47" t="s">
        <v>3378</v>
      </c>
      <c r="J95" s="130" t="s">
        <v>677</v>
      </c>
      <c r="K95" s="131"/>
      <c r="L95" s="132"/>
      <c r="M95" s="76"/>
      <c r="N95" s="81" t="s">
        <v>3386</v>
      </c>
      <c r="O95" s="47" t="s">
        <v>3387</v>
      </c>
      <c r="P95" s="47" t="s">
        <v>3388</v>
      </c>
      <c r="Q95" s="134">
        <v>23.013103</v>
      </c>
      <c r="R95" s="134">
        <v>92.014978</v>
      </c>
      <c r="S95" s="81">
        <v>325</v>
      </c>
      <c r="T95" s="81"/>
      <c r="U95" s="81"/>
      <c r="V95" s="81"/>
      <c r="W95" s="135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3"/>
      <c r="AK95" s="58"/>
      <c r="AL95" s="59"/>
      <c r="AM95" s="57"/>
    </row>
    <row x14ac:dyDescent="0.25" r="96" customHeight="1" ht="18">
      <c r="A96" s="45">
        <v>90</v>
      </c>
      <c r="B96" s="50" t="s">
        <v>2760</v>
      </c>
      <c r="C96" s="47" t="s">
        <v>3151</v>
      </c>
      <c r="D96" s="160">
        <v>90</v>
      </c>
      <c r="E96" s="46" t="s">
        <v>47</v>
      </c>
      <c r="F96" s="46" t="s">
        <v>48</v>
      </c>
      <c r="G96" s="47" t="s">
        <v>49</v>
      </c>
      <c r="H96" s="47" t="s">
        <v>3154</v>
      </c>
      <c r="I96" s="47" t="s">
        <v>3378</v>
      </c>
      <c r="J96" s="130" t="s">
        <v>677</v>
      </c>
      <c r="K96" s="131"/>
      <c r="L96" s="132"/>
      <c r="M96" s="76"/>
      <c r="N96" s="81" t="s">
        <v>236</v>
      </c>
      <c r="O96" s="162" t="s">
        <v>237</v>
      </c>
      <c r="P96" s="47" t="s">
        <v>3389</v>
      </c>
      <c r="Q96" s="134">
        <v>23.017448</v>
      </c>
      <c r="R96" s="134">
        <v>92.004963</v>
      </c>
      <c r="S96" s="81">
        <v>180</v>
      </c>
      <c r="T96" s="81"/>
      <c r="U96" s="81"/>
      <c r="V96" s="81"/>
      <c r="W96" s="7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3"/>
      <c r="AK96" s="58"/>
      <c r="AL96" s="59"/>
      <c r="AM96" s="57"/>
    </row>
    <row x14ac:dyDescent="0.25" r="97" customHeight="1" ht="18">
      <c r="A97" s="45">
        <v>91</v>
      </c>
      <c r="B97" s="50" t="s">
        <v>2760</v>
      </c>
      <c r="C97" s="47" t="s">
        <v>3151</v>
      </c>
      <c r="D97" s="160">
        <v>91</v>
      </c>
      <c r="E97" s="46" t="s">
        <v>47</v>
      </c>
      <c r="F97" s="46" t="s">
        <v>48</v>
      </c>
      <c r="G97" s="47" t="s">
        <v>49</v>
      </c>
      <c r="H97" s="47" t="s">
        <v>3154</v>
      </c>
      <c r="I97" s="47" t="s">
        <v>3378</v>
      </c>
      <c r="J97" s="130" t="s">
        <v>677</v>
      </c>
      <c r="K97" s="131"/>
      <c r="L97" s="132"/>
      <c r="M97" s="76"/>
      <c r="N97" s="81" t="s">
        <v>3390</v>
      </c>
      <c r="O97" s="162" t="s">
        <v>3391</v>
      </c>
      <c r="P97" s="47" t="s">
        <v>3392</v>
      </c>
      <c r="Q97" s="134">
        <v>23.020206</v>
      </c>
      <c r="R97" s="134">
        <v>92.013476</v>
      </c>
      <c r="S97" s="81"/>
      <c r="T97" s="81"/>
      <c r="U97" s="81"/>
      <c r="V97" s="81"/>
      <c r="W97" s="135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3"/>
      <c r="AK97" s="58"/>
      <c r="AL97" s="59"/>
      <c r="AM97" s="57"/>
    </row>
    <row x14ac:dyDescent="0.25" r="98" customHeight="1" ht="18">
      <c r="A98" s="45">
        <v>92</v>
      </c>
      <c r="B98" s="50" t="s">
        <v>2760</v>
      </c>
      <c r="C98" s="47" t="s">
        <v>3151</v>
      </c>
      <c r="D98" s="160">
        <v>92</v>
      </c>
      <c r="E98" s="46" t="s">
        <v>47</v>
      </c>
      <c r="F98" s="46" t="s">
        <v>48</v>
      </c>
      <c r="G98" s="47" t="s">
        <v>49</v>
      </c>
      <c r="H98" s="47" t="s">
        <v>3154</v>
      </c>
      <c r="I98" s="47" t="s">
        <v>3378</v>
      </c>
      <c r="J98" s="130" t="s">
        <v>684</v>
      </c>
      <c r="K98" s="131"/>
      <c r="L98" s="132"/>
      <c r="M98" s="76"/>
      <c r="N98" s="81" t="s">
        <v>3393</v>
      </c>
      <c r="O98" s="47" t="s">
        <v>3394</v>
      </c>
      <c r="P98" s="47" t="s">
        <v>3395</v>
      </c>
      <c r="Q98" s="134">
        <v>23.018428</v>
      </c>
      <c r="R98" s="134">
        <v>92.010977</v>
      </c>
      <c r="S98" s="81">
        <v>950</v>
      </c>
      <c r="T98" s="81"/>
      <c r="U98" s="81"/>
      <c r="V98" s="81"/>
      <c r="W98" s="7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3"/>
      <c r="AK98" s="58"/>
      <c r="AL98" s="59"/>
      <c r="AM98" s="57"/>
    </row>
    <row x14ac:dyDescent="0.25" r="99" customHeight="1" ht="18">
      <c r="A99" s="45">
        <v>93</v>
      </c>
      <c r="B99" s="50" t="s">
        <v>2760</v>
      </c>
      <c r="C99" s="47" t="s">
        <v>3151</v>
      </c>
      <c r="D99" s="160">
        <v>93</v>
      </c>
      <c r="E99" s="46" t="s">
        <v>47</v>
      </c>
      <c r="F99" s="46" t="s">
        <v>48</v>
      </c>
      <c r="G99" s="47" t="s">
        <v>49</v>
      </c>
      <c r="H99" s="47" t="s">
        <v>3154</v>
      </c>
      <c r="I99" s="47" t="s">
        <v>3378</v>
      </c>
      <c r="J99" s="130" t="s">
        <v>684</v>
      </c>
      <c r="K99" s="131"/>
      <c r="L99" s="132"/>
      <c r="M99" s="76"/>
      <c r="N99" s="161" t="s">
        <v>3396</v>
      </c>
      <c r="O99" s="47" t="s">
        <v>3397</v>
      </c>
      <c r="P99" s="47" t="s">
        <v>3398</v>
      </c>
      <c r="Q99" s="134">
        <v>23.015152</v>
      </c>
      <c r="R99" s="134">
        <v>92.012491</v>
      </c>
      <c r="S99" s="81">
        <v>450</v>
      </c>
      <c r="T99" s="81"/>
      <c r="U99" s="81"/>
      <c r="V99" s="81"/>
      <c r="W99" s="7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3"/>
      <c r="AK99" s="58"/>
      <c r="AL99" s="59"/>
      <c r="AM99" s="57"/>
    </row>
    <row x14ac:dyDescent="0.25" r="100" customHeight="1" ht="18">
      <c r="A100" s="45">
        <v>94</v>
      </c>
      <c r="B100" s="50" t="s">
        <v>2760</v>
      </c>
      <c r="C100" s="47" t="s">
        <v>3151</v>
      </c>
      <c r="D100" s="160">
        <v>94</v>
      </c>
      <c r="E100" s="46" t="s">
        <v>47</v>
      </c>
      <c r="F100" s="46" t="s">
        <v>48</v>
      </c>
      <c r="G100" s="47" t="s">
        <v>49</v>
      </c>
      <c r="H100" s="47" t="s">
        <v>3154</v>
      </c>
      <c r="I100" s="47" t="s">
        <v>3378</v>
      </c>
      <c r="J100" s="130" t="s">
        <v>684</v>
      </c>
      <c r="K100" s="131"/>
      <c r="L100" s="132"/>
      <c r="M100" s="76"/>
      <c r="N100" s="161" t="s">
        <v>3399</v>
      </c>
      <c r="O100" s="47" t="s">
        <v>3400</v>
      </c>
      <c r="P100" s="47" t="s">
        <v>3401</v>
      </c>
      <c r="Q100" s="134">
        <v>23.013335</v>
      </c>
      <c r="R100" s="134">
        <v>92.012071</v>
      </c>
      <c r="S100" s="81">
        <v>760</v>
      </c>
      <c r="T100" s="81"/>
      <c r="U100" s="81"/>
      <c r="V100" s="81"/>
      <c r="W100" s="7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3"/>
      <c r="AK100" s="58"/>
      <c r="AL100" s="59"/>
      <c r="AM100" s="57"/>
    </row>
    <row x14ac:dyDescent="0.25" r="101" customHeight="1" ht="18">
      <c r="A101" s="45">
        <v>95</v>
      </c>
      <c r="B101" s="50" t="s">
        <v>2760</v>
      </c>
      <c r="C101" s="47" t="s">
        <v>3151</v>
      </c>
      <c r="D101" s="160">
        <v>95</v>
      </c>
      <c r="E101" s="46" t="s">
        <v>47</v>
      </c>
      <c r="F101" s="46" t="s">
        <v>48</v>
      </c>
      <c r="G101" s="47" t="s">
        <v>49</v>
      </c>
      <c r="H101" s="47" t="s">
        <v>3154</v>
      </c>
      <c r="I101" s="47" t="s">
        <v>3378</v>
      </c>
      <c r="J101" s="130" t="s">
        <v>684</v>
      </c>
      <c r="K101" s="131"/>
      <c r="L101" s="132"/>
      <c r="M101" s="76"/>
      <c r="N101" s="81" t="s">
        <v>976</v>
      </c>
      <c r="O101" s="162" t="s">
        <v>977</v>
      </c>
      <c r="P101" s="47" t="s">
        <v>3402</v>
      </c>
      <c r="Q101" s="134">
        <v>23.014514</v>
      </c>
      <c r="R101" s="134">
        <v>92.005648</v>
      </c>
      <c r="S101" s="81"/>
      <c r="T101" s="81"/>
      <c r="U101" s="81"/>
      <c r="V101" s="81"/>
      <c r="W101" s="7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3"/>
      <c r="AK101" s="58"/>
      <c r="AL101" s="59"/>
      <c r="AM101" s="57"/>
    </row>
    <row x14ac:dyDescent="0.25" r="102" customHeight="1" ht="18">
      <c r="A102" s="45">
        <v>96</v>
      </c>
      <c r="B102" s="50" t="s">
        <v>2760</v>
      </c>
      <c r="C102" s="47" t="s">
        <v>3151</v>
      </c>
      <c r="D102" s="160">
        <v>96</v>
      </c>
      <c r="E102" s="46" t="s">
        <v>47</v>
      </c>
      <c r="F102" s="46" t="s">
        <v>48</v>
      </c>
      <c r="G102" s="47" t="s">
        <v>49</v>
      </c>
      <c r="H102" s="47" t="s">
        <v>3154</v>
      </c>
      <c r="I102" s="47" t="s">
        <v>3378</v>
      </c>
      <c r="J102" s="130" t="s">
        <v>697</v>
      </c>
      <c r="K102" s="131"/>
      <c r="L102" s="132"/>
      <c r="M102" s="76"/>
      <c r="N102" s="81" t="s">
        <v>2536</v>
      </c>
      <c r="O102" s="47" t="s">
        <v>2872</v>
      </c>
      <c r="P102" s="47" t="s">
        <v>3403</v>
      </c>
      <c r="Q102" s="134">
        <v>23.009542</v>
      </c>
      <c r="R102" s="134">
        <v>92.011469</v>
      </c>
      <c r="S102" s="81">
        <v>320</v>
      </c>
      <c r="T102" s="81"/>
      <c r="U102" s="81"/>
      <c r="V102" s="81"/>
      <c r="W102" s="7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3"/>
      <c r="AK102" s="58"/>
      <c r="AL102" s="59"/>
      <c r="AM102" s="57"/>
    </row>
    <row x14ac:dyDescent="0.25" r="103" customHeight="1" ht="18">
      <c r="A103" s="45">
        <v>97</v>
      </c>
      <c r="B103" s="50" t="s">
        <v>2760</v>
      </c>
      <c r="C103" s="47" t="s">
        <v>3151</v>
      </c>
      <c r="D103" s="160">
        <v>97</v>
      </c>
      <c r="E103" s="46" t="s">
        <v>47</v>
      </c>
      <c r="F103" s="46" t="s">
        <v>48</v>
      </c>
      <c r="G103" s="47" t="s">
        <v>49</v>
      </c>
      <c r="H103" s="47" t="s">
        <v>3154</v>
      </c>
      <c r="I103" s="47" t="s">
        <v>3378</v>
      </c>
      <c r="J103" s="130" t="s">
        <v>697</v>
      </c>
      <c r="K103" s="131"/>
      <c r="L103" s="132"/>
      <c r="M103" s="76"/>
      <c r="N103" s="81" t="s">
        <v>3404</v>
      </c>
      <c r="O103" s="47" t="s">
        <v>3405</v>
      </c>
      <c r="P103" s="47" t="s">
        <v>3406</v>
      </c>
      <c r="Q103" s="134">
        <v>23.009637</v>
      </c>
      <c r="R103" s="134">
        <v>92.009181</v>
      </c>
      <c r="S103" s="81">
        <v>70</v>
      </c>
      <c r="T103" s="81"/>
      <c r="U103" s="81"/>
      <c r="V103" s="81"/>
      <c r="W103" s="7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3"/>
      <c r="AK103" s="58"/>
      <c r="AL103" s="59"/>
      <c r="AM103" s="57"/>
    </row>
    <row x14ac:dyDescent="0.25" r="104" customHeight="1" ht="18">
      <c r="A104" s="45">
        <v>98</v>
      </c>
      <c r="B104" s="50" t="s">
        <v>2760</v>
      </c>
      <c r="C104" s="47" t="s">
        <v>3151</v>
      </c>
      <c r="D104" s="160">
        <v>98</v>
      </c>
      <c r="E104" s="46" t="s">
        <v>47</v>
      </c>
      <c r="F104" s="46" t="s">
        <v>48</v>
      </c>
      <c r="G104" s="47" t="s">
        <v>49</v>
      </c>
      <c r="H104" s="47" t="s">
        <v>3154</v>
      </c>
      <c r="I104" s="47" t="s">
        <v>3378</v>
      </c>
      <c r="J104" s="130" t="s">
        <v>697</v>
      </c>
      <c r="K104" s="131"/>
      <c r="L104" s="132"/>
      <c r="M104" s="76"/>
      <c r="N104" s="81" t="s">
        <v>701</v>
      </c>
      <c r="O104" s="47" t="s">
        <v>702</v>
      </c>
      <c r="P104" s="47" t="s">
        <v>3407</v>
      </c>
      <c r="Q104" s="134">
        <v>23.008984</v>
      </c>
      <c r="R104" s="134">
        <v>92.007096</v>
      </c>
      <c r="S104" s="81">
        <v>60</v>
      </c>
      <c r="T104" s="81"/>
      <c r="U104" s="81"/>
      <c r="V104" s="81"/>
      <c r="W104" s="135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3"/>
      <c r="AK104" s="58"/>
      <c r="AL104" s="59"/>
      <c r="AM104" s="57"/>
    </row>
    <row x14ac:dyDescent="0.25" r="105" customHeight="1" ht="18">
      <c r="A105" s="45">
        <v>99</v>
      </c>
      <c r="B105" s="50" t="s">
        <v>2760</v>
      </c>
      <c r="C105" s="47" t="s">
        <v>3151</v>
      </c>
      <c r="D105" s="160">
        <v>99</v>
      </c>
      <c r="E105" s="46" t="s">
        <v>47</v>
      </c>
      <c r="F105" s="46" t="s">
        <v>48</v>
      </c>
      <c r="G105" s="47" t="s">
        <v>49</v>
      </c>
      <c r="H105" s="47" t="s">
        <v>3154</v>
      </c>
      <c r="I105" s="47" t="s">
        <v>3378</v>
      </c>
      <c r="J105" s="130" t="s">
        <v>697</v>
      </c>
      <c r="K105" s="131"/>
      <c r="L105" s="132"/>
      <c r="M105" s="76"/>
      <c r="N105" s="81" t="s">
        <v>3408</v>
      </c>
      <c r="O105" s="47" t="s">
        <v>3409</v>
      </c>
      <c r="P105" s="47" t="s">
        <v>3410</v>
      </c>
      <c r="Q105" s="134">
        <v>23.006107</v>
      </c>
      <c r="R105" s="134">
        <v>92.000412</v>
      </c>
      <c r="S105" s="81">
        <v>190</v>
      </c>
      <c r="T105" s="81"/>
      <c r="U105" s="81"/>
      <c r="V105" s="81"/>
      <c r="W105" s="7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3"/>
      <c r="AK105" s="58"/>
      <c r="AL105" s="59"/>
      <c r="AM105" s="57"/>
    </row>
    <row x14ac:dyDescent="0.25" r="106" customHeight="1" ht="18">
      <c r="A106" s="45">
        <v>100</v>
      </c>
      <c r="B106" s="50" t="s">
        <v>2760</v>
      </c>
      <c r="C106" s="47" t="s">
        <v>3151</v>
      </c>
      <c r="D106" s="160">
        <v>100</v>
      </c>
      <c r="E106" s="46" t="s">
        <v>47</v>
      </c>
      <c r="F106" s="46" t="s">
        <v>48</v>
      </c>
      <c r="G106" s="47" t="s">
        <v>49</v>
      </c>
      <c r="H106" s="47" t="s">
        <v>3154</v>
      </c>
      <c r="I106" s="47" t="s">
        <v>3378</v>
      </c>
      <c r="J106" s="130" t="s">
        <v>697</v>
      </c>
      <c r="K106" s="131"/>
      <c r="L106" s="132"/>
      <c r="M106" s="76"/>
      <c r="N106" s="81" t="s">
        <v>3411</v>
      </c>
      <c r="O106" s="47" t="s">
        <v>3412</v>
      </c>
      <c r="P106" s="47" t="s">
        <v>3413</v>
      </c>
      <c r="Q106" s="134">
        <v>23.004676</v>
      </c>
      <c r="R106" s="134">
        <v>91.989327</v>
      </c>
      <c r="S106" s="81">
        <v>99</v>
      </c>
      <c r="T106" s="81"/>
      <c r="U106" s="81"/>
      <c r="V106" s="81"/>
      <c r="W106" s="7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3"/>
      <c r="AK106" s="58"/>
      <c r="AL106" s="59"/>
      <c r="AM106" s="57"/>
    </row>
    <row x14ac:dyDescent="0.25" r="107" customHeight="1" ht="18">
      <c r="A107" s="45">
        <v>101</v>
      </c>
      <c r="B107" s="50" t="s">
        <v>2760</v>
      </c>
      <c r="C107" s="47" t="s">
        <v>3151</v>
      </c>
      <c r="D107" s="160">
        <v>101</v>
      </c>
      <c r="E107" s="46" t="s">
        <v>47</v>
      </c>
      <c r="F107" s="46" t="s">
        <v>48</v>
      </c>
      <c r="G107" s="47" t="s">
        <v>49</v>
      </c>
      <c r="H107" s="47" t="s">
        <v>3154</v>
      </c>
      <c r="I107" s="47" t="s">
        <v>3378</v>
      </c>
      <c r="J107" s="130" t="s">
        <v>697</v>
      </c>
      <c r="K107" s="131"/>
      <c r="L107" s="132"/>
      <c r="M107" s="76"/>
      <c r="N107" s="81" t="s">
        <v>3414</v>
      </c>
      <c r="O107" s="47" t="s">
        <v>3415</v>
      </c>
      <c r="P107" s="47" t="s">
        <v>3416</v>
      </c>
      <c r="Q107" s="134">
        <v>22.98818</v>
      </c>
      <c r="R107" s="134">
        <v>91.986664</v>
      </c>
      <c r="S107" s="81">
        <v>125</v>
      </c>
      <c r="T107" s="81"/>
      <c r="U107" s="81"/>
      <c r="V107" s="81"/>
      <c r="W107" s="135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3"/>
      <c r="AK107" s="58"/>
      <c r="AL107" s="59"/>
      <c r="AM107" s="57"/>
    </row>
    <row x14ac:dyDescent="0.25" r="108" customHeight="1" ht="18">
      <c r="A108" s="45">
        <v>102</v>
      </c>
      <c r="B108" s="50" t="s">
        <v>2760</v>
      </c>
      <c r="C108" s="47" t="s">
        <v>3151</v>
      </c>
      <c r="D108" s="160">
        <v>102</v>
      </c>
      <c r="E108" s="46" t="s">
        <v>47</v>
      </c>
      <c r="F108" s="46" t="s">
        <v>48</v>
      </c>
      <c r="G108" s="47" t="s">
        <v>49</v>
      </c>
      <c r="H108" s="47" t="s">
        <v>3154</v>
      </c>
      <c r="I108" s="47" t="s">
        <v>3378</v>
      </c>
      <c r="J108" s="130" t="s">
        <v>697</v>
      </c>
      <c r="K108" s="131"/>
      <c r="L108" s="132"/>
      <c r="M108" s="76"/>
      <c r="N108" s="81" t="s">
        <v>3417</v>
      </c>
      <c r="O108" s="47" t="s">
        <v>3418</v>
      </c>
      <c r="P108" s="47" t="s">
        <v>3419</v>
      </c>
      <c r="Q108" s="134">
        <v>22.985751</v>
      </c>
      <c r="R108" s="134">
        <v>91.978264</v>
      </c>
      <c r="S108" s="81">
        <v>35</v>
      </c>
      <c r="T108" s="81"/>
      <c r="U108" s="81"/>
      <c r="V108" s="81"/>
      <c r="W108" s="7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3"/>
      <c r="AK108" s="58"/>
      <c r="AL108" s="59"/>
      <c r="AM108" s="57"/>
    </row>
    <row x14ac:dyDescent="0.25" r="109" customHeight="1" ht="18">
      <c r="A109" s="45">
        <v>103</v>
      </c>
      <c r="B109" s="50" t="s">
        <v>2760</v>
      </c>
      <c r="C109" s="47" t="s">
        <v>3151</v>
      </c>
      <c r="D109" s="160">
        <v>103</v>
      </c>
      <c r="E109" s="46" t="s">
        <v>47</v>
      </c>
      <c r="F109" s="46" t="s">
        <v>48</v>
      </c>
      <c r="G109" s="47" t="s">
        <v>49</v>
      </c>
      <c r="H109" s="47" t="s">
        <v>3154</v>
      </c>
      <c r="I109" s="47" t="s">
        <v>3378</v>
      </c>
      <c r="J109" s="130" t="s">
        <v>697</v>
      </c>
      <c r="K109" s="131"/>
      <c r="L109" s="132"/>
      <c r="M109" s="76"/>
      <c r="N109" s="81" t="s">
        <v>3420</v>
      </c>
      <c r="O109" s="47" t="s">
        <v>3421</v>
      </c>
      <c r="P109" s="47" t="s">
        <v>3422</v>
      </c>
      <c r="Q109" s="134">
        <v>22.980795</v>
      </c>
      <c r="R109" s="134">
        <v>91.970887</v>
      </c>
      <c r="S109" s="81">
        <v>100</v>
      </c>
      <c r="T109" s="81"/>
      <c r="U109" s="81"/>
      <c r="V109" s="81"/>
      <c r="W109" s="7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3"/>
      <c r="AK109" s="58"/>
      <c r="AL109" s="59"/>
      <c r="AM109" s="57"/>
    </row>
    <row x14ac:dyDescent="0.25" r="110" customHeight="1" ht="18">
      <c r="A110" s="45">
        <v>104</v>
      </c>
      <c r="B110" s="50" t="s">
        <v>2760</v>
      </c>
      <c r="C110" s="47" t="s">
        <v>3151</v>
      </c>
      <c r="D110" s="160">
        <v>104</v>
      </c>
      <c r="E110" s="46" t="s">
        <v>47</v>
      </c>
      <c r="F110" s="46" t="s">
        <v>48</v>
      </c>
      <c r="G110" s="47" t="s">
        <v>49</v>
      </c>
      <c r="H110" s="47" t="s">
        <v>3154</v>
      </c>
      <c r="I110" s="47" t="s">
        <v>3378</v>
      </c>
      <c r="J110" s="130" t="s">
        <v>697</v>
      </c>
      <c r="K110" s="131"/>
      <c r="L110" s="132"/>
      <c r="M110" s="76"/>
      <c r="N110" s="81" t="s">
        <v>3423</v>
      </c>
      <c r="O110" s="47" t="s">
        <v>3424</v>
      </c>
      <c r="P110" s="47" t="s">
        <v>3425</v>
      </c>
      <c r="Q110" s="134">
        <v>22.967889</v>
      </c>
      <c r="R110" s="134">
        <v>91.977523</v>
      </c>
      <c r="S110" s="81">
        <v>65</v>
      </c>
      <c r="T110" s="81"/>
      <c r="U110" s="81"/>
      <c r="V110" s="81"/>
      <c r="W110" s="7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3"/>
      <c r="AK110" s="58"/>
      <c r="AL110" s="59"/>
      <c r="AM110" s="57"/>
    </row>
    <row x14ac:dyDescent="0.25" r="111" customHeight="1" ht="18">
      <c r="A111" s="45">
        <v>105</v>
      </c>
      <c r="B111" s="50" t="s">
        <v>2760</v>
      </c>
      <c r="C111" s="47" t="s">
        <v>3151</v>
      </c>
      <c r="D111" s="160">
        <v>105</v>
      </c>
      <c r="E111" s="46" t="s">
        <v>47</v>
      </c>
      <c r="F111" s="46" t="s">
        <v>48</v>
      </c>
      <c r="G111" s="47" t="s">
        <v>49</v>
      </c>
      <c r="H111" s="47" t="s">
        <v>3154</v>
      </c>
      <c r="I111" s="47" t="s">
        <v>3378</v>
      </c>
      <c r="J111" s="130" t="s">
        <v>697</v>
      </c>
      <c r="K111" s="131"/>
      <c r="L111" s="132"/>
      <c r="M111" s="76"/>
      <c r="N111" s="81" t="s">
        <v>3426</v>
      </c>
      <c r="O111" s="162" t="s">
        <v>3427</v>
      </c>
      <c r="P111" s="47" t="s">
        <v>3428</v>
      </c>
      <c r="Q111" s="134">
        <v>23.008383</v>
      </c>
      <c r="R111" s="134">
        <v>91.982225</v>
      </c>
      <c r="S111" s="81">
        <v>185</v>
      </c>
      <c r="T111" s="81"/>
      <c r="U111" s="81"/>
      <c r="V111" s="81"/>
      <c r="W111" s="7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3"/>
      <c r="AK111" s="58"/>
      <c r="AL111" s="59"/>
      <c r="AM111" s="57"/>
    </row>
    <row x14ac:dyDescent="0.25" r="112" customHeight="1" ht="18">
      <c r="A112" s="45">
        <v>106</v>
      </c>
      <c r="B112" s="50" t="s">
        <v>2760</v>
      </c>
      <c r="C112" s="47" t="s">
        <v>3151</v>
      </c>
      <c r="D112" s="160">
        <v>106</v>
      </c>
      <c r="E112" s="46" t="s">
        <v>47</v>
      </c>
      <c r="F112" s="46" t="s">
        <v>48</v>
      </c>
      <c r="G112" s="47" t="s">
        <v>49</v>
      </c>
      <c r="H112" s="47" t="s">
        <v>3154</v>
      </c>
      <c r="I112" s="47" t="s">
        <v>3378</v>
      </c>
      <c r="J112" s="130" t="s">
        <v>697</v>
      </c>
      <c r="K112" s="131"/>
      <c r="L112" s="132"/>
      <c r="M112" s="76"/>
      <c r="N112" s="81" t="s">
        <v>3192</v>
      </c>
      <c r="O112" s="47" t="s">
        <v>3193</v>
      </c>
      <c r="P112" s="47" t="s">
        <v>3429</v>
      </c>
      <c r="Q112" s="134">
        <v>23.010559</v>
      </c>
      <c r="R112" s="134">
        <v>91.991568</v>
      </c>
      <c r="S112" s="81">
        <v>300</v>
      </c>
      <c r="T112" s="81"/>
      <c r="U112" s="81"/>
      <c r="V112" s="81"/>
      <c r="W112" s="7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3"/>
      <c r="AK112" s="58"/>
      <c r="AL112" s="59"/>
      <c r="AM112" s="57"/>
    </row>
    <row x14ac:dyDescent="0.25" r="113" customHeight="1" ht="18">
      <c r="A113" s="45">
        <v>107</v>
      </c>
      <c r="B113" s="50" t="s">
        <v>2760</v>
      </c>
      <c r="C113" s="47" t="s">
        <v>3151</v>
      </c>
      <c r="D113" s="160">
        <v>107</v>
      </c>
      <c r="E113" s="46" t="s">
        <v>47</v>
      </c>
      <c r="F113" s="46" t="s">
        <v>48</v>
      </c>
      <c r="G113" s="47" t="s">
        <v>49</v>
      </c>
      <c r="H113" s="47" t="s">
        <v>3154</v>
      </c>
      <c r="I113" s="47" t="s">
        <v>3378</v>
      </c>
      <c r="J113" s="130" t="s">
        <v>697</v>
      </c>
      <c r="K113" s="131"/>
      <c r="L113" s="132"/>
      <c r="M113" s="76"/>
      <c r="N113" s="161" t="s">
        <v>1307</v>
      </c>
      <c r="O113" s="47" t="s">
        <v>1308</v>
      </c>
      <c r="P113" s="47" t="s">
        <v>3430</v>
      </c>
      <c r="Q113" s="134">
        <v>23.006601</v>
      </c>
      <c r="R113" s="134">
        <v>91.963317</v>
      </c>
      <c r="S113" s="81">
        <v>110</v>
      </c>
      <c r="T113" s="81"/>
      <c r="U113" s="81"/>
      <c r="V113" s="81"/>
      <c r="W113" s="7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3"/>
      <c r="AK113" s="58"/>
      <c r="AL113" s="59"/>
      <c r="AM113" s="57"/>
    </row>
    <row x14ac:dyDescent="0.25" r="114" customHeight="1" ht="18">
      <c r="A114" s="45">
        <v>108</v>
      </c>
      <c r="B114" s="50" t="s">
        <v>2760</v>
      </c>
      <c r="C114" s="47" t="s">
        <v>3151</v>
      </c>
      <c r="D114" s="160">
        <v>108</v>
      </c>
      <c r="E114" s="46" t="s">
        <v>47</v>
      </c>
      <c r="F114" s="46" t="s">
        <v>48</v>
      </c>
      <c r="G114" s="47" t="s">
        <v>49</v>
      </c>
      <c r="H114" s="47" t="s">
        <v>3154</v>
      </c>
      <c r="I114" s="47" t="s">
        <v>3378</v>
      </c>
      <c r="J114" s="130" t="s">
        <v>697</v>
      </c>
      <c r="K114" s="131"/>
      <c r="L114" s="132"/>
      <c r="M114" s="76"/>
      <c r="N114" s="81" t="s">
        <v>3431</v>
      </c>
      <c r="O114" s="47" t="s">
        <v>3432</v>
      </c>
      <c r="P114" s="47" t="s">
        <v>3433</v>
      </c>
      <c r="Q114" s="134">
        <v>23.008952</v>
      </c>
      <c r="R114" s="134">
        <v>91.955468</v>
      </c>
      <c r="S114" s="81">
        <v>150</v>
      </c>
      <c r="T114" s="81"/>
      <c r="U114" s="81"/>
      <c r="V114" s="81"/>
      <c r="W114" s="7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3"/>
      <c r="AK114" s="58"/>
      <c r="AL114" s="59"/>
      <c r="AM114" s="57"/>
    </row>
    <row x14ac:dyDescent="0.25" r="115" customHeight="1" ht="18">
      <c r="A115" s="45">
        <v>109</v>
      </c>
      <c r="B115" s="50" t="s">
        <v>2760</v>
      </c>
      <c r="C115" s="47" t="s">
        <v>3151</v>
      </c>
      <c r="D115" s="160">
        <v>109</v>
      </c>
      <c r="E115" s="46" t="s">
        <v>47</v>
      </c>
      <c r="F115" s="46" t="s">
        <v>48</v>
      </c>
      <c r="G115" s="47" t="s">
        <v>49</v>
      </c>
      <c r="H115" s="47" t="s">
        <v>3154</v>
      </c>
      <c r="I115" s="47" t="s">
        <v>3378</v>
      </c>
      <c r="J115" s="130" t="s">
        <v>697</v>
      </c>
      <c r="K115" s="131"/>
      <c r="L115" s="132"/>
      <c r="M115" s="76"/>
      <c r="N115" s="81" t="s">
        <v>3434</v>
      </c>
      <c r="O115" s="47" t="s">
        <v>3435</v>
      </c>
      <c r="P115" s="47" t="s">
        <v>3436</v>
      </c>
      <c r="Q115" s="134">
        <v>22.998167</v>
      </c>
      <c r="R115" s="134">
        <v>91.974305</v>
      </c>
      <c r="S115" s="81">
        <v>130</v>
      </c>
      <c r="T115" s="81"/>
      <c r="U115" s="81"/>
      <c r="V115" s="81"/>
      <c r="W115" s="7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3"/>
      <c r="AK115" s="58"/>
      <c r="AL115" s="59"/>
      <c r="AM115" s="57"/>
    </row>
    <row x14ac:dyDescent="0.25" r="116" customHeight="1" ht="18">
      <c r="A116" s="45">
        <v>110</v>
      </c>
      <c r="B116" s="50" t="s">
        <v>2760</v>
      </c>
      <c r="C116" s="47" t="s">
        <v>3151</v>
      </c>
      <c r="D116" s="160">
        <v>110</v>
      </c>
      <c r="E116" s="46" t="s">
        <v>47</v>
      </c>
      <c r="F116" s="46" t="s">
        <v>48</v>
      </c>
      <c r="G116" s="47" t="s">
        <v>49</v>
      </c>
      <c r="H116" s="47" t="s">
        <v>3154</v>
      </c>
      <c r="I116" s="47" t="s">
        <v>3378</v>
      </c>
      <c r="J116" s="130" t="s">
        <v>697</v>
      </c>
      <c r="K116" s="131"/>
      <c r="L116" s="132"/>
      <c r="M116" s="76"/>
      <c r="N116" s="81" t="s">
        <v>2515</v>
      </c>
      <c r="O116" s="47" t="s">
        <v>2516</v>
      </c>
      <c r="P116" s="47" t="s">
        <v>3437</v>
      </c>
      <c r="Q116" s="134">
        <v>23.014581</v>
      </c>
      <c r="R116" s="134">
        <v>92.006616</v>
      </c>
      <c r="S116" s="81">
        <v>35</v>
      </c>
      <c r="T116" s="81"/>
      <c r="U116" s="81"/>
      <c r="V116" s="81"/>
      <c r="W116" s="7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3"/>
      <c r="AK116" s="58"/>
      <c r="AL116" s="59"/>
      <c r="AM116" s="57"/>
    </row>
    <row x14ac:dyDescent="0.25" r="117" customHeight="1" ht="18">
      <c r="A117" s="45">
        <v>111</v>
      </c>
      <c r="B117" s="50" t="s">
        <v>2760</v>
      </c>
      <c r="C117" s="47" t="s">
        <v>3151</v>
      </c>
      <c r="D117" s="160">
        <v>111</v>
      </c>
      <c r="E117" s="46" t="s">
        <v>47</v>
      </c>
      <c r="F117" s="46" t="s">
        <v>48</v>
      </c>
      <c r="G117" s="47" t="s">
        <v>49</v>
      </c>
      <c r="H117" s="47" t="s">
        <v>3154</v>
      </c>
      <c r="I117" s="47" t="s">
        <v>3378</v>
      </c>
      <c r="J117" s="130" t="s">
        <v>707</v>
      </c>
      <c r="K117" s="131"/>
      <c r="L117" s="132"/>
      <c r="M117" s="76"/>
      <c r="N117" s="81" t="s">
        <v>3438</v>
      </c>
      <c r="O117" s="47" t="s">
        <v>3439</v>
      </c>
      <c r="P117" s="47" t="s">
        <v>3440</v>
      </c>
      <c r="Q117" s="134">
        <v>23.007348</v>
      </c>
      <c r="R117" s="134">
        <v>92.01681</v>
      </c>
      <c r="S117" s="81">
        <v>85</v>
      </c>
      <c r="T117" s="81"/>
      <c r="U117" s="81"/>
      <c r="V117" s="81"/>
      <c r="W117" s="7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3"/>
      <c r="AK117" s="58"/>
      <c r="AL117" s="59"/>
      <c r="AM117" s="57"/>
    </row>
    <row x14ac:dyDescent="0.25" r="118" customHeight="1" ht="18">
      <c r="A118" s="45">
        <v>112</v>
      </c>
      <c r="B118" s="50" t="s">
        <v>2760</v>
      </c>
      <c r="C118" s="47" t="s">
        <v>3151</v>
      </c>
      <c r="D118" s="160">
        <v>112</v>
      </c>
      <c r="E118" s="46" t="s">
        <v>47</v>
      </c>
      <c r="F118" s="46" t="s">
        <v>48</v>
      </c>
      <c r="G118" s="47" t="s">
        <v>49</v>
      </c>
      <c r="H118" s="47" t="s">
        <v>3154</v>
      </c>
      <c r="I118" s="47" t="s">
        <v>3378</v>
      </c>
      <c r="J118" s="130" t="s">
        <v>707</v>
      </c>
      <c r="K118" s="131"/>
      <c r="L118" s="132"/>
      <c r="M118" s="76"/>
      <c r="N118" s="161" t="s">
        <v>3441</v>
      </c>
      <c r="O118" s="47" t="s">
        <v>3442</v>
      </c>
      <c r="P118" s="47" t="s">
        <v>3443</v>
      </c>
      <c r="Q118" s="134">
        <v>23.006206</v>
      </c>
      <c r="R118" s="134">
        <v>92.013869</v>
      </c>
      <c r="S118" s="81">
        <v>275</v>
      </c>
      <c r="T118" s="81"/>
      <c r="U118" s="81"/>
      <c r="V118" s="81"/>
      <c r="W118" s="7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3"/>
      <c r="AK118" s="58"/>
      <c r="AL118" s="59"/>
      <c r="AM118" s="57"/>
    </row>
    <row x14ac:dyDescent="0.25" r="119" customHeight="1" ht="18">
      <c r="A119" s="45">
        <v>113</v>
      </c>
      <c r="B119" s="50" t="s">
        <v>2760</v>
      </c>
      <c r="C119" s="47" t="s">
        <v>3151</v>
      </c>
      <c r="D119" s="160">
        <v>113</v>
      </c>
      <c r="E119" s="46" t="s">
        <v>47</v>
      </c>
      <c r="F119" s="46" t="s">
        <v>48</v>
      </c>
      <c r="G119" s="47" t="s">
        <v>49</v>
      </c>
      <c r="H119" s="47" t="s">
        <v>3154</v>
      </c>
      <c r="I119" s="47" t="s">
        <v>3378</v>
      </c>
      <c r="J119" s="130" t="s">
        <v>707</v>
      </c>
      <c r="K119" s="131"/>
      <c r="L119" s="132"/>
      <c r="M119" s="76"/>
      <c r="N119" s="81" t="s">
        <v>3444</v>
      </c>
      <c r="O119" s="47" t="s">
        <v>3445</v>
      </c>
      <c r="P119" s="47" t="s">
        <v>3446</v>
      </c>
      <c r="Q119" s="134">
        <v>23.002982</v>
      </c>
      <c r="R119" s="134">
        <v>92.013518</v>
      </c>
      <c r="S119" s="81">
        <v>100</v>
      </c>
      <c r="T119" s="81"/>
      <c r="U119" s="81"/>
      <c r="V119" s="81"/>
      <c r="W119" s="7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3"/>
      <c r="AK119" s="58"/>
      <c r="AL119" s="59"/>
      <c r="AM119" s="57"/>
    </row>
    <row x14ac:dyDescent="0.25" r="120" customHeight="1" ht="18">
      <c r="A120" s="45">
        <v>114</v>
      </c>
      <c r="B120" s="50" t="s">
        <v>2760</v>
      </c>
      <c r="C120" s="47" t="s">
        <v>3151</v>
      </c>
      <c r="D120" s="160">
        <v>114</v>
      </c>
      <c r="E120" s="46" t="s">
        <v>47</v>
      </c>
      <c r="F120" s="46" t="s">
        <v>48</v>
      </c>
      <c r="G120" s="47" t="s">
        <v>49</v>
      </c>
      <c r="H120" s="47" t="s">
        <v>3154</v>
      </c>
      <c r="I120" s="47" t="s">
        <v>3378</v>
      </c>
      <c r="J120" s="130" t="s">
        <v>707</v>
      </c>
      <c r="K120" s="131"/>
      <c r="L120" s="132"/>
      <c r="M120" s="76"/>
      <c r="N120" s="81" t="s">
        <v>3447</v>
      </c>
      <c r="O120" s="47" t="s">
        <v>3448</v>
      </c>
      <c r="P120" s="47" t="s">
        <v>3449</v>
      </c>
      <c r="Q120" s="134">
        <v>22.995551</v>
      </c>
      <c r="R120" s="134">
        <v>92.006761</v>
      </c>
      <c r="S120" s="81">
        <v>125</v>
      </c>
      <c r="T120" s="81"/>
      <c r="U120" s="81"/>
      <c r="V120" s="81"/>
      <c r="W120" s="7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3"/>
      <c r="AK120" s="58"/>
      <c r="AL120" s="59"/>
      <c r="AM120" s="57"/>
    </row>
    <row x14ac:dyDescent="0.25" r="121" customHeight="1" ht="18">
      <c r="A121" s="45">
        <v>115</v>
      </c>
      <c r="B121" s="50" t="s">
        <v>2760</v>
      </c>
      <c r="C121" s="47" t="s">
        <v>3151</v>
      </c>
      <c r="D121" s="160">
        <v>115</v>
      </c>
      <c r="E121" s="46" t="s">
        <v>47</v>
      </c>
      <c r="F121" s="46" t="s">
        <v>48</v>
      </c>
      <c r="G121" s="47" t="s">
        <v>49</v>
      </c>
      <c r="H121" s="47" t="s">
        <v>3154</v>
      </c>
      <c r="I121" s="47" t="s">
        <v>3378</v>
      </c>
      <c r="J121" s="130" t="s">
        <v>707</v>
      </c>
      <c r="K121" s="131"/>
      <c r="L121" s="132"/>
      <c r="M121" s="76"/>
      <c r="N121" s="81" t="s">
        <v>3450</v>
      </c>
      <c r="O121" s="47" t="s">
        <v>3451</v>
      </c>
      <c r="P121" s="47" t="s">
        <v>3452</v>
      </c>
      <c r="Q121" s="134">
        <v>22.986269</v>
      </c>
      <c r="R121" s="134">
        <v>91.990009</v>
      </c>
      <c r="S121" s="81">
        <v>190</v>
      </c>
      <c r="T121" s="81"/>
      <c r="U121" s="81"/>
      <c r="V121" s="81"/>
      <c r="W121" s="135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3"/>
      <c r="AK121" s="58"/>
      <c r="AL121" s="59"/>
      <c r="AM121" s="57"/>
    </row>
    <row x14ac:dyDescent="0.25" r="122" customHeight="1" ht="18">
      <c r="A122" s="45">
        <v>116</v>
      </c>
      <c r="B122" s="50" t="s">
        <v>2760</v>
      </c>
      <c r="C122" s="47" t="s">
        <v>3151</v>
      </c>
      <c r="D122" s="160">
        <v>116</v>
      </c>
      <c r="E122" s="46" t="s">
        <v>47</v>
      </c>
      <c r="F122" s="46" t="s">
        <v>48</v>
      </c>
      <c r="G122" s="47" t="s">
        <v>49</v>
      </c>
      <c r="H122" s="47" t="s">
        <v>3154</v>
      </c>
      <c r="I122" s="47" t="s">
        <v>3378</v>
      </c>
      <c r="J122" s="130" t="s">
        <v>707</v>
      </c>
      <c r="K122" s="131"/>
      <c r="L122" s="132"/>
      <c r="M122" s="76"/>
      <c r="N122" s="81" t="s">
        <v>3453</v>
      </c>
      <c r="O122" s="47" t="s">
        <v>3454</v>
      </c>
      <c r="P122" s="47" t="s">
        <v>3455</v>
      </c>
      <c r="Q122" s="134">
        <v>22.992755</v>
      </c>
      <c r="R122" s="134">
        <v>91.99415</v>
      </c>
      <c r="S122" s="81">
        <v>65</v>
      </c>
      <c r="T122" s="81"/>
      <c r="U122" s="81"/>
      <c r="V122" s="81"/>
      <c r="W122" s="135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3"/>
      <c r="AK122" s="58"/>
      <c r="AL122" s="59"/>
      <c r="AM122" s="57"/>
    </row>
    <row x14ac:dyDescent="0.25" r="123" customHeight="1" ht="18">
      <c r="A123" s="45">
        <v>117</v>
      </c>
      <c r="B123" s="50" t="s">
        <v>2760</v>
      </c>
      <c r="C123" s="47" t="s">
        <v>3151</v>
      </c>
      <c r="D123" s="160">
        <v>117</v>
      </c>
      <c r="E123" s="46" t="s">
        <v>47</v>
      </c>
      <c r="F123" s="46" t="s">
        <v>48</v>
      </c>
      <c r="G123" s="47" t="s">
        <v>49</v>
      </c>
      <c r="H123" s="47" t="s">
        <v>3154</v>
      </c>
      <c r="I123" s="47" t="s">
        <v>3378</v>
      </c>
      <c r="J123" s="130" t="s">
        <v>707</v>
      </c>
      <c r="K123" s="131"/>
      <c r="L123" s="132"/>
      <c r="M123" s="76"/>
      <c r="N123" s="81" t="s">
        <v>212</v>
      </c>
      <c r="O123" s="47" t="s">
        <v>213</v>
      </c>
      <c r="P123" s="47" t="s">
        <v>3456</v>
      </c>
      <c r="Q123" s="134">
        <v>22.979981</v>
      </c>
      <c r="R123" s="134">
        <v>91.990079</v>
      </c>
      <c r="S123" s="81">
        <v>155</v>
      </c>
      <c r="T123" s="81"/>
      <c r="U123" s="81"/>
      <c r="V123" s="81"/>
      <c r="W123" s="7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3"/>
      <c r="AK123" s="58"/>
      <c r="AL123" s="59"/>
      <c r="AM123" s="57"/>
    </row>
    <row x14ac:dyDescent="0.25" r="124" customHeight="1" ht="18">
      <c r="A124" s="45">
        <v>118</v>
      </c>
      <c r="B124" s="50" t="s">
        <v>2760</v>
      </c>
      <c r="C124" s="47" t="s">
        <v>3151</v>
      </c>
      <c r="D124" s="160">
        <v>118</v>
      </c>
      <c r="E124" s="46" t="s">
        <v>47</v>
      </c>
      <c r="F124" s="46" t="s">
        <v>48</v>
      </c>
      <c r="G124" s="47" t="s">
        <v>49</v>
      </c>
      <c r="H124" s="47" t="s">
        <v>3154</v>
      </c>
      <c r="I124" s="47" t="s">
        <v>3378</v>
      </c>
      <c r="J124" s="130" t="s">
        <v>707</v>
      </c>
      <c r="K124" s="131"/>
      <c r="L124" s="132"/>
      <c r="M124" s="76"/>
      <c r="N124" s="81" t="s">
        <v>3457</v>
      </c>
      <c r="O124" s="47" t="s">
        <v>3458</v>
      </c>
      <c r="P124" s="47" t="s">
        <v>3459</v>
      </c>
      <c r="Q124" s="134">
        <v>22.961762</v>
      </c>
      <c r="R124" s="134">
        <v>91.997274</v>
      </c>
      <c r="S124" s="81">
        <v>40</v>
      </c>
      <c r="T124" s="81"/>
      <c r="U124" s="81"/>
      <c r="V124" s="81"/>
      <c r="W124" s="135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3"/>
      <c r="AK124" s="58"/>
      <c r="AL124" s="59"/>
      <c r="AM124" s="57"/>
    </row>
    <row x14ac:dyDescent="0.25" r="125" customHeight="1" ht="18">
      <c r="A125" s="45">
        <v>119</v>
      </c>
      <c r="B125" s="50" t="s">
        <v>2760</v>
      </c>
      <c r="C125" s="47" t="s">
        <v>3151</v>
      </c>
      <c r="D125" s="160">
        <v>119</v>
      </c>
      <c r="E125" s="46" t="s">
        <v>47</v>
      </c>
      <c r="F125" s="46" t="s">
        <v>48</v>
      </c>
      <c r="G125" s="47" t="s">
        <v>49</v>
      </c>
      <c r="H125" s="47" t="s">
        <v>3154</v>
      </c>
      <c r="I125" s="47" t="s">
        <v>3378</v>
      </c>
      <c r="J125" s="130" t="s">
        <v>707</v>
      </c>
      <c r="K125" s="131"/>
      <c r="L125" s="132"/>
      <c r="M125" s="76"/>
      <c r="N125" s="81" t="s">
        <v>3460</v>
      </c>
      <c r="O125" s="47" t="s">
        <v>3461</v>
      </c>
      <c r="P125" s="47" t="s">
        <v>3462</v>
      </c>
      <c r="Q125" s="134">
        <v>23.005261</v>
      </c>
      <c r="R125" s="134">
        <v>92.007755</v>
      </c>
      <c r="S125" s="81">
        <v>150</v>
      </c>
      <c r="T125" s="81"/>
      <c r="U125" s="81"/>
      <c r="V125" s="81"/>
      <c r="W125" s="135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3"/>
      <c r="AK125" s="58"/>
      <c r="AL125" s="59"/>
      <c r="AM125" s="57"/>
    </row>
    <row x14ac:dyDescent="0.25" r="126" customHeight="1" ht="18">
      <c r="A126" s="45">
        <v>120</v>
      </c>
      <c r="B126" s="50" t="s">
        <v>2760</v>
      </c>
      <c r="C126" s="47" t="s">
        <v>3151</v>
      </c>
      <c r="D126" s="160">
        <v>120</v>
      </c>
      <c r="E126" s="46" t="s">
        <v>47</v>
      </c>
      <c r="F126" s="46" t="s">
        <v>48</v>
      </c>
      <c r="G126" s="47" t="s">
        <v>49</v>
      </c>
      <c r="H126" s="47" t="s">
        <v>3154</v>
      </c>
      <c r="I126" s="47" t="s">
        <v>3378</v>
      </c>
      <c r="J126" s="130" t="s">
        <v>707</v>
      </c>
      <c r="K126" s="131"/>
      <c r="L126" s="132"/>
      <c r="M126" s="76"/>
      <c r="N126" s="81" t="s">
        <v>3463</v>
      </c>
      <c r="O126" s="47" t="s">
        <v>3464</v>
      </c>
      <c r="P126" s="47" t="s">
        <v>3465</v>
      </c>
      <c r="Q126" s="134">
        <v>23.000752</v>
      </c>
      <c r="R126" s="134">
        <v>92.000695</v>
      </c>
      <c r="S126" s="81">
        <v>110</v>
      </c>
      <c r="T126" s="81"/>
      <c r="U126" s="81"/>
      <c r="V126" s="81"/>
      <c r="W126" s="135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3"/>
      <c r="AK126" s="58"/>
      <c r="AL126" s="59"/>
      <c r="AM126" s="57"/>
    </row>
    <row x14ac:dyDescent="0.25" r="127" customHeight="1" ht="18">
      <c r="A127" s="45">
        <v>121</v>
      </c>
      <c r="B127" s="50" t="s">
        <v>2760</v>
      </c>
      <c r="C127" s="47" t="s">
        <v>3151</v>
      </c>
      <c r="D127" s="160">
        <v>121</v>
      </c>
      <c r="E127" s="46" t="s">
        <v>47</v>
      </c>
      <c r="F127" s="46" t="s">
        <v>48</v>
      </c>
      <c r="G127" s="47" t="s">
        <v>49</v>
      </c>
      <c r="H127" s="47" t="s">
        <v>3154</v>
      </c>
      <c r="I127" s="47" t="s">
        <v>3378</v>
      </c>
      <c r="J127" s="130" t="s">
        <v>707</v>
      </c>
      <c r="K127" s="131"/>
      <c r="L127" s="132"/>
      <c r="M127" s="76"/>
      <c r="N127" s="81" t="s">
        <v>3466</v>
      </c>
      <c r="O127" s="47" t="s">
        <v>3467</v>
      </c>
      <c r="P127" s="47" t="s">
        <v>3468</v>
      </c>
      <c r="Q127" s="134">
        <v>23.007023</v>
      </c>
      <c r="R127" s="134">
        <v>92.021126</v>
      </c>
      <c r="S127" s="81">
        <v>240</v>
      </c>
      <c r="T127" s="81"/>
      <c r="U127" s="81"/>
      <c r="V127" s="81"/>
      <c r="W127" s="135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3"/>
      <c r="AK127" s="58"/>
      <c r="AL127" s="59"/>
      <c r="AM127" s="57"/>
    </row>
    <row x14ac:dyDescent="0.25" r="128" customHeight="1" ht="18">
      <c r="A128" s="45">
        <v>122</v>
      </c>
      <c r="B128" s="50" t="s">
        <v>2760</v>
      </c>
      <c r="C128" s="47" t="s">
        <v>3151</v>
      </c>
      <c r="D128" s="160">
        <v>122</v>
      </c>
      <c r="E128" s="46" t="s">
        <v>47</v>
      </c>
      <c r="F128" s="46" t="s">
        <v>48</v>
      </c>
      <c r="G128" s="47" t="s">
        <v>49</v>
      </c>
      <c r="H128" s="47" t="s">
        <v>3154</v>
      </c>
      <c r="I128" s="47" t="s">
        <v>3378</v>
      </c>
      <c r="J128" s="130" t="s">
        <v>707</v>
      </c>
      <c r="K128" s="131"/>
      <c r="L128" s="132"/>
      <c r="M128" s="76"/>
      <c r="N128" s="81" t="s">
        <v>1641</v>
      </c>
      <c r="O128" s="47" t="s">
        <v>1746</v>
      </c>
      <c r="P128" s="47" t="s">
        <v>3469</v>
      </c>
      <c r="Q128" s="134">
        <v>23.003741</v>
      </c>
      <c r="R128" s="134">
        <v>92.016624</v>
      </c>
      <c r="S128" s="81">
        <v>110</v>
      </c>
      <c r="T128" s="81"/>
      <c r="U128" s="81"/>
      <c r="V128" s="81"/>
      <c r="W128" s="135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47"/>
      <c r="AK128" s="58"/>
      <c r="AL128" s="59"/>
      <c r="AM128" s="57"/>
    </row>
    <row x14ac:dyDescent="0.25" r="129" customHeight="1" ht="18">
      <c r="A129" s="45">
        <v>123</v>
      </c>
      <c r="B129" s="50" t="s">
        <v>2760</v>
      </c>
      <c r="C129" s="47" t="s">
        <v>3151</v>
      </c>
      <c r="D129" s="160">
        <v>123</v>
      </c>
      <c r="E129" s="46" t="s">
        <v>47</v>
      </c>
      <c r="F129" s="46" t="s">
        <v>48</v>
      </c>
      <c r="G129" s="47" t="s">
        <v>49</v>
      </c>
      <c r="H129" s="47" t="s">
        <v>3154</v>
      </c>
      <c r="I129" s="47" t="s">
        <v>3378</v>
      </c>
      <c r="J129" s="130" t="s">
        <v>707</v>
      </c>
      <c r="K129" s="131"/>
      <c r="L129" s="132"/>
      <c r="M129" s="76"/>
      <c r="N129" s="81" t="s">
        <v>3470</v>
      </c>
      <c r="O129" s="47" t="s">
        <v>3471</v>
      </c>
      <c r="P129" s="47" t="s">
        <v>3472</v>
      </c>
      <c r="Q129" s="134">
        <v>23.007573</v>
      </c>
      <c r="R129" s="134">
        <v>92.01946</v>
      </c>
      <c r="S129" s="81">
        <v>160</v>
      </c>
      <c r="T129" s="81"/>
      <c r="U129" s="81"/>
      <c r="V129" s="81"/>
      <c r="W129" s="135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3"/>
      <c r="AK129" s="58"/>
      <c r="AL129" s="59"/>
      <c r="AM129" s="57"/>
    </row>
    <row x14ac:dyDescent="0.25" r="130" customHeight="1" ht="18">
      <c r="A130" s="45">
        <v>124</v>
      </c>
      <c r="B130" s="50" t="s">
        <v>2760</v>
      </c>
      <c r="C130" s="47" t="s">
        <v>3151</v>
      </c>
      <c r="D130" s="160">
        <v>124</v>
      </c>
      <c r="E130" s="46" t="s">
        <v>47</v>
      </c>
      <c r="F130" s="46" t="s">
        <v>48</v>
      </c>
      <c r="G130" s="47" t="s">
        <v>49</v>
      </c>
      <c r="H130" s="47" t="s">
        <v>3154</v>
      </c>
      <c r="I130" s="47" t="s">
        <v>3378</v>
      </c>
      <c r="J130" s="130" t="s">
        <v>726</v>
      </c>
      <c r="K130" s="131"/>
      <c r="L130" s="132"/>
      <c r="M130" s="76"/>
      <c r="N130" s="81" t="s">
        <v>3473</v>
      </c>
      <c r="O130" s="47" t="s">
        <v>3474</v>
      </c>
      <c r="P130" s="47" t="s">
        <v>3475</v>
      </c>
      <c r="Q130" s="134">
        <v>22.999315</v>
      </c>
      <c r="R130" s="134">
        <v>92.01146</v>
      </c>
      <c r="S130" s="81">
        <v>1500</v>
      </c>
      <c r="T130" s="81"/>
      <c r="U130" s="81"/>
      <c r="V130" s="81"/>
      <c r="W130" s="135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3"/>
      <c r="AK130" s="58"/>
      <c r="AL130" s="59"/>
      <c r="AM130" s="57"/>
    </row>
    <row x14ac:dyDescent="0.25" r="131" customHeight="1" ht="18">
      <c r="A131" s="45">
        <v>125</v>
      </c>
      <c r="B131" s="50" t="s">
        <v>2760</v>
      </c>
      <c r="C131" s="47" t="s">
        <v>3151</v>
      </c>
      <c r="D131" s="160">
        <v>125</v>
      </c>
      <c r="E131" s="46" t="s">
        <v>47</v>
      </c>
      <c r="F131" s="46" t="s">
        <v>48</v>
      </c>
      <c r="G131" s="47" t="s">
        <v>49</v>
      </c>
      <c r="H131" s="47" t="s">
        <v>3154</v>
      </c>
      <c r="I131" s="47" t="s">
        <v>3378</v>
      </c>
      <c r="J131" s="130" t="s">
        <v>726</v>
      </c>
      <c r="K131" s="131"/>
      <c r="L131" s="132"/>
      <c r="M131" s="76"/>
      <c r="N131" s="81" t="s">
        <v>3476</v>
      </c>
      <c r="O131" s="47" t="s">
        <v>3477</v>
      </c>
      <c r="P131" s="47" t="s">
        <v>3478</v>
      </c>
      <c r="Q131" s="134">
        <v>22.996681</v>
      </c>
      <c r="R131" s="134">
        <v>92.025083</v>
      </c>
      <c r="S131" s="81">
        <v>270</v>
      </c>
      <c r="T131" s="81"/>
      <c r="U131" s="81"/>
      <c r="V131" s="81"/>
      <c r="W131" s="7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3"/>
      <c r="AK131" s="58"/>
      <c r="AL131" s="59"/>
      <c r="AM131" s="57"/>
    </row>
    <row x14ac:dyDescent="0.25" r="132" customHeight="1" ht="18">
      <c r="A132" s="45">
        <v>126</v>
      </c>
      <c r="B132" s="50" t="s">
        <v>2760</v>
      </c>
      <c r="C132" s="47" t="s">
        <v>3151</v>
      </c>
      <c r="D132" s="160">
        <v>126</v>
      </c>
      <c r="E132" s="46" t="s">
        <v>47</v>
      </c>
      <c r="F132" s="46" t="s">
        <v>48</v>
      </c>
      <c r="G132" s="47" t="s">
        <v>49</v>
      </c>
      <c r="H132" s="47" t="s">
        <v>3154</v>
      </c>
      <c r="I132" s="47" t="s">
        <v>3378</v>
      </c>
      <c r="J132" s="130" t="s">
        <v>726</v>
      </c>
      <c r="K132" s="131"/>
      <c r="L132" s="132"/>
      <c r="M132" s="76"/>
      <c r="N132" s="81" t="s">
        <v>3479</v>
      </c>
      <c r="O132" s="47" t="s">
        <v>3480</v>
      </c>
      <c r="P132" s="47" t="s">
        <v>3481</v>
      </c>
      <c r="Q132" s="134">
        <v>22.990992</v>
      </c>
      <c r="R132" s="134">
        <v>92.014463</v>
      </c>
      <c r="S132" s="81">
        <v>210</v>
      </c>
      <c r="T132" s="81"/>
      <c r="U132" s="81"/>
      <c r="V132" s="81"/>
      <c r="W132" s="7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3"/>
      <c r="AK132" s="58"/>
      <c r="AL132" s="59"/>
      <c r="AM132" s="57"/>
    </row>
    <row x14ac:dyDescent="0.25" r="133" customHeight="1" ht="18">
      <c r="A133" s="45">
        <v>127</v>
      </c>
      <c r="B133" s="50" t="s">
        <v>2760</v>
      </c>
      <c r="C133" s="47" t="s">
        <v>3151</v>
      </c>
      <c r="D133" s="160">
        <v>127</v>
      </c>
      <c r="E133" s="46" t="s">
        <v>47</v>
      </c>
      <c r="F133" s="46" t="s">
        <v>48</v>
      </c>
      <c r="G133" s="47" t="s">
        <v>49</v>
      </c>
      <c r="H133" s="47" t="s">
        <v>3154</v>
      </c>
      <c r="I133" s="47" t="s">
        <v>3378</v>
      </c>
      <c r="J133" s="130" t="s">
        <v>726</v>
      </c>
      <c r="K133" s="131"/>
      <c r="L133" s="132"/>
      <c r="M133" s="76"/>
      <c r="N133" s="161" t="s">
        <v>3482</v>
      </c>
      <c r="O133" s="47" t="s">
        <v>3483</v>
      </c>
      <c r="P133" s="47" t="s">
        <v>3484</v>
      </c>
      <c r="Q133" s="134">
        <v>22.99303</v>
      </c>
      <c r="R133" s="134">
        <v>92.006031</v>
      </c>
      <c r="S133" s="81">
        <v>300</v>
      </c>
      <c r="T133" s="81"/>
      <c r="U133" s="81"/>
      <c r="V133" s="81"/>
      <c r="W133" s="7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3"/>
      <c r="AK133" s="58"/>
      <c r="AL133" s="59"/>
      <c r="AM133" s="57"/>
    </row>
    <row x14ac:dyDescent="0.25" r="134" customHeight="1" ht="18">
      <c r="A134" s="45">
        <v>128</v>
      </c>
      <c r="B134" s="50" t="s">
        <v>2760</v>
      </c>
      <c r="C134" s="47" t="s">
        <v>3151</v>
      </c>
      <c r="D134" s="160">
        <v>128</v>
      </c>
      <c r="E134" s="46" t="s">
        <v>47</v>
      </c>
      <c r="F134" s="46" t="s">
        <v>48</v>
      </c>
      <c r="G134" s="47" t="s">
        <v>49</v>
      </c>
      <c r="H134" s="47" t="s">
        <v>3154</v>
      </c>
      <c r="I134" s="47" t="s">
        <v>3378</v>
      </c>
      <c r="J134" s="130" t="s">
        <v>726</v>
      </c>
      <c r="K134" s="131"/>
      <c r="L134" s="59"/>
      <c r="M134" s="76"/>
      <c r="N134" s="81" t="s">
        <v>3485</v>
      </c>
      <c r="O134" s="47" t="s">
        <v>3486</v>
      </c>
      <c r="P134" s="47" t="s">
        <v>3487</v>
      </c>
      <c r="Q134" s="134">
        <v>22.99725</v>
      </c>
      <c r="R134" s="134">
        <v>92.018846</v>
      </c>
      <c r="S134" s="81">
        <v>125</v>
      </c>
      <c r="T134" s="81"/>
      <c r="U134" s="81"/>
      <c r="V134" s="81"/>
      <c r="W134" s="135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3"/>
      <c r="AK134" s="58"/>
      <c r="AL134" s="59"/>
      <c r="AM134" s="57"/>
    </row>
    <row x14ac:dyDescent="0.25" r="135" customHeight="1" ht="18">
      <c r="A135" s="45">
        <v>129</v>
      </c>
      <c r="B135" s="50" t="s">
        <v>2760</v>
      </c>
      <c r="C135" s="47" t="s">
        <v>3151</v>
      </c>
      <c r="D135" s="160">
        <v>129</v>
      </c>
      <c r="E135" s="46" t="s">
        <v>47</v>
      </c>
      <c r="F135" s="46" t="s">
        <v>48</v>
      </c>
      <c r="G135" s="47" t="s">
        <v>49</v>
      </c>
      <c r="H135" s="47" t="s">
        <v>3154</v>
      </c>
      <c r="I135" s="47" t="s">
        <v>3378</v>
      </c>
      <c r="J135" s="130" t="s">
        <v>742</v>
      </c>
      <c r="K135" s="131"/>
      <c r="L135" s="59"/>
      <c r="M135" s="76"/>
      <c r="N135" s="81" t="s">
        <v>3488</v>
      </c>
      <c r="O135" s="47" t="s">
        <v>3489</v>
      </c>
      <c r="P135" s="47" t="s">
        <v>3490</v>
      </c>
      <c r="Q135" s="134">
        <v>22.995612</v>
      </c>
      <c r="R135" s="134">
        <v>92.021628</v>
      </c>
      <c r="S135" s="81">
        <v>650</v>
      </c>
      <c r="T135" s="81"/>
      <c r="U135" s="81"/>
      <c r="V135" s="81"/>
      <c r="W135" s="7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3"/>
      <c r="AK135" s="58"/>
      <c r="AL135" s="59"/>
      <c r="AM135" s="57"/>
    </row>
    <row x14ac:dyDescent="0.25" r="136" customHeight="1" ht="18">
      <c r="A136" s="45">
        <v>130</v>
      </c>
      <c r="B136" s="50" t="s">
        <v>2760</v>
      </c>
      <c r="C136" s="47" t="s">
        <v>3151</v>
      </c>
      <c r="D136" s="160">
        <v>130</v>
      </c>
      <c r="E136" s="46" t="s">
        <v>47</v>
      </c>
      <c r="F136" s="46" t="s">
        <v>48</v>
      </c>
      <c r="G136" s="47" t="s">
        <v>49</v>
      </c>
      <c r="H136" s="47" t="s">
        <v>3154</v>
      </c>
      <c r="I136" s="47" t="s">
        <v>3378</v>
      </c>
      <c r="J136" s="130" t="s">
        <v>742</v>
      </c>
      <c r="K136" s="131"/>
      <c r="L136" s="59"/>
      <c r="M136" s="76"/>
      <c r="N136" s="81" t="s">
        <v>3491</v>
      </c>
      <c r="O136" s="47" t="s">
        <v>3492</v>
      </c>
      <c r="P136" s="47" t="s">
        <v>3493</v>
      </c>
      <c r="Q136" s="134">
        <v>22.988909</v>
      </c>
      <c r="R136" s="134">
        <v>92.020855</v>
      </c>
      <c r="S136" s="81">
        <v>345</v>
      </c>
      <c r="T136" s="81"/>
      <c r="U136" s="81"/>
      <c r="V136" s="81"/>
      <c r="W136" s="7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3"/>
      <c r="AK136" s="58"/>
      <c r="AL136" s="59"/>
      <c r="AM136" s="57"/>
    </row>
    <row x14ac:dyDescent="0.25" r="137" customHeight="1" ht="18">
      <c r="A137" s="45">
        <v>131</v>
      </c>
      <c r="B137" s="50" t="s">
        <v>2760</v>
      </c>
      <c r="C137" s="47" t="s">
        <v>3151</v>
      </c>
      <c r="D137" s="160">
        <v>131</v>
      </c>
      <c r="E137" s="46" t="s">
        <v>47</v>
      </c>
      <c r="F137" s="46" t="s">
        <v>48</v>
      </c>
      <c r="G137" s="47" t="s">
        <v>49</v>
      </c>
      <c r="H137" s="47" t="s">
        <v>3154</v>
      </c>
      <c r="I137" s="47" t="s">
        <v>3378</v>
      </c>
      <c r="J137" s="130" t="s">
        <v>742</v>
      </c>
      <c r="K137" s="131"/>
      <c r="L137" s="59"/>
      <c r="M137" s="76"/>
      <c r="N137" s="81" t="s">
        <v>3494</v>
      </c>
      <c r="O137" s="47" t="s">
        <v>3495</v>
      </c>
      <c r="P137" s="47" t="s">
        <v>3496</v>
      </c>
      <c r="Q137" s="134">
        <v>22.987325</v>
      </c>
      <c r="R137" s="134">
        <v>92.014416</v>
      </c>
      <c r="S137" s="81">
        <v>390</v>
      </c>
      <c r="T137" s="81"/>
      <c r="U137" s="81"/>
      <c r="V137" s="81"/>
      <c r="W137" s="7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3"/>
      <c r="AK137" s="58"/>
      <c r="AL137" s="59"/>
      <c r="AM137" s="57"/>
    </row>
    <row x14ac:dyDescent="0.25" r="138" customHeight="1" ht="18">
      <c r="A138" s="45">
        <v>132</v>
      </c>
      <c r="B138" s="50" t="s">
        <v>2760</v>
      </c>
      <c r="C138" s="47" t="s">
        <v>3151</v>
      </c>
      <c r="D138" s="160">
        <v>132</v>
      </c>
      <c r="E138" s="46" t="s">
        <v>47</v>
      </c>
      <c r="F138" s="46" t="s">
        <v>48</v>
      </c>
      <c r="G138" s="47" t="s">
        <v>49</v>
      </c>
      <c r="H138" s="47" t="s">
        <v>3154</v>
      </c>
      <c r="I138" s="47" t="s">
        <v>3378</v>
      </c>
      <c r="J138" s="130" t="s">
        <v>742</v>
      </c>
      <c r="K138" s="131"/>
      <c r="L138" s="59"/>
      <c r="M138" s="76"/>
      <c r="N138" s="81" t="s">
        <v>3497</v>
      </c>
      <c r="O138" s="162" t="s">
        <v>3498</v>
      </c>
      <c r="P138" s="47" t="s">
        <v>3499</v>
      </c>
      <c r="Q138" s="134">
        <v>22.997963</v>
      </c>
      <c r="R138" s="134">
        <v>92.023427</v>
      </c>
      <c r="S138" s="81"/>
      <c r="T138" s="81"/>
      <c r="U138" s="81"/>
      <c r="V138" s="81"/>
      <c r="W138" s="135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3"/>
      <c r="AK138" s="58"/>
      <c r="AL138" s="59"/>
      <c r="AM138" s="57"/>
    </row>
    <row x14ac:dyDescent="0.25" r="139" customHeight="1" ht="18">
      <c r="A139" s="45">
        <v>133</v>
      </c>
      <c r="B139" s="50" t="s">
        <v>2760</v>
      </c>
      <c r="C139" s="47" t="s">
        <v>3151</v>
      </c>
      <c r="D139" s="160">
        <v>133</v>
      </c>
      <c r="E139" s="46" t="s">
        <v>47</v>
      </c>
      <c r="F139" s="46" t="s">
        <v>48</v>
      </c>
      <c r="G139" s="47" t="s">
        <v>49</v>
      </c>
      <c r="H139" s="47" t="s">
        <v>3154</v>
      </c>
      <c r="I139" s="47" t="s">
        <v>3378</v>
      </c>
      <c r="J139" s="130" t="s">
        <v>761</v>
      </c>
      <c r="K139" s="131"/>
      <c r="L139" s="59"/>
      <c r="M139" s="76"/>
      <c r="N139" s="81" t="s">
        <v>3500</v>
      </c>
      <c r="O139" s="47" t="s">
        <v>3501</v>
      </c>
      <c r="P139" s="47" t="s">
        <v>3502</v>
      </c>
      <c r="Q139" s="134">
        <v>22.98241</v>
      </c>
      <c r="R139" s="134">
        <v>92.001009</v>
      </c>
      <c r="S139" s="81">
        <v>275</v>
      </c>
      <c r="T139" s="81"/>
      <c r="U139" s="81"/>
      <c r="V139" s="81"/>
      <c r="W139" s="135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3"/>
      <c r="AK139" s="58"/>
      <c r="AL139" s="59"/>
      <c r="AM139" s="57"/>
    </row>
    <row x14ac:dyDescent="0.25" r="140" customHeight="1" ht="18">
      <c r="A140" s="45">
        <v>134</v>
      </c>
      <c r="B140" s="50" t="s">
        <v>2760</v>
      </c>
      <c r="C140" s="47" t="s">
        <v>3151</v>
      </c>
      <c r="D140" s="160">
        <v>134</v>
      </c>
      <c r="E140" s="46" t="s">
        <v>47</v>
      </c>
      <c r="F140" s="46" t="s">
        <v>48</v>
      </c>
      <c r="G140" s="47" t="s">
        <v>49</v>
      </c>
      <c r="H140" s="47" t="s">
        <v>3154</v>
      </c>
      <c r="I140" s="47" t="s">
        <v>3378</v>
      </c>
      <c r="J140" s="130" t="s">
        <v>761</v>
      </c>
      <c r="K140" s="131"/>
      <c r="L140" s="59"/>
      <c r="M140" s="76"/>
      <c r="N140" s="81" t="s">
        <v>3503</v>
      </c>
      <c r="O140" s="47" t="s">
        <v>3504</v>
      </c>
      <c r="P140" s="47" t="s">
        <v>3505</v>
      </c>
      <c r="Q140" s="134">
        <v>22.978927</v>
      </c>
      <c r="R140" s="134">
        <v>92.012689</v>
      </c>
      <c r="S140" s="81">
        <v>475</v>
      </c>
      <c r="T140" s="81"/>
      <c r="U140" s="81"/>
      <c r="V140" s="81"/>
      <c r="W140" s="135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3"/>
      <c r="AK140" s="58"/>
      <c r="AL140" s="59"/>
      <c r="AM140" s="57"/>
    </row>
    <row x14ac:dyDescent="0.25" r="141" customHeight="1" ht="18">
      <c r="A141" s="45">
        <v>135</v>
      </c>
      <c r="B141" s="50" t="s">
        <v>2760</v>
      </c>
      <c r="C141" s="47" t="s">
        <v>3151</v>
      </c>
      <c r="D141" s="160">
        <v>135</v>
      </c>
      <c r="E141" s="46" t="s">
        <v>47</v>
      </c>
      <c r="F141" s="46" t="s">
        <v>48</v>
      </c>
      <c r="G141" s="47" t="s">
        <v>49</v>
      </c>
      <c r="H141" s="47" t="s">
        <v>3154</v>
      </c>
      <c r="I141" s="47" t="s">
        <v>3378</v>
      </c>
      <c r="J141" s="130" t="s">
        <v>761</v>
      </c>
      <c r="K141" s="131"/>
      <c r="L141" s="59"/>
      <c r="M141" s="76"/>
      <c r="N141" s="81" t="s">
        <v>3506</v>
      </c>
      <c r="O141" s="162" t="s">
        <v>3507</v>
      </c>
      <c r="P141" s="47" t="s">
        <v>3508</v>
      </c>
      <c r="Q141" s="134">
        <v>22.972424</v>
      </c>
      <c r="R141" s="134">
        <v>92.015579</v>
      </c>
      <c r="S141" s="81">
        <v>1250</v>
      </c>
      <c r="T141" s="81"/>
      <c r="U141" s="81"/>
      <c r="V141" s="81"/>
      <c r="W141" s="7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3"/>
      <c r="AK141" s="58"/>
      <c r="AL141" s="59"/>
      <c r="AM141" s="57"/>
    </row>
    <row x14ac:dyDescent="0.25" r="142" customHeight="1" ht="18">
      <c r="A142" s="45">
        <v>136</v>
      </c>
      <c r="B142" s="50" t="s">
        <v>2760</v>
      </c>
      <c r="C142" s="47" t="s">
        <v>3151</v>
      </c>
      <c r="D142" s="160">
        <v>136</v>
      </c>
      <c r="E142" s="46" t="s">
        <v>47</v>
      </c>
      <c r="F142" s="46" t="s">
        <v>48</v>
      </c>
      <c r="G142" s="47" t="s">
        <v>49</v>
      </c>
      <c r="H142" s="47" t="s">
        <v>3154</v>
      </c>
      <c r="I142" s="47" t="s">
        <v>3378</v>
      </c>
      <c r="J142" s="130" t="s">
        <v>781</v>
      </c>
      <c r="K142" s="131"/>
      <c r="L142" s="59"/>
      <c r="M142" s="76"/>
      <c r="N142" s="161" t="s">
        <v>3509</v>
      </c>
      <c r="O142" s="47" t="s">
        <v>3510</v>
      </c>
      <c r="P142" s="47" t="s">
        <v>3511</v>
      </c>
      <c r="Q142" s="134">
        <v>22.968431</v>
      </c>
      <c r="R142" s="134">
        <v>92.021087</v>
      </c>
      <c r="S142" s="81">
        <v>410</v>
      </c>
      <c r="T142" s="81"/>
      <c r="U142" s="81"/>
      <c r="V142" s="81"/>
      <c r="W142" s="135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3"/>
      <c r="AK142" s="58"/>
      <c r="AL142" s="59"/>
      <c r="AM142" s="57"/>
    </row>
    <row x14ac:dyDescent="0.25" r="143" customHeight="1" ht="18">
      <c r="A143" s="45">
        <v>137</v>
      </c>
      <c r="B143" s="50" t="s">
        <v>2760</v>
      </c>
      <c r="C143" s="47" t="s">
        <v>3151</v>
      </c>
      <c r="D143" s="160">
        <v>137</v>
      </c>
      <c r="E143" s="46" t="s">
        <v>47</v>
      </c>
      <c r="F143" s="46" t="s">
        <v>48</v>
      </c>
      <c r="G143" s="47" t="s">
        <v>49</v>
      </c>
      <c r="H143" s="47" t="s">
        <v>3154</v>
      </c>
      <c r="I143" s="47" t="s">
        <v>3378</v>
      </c>
      <c r="J143" s="130" t="s">
        <v>781</v>
      </c>
      <c r="K143" s="131"/>
      <c r="L143" s="59"/>
      <c r="M143" s="76"/>
      <c r="N143" s="81" t="s">
        <v>3512</v>
      </c>
      <c r="O143" s="47" t="s">
        <v>3513</v>
      </c>
      <c r="P143" s="47" t="s">
        <v>3514</v>
      </c>
      <c r="Q143" s="134">
        <v>22.961313</v>
      </c>
      <c r="R143" s="134">
        <v>92.021651</v>
      </c>
      <c r="S143" s="81">
        <v>350</v>
      </c>
      <c r="T143" s="81"/>
      <c r="U143" s="81"/>
      <c r="V143" s="81"/>
      <c r="W143" s="135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3"/>
      <c r="AK143" s="58"/>
      <c r="AL143" s="59"/>
      <c r="AM143" s="57"/>
    </row>
    <row x14ac:dyDescent="0.25" r="144" customHeight="1" ht="18">
      <c r="A144" s="45">
        <v>138</v>
      </c>
      <c r="B144" s="50" t="s">
        <v>2760</v>
      </c>
      <c r="C144" s="47" t="s">
        <v>3151</v>
      </c>
      <c r="D144" s="160">
        <v>138</v>
      </c>
      <c r="E144" s="46" t="s">
        <v>47</v>
      </c>
      <c r="F144" s="46" t="s">
        <v>48</v>
      </c>
      <c r="G144" s="47" t="s">
        <v>49</v>
      </c>
      <c r="H144" s="47" t="s">
        <v>3154</v>
      </c>
      <c r="I144" s="47" t="s">
        <v>3378</v>
      </c>
      <c r="J144" s="130" t="s">
        <v>797</v>
      </c>
      <c r="K144" s="131"/>
      <c r="L144" s="59"/>
      <c r="M144" s="76"/>
      <c r="N144" s="81" t="s">
        <v>3515</v>
      </c>
      <c r="O144" s="47" t="s">
        <v>3516</v>
      </c>
      <c r="P144" s="47" t="s">
        <v>3517</v>
      </c>
      <c r="Q144" s="134">
        <v>22.983314</v>
      </c>
      <c r="R144" s="134">
        <v>92.021788</v>
      </c>
      <c r="S144" s="81">
        <v>350</v>
      </c>
      <c r="T144" s="81"/>
      <c r="U144" s="81"/>
      <c r="V144" s="81"/>
      <c r="W144" s="135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3"/>
      <c r="AK144" s="58"/>
      <c r="AL144" s="59"/>
      <c r="AM144" s="57"/>
    </row>
    <row x14ac:dyDescent="0.25" r="145" customHeight="1" ht="18">
      <c r="A145" s="45">
        <v>139</v>
      </c>
      <c r="B145" s="50" t="s">
        <v>2760</v>
      </c>
      <c r="C145" s="47" t="s">
        <v>3151</v>
      </c>
      <c r="D145" s="160">
        <v>139</v>
      </c>
      <c r="E145" s="46" t="s">
        <v>47</v>
      </c>
      <c r="F145" s="46" t="s">
        <v>48</v>
      </c>
      <c r="G145" s="47" t="s">
        <v>49</v>
      </c>
      <c r="H145" s="47" t="s">
        <v>3154</v>
      </c>
      <c r="I145" s="47" t="s">
        <v>3378</v>
      </c>
      <c r="J145" s="130" t="s">
        <v>797</v>
      </c>
      <c r="K145" s="131"/>
      <c r="L145" s="59"/>
      <c r="M145" s="76"/>
      <c r="N145" s="81" t="s">
        <v>3518</v>
      </c>
      <c r="O145" s="47" t="s">
        <v>3519</v>
      </c>
      <c r="P145" s="47" t="s">
        <v>3520</v>
      </c>
      <c r="Q145" s="134">
        <v>22.968354</v>
      </c>
      <c r="R145" s="134">
        <v>91.987774</v>
      </c>
      <c r="S145" s="81">
        <v>340</v>
      </c>
      <c r="T145" s="81"/>
      <c r="U145" s="81"/>
      <c r="V145" s="81"/>
      <c r="W145" s="7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3"/>
      <c r="AK145" s="58"/>
      <c r="AL145" s="59"/>
      <c r="AM145" s="57"/>
    </row>
    <row x14ac:dyDescent="0.25" r="146" customHeight="1" ht="18">
      <c r="A146" s="45">
        <v>140</v>
      </c>
      <c r="B146" s="50" t="s">
        <v>2760</v>
      </c>
      <c r="C146" s="47" t="s">
        <v>3151</v>
      </c>
      <c r="D146" s="160">
        <v>140</v>
      </c>
      <c r="E146" s="46" t="s">
        <v>47</v>
      </c>
      <c r="F146" s="46" t="s">
        <v>48</v>
      </c>
      <c r="G146" s="47" t="s">
        <v>49</v>
      </c>
      <c r="H146" s="47" t="s">
        <v>3154</v>
      </c>
      <c r="I146" s="47" t="s">
        <v>3521</v>
      </c>
      <c r="J146" s="130" t="s">
        <v>677</v>
      </c>
      <c r="K146" s="131"/>
      <c r="L146" s="59"/>
      <c r="M146" s="76"/>
      <c r="N146" s="81" t="s">
        <v>3139</v>
      </c>
      <c r="O146" s="47" t="s">
        <v>3140</v>
      </c>
      <c r="P146" s="47" t="s">
        <v>3522</v>
      </c>
      <c r="Q146" s="134">
        <v>22.93567</v>
      </c>
      <c r="R146" s="134">
        <v>92.049305</v>
      </c>
      <c r="S146" s="81">
        <v>800</v>
      </c>
      <c r="T146" s="81"/>
      <c r="U146" s="81"/>
      <c r="V146" s="81"/>
      <c r="W146" s="7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3"/>
      <c r="AK146" s="58"/>
      <c r="AL146" s="59"/>
      <c r="AM146" s="57"/>
    </row>
    <row x14ac:dyDescent="0.25" r="147" customHeight="1" ht="18">
      <c r="A147" s="45">
        <v>141</v>
      </c>
      <c r="B147" s="50" t="s">
        <v>2760</v>
      </c>
      <c r="C147" s="47" t="s">
        <v>3151</v>
      </c>
      <c r="D147" s="160">
        <v>141</v>
      </c>
      <c r="E147" s="46" t="s">
        <v>47</v>
      </c>
      <c r="F147" s="46" t="s">
        <v>48</v>
      </c>
      <c r="G147" s="47" t="s">
        <v>49</v>
      </c>
      <c r="H147" s="47" t="s">
        <v>3154</v>
      </c>
      <c r="I147" s="47" t="s">
        <v>3521</v>
      </c>
      <c r="J147" s="130" t="s">
        <v>677</v>
      </c>
      <c r="K147" s="131"/>
      <c r="L147" s="59"/>
      <c r="M147" s="76"/>
      <c r="N147" s="81" t="s">
        <v>3523</v>
      </c>
      <c r="O147" s="47" t="s">
        <v>3524</v>
      </c>
      <c r="P147" s="47" t="s">
        <v>3525</v>
      </c>
      <c r="Q147" s="134">
        <v>22.934265</v>
      </c>
      <c r="R147" s="134">
        <v>92.043608</v>
      </c>
      <c r="S147" s="81">
        <v>550</v>
      </c>
      <c r="T147" s="81"/>
      <c r="U147" s="81"/>
      <c r="V147" s="81"/>
      <c r="W147" s="135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3"/>
      <c r="AK147" s="58"/>
      <c r="AL147" s="59"/>
      <c r="AM147" s="57"/>
    </row>
    <row x14ac:dyDescent="0.25" r="148" customHeight="1" ht="18">
      <c r="A148" s="45">
        <v>142</v>
      </c>
      <c r="B148" s="50" t="s">
        <v>2760</v>
      </c>
      <c r="C148" s="47" t="s">
        <v>3151</v>
      </c>
      <c r="D148" s="160">
        <v>142</v>
      </c>
      <c r="E148" s="46" t="s">
        <v>47</v>
      </c>
      <c r="F148" s="46" t="s">
        <v>48</v>
      </c>
      <c r="G148" s="47" t="s">
        <v>49</v>
      </c>
      <c r="H148" s="47" t="s">
        <v>3154</v>
      </c>
      <c r="I148" s="47" t="s">
        <v>3521</v>
      </c>
      <c r="J148" s="130" t="s">
        <v>677</v>
      </c>
      <c r="K148" s="131"/>
      <c r="L148" s="59"/>
      <c r="M148" s="76"/>
      <c r="N148" s="81" t="s">
        <v>3526</v>
      </c>
      <c r="O148" s="47" t="s">
        <v>3527</v>
      </c>
      <c r="P148" s="47" t="s">
        <v>3528</v>
      </c>
      <c r="Q148" s="134">
        <v>22.932226</v>
      </c>
      <c r="R148" s="134">
        <v>92.037653</v>
      </c>
      <c r="S148" s="81">
        <v>200</v>
      </c>
      <c r="T148" s="81"/>
      <c r="U148" s="81"/>
      <c r="V148" s="81"/>
      <c r="W148" s="135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3"/>
      <c r="AK148" s="58"/>
      <c r="AL148" s="59"/>
      <c r="AM148" s="57"/>
    </row>
    <row x14ac:dyDescent="0.25" r="149" customHeight="1" ht="18">
      <c r="A149" s="45">
        <v>143</v>
      </c>
      <c r="B149" s="50" t="s">
        <v>2760</v>
      </c>
      <c r="C149" s="47" t="s">
        <v>3151</v>
      </c>
      <c r="D149" s="160">
        <v>143</v>
      </c>
      <c r="E149" s="46" t="s">
        <v>47</v>
      </c>
      <c r="F149" s="46" t="s">
        <v>48</v>
      </c>
      <c r="G149" s="47" t="s">
        <v>49</v>
      </c>
      <c r="H149" s="47" t="s">
        <v>3154</v>
      </c>
      <c r="I149" s="47" t="s">
        <v>3521</v>
      </c>
      <c r="J149" s="130" t="s">
        <v>677</v>
      </c>
      <c r="K149" s="131"/>
      <c r="L149" s="59"/>
      <c r="M149" s="76"/>
      <c r="N149" s="81" t="s">
        <v>2536</v>
      </c>
      <c r="O149" s="47" t="s">
        <v>2872</v>
      </c>
      <c r="P149" s="47" t="s">
        <v>3529</v>
      </c>
      <c r="Q149" s="134">
        <v>22.936568</v>
      </c>
      <c r="R149" s="134">
        <v>92.052215</v>
      </c>
      <c r="S149" s="81">
        <v>175</v>
      </c>
      <c r="T149" s="81"/>
      <c r="U149" s="81"/>
      <c r="V149" s="81"/>
      <c r="W149" s="135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3"/>
      <c r="AK149" s="58"/>
      <c r="AL149" s="59"/>
      <c r="AM149" s="57"/>
    </row>
    <row x14ac:dyDescent="0.25" r="150" customHeight="1" ht="18">
      <c r="A150" s="45">
        <v>144</v>
      </c>
      <c r="B150" s="50" t="s">
        <v>2760</v>
      </c>
      <c r="C150" s="47" t="s">
        <v>3151</v>
      </c>
      <c r="D150" s="160">
        <v>144</v>
      </c>
      <c r="E150" s="46" t="s">
        <v>47</v>
      </c>
      <c r="F150" s="46" t="s">
        <v>48</v>
      </c>
      <c r="G150" s="47" t="s">
        <v>49</v>
      </c>
      <c r="H150" s="47" t="s">
        <v>3154</v>
      </c>
      <c r="I150" s="47" t="s">
        <v>3521</v>
      </c>
      <c r="J150" s="130" t="s">
        <v>684</v>
      </c>
      <c r="K150" s="131"/>
      <c r="L150" s="59"/>
      <c r="M150" s="76"/>
      <c r="N150" s="81" t="s">
        <v>328</v>
      </c>
      <c r="O150" s="47" t="s">
        <v>2236</v>
      </c>
      <c r="P150" s="47" t="s">
        <v>3530</v>
      </c>
      <c r="Q150" s="134">
        <v>22.938407</v>
      </c>
      <c r="R150" s="134">
        <v>92.054733</v>
      </c>
      <c r="S150" s="81">
        <v>800</v>
      </c>
      <c r="T150" s="81"/>
      <c r="U150" s="81"/>
      <c r="V150" s="81"/>
      <c r="W150" s="135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3"/>
      <c r="AK150" s="58"/>
      <c r="AL150" s="59"/>
      <c r="AM150" s="57"/>
    </row>
    <row x14ac:dyDescent="0.25" r="151" customHeight="1" ht="18">
      <c r="A151" s="45">
        <v>145</v>
      </c>
      <c r="B151" s="50" t="s">
        <v>2760</v>
      </c>
      <c r="C151" s="47" t="s">
        <v>3151</v>
      </c>
      <c r="D151" s="160">
        <v>145</v>
      </c>
      <c r="E151" s="46" t="s">
        <v>47</v>
      </c>
      <c r="F151" s="46" t="s">
        <v>48</v>
      </c>
      <c r="G151" s="47" t="s">
        <v>49</v>
      </c>
      <c r="H151" s="47" t="s">
        <v>3154</v>
      </c>
      <c r="I151" s="47" t="s">
        <v>3521</v>
      </c>
      <c r="J151" s="130" t="s">
        <v>684</v>
      </c>
      <c r="K151" s="131"/>
      <c r="L151" s="59"/>
      <c r="M151" s="76"/>
      <c r="N151" s="81" t="s">
        <v>3531</v>
      </c>
      <c r="O151" s="47" t="s">
        <v>3532</v>
      </c>
      <c r="P151" s="47" t="s">
        <v>3533</v>
      </c>
      <c r="Q151" s="134">
        <v>22.934498</v>
      </c>
      <c r="R151" s="134">
        <v>92.052442</v>
      </c>
      <c r="S151" s="81">
        <v>100</v>
      </c>
      <c r="T151" s="81"/>
      <c r="U151" s="81"/>
      <c r="V151" s="81"/>
      <c r="W151" s="7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3"/>
      <c r="AK151" s="58"/>
      <c r="AL151" s="59"/>
      <c r="AM151" s="57"/>
    </row>
    <row x14ac:dyDescent="0.25" r="152" customHeight="1" ht="18">
      <c r="A152" s="45">
        <v>146</v>
      </c>
      <c r="B152" s="50" t="s">
        <v>2760</v>
      </c>
      <c r="C152" s="47" t="s">
        <v>3151</v>
      </c>
      <c r="D152" s="160">
        <v>146</v>
      </c>
      <c r="E152" s="46" t="s">
        <v>47</v>
      </c>
      <c r="F152" s="46" t="s">
        <v>48</v>
      </c>
      <c r="G152" s="47" t="s">
        <v>49</v>
      </c>
      <c r="H152" s="47" t="s">
        <v>3154</v>
      </c>
      <c r="I152" s="47" t="s">
        <v>3521</v>
      </c>
      <c r="J152" s="130" t="s">
        <v>697</v>
      </c>
      <c r="K152" s="131"/>
      <c r="L152" s="59"/>
      <c r="M152" s="76"/>
      <c r="N152" s="81" t="s">
        <v>3534</v>
      </c>
      <c r="O152" s="47" t="s">
        <v>3535</v>
      </c>
      <c r="P152" s="47" t="s">
        <v>3536</v>
      </c>
      <c r="Q152" s="134">
        <v>22.94834</v>
      </c>
      <c r="R152" s="134">
        <v>92.056889</v>
      </c>
      <c r="S152" s="81">
        <v>575</v>
      </c>
      <c r="T152" s="81"/>
      <c r="U152" s="81"/>
      <c r="V152" s="81"/>
      <c r="W152" s="135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3"/>
      <c r="AK152" s="58"/>
      <c r="AL152" s="59"/>
      <c r="AM152" s="57"/>
    </row>
    <row x14ac:dyDescent="0.25" r="153" customHeight="1" ht="18">
      <c r="A153" s="45">
        <v>147</v>
      </c>
      <c r="B153" s="50" t="s">
        <v>2760</v>
      </c>
      <c r="C153" s="47" t="s">
        <v>3151</v>
      </c>
      <c r="D153" s="160">
        <v>147</v>
      </c>
      <c r="E153" s="46" t="s">
        <v>47</v>
      </c>
      <c r="F153" s="46" t="s">
        <v>48</v>
      </c>
      <c r="G153" s="47" t="s">
        <v>49</v>
      </c>
      <c r="H153" s="47" t="s">
        <v>3154</v>
      </c>
      <c r="I153" s="47" t="s">
        <v>3521</v>
      </c>
      <c r="J153" s="130" t="s">
        <v>697</v>
      </c>
      <c r="K153" s="131"/>
      <c r="L153" s="132"/>
      <c r="M153" s="76"/>
      <c r="N153" s="81" t="s">
        <v>3537</v>
      </c>
      <c r="O153" s="47" t="s">
        <v>3538</v>
      </c>
      <c r="P153" s="47" t="s">
        <v>3539</v>
      </c>
      <c r="Q153" s="134">
        <v>22.949428</v>
      </c>
      <c r="R153" s="134">
        <v>92.062207</v>
      </c>
      <c r="S153" s="81">
        <v>130</v>
      </c>
      <c r="T153" s="81"/>
      <c r="U153" s="81"/>
      <c r="V153" s="81"/>
      <c r="W153" s="135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3"/>
      <c r="AK153" s="58"/>
      <c r="AL153" s="59"/>
      <c r="AM153" s="57"/>
    </row>
    <row x14ac:dyDescent="0.25" r="154" customHeight="1" ht="18">
      <c r="A154" s="45">
        <v>148</v>
      </c>
      <c r="B154" s="50" t="s">
        <v>2760</v>
      </c>
      <c r="C154" s="47" t="s">
        <v>3151</v>
      </c>
      <c r="D154" s="160">
        <v>148</v>
      </c>
      <c r="E154" s="46" t="s">
        <v>47</v>
      </c>
      <c r="F154" s="46" t="s">
        <v>48</v>
      </c>
      <c r="G154" s="47" t="s">
        <v>49</v>
      </c>
      <c r="H154" s="47" t="s">
        <v>3154</v>
      </c>
      <c r="I154" s="47" t="s">
        <v>3521</v>
      </c>
      <c r="J154" s="130" t="s">
        <v>697</v>
      </c>
      <c r="K154" s="131"/>
      <c r="L154" s="132"/>
      <c r="M154" s="76"/>
      <c r="N154" s="81" t="s">
        <v>3540</v>
      </c>
      <c r="O154" s="47" t="s">
        <v>3541</v>
      </c>
      <c r="P154" s="47" t="s">
        <v>3542</v>
      </c>
      <c r="Q154" s="134">
        <v>22.944787</v>
      </c>
      <c r="R154" s="134">
        <v>92.060472</v>
      </c>
      <c r="S154" s="81">
        <v>85</v>
      </c>
      <c r="T154" s="81"/>
      <c r="U154" s="81"/>
      <c r="V154" s="81"/>
      <c r="W154" s="7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3"/>
      <c r="AK154" s="58"/>
      <c r="AL154" s="59"/>
      <c r="AM154" s="57"/>
    </row>
    <row x14ac:dyDescent="0.25" r="155" customHeight="1" ht="18">
      <c r="A155" s="45">
        <v>149</v>
      </c>
      <c r="B155" s="50" t="s">
        <v>2760</v>
      </c>
      <c r="C155" s="47" t="s">
        <v>3151</v>
      </c>
      <c r="D155" s="160">
        <v>149</v>
      </c>
      <c r="E155" s="46" t="s">
        <v>47</v>
      </c>
      <c r="F155" s="46" t="s">
        <v>48</v>
      </c>
      <c r="G155" s="47" t="s">
        <v>49</v>
      </c>
      <c r="H155" s="47" t="s">
        <v>3154</v>
      </c>
      <c r="I155" s="47" t="s">
        <v>3521</v>
      </c>
      <c r="J155" s="130" t="s">
        <v>697</v>
      </c>
      <c r="K155" s="131"/>
      <c r="L155" s="132"/>
      <c r="M155" s="76"/>
      <c r="N155" s="81" t="s">
        <v>3543</v>
      </c>
      <c r="O155" s="47" t="s">
        <v>3544</v>
      </c>
      <c r="P155" s="47" t="s">
        <v>3545</v>
      </c>
      <c r="Q155" s="134">
        <v>22.954493</v>
      </c>
      <c r="R155" s="134">
        <v>92.070712</v>
      </c>
      <c r="S155" s="81">
        <v>375</v>
      </c>
      <c r="T155" s="81"/>
      <c r="U155" s="81"/>
      <c r="V155" s="81"/>
      <c r="W155" s="135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3"/>
      <c r="AK155" s="58"/>
      <c r="AL155" s="59"/>
      <c r="AM155" s="57"/>
    </row>
    <row x14ac:dyDescent="0.25" r="156" customHeight="1" ht="18">
      <c r="A156" s="45">
        <v>150</v>
      </c>
      <c r="B156" s="50" t="s">
        <v>2760</v>
      </c>
      <c r="C156" s="47" t="s">
        <v>3151</v>
      </c>
      <c r="D156" s="160">
        <v>150</v>
      </c>
      <c r="E156" s="46" t="s">
        <v>47</v>
      </c>
      <c r="F156" s="46" t="s">
        <v>48</v>
      </c>
      <c r="G156" s="47" t="s">
        <v>49</v>
      </c>
      <c r="H156" s="47" t="s">
        <v>3154</v>
      </c>
      <c r="I156" s="47" t="s">
        <v>3521</v>
      </c>
      <c r="J156" s="130" t="s">
        <v>697</v>
      </c>
      <c r="K156" s="131"/>
      <c r="L156" s="132"/>
      <c r="M156" s="76"/>
      <c r="N156" s="81" t="s">
        <v>3546</v>
      </c>
      <c r="O156" s="47" t="s">
        <v>3547</v>
      </c>
      <c r="P156" s="47" t="s">
        <v>3548</v>
      </c>
      <c r="Q156" s="134">
        <v>22.946568</v>
      </c>
      <c r="R156" s="134">
        <v>92.059316</v>
      </c>
      <c r="S156" s="81">
        <v>50</v>
      </c>
      <c r="T156" s="81"/>
      <c r="U156" s="81"/>
      <c r="V156" s="81"/>
      <c r="W156" s="7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3"/>
      <c r="AK156" s="58"/>
      <c r="AL156" s="59"/>
      <c r="AM156" s="57"/>
    </row>
    <row x14ac:dyDescent="0.25" r="157" customHeight="1" ht="18">
      <c r="A157" s="45">
        <v>151</v>
      </c>
      <c r="B157" s="50" t="s">
        <v>2760</v>
      </c>
      <c r="C157" s="47" t="s">
        <v>3151</v>
      </c>
      <c r="D157" s="160">
        <v>151</v>
      </c>
      <c r="E157" s="46" t="s">
        <v>47</v>
      </c>
      <c r="F157" s="46" t="s">
        <v>48</v>
      </c>
      <c r="G157" s="47" t="s">
        <v>49</v>
      </c>
      <c r="H157" s="47" t="s">
        <v>3154</v>
      </c>
      <c r="I157" s="47" t="s">
        <v>3521</v>
      </c>
      <c r="J157" s="130" t="s">
        <v>707</v>
      </c>
      <c r="K157" s="131"/>
      <c r="L157" s="132"/>
      <c r="M157" s="76"/>
      <c r="N157" s="81" t="s">
        <v>3549</v>
      </c>
      <c r="O157" s="47" t="s">
        <v>3550</v>
      </c>
      <c r="P157" s="47" t="s">
        <v>3551</v>
      </c>
      <c r="Q157" s="134">
        <v>22.926235</v>
      </c>
      <c r="R157" s="134">
        <v>92.054513</v>
      </c>
      <c r="S157" s="81">
        <v>625</v>
      </c>
      <c r="T157" s="81"/>
      <c r="U157" s="81"/>
      <c r="V157" s="81"/>
      <c r="W157" s="7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3"/>
      <c r="AK157" s="58"/>
      <c r="AL157" s="59"/>
      <c r="AM157" s="57"/>
    </row>
    <row x14ac:dyDescent="0.25" r="158" customHeight="1" ht="18">
      <c r="A158" s="45">
        <v>152</v>
      </c>
      <c r="B158" s="50" t="s">
        <v>2760</v>
      </c>
      <c r="C158" s="47" t="s">
        <v>3151</v>
      </c>
      <c r="D158" s="160">
        <v>152</v>
      </c>
      <c r="E158" s="46" t="s">
        <v>47</v>
      </c>
      <c r="F158" s="46" t="s">
        <v>48</v>
      </c>
      <c r="G158" s="47" t="s">
        <v>49</v>
      </c>
      <c r="H158" s="47" t="s">
        <v>3154</v>
      </c>
      <c r="I158" s="47" t="s">
        <v>3521</v>
      </c>
      <c r="J158" s="130" t="s">
        <v>726</v>
      </c>
      <c r="K158" s="131"/>
      <c r="L158" s="132"/>
      <c r="M158" s="76"/>
      <c r="N158" s="81" t="s">
        <v>3177</v>
      </c>
      <c r="O158" s="47" t="s">
        <v>3552</v>
      </c>
      <c r="P158" s="47" t="s">
        <v>3553</v>
      </c>
      <c r="Q158" s="134">
        <v>22.934473</v>
      </c>
      <c r="R158" s="134">
        <v>92.0694</v>
      </c>
      <c r="S158" s="81">
        <v>800</v>
      </c>
      <c r="T158" s="81"/>
      <c r="U158" s="81"/>
      <c r="V158" s="81"/>
      <c r="W158" s="135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3"/>
      <c r="AK158" s="58"/>
      <c r="AL158" s="59"/>
      <c r="AM158" s="57"/>
    </row>
    <row x14ac:dyDescent="0.25" r="159" customHeight="1" ht="18">
      <c r="A159" s="45">
        <v>153</v>
      </c>
      <c r="B159" s="50" t="s">
        <v>2760</v>
      </c>
      <c r="C159" s="47" t="s">
        <v>3151</v>
      </c>
      <c r="D159" s="160">
        <v>153</v>
      </c>
      <c r="E159" s="46" t="s">
        <v>47</v>
      </c>
      <c r="F159" s="46" t="s">
        <v>48</v>
      </c>
      <c r="G159" s="47" t="s">
        <v>49</v>
      </c>
      <c r="H159" s="47" t="s">
        <v>3154</v>
      </c>
      <c r="I159" s="47" t="s">
        <v>3521</v>
      </c>
      <c r="J159" s="130" t="s">
        <v>742</v>
      </c>
      <c r="K159" s="131"/>
      <c r="L159" s="132"/>
      <c r="M159" s="76"/>
      <c r="N159" s="81" t="s">
        <v>3554</v>
      </c>
      <c r="O159" s="47" t="s">
        <v>3555</v>
      </c>
      <c r="P159" s="47" t="s">
        <v>3556</v>
      </c>
      <c r="Q159" s="134">
        <v>22.939229</v>
      </c>
      <c r="R159" s="134">
        <v>92.081117</v>
      </c>
      <c r="S159" s="81">
        <v>250</v>
      </c>
      <c r="T159" s="81"/>
      <c r="U159" s="81"/>
      <c r="V159" s="81"/>
      <c r="W159" s="135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3"/>
      <c r="AK159" s="58"/>
      <c r="AL159" s="59"/>
      <c r="AM159" s="57"/>
    </row>
    <row x14ac:dyDescent="0.25" r="160" customHeight="1" ht="18">
      <c r="A160" s="45">
        <v>154</v>
      </c>
      <c r="B160" s="50" t="s">
        <v>2760</v>
      </c>
      <c r="C160" s="47" t="s">
        <v>3151</v>
      </c>
      <c r="D160" s="160">
        <v>154</v>
      </c>
      <c r="E160" s="46" t="s">
        <v>47</v>
      </c>
      <c r="F160" s="46" t="s">
        <v>48</v>
      </c>
      <c r="G160" s="47" t="s">
        <v>49</v>
      </c>
      <c r="H160" s="47" t="s">
        <v>3154</v>
      </c>
      <c r="I160" s="47" t="s">
        <v>3521</v>
      </c>
      <c r="J160" s="130" t="s">
        <v>742</v>
      </c>
      <c r="K160" s="131"/>
      <c r="L160" s="59"/>
      <c r="M160" s="76"/>
      <c r="N160" s="81" t="s">
        <v>57</v>
      </c>
      <c r="O160" s="47" t="s">
        <v>804</v>
      </c>
      <c r="P160" s="47" t="s">
        <v>3557</v>
      </c>
      <c r="Q160" s="134">
        <v>22.944384</v>
      </c>
      <c r="R160" s="134">
        <v>92.092952</v>
      </c>
      <c r="S160" s="81">
        <v>400</v>
      </c>
      <c r="T160" s="81"/>
      <c r="U160" s="81"/>
      <c r="V160" s="81"/>
      <c r="W160" s="7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3"/>
      <c r="AK160" s="58"/>
      <c r="AL160" s="59"/>
      <c r="AM160" s="57"/>
    </row>
    <row x14ac:dyDescent="0.25" r="161" customHeight="1" ht="18">
      <c r="A161" s="45">
        <v>155</v>
      </c>
      <c r="B161" s="50" t="s">
        <v>2760</v>
      </c>
      <c r="C161" s="47" t="s">
        <v>3151</v>
      </c>
      <c r="D161" s="160">
        <v>155</v>
      </c>
      <c r="E161" s="46" t="s">
        <v>47</v>
      </c>
      <c r="F161" s="46" t="s">
        <v>48</v>
      </c>
      <c r="G161" s="47" t="s">
        <v>49</v>
      </c>
      <c r="H161" s="47" t="s">
        <v>3154</v>
      </c>
      <c r="I161" s="47" t="s">
        <v>3521</v>
      </c>
      <c r="J161" s="130" t="s">
        <v>742</v>
      </c>
      <c r="K161" s="131"/>
      <c r="L161" s="59"/>
      <c r="M161" s="76"/>
      <c r="N161" s="81" t="s">
        <v>3558</v>
      </c>
      <c r="O161" s="47" t="s">
        <v>3559</v>
      </c>
      <c r="P161" s="47" t="s">
        <v>3560</v>
      </c>
      <c r="Q161" s="134">
        <v>22.961188</v>
      </c>
      <c r="R161" s="134">
        <v>92.104277</v>
      </c>
      <c r="S161" s="81">
        <v>210</v>
      </c>
      <c r="T161" s="81"/>
      <c r="U161" s="81"/>
      <c r="V161" s="81"/>
      <c r="W161" s="7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3"/>
      <c r="AK161" s="58"/>
      <c r="AL161" s="59"/>
      <c r="AM161" s="57"/>
    </row>
    <row x14ac:dyDescent="0.25" r="162" customHeight="1" ht="18">
      <c r="A162" s="45">
        <v>156</v>
      </c>
      <c r="B162" s="50" t="s">
        <v>2760</v>
      </c>
      <c r="C162" s="47" t="s">
        <v>3151</v>
      </c>
      <c r="D162" s="160">
        <v>156</v>
      </c>
      <c r="E162" s="46" t="s">
        <v>47</v>
      </c>
      <c r="F162" s="46" t="s">
        <v>48</v>
      </c>
      <c r="G162" s="47" t="s">
        <v>49</v>
      </c>
      <c r="H162" s="47" t="s">
        <v>3154</v>
      </c>
      <c r="I162" s="47" t="s">
        <v>3521</v>
      </c>
      <c r="J162" s="130" t="s">
        <v>742</v>
      </c>
      <c r="K162" s="131"/>
      <c r="L162" s="59"/>
      <c r="M162" s="76"/>
      <c r="N162" s="81" t="s">
        <v>1015</v>
      </c>
      <c r="O162" s="47" t="s">
        <v>3346</v>
      </c>
      <c r="P162" s="47" t="s">
        <v>3561</v>
      </c>
      <c r="Q162" s="134">
        <v>22.949444</v>
      </c>
      <c r="R162" s="134">
        <v>92.078416</v>
      </c>
      <c r="S162" s="81">
        <v>165</v>
      </c>
      <c r="T162" s="81"/>
      <c r="U162" s="81"/>
      <c r="V162" s="81"/>
      <c r="W162" s="7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3"/>
      <c r="AK162" s="58"/>
      <c r="AL162" s="59"/>
      <c r="AM162" s="57"/>
    </row>
    <row x14ac:dyDescent="0.25" r="163" customHeight="1" ht="18">
      <c r="A163" s="45">
        <v>157</v>
      </c>
      <c r="B163" s="50" t="s">
        <v>2760</v>
      </c>
      <c r="C163" s="47" t="s">
        <v>3151</v>
      </c>
      <c r="D163" s="160">
        <v>157</v>
      </c>
      <c r="E163" s="46" t="s">
        <v>47</v>
      </c>
      <c r="F163" s="46" t="s">
        <v>48</v>
      </c>
      <c r="G163" s="47" t="s">
        <v>49</v>
      </c>
      <c r="H163" s="47" t="s">
        <v>3154</v>
      </c>
      <c r="I163" s="47" t="s">
        <v>3521</v>
      </c>
      <c r="J163" s="130" t="s">
        <v>761</v>
      </c>
      <c r="K163" s="131"/>
      <c r="L163" s="59"/>
      <c r="M163" s="76"/>
      <c r="N163" s="81" t="s">
        <v>3562</v>
      </c>
      <c r="O163" s="47" t="s">
        <v>3563</v>
      </c>
      <c r="P163" s="47" t="s">
        <v>3564</v>
      </c>
      <c r="Q163" s="134">
        <v>22.958272</v>
      </c>
      <c r="R163" s="134">
        <v>92.062489</v>
      </c>
      <c r="S163" s="81">
        <v>600</v>
      </c>
      <c r="T163" s="81"/>
      <c r="U163" s="81"/>
      <c r="V163" s="81"/>
      <c r="W163" s="7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3"/>
      <c r="AK163" s="58"/>
      <c r="AL163" s="59"/>
      <c r="AM163" s="57"/>
    </row>
    <row x14ac:dyDescent="0.25" r="164" customHeight="1" ht="18">
      <c r="A164" s="45">
        <v>158</v>
      </c>
      <c r="B164" s="50" t="s">
        <v>2760</v>
      </c>
      <c r="C164" s="47" t="s">
        <v>3151</v>
      </c>
      <c r="D164" s="160">
        <v>158</v>
      </c>
      <c r="E164" s="46" t="s">
        <v>47</v>
      </c>
      <c r="F164" s="46" t="s">
        <v>48</v>
      </c>
      <c r="G164" s="47" t="s">
        <v>49</v>
      </c>
      <c r="H164" s="47" t="s">
        <v>3154</v>
      </c>
      <c r="I164" s="47" t="s">
        <v>3521</v>
      </c>
      <c r="J164" s="130" t="s">
        <v>761</v>
      </c>
      <c r="K164" s="131"/>
      <c r="L164" s="59"/>
      <c r="M164" s="76"/>
      <c r="N164" s="81" t="s">
        <v>3565</v>
      </c>
      <c r="O164" s="47" t="s">
        <v>3566</v>
      </c>
      <c r="P164" s="47" t="s">
        <v>3567</v>
      </c>
      <c r="Q164" s="134">
        <v>22.96176</v>
      </c>
      <c r="R164" s="134">
        <v>92.056421</v>
      </c>
      <c r="S164" s="81">
        <v>400</v>
      </c>
      <c r="T164" s="81"/>
      <c r="U164" s="81"/>
      <c r="V164" s="81"/>
      <c r="W164" s="7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3"/>
      <c r="AK164" s="58"/>
      <c r="AL164" s="59"/>
      <c r="AM164" s="57"/>
    </row>
    <row x14ac:dyDescent="0.25" r="165" customHeight="1" ht="18">
      <c r="A165" s="45">
        <v>159</v>
      </c>
      <c r="B165" s="50" t="s">
        <v>2760</v>
      </c>
      <c r="C165" s="47" t="s">
        <v>3151</v>
      </c>
      <c r="D165" s="160">
        <v>159</v>
      </c>
      <c r="E165" s="46" t="s">
        <v>47</v>
      </c>
      <c r="F165" s="46" t="s">
        <v>48</v>
      </c>
      <c r="G165" s="47" t="s">
        <v>49</v>
      </c>
      <c r="H165" s="47" t="s">
        <v>3154</v>
      </c>
      <c r="I165" s="47" t="s">
        <v>3521</v>
      </c>
      <c r="J165" s="130" t="s">
        <v>761</v>
      </c>
      <c r="K165" s="131"/>
      <c r="L165" s="59"/>
      <c r="M165" s="76"/>
      <c r="N165" s="81" t="s">
        <v>3568</v>
      </c>
      <c r="O165" s="47" t="s">
        <v>3569</v>
      </c>
      <c r="P165" s="47" t="s">
        <v>3570</v>
      </c>
      <c r="Q165" s="134">
        <v>22.968082</v>
      </c>
      <c r="R165" s="134">
        <v>92.059113</v>
      </c>
      <c r="S165" s="81">
        <v>150</v>
      </c>
      <c r="T165" s="81"/>
      <c r="U165" s="81"/>
      <c r="V165" s="81"/>
      <c r="W165" s="7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3"/>
      <c r="AK165" s="58"/>
      <c r="AL165" s="59"/>
      <c r="AM165" s="57"/>
    </row>
    <row x14ac:dyDescent="0.25" r="166" customHeight="1" ht="18">
      <c r="A166" s="45">
        <v>160</v>
      </c>
      <c r="B166" s="50" t="s">
        <v>2760</v>
      </c>
      <c r="C166" s="47" t="s">
        <v>3151</v>
      </c>
      <c r="D166" s="160">
        <v>160</v>
      </c>
      <c r="E166" s="46" t="s">
        <v>47</v>
      </c>
      <c r="F166" s="46" t="s">
        <v>48</v>
      </c>
      <c r="G166" s="47" t="s">
        <v>49</v>
      </c>
      <c r="H166" s="47" t="s">
        <v>3154</v>
      </c>
      <c r="I166" s="47" t="s">
        <v>3521</v>
      </c>
      <c r="J166" s="130" t="s">
        <v>761</v>
      </c>
      <c r="K166" s="131"/>
      <c r="L166" s="59"/>
      <c r="M166" s="76"/>
      <c r="N166" s="81" t="s">
        <v>3571</v>
      </c>
      <c r="O166" s="47" t="s">
        <v>3572</v>
      </c>
      <c r="P166" s="47" t="s">
        <v>3573</v>
      </c>
      <c r="Q166" s="134">
        <v>22.965864</v>
      </c>
      <c r="R166" s="134">
        <v>92.049079</v>
      </c>
      <c r="S166" s="81">
        <v>250</v>
      </c>
      <c r="T166" s="81"/>
      <c r="U166" s="81"/>
      <c r="V166" s="81"/>
      <c r="W166" s="7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3"/>
      <c r="AK166" s="58"/>
      <c r="AL166" s="59"/>
      <c r="AM166" s="57"/>
    </row>
    <row x14ac:dyDescent="0.25" r="167" customHeight="1" ht="18">
      <c r="A167" s="45">
        <v>161</v>
      </c>
      <c r="B167" s="50" t="s">
        <v>2760</v>
      </c>
      <c r="C167" s="47" t="s">
        <v>3151</v>
      </c>
      <c r="D167" s="160">
        <v>161</v>
      </c>
      <c r="E167" s="46" t="s">
        <v>47</v>
      </c>
      <c r="F167" s="46" t="s">
        <v>48</v>
      </c>
      <c r="G167" s="47" t="s">
        <v>49</v>
      </c>
      <c r="H167" s="47" t="s">
        <v>3154</v>
      </c>
      <c r="I167" s="47" t="s">
        <v>3521</v>
      </c>
      <c r="J167" s="130" t="s">
        <v>781</v>
      </c>
      <c r="K167" s="131"/>
      <c r="L167" s="59"/>
      <c r="M167" s="76"/>
      <c r="N167" s="81" t="s">
        <v>3574</v>
      </c>
      <c r="O167" s="47" t="s">
        <v>3575</v>
      </c>
      <c r="P167" s="47" t="s">
        <v>3576</v>
      </c>
      <c r="Q167" s="134">
        <v>22.965238</v>
      </c>
      <c r="R167" s="134">
        <v>92.070215</v>
      </c>
      <c r="S167" s="81">
        <v>1300</v>
      </c>
      <c r="T167" s="81"/>
      <c r="U167" s="81"/>
      <c r="V167" s="81"/>
      <c r="W167" s="7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3"/>
      <c r="AK167" s="58"/>
      <c r="AL167" s="59"/>
      <c r="AM167" s="57"/>
    </row>
    <row x14ac:dyDescent="0.25" r="168" customHeight="1" ht="18">
      <c r="A168" s="45">
        <v>162</v>
      </c>
      <c r="B168" s="50" t="s">
        <v>2760</v>
      </c>
      <c r="C168" s="47" t="s">
        <v>3151</v>
      </c>
      <c r="D168" s="160">
        <v>162</v>
      </c>
      <c r="E168" s="46" t="s">
        <v>47</v>
      </c>
      <c r="F168" s="46" t="s">
        <v>48</v>
      </c>
      <c r="G168" s="47" t="s">
        <v>49</v>
      </c>
      <c r="H168" s="47" t="s">
        <v>3154</v>
      </c>
      <c r="I168" s="47" t="s">
        <v>3521</v>
      </c>
      <c r="J168" s="130" t="s">
        <v>797</v>
      </c>
      <c r="K168" s="131"/>
      <c r="L168" s="132"/>
      <c r="M168" s="76"/>
      <c r="N168" s="81" t="s">
        <v>3192</v>
      </c>
      <c r="O168" s="47" t="s">
        <v>3193</v>
      </c>
      <c r="P168" s="47" t="s">
        <v>3577</v>
      </c>
      <c r="Q168" s="134">
        <v>22.981912</v>
      </c>
      <c r="R168" s="134">
        <v>92.073546</v>
      </c>
      <c r="S168" s="81">
        <v>260</v>
      </c>
      <c r="T168" s="81"/>
      <c r="U168" s="81"/>
      <c r="V168" s="81"/>
      <c r="W168" s="7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3"/>
      <c r="AK168" s="58"/>
      <c r="AL168" s="59"/>
      <c r="AM168" s="57"/>
    </row>
    <row x14ac:dyDescent="0.25" r="169" customHeight="1" ht="18">
      <c r="A169" s="45">
        <v>163</v>
      </c>
      <c r="B169" s="50" t="s">
        <v>2760</v>
      </c>
      <c r="C169" s="47" t="s">
        <v>3151</v>
      </c>
      <c r="D169" s="160">
        <v>163</v>
      </c>
      <c r="E169" s="46" t="s">
        <v>47</v>
      </c>
      <c r="F169" s="46" t="s">
        <v>48</v>
      </c>
      <c r="G169" s="47" t="s">
        <v>49</v>
      </c>
      <c r="H169" s="47" t="s">
        <v>3154</v>
      </c>
      <c r="I169" s="47" t="s">
        <v>3521</v>
      </c>
      <c r="J169" s="130" t="s">
        <v>797</v>
      </c>
      <c r="K169" s="131"/>
      <c r="L169" s="132"/>
      <c r="M169" s="57"/>
      <c r="N169" s="81" t="s">
        <v>3578</v>
      </c>
      <c r="O169" s="47" t="s">
        <v>3579</v>
      </c>
      <c r="P169" s="47" t="s">
        <v>3580</v>
      </c>
      <c r="Q169" s="134">
        <v>22.986386</v>
      </c>
      <c r="R169" s="134">
        <v>92.082787</v>
      </c>
      <c r="S169" s="81">
        <v>65</v>
      </c>
      <c r="T169" s="81"/>
      <c r="U169" s="81"/>
      <c r="V169" s="81"/>
      <c r="W169" s="7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3"/>
      <c r="AK169" s="58"/>
      <c r="AL169" s="59"/>
      <c r="AM169" s="57"/>
    </row>
    <row x14ac:dyDescent="0.25" r="170" customHeight="1" ht="18">
      <c r="A170" s="45">
        <v>164</v>
      </c>
      <c r="B170" s="50" t="s">
        <v>2760</v>
      </c>
      <c r="C170" s="47" t="s">
        <v>3151</v>
      </c>
      <c r="D170" s="160">
        <v>164</v>
      </c>
      <c r="E170" s="46" t="s">
        <v>47</v>
      </c>
      <c r="F170" s="46" t="s">
        <v>48</v>
      </c>
      <c r="G170" s="47" t="s">
        <v>49</v>
      </c>
      <c r="H170" s="47" t="s">
        <v>3154</v>
      </c>
      <c r="I170" s="47" t="s">
        <v>3521</v>
      </c>
      <c r="J170" s="130" t="s">
        <v>797</v>
      </c>
      <c r="K170" s="131"/>
      <c r="L170" s="132"/>
      <c r="M170" s="76"/>
      <c r="N170" s="81" t="s">
        <v>3581</v>
      </c>
      <c r="O170" s="47" t="s">
        <v>3582</v>
      </c>
      <c r="P170" s="47" t="s">
        <v>3583</v>
      </c>
      <c r="Q170" s="134">
        <v>22.976454</v>
      </c>
      <c r="R170" s="134">
        <v>92.086873</v>
      </c>
      <c r="S170" s="81">
        <v>130</v>
      </c>
      <c r="T170" s="81"/>
      <c r="U170" s="81"/>
      <c r="V170" s="81"/>
      <c r="W170" s="7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3"/>
      <c r="AK170" s="58"/>
      <c r="AL170" s="59"/>
      <c r="AM170" s="57"/>
    </row>
    <row x14ac:dyDescent="0.25" r="171" customHeight="1" ht="18">
      <c r="A171" s="45">
        <v>165</v>
      </c>
      <c r="B171" s="50" t="s">
        <v>2760</v>
      </c>
      <c r="C171" s="47" t="s">
        <v>3151</v>
      </c>
      <c r="D171" s="160">
        <v>165</v>
      </c>
      <c r="E171" s="46" t="s">
        <v>47</v>
      </c>
      <c r="F171" s="46" t="s">
        <v>48</v>
      </c>
      <c r="G171" s="47" t="s">
        <v>49</v>
      </c>
      <c r="H171" s="47" t="s">
        <v>3154</v>
      </c>
      <c r="I171" s="47" t="s">
        <v>3521</v>
      </c>
      <c r="J171" s="130" t="s">
        <v>797</v>
      </c>
      <c r="K171" s="131"/>
      <c r="L171" s="132"/>
      <c r="M171" s="76"/>
      <c r="N171" s="81" t="s">
        <v>3584</v>
      </c>
      <c r="O171" s="47" t="s">
        <v>3585</v>
      </c>
      <c r="P171" s="47" t="s">
        <v>3586</v>
      </c>
      <c r="Q171" s="134">
        <v>22.983639</v>
      </c>
      <c r="R171" s="134">
        <v>92.09553</v>
      </c>
      <c r="S171" s="81">
        <v>240</v>
      </c>
      <c r="T171" s="81"/>
      <c r="U171" s="81"/>
      <c r="V171" s="81"/>
      <c r="W171" s="7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3"/>
      <c r="AK171" s="58"/>
      <c r="AL171" s="59"/>
      <c r="AM171" s="57"/>
    </row>
  </sheetData>
  <mergeCells count="3">
    <mergeCell ref="J1:J2"/>
    <mergeCell ref="A5:B5"/>
    <mergeCell ref="X5:A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49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6" width="9.576428571428572" customWidth="1" bestFit="1"/>
    <col min="3" max="3" style="84" width="4.862142857142857" customWidth="1" bestFit="1"/>
    <col min="4" max="4" style="85" width="12.576428571428572" customWidth="1" bestFit="1"/>
    <col min="5" max="5" style="85" width="14.290714285714287" customWidth="1" bestFit="1"/>
    <col min="6" max="6" style="86" width="13.43357142857143" customWidth="1" bestFit="1"/>
    <col min="7" max="7" style="85" width="11.005" customWidth="1" bestFit="1"/>
    <col min="8" max="8" style="85" width="15.43357142857143" customWidth="1" bestFit="1"/>
    <col min="9" max="9" style="140" width="6.862142857142857" customWidth="1" bestFit="1"/>
    <col min="10" max="10" style="91" width="19.719285714285714" customWidth="1" bestFit="1"/>
    <col min="11" max="11" style="92" width="7.2907142857142855" customWidth="1" bestFit="1"/>
    <col min="12" max="12" style="91" width="15.719285714285713" customWidth="1" bestFit="1"/>
    <col min="13" max="13" style="88" width="23.433571428571426" customWidth="1" bestFit="1"/>
    <col min="14" max="14" style="85" width="19.290714285714284" customWidth="1" bestFit="1"/>
    <col min="15" max="15" style="85" width="8.290714285714287" customWidth="1" bestFit="1"/>
    <col min="16" max="16" style="141" width="9.719285714285713" customWidth="1" bestFit="1"/>
    <col min="17" max="17" style="141" width="10.43357142857143" customWidth="1" bestFit="1"/>
    <col min="18" max="18" style="88" width="8.719285714285713" customWidth="1" bestFit="1"/>
    <col min="19" max="19" style="88" width="8.719285714285713" customWidth="1" bestFit="1"/>
    <col min="20" max="20" style="85" width="7.2907142857142855" customWidth="1" bestFit="1"/>
    <col min="21" max="21" style="85" width="7.433571428571429" customWidth="1" bestFit="1"/>
    <col min="22" max="22" style="89" width="7.2907142857142855" customWidth="1" bestFit="1"/>
    <col min="23" max="23" style="91" width="4.719285714285714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91" width="4.719285714285714" customWidth="1" bestFit="1"/>
    <col min="34" max="34" style="91" width="4.719285714285714" customWidth="1" bestFit="1"/>
    <col min="35" max="35" style="86" width="15.005" customWidth="1" bestFit="1"/>
    <col min="36" max="36" style="92" width="13.005" customWidth="1" bestFit="1"/>
    <col min="37" max="37" style="92" width="13.005" customWidth="1" bestFit="1"/>
    <col min="38" max="38" style="91" width="13.005" customWidth="1" bestFit="1"/>
  </cols>
  <sheetData>
    <row x14ac:dyDescent="0.25" r="1" customHeight="1" ht="18">
      <c r="A1" s="1"/>
      <c r="B1" s="2"/>
      <c r="C1" s="1"/>
      <c r="D1" s="2"/>
      <c r="E1" s="2"/>
      <c r="F1" s="2"/>
      <c r="G1" s="2"/>
      <c r="H1" s="2"/>
      <c r="I1" s="119" t="s">
        <v>0</v>
      </c>
      <c r="J1" s="4" t="s">
        <v>1</v>
      </c>
      <c r="K1" s="5">
        <f>COUNTIF(K7:K468,"SK(H)")</f>
      </c>
      <c r="L1" s="4" t="s">
        <v>2</v>
      </c>
      <c r="M1" s="6">
        <f>COUNTA(L7:L484)</f>
      </c>
      <c r="N1" s="7"/>
      <c r="O1" s="7"/>
      <c r="P1" s="120"/>
      <c r="Q1" s="120"/>
      <c r="R1" s="152"/>
      <c r="S1" s="152"/>
      <c r="T1" s="122"/>
      <c r="U1" s="122"/>
      <c r="V1" s="9"/>
      <c r="W1" s="11"/>
      <c r="X1" s="11"/>
      <c r="Y1" s="11"/>
      <c r="Z1" s="11"/>
      <c r="AA1" s="11"/>
      <c r="AB1" s="12"/>
      <c r="AC1" s="2"/>
      <c r="AD1" s="2"/>
      <c r="AE1" s="2"/>
      <c r="AF1" s="12"/>
      <c r="AG1" s="12"/>
      <c r="AH1" s="12" t="s">
        <v>3</v>
      </c>
      <c r="AI1" s="12"/>
      <c r="AJ1" s="13"/>
      <c r="AK1" s="14"/>
      <c r="AL1" s="2"/>
    </row>
    <row x14ac:dyDescent="0.25" r="2" customHeight="1" ht="18">
      <c r="A2" s="1"/>
      <c r="B2" s="15"/>
      <c r="C2" s="153"/>
      <c r="D2" s="15"/>
      <c r="E2" s="15"/>
      <c r="F2" s="15"/>
      <c r="G2" s="7"/>
      <c r="H2" s="7"/>
      <c r="I2" s="123"/>
      <c r="J2" s="4" t="s">
        <v>4</v>
      </c>
      <c r="K2" s="5">
        <f>COUNTIF(K7:K469,"SHW(H)")</f>
      </c>
      <c r="L2" s="4" t="s">
        <v>5</v>
      </c>
      <c r="M2" s="6">
        <f>COUNTA(M7:M149)</f>
      </c>
      <c r="N2" s="7"/>
      <c r="O2" s="7"/>
      <c r="P2" s="120"/>
      <c r="Q2" s="120"/>
      <c r="R2" s="152"/>
      <c r="S2" s="152"/>
      <c r="T2" s="122"/>
      <c r="U2" s="122"/>
      <c r="V2" s="9"/>
      <c r="W2" s="11"/>
      <c r="X2" s="11"/>
      <c r="Y2" s="11"/>
      <c r="Z2" s="11"/>
      <c r="AA2" s="11"/>
      <c r="AB2" s="12"/>
      <c r="AC2" s="2"/>
      <c r="AD2" s="2"/>
      <c r="AE2" s="2"/>
      <c r="AF2" s="12"/>
      <c r="AG2" s="12"/>
      <c r="AH2" s="12" t="s">
        <v>6</v>
      </c>
      <c r="AI2" s="12"/>
      <c r="AJ2" s="13"/>
      <c r="AK2" s="14"/>
      <c r="AL2" s="2"/>
    </row>
    <row x14ac:dyDescent="0.25" r="3" customHeight="1" ht="18">
      <c r="A3" s="1"/>
      <c r="B3" s="15"/>
      <c r="C3" s="153"/>
      <c r="D3" s="15"/>
      <c r="E3" s="15"/>
      <c r="F3" s="15"/>
      <c r="G3" s="7"/>
      <c r="H3" s="7"/>
      <c r="I3" s="123"/>
      <c r="J3" s="7"/>
      <c r="K3" s="17"/>
      <c r="L3" s="7"/>
      <c r="M3" s="18"/>
      <c r="N3" s="7"/>
      <c r="O3" s="7"/>
      <c r="P3" s="120"/>
      <c r="Q3" s="120"/>
      <c r="R3" s="152"/>
      <c r="S3" s="152"/>
      <c r="T3" s="122"/>
      <c r="U3" s="122"/>
      <c r="V3" s="9"/>
      <c r="W3" s="11"/>
      <c r="X3" s="11"/>
      <c r="Y3" s="11"/>
      <c r="Z3" s="11"/>
      <c r="AA3" s="11"/>
      <c r="AB3" s="12"/>
      <c r="AC3" s="2"/>
      <c r="AD3" s="2"/>
      <c r="AE3" s="2"/>
      <c r="AF3" s="12"/>
      <c r="AG3" s="12"/>
      <c r="AH3" s="12" t="s">
        <v>7</v>
      </c>
      <c r="AI3" s="12"/>
      <c r="AJ3" s="13"/>
      <c r="AK3" s="14"/>
      <c r="AL3" s="2"/>
    </row>
    <row x14ac:dyDescent="0.25" r="4" customHeight="1" ht="18">
      <c r="A4" s="1"/>
      <c r="B4" s="2"/>
      <c r="C4" s="1"/>
      <c r="D4" s="2"/>
      <c r="E4" s="2"/>
      <c r="F4" s="2"/>
      <c r="G4" s="12"/>
      <c r="H4" s="12"/>
      <c r="I4" s="124"/>
      <c r="J4" s="2"/>
      <c r="K4" s="14"/>
      <c r="L4" s="11"/>
      <c r="M4" s="20"/>
      <c r="N4" s="12"/>
      <c r="O4" s="12"/>
      <c r="P4" s="125"/>
      <c r="Q4" s="125"/>
      <c r="R4" s="152"/>
      <c r="S4" s="152"/>
      <c r="T4" s="122"/>
      <c r="U4" s="122"/>
      <c r="V4" s="9"/>
      <c r="W4" s="11"/>
      <c r="X4" s="11"/>
      <c r="Y4" s="11"/>
      <c r="Z4" s="11"/>
      <c r="AA4" s="11"/>
      <c r="AB4" s="12"/>
      <c r="AC4" s="2"/>
      <c r="AD4" s="2"/>
      <c r="AE4" s="2"/>
      <c r="AF4" s="12"/>
      <c r="AG4" s="12"/>
      <c r="AH4" s="11"/>
      <c r="AI4" s="12"/>
      <c r="AJ4" s="13"/>
      <c r="AK4" s="21"/>
      <c r="AL4" s="11"/>
    </row>
    <row x14ac:dyDescent="0.25" r="5" customHeight="1" ht="19.8">
      <c r="A5" s="22" t="s">
        <v>8</v>
      </c>
      <c r="B5" s="23"/>
      <c r="C5" s="22"/>
      <c r="D5" s="23"/>
      <c r="E5" s="23"/>
      <c r="F5" s="23" t="s">
        <v>2757</v>
      </c>
      <c r="G5" s="23" t="s">
        <v>2758</v>
      </c>
      <c r="H5" s="23"/>
      <c r="I5" s="126"/>
      <c r="J5" s="12"/>
      <c r="K5" s="14"/>
      <c r="L5" s="2"/>
      <c r="M5" s="24"/>
      <c r="N5" s="25"/>
      <c r="O5" s="25"/>
      <c r="P5" s="127"/>
      <c r="Q5" s="127"/>
      <c r="R5" s="154"/>
      <c r="S5" s="154"/>
      <c r="T5" s="27"/>
      <c r="U5" s="27"/>
      <c r="V5" s="2"/>
      <c r="W5" s="28" t="s">
        <v>10</v>
      </c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"/>
      <c r="AJ5" s="13"/>
      <c r="AK5" s="29"/>
      <c r="AL5" s="30"/>
    </row>
    <row x14ac:dyDescent="0.25" r="6" customHeight="1" ht="84.6" customFormat="1" s="31">
      <c r="A6" s="32" t="s">
        <v>11</v>
      </c>
      <c r="B6" s="33" t="s">
        <v>14</v>
      </c>
      <c r="C6" s="39" t="s">
        <v>2759</v>
      </c>
      <c r="D6" s="33" t="s">
        <v>12</v>
      </c>
      <c r="E6" s="33" t="s">
        <v>13</v>
      </c>
      <c r="F6" s="34" t="s">
        <v>14</v>
      </c>
      <c r="G6" s="33" t="s">
        <v>15</v>
      </c>
      <c r="H6" s="33" t="s">
        <v>16</v>
      </c>
      <c r="I6" s="128" t="s">
        <v>17</v>
      </c>
      <c r="J6" s="34" t="s">
        <v>18</v>
      </c>
      <c r="K6" s="35" t="s">
        <v>19</v>
      </c>
      <c r="L6" s="36" t="s">
        <v>20</v>
      </c>
      <c r="M6" s="37" t="s">
        <v>21</v>
      </c>
      <c r="N6" s="38" t="s">
        <v>22</v>
      </c>
      <c r="O6" s="38" t="s">
        <v>23</v>
      </c>
      <c r="P6" s="129" t="s">
        <v>24</v>
      </c>
      <c r="Q6" s="129" t="s">
        <v>25</v>
      </c>
      <c r="R6" s="39" t="s">
        <v>26</v>
      </c>
      <c r="S6" s="39" t="s">
        <v>27</v>
      </c>
      <c r="T6" s="34" t="s">
        <v>28</v>
      </c>
      <c r="U6" s="34" t="s">
        <v>29</v>
      </c>
      <c r="V6" s="34" t="s">
        <v>30</v>
      </c>
      <c r="W6" s="40" t="s">
        <v>31</v>
      </c>
      <c r="X6" s="33" t="s">
        <v>32</v>
      </c>
      <c r="Y6" s="33" t="s">
        <v>33</v>
      </c>
      <c r="Z6" s="33" t="s">
        <v>34</v>
      </c>
      <c r="AA6" s="33" t="s">
        <v>35</v>
      </c>
      <c r="AB6" s="33" t="s">
        <v>36</v>
      </c>
      <c r="AC6" s="33" t="s">
        <v>37</v>
      </c>
      <c r="AD6" s="33" t="s">
        <v>38</v>
      </c>
      <c r="AE6" s="33" t="s">
        <v>39</v>
      </c>
      <c r="AF6" s="33" t="s">
        <v>40</v>
      </c>
      <c r="AG6" s="33" t="s">
        <v>41</v>
      </c>
      <c r="AH6" s="33" t="s">
        <v>42</v>
      </c>
      <c r="AI6" s="41" t="s">
        <v>43</v>
      </c>
      <c r="AJ6" s="42" t="s">
        <v>44</v>
      </c>
      <c r="AK6" s="43" t="s">
        <v>45</v>
      </c>
      <c r="AL6" s="44" t="s">
        <v>46</v>
      </c>
    </row>
    <row x14ac:dyDescent="0.25" r="7" customHeight="1" ht="18">
      <c r="A7" s="45">
        <v>1</v>
      </c>
      <c r="B7" s="155" t="s">
        <v>2760</v>
      </c>
      <c r="C7" s="156">
        <v>1</v>
      </c>
      <c r="D7" s="46" t="s">
        <v>47</v>
      </c>
      <c r="E7" s="46" t="s">
        <v>48</v>
      </c>
      <c r="F7" s="47" t="s">
        <v>49</v>
      </c>
      <c r="G7" s="47" t="s">
        <v>2758</v>
      </c>
      <c r="H7" s="47" t="s">
        <v>2761</v>
      </c>
      <c r="I7" s="130" t="s">
        <v>677</v>
      </c>
      <c r="J7" s="131"/>
      <c r="K7" s="132"/>
      <c r="L7" s="76"/>
      <c r="M7" s="81" t="s">
        <v>2323</v>
      </c>
      <c r="N7" s="47" t="s">
        <v>2324</v>
      </c>
      <c r="O7" s="47" t="s">
        <v>2762</v>
      </c>
      <c r="P7" s="134">
        <v>22.979065</v>
      </c>
      <c r="Q7" s="134">
        <v>91.813456</v>
      </c>
      <c r="R7" s="81">
        <v>140</v>
      </c>
      <c r="S7" s="81"/>
      <c r="T7" s="81"/>
      <c r="U7" s="81"/>
      <c r="V7" s="7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47"/>
      <c r="AJ7" s="58"/>
      <c r="AK7" s="59"/>
      <c r="AL7" s="57"/>
    </row>
    <row x14ac:dyDescent="0.25" r="8" customHeight="1" ht="18">
      <c r="A8" s="45">
        <v>2</v>
      </c>
      <c r="B8" s="155" t="s">
        <v>2760</v>
      </c>
      <c r="C8" s="156">
        <v>2</v>
      </c>
      <c r="D8" s="46" t="s">
        <v>47</v>
      </c>
      <c r="E8" s="46" t="s">
        <v>48</v>
      </c>
      <c r="F8" s="47" t="s">
        <v>49</v>
      </c>
      <c r="G8" s="47" t="s">
        <v>2758</v>
      </c>
      <c r="H8" s="47" t="s">
        <v>2761</v>
      </c>
      <c r="I8" s="130" t="s">
        <v>677</v>
      </c>
      <c r="J8" s="131"/>
      <c r="K8" s="132"/>
      <c r="L8" s="76"/>
      <c r="M8" s="81" t="s">
        <v>2763</v>
      </c>
      <c r="N8" s="47" t="s">
        <v>2764</v>
      </c>
      <c r="O8" s="47" t="s">
        <v>2765</v>
      </c>
      <c r="P8" s="134">
        <v>22.976104</v>
      </c>
      <c r="Q8" s="134">
        <v>91.823431</v>
      </c>
      <c r="R8" s="81">
        <v>400</v>
      </c>
      <c r="S8" s="81"/>
      <c r="T8" s="81"/>
      <c r="U8" s="81"/>
      <c r="V8" s="7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3"/>
      <c r="AJ8" s="58"/>
      <c r="AK8" s="59"/>
      <c r="AL8" s="57"/>
    </row>
    <row x14ac:dyDescent="0.25" r="9" customHeight="1" ht="18">
      <c r="A9" s="45">
        <v>3</v>
      </c>
      <c r="B9" s="155" t="s">
        <v>2760</v>
      </c>
      <c r="C9" s="156">
        <v>3</v>
      </c>
      <c r="D9" s="46" t="s">
        <v>47</v>
      </c>
      <c r="E9" s="46" t="s">
        <v>48</v>
      </c>
      <c r="F9" s="47" t="s">
        <v>49</v>
      </c>
      <c r="G9" s="47" t="s">
        <v>2758</v>
      </c>
      <c r="H9" s="47" t="s">
        <v>2761</v>
      </c>
      <c r="I9" s="130" t="s">
        <v>677</v>
      </c>
      <c r="J9" s="131"/>
      <c r="K9" s="132"/>
      <c r="L9" s="76"/>
      <c r="M9" s="81" t="s">
        <v>2766</v>
      </c>
      <c r="N9" s="47" t="s">
        <v>2767</v>
      </c>
      <c r="O9" s="47" t="s">
        <v>2768</v>
      </c>
      <c r="P9" s="134">
        <v>22.982546</v>
      </c>
      <c r="Q9" s="134">
        <v>91.834633</v>
      </c>
      <c r="R9" s="81">
        <v>200</v>
      </c>
      <c r="S9" s="81"/>
      <c r="T9" s="81"/>
      <c r="U9" s="81"/>
      <c r="V9" s="7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3"/>
      <c r="AJ9" s="58"/>
      <c r="AK9" s="59"/>
      <c r="AL9" s="57"/>
    </row>
    <row x14ac:dyDescent="0.25" r="10" customHeight="1" ht="18">
      <c r="A10" s="45">
        <v>4</v>
      </c>
      <c r="B10" s="155" t="s">
        <v>2760</v>
      </c>
      <c r="C10" s="156">
        <v>4</v>
      </c>
      <c r="D10" s="46" t="s">
        <v>47</v>
      </c>
      <c r="E10" s="46" t="s">
        <v>48</v>
      </c>
      <c r="F10" s="47" t="s">
        <v>49</v>
      </c>
      <c r="G10" s="47" t="s">
        <v>2758</v>
      </c>
      <c r="H10" s="47" t="s">
        <v>2761</v>
      </c>
      <c r="I10" s="130" t="s">
        <v>677</v>
      </c>
      <c r="J10" s="131"/>
      <c r="K10" s="132"/>
      <c r="L10" s="76"/>
      <c r="M10" s="81" t="s">
        <v>1616</v>
      </c>
      <c r="N10" s="47" t="s">
        <v>1617</v>
      </c>
      <c r="O10" s="47" t="s">
        <v>2769</v>
      </c>
      <c r="P10" s="134">
        <v>22.985415</v>
      </c>
      <c r="Q10" s="134">
        <v>91.835973</v>
      </c>
      <c r="R10" s="81">
        <v>80</v>
      </c>
      <c r="S10" s="81"/>
      <c r="T10" s="81"/>
      <c r="U10" s="81"/>
      <c r="V10" s="7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3"/>
      <c r="AJ10" s="58"/>
      <c r="AK10" s="59"/>
      <c r="AL10" s="57"/>
    </row>
    <row x14ac:dyDescent="0.25" r="11" customHeight="1" ht="18">
      <c r="A11" s="45">
        <v>5</v>
      </c>
      <c r="B11" s="155" t="s">
        <v>2760</v>
      </c>
      <c r="C11" s="156">
        <v>5</v>
      </c>
      <c r="D11" s="46" t="s">
        <v>47</v>
      </c>
      <c r="E11" s="46" t="s">
        <v>48</v>
      </c>
      <c r="F11" s="47" t="s">
        <v>49</v>
      </c>
      <c r="G11" s="47" t="s">
        <v>2758</v>
      </c>
      <c r="H11" s="47" t="s">
        <v>2761</v>
      </c>
      <c r="I11" s="130" t="s">
        <v>677</v>
      </c>
      <c r="J11" s="131"/>
      <c r="K11" s="132"/>
      <c r="L11" s="76"/>
      <c r="M11" s="81" t="s">
        <v>2770</v>
      </c>
      <c r="N11" s="47" t="s">
        <v>2771</v>
      </c>
      <c r="O11" s="47" t="s">
        <v>2772</v>
      </c>
      <c r="P11" s="134">
        <v>22.974078</v>
      </c>
      <c r="Q11" s="134">
        <v>91.842199</v>
      </c>
      <c r="R11" s="81">
        <v>80</v>
      </c>
      <c r="S11" s="81"/>
      <c r="T11" s="81"/>
      <c r="U11" s="81"/>
      <c r="V11" s="7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47"/>
      <c r="AJ11" s="58"/>
      <c r="AK11" s="59"/>
      <c r="AL11" s="57"/>
    </row>
    <row x14ac:dyDescent="0.25" r="12" customHeight="1" ht="18">
      <c r="A12" s="45">
        <v>6</v>
      </c>
      <c r="B12" s="155" t="s">
        <v>2760</v>
      </c>
      <c r="C12" s="156">
        <v>6</v>
      </c>
      <c r="D12" s="46" t="s">
        <v>47</v>
      </c>
      <c r="E12" s="46" t="s">
        <v>48</v>
      </c>
      <c r="F12" s="47" t="s">
        <v>49</v>
      </c>
      <c r="G12" s="47" t="s">
        <v>2758</v>
      </c>
      <c r="H12" s="47" t="s">
        <v>2761</v>
      </c>
      <c r="I12" s="130" t="s">
        <v>677</v>
      </c>
      <c r="J12" s="131"/>
      <c r="K12" s="132"/>
      <c r="L12" s="76"/>
      <c r="M12" s="81" t="s">
        <v>2773</v>
      </c>
      <c r="N12" s="47" t="s">
        <v>2774</v>
      </c>
      <c r="O12" s="47" t="s">
        <v>2775</v>
      </c>
      <c r="P12" s="134">
        <v>22.96709</v>
      </c>
      <c r="Q12" s="134">
        <v>91.848012</v>
      </c>
      <c r="R12" s="81">
        <v>275</v>
      </c>
      <c r="S12" s="81"/>
      <c r="T12" s="81"/>
      <c r="U12" s="81"/>
      <c r="V12" s="7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3"/>
      <c r="AJ12" s="58"/>
      <c r="AK12" s="59"/>
      <c r="AL12" s="57"/>
    </row>
    <row x14ac:dyDescent="0.25" r="13" customHeight="1" ht="18">
      <c r="A13" s="45">
        <v>7</v>
      </c>
      <c r="B13" s="155" t="s">
        <v>2760</v>
      </c>
      <c r="C13" s="156">
        <v>7</v>
      </c>
      <c r="D13" s="46" t="s">
        <v>47</v>
      </c>
      <c r="E13" s="46" t="s">
        <v>48</v>
      </c>
      <c r="F13" s="47" t="s">
        <v>49</v>
      </c>
      <c r="G13" s="47" t="s">
        <v>2758</v>
      </c>
      <c r="H13" s="47" t="s">
        <v>2761</v>
      </c>
      <c r="I13" s="130" t="s">
        <v>677</v>
      </c>
      <c r="J13" s="131"/>
      <c r="K13" s="132"/>
      <c r="L13" s="76"/>
      <c r="M13" s="81" t="s">
        <v>2776</v>
      </c>
      <c r="N13" s="47" t="s">
        <v>2777</v>
      </c>
      <c r="O13" s="47" t="s">
        <v>2778</v>
      </c>
      <c r="P13" s="134">
        <v>22.955622</v>
      </c>
      <c r="Q13" s="134">
        <v>91.836878</v>
      </c>
      <c r="R13" s="81">
        <v>800</v>
      </c>
      <c r="S13" s="81"/>
      <c r="T13" s="81"/>
      <c r="U13" s="81"/>
      <c r="V13" s="7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3"/>
      <c r="AJ13" s="58"/>
      <c r="AK13" s="59"/>
      <c r="AL13" s="57"/>
    </row>
    <row x14ac:dyDescent="0.25" r="14" customHeight="1" ht="18">
      <c r="A14" s="45">
        <v>8</v>
      </c>
      <c r="B14" s="155" t="s">
        <v>2760</v>
      </c>
      <c r="C14" s="156">
        <v>8</v>
      </c>
      <c r="D14" s="46" t="s">
        <v>47</v>
      </c>
      <c r="E14" s="46" t="s">
        <v>48</v>
      </c>
      <c r="F14" s="47" t="s">
        <v>49</v>
      </c>
      <c r="G14" s="47" t="s">
        <v>2758</v>
      </c>
      <c r="H14" s="47" t="s">
        <v>2761</v>
      </c>
      <c r="I14" s="130" t="s">
        <v>677</v>
      </c>
      <c r="J14" s="76"/>
      <c r="K14" s="132"/>
      <c r="L14" s="76"/>
      <c r="M14" s="81" t="s">
        <v>782</v>
      </c>
      <c r="N14" s="47" t="s">
        <v>783</v>
      </c>
      <c r="O14" s="47" t="s">
        <v>2779</v>
      </c>
      <c r="P14" s="134">
        <v>22.95318</v>
      </c>
      <c r="Q14" s="134">
        <v>91.857088</v>
      </c>
      <c r="R14" s="81">
        <v>120</v>
      </c>
      <c r="S14" s="81"/>
      <c r="T14" s="81"/>
      <c r="U14" s="81"/>
      <c r="V14" s="135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47"/>
      <c r="AJ14" s="58"/>
      <c r="AK14" s="59"/>
      <c r="AL14" s="57"/>
    </row>
    <row x14ac:dyDescent="0.25" r="15" customHeight="1" ht="18">
      <c r="A15" s="45">
        <v>9</v>
      </c>
      <c r="B15" s="155" t="s">
        <v>2760</v>
      </c>
      <c r="C15" s="156">
        <v>9</v>
      </c>
      <c r="D15" s="46" t="s">
        <v>47</v>
      </c>
      <c r="E15" s="46" t="s">
        <v>48</v>
      </c>
      <c r="F15" s="47" t="s">
        <v>49</v>
      </c>
      <c r="G15" s="47" t="s">
        <v>2758</v>
      </c>
      <c r="H15" s="47" t="s">
        <v>2761</v>
      </c>
      <c r="I15" s="130" t="s">
        <v>677</v>
      </c>
      <c r="J15" s="76"/>
      <c r="K15" s="132"/>
      <c r="L15" s="76"/>
      <c r="M15" s="81" t="s">
        <v>2780</v>
      </c>
      <c r="N15" s="47" t="s">
        <v>2781</v>
      </c>
      <c r="O15" s="47" t="s">
        <v>2782</v>
      </c>
      <c r="P15" s="134">
        <v>22.960081</v>
      </c>
      <c r="Q15" s="134">
        <v>91.856728</v>
      </c>
      <c r="R15" s="81">
        <v>84</v>
      </c>
      <c r="S15" s="81"/>
      <c r="T15" s="81"/>
      <c r="U15" s="81"/>
      <c r="V15" s="135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3"/>
      <c r="AJ15" s="58"/>
      <c r="AK15" s="59"/>
      <c r="AL15" s="57"/>
    </row>
    <row x14ac:dyDescent="0.25" r="16" customHeight="1" ht="18">
      <c r="A16" s="45">
        <v>10</v>
      </c>
      <c r="B16" s="155" t="s">
        <v>2760</v>
      </c>
      <c r="C16" s="156">
        <v>10</v>
      </c>
      <c r="D16" s="46" t="s">
        <v>47</v>
      </c>
      <c r="E16" s="46" t="s">
        <v>48</v>
      </c>
      <c r="F16" s="47" t="s">
        <v>49</v>
      </c>
      <c r="G16" s="47" t="s">
        <v>2758</v>
      </c>
      <c r="H16" s="47" t="s">
        <v>2761</v>
      </c>
      <c r="I16" s="130" t="s">
        <v>684</v>
      </c>
      <c r="J16" s="76"/>
      <c r="K16" s="132"/>
      <c r="L16" s="76"/>
      <c r="M16" s="81" t="s">
        <v>2783</v>
      </c>
      <c r="N16" s="47" t="s">
        <v>2784</v>
      </c>
      <c r="O16" s="47" t="s">
        <v>2785</v>
      </c>
      <c r="P16" s="134">
        <v>22.960546</v>
      </c>
      <c r="Q16" s="134">
        <v>91.816046</v>
      </c>
      <c r="R16" s="81">
        <v>560</v>
      </c>
      <c r="S16" s="81"/>
      <c r="T16" s="81"/>
      <c r="U16" s="81"/>
      <c r="V16" s="135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3"/>
      <c r="AJ16" s="58"/>
      <c r="AK16" s="59"/>
      <c r="AL16" s="57"/>
    </row>
    <row x14ac:dyDescent="0.25" r="17" customHeight="1" ht="18">
      <c r="A17" s="45">
        <v>11</v>
      </c>
      <c r="B17" s="155" t="s">
        <v>2760</v>
      </c>
      <c r="C17" s="156">
        <v>11</v>
      </c>
      <c r="D17" s="46" t="s">
        <v>47</v>
      </c>
      <c r="E17" s="46" t="s">
        <v>48</v>
      </c>
      <c r="F17" s="47" t="s">
        <v>49</v>
      </c>
      <c r="G17" s="47" t="s">
        <v>2758</v>
      </c>
      <c r="H17" s="47" t="s">
        <v>2761</v>
      </c>
      <c r="I17" s="130" t="s">
        <v>684</v>
      </c>
      <c r="J17" s="76"/>
      <c r="K17" s="132"/>
      <c r="L17" s="136"/>
      <c r="M17" s="81" t="s">
        <v>2761</v>
      </c>
      <c r="N17" s="47" t="s">
        <v>2786</v>
      </c>
      <c r="O17" s="47" t="s">
        <v>2787</v>
      </c>
      <c r="P17" s="134">
        <v>22.962324</v>
      </c>
      <c r="Q17" s="134">
        <v>91.8121</v>
      </c>
      <c r="R17" s="81">
        <v>750</v>
      </c>
      <c r="S17" s="81"/>
      <c r="T17" s="81"/>
      <c r="U17" s="81"/>
      <c r="V17" s="135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3"/>
      <c r="AJ17" s="58"/>
      <c r="AK17" s="59"/>
      <c r="AL17" s="57"/>
    </row>
    <row x14ac:dyDescent="0.25" r="18" customHeight="1" ht="18">
      <c r="A18" s="45">
        <v>12</v>
      </c>
      <c r="B18" s="155" t="s">
        <v>2760</v>
      </c>
      <c r="C18" s="156">
        <v>12</v>
      </c>
      <c r="D18" s="46" t="s">
        <v>47</v>
      </c>
      <c r="E18" s="46" t="s">
        <v>48</v>
      </c>
      <c r="F18" s="47" t="s">
        <v>49</v>
      </c>
      <c r="G18" s="47" t="s">
        <v>2758</v>
      </c>
      <c r="H18" s="47" t="s">
        <v>2761</v>
      </c>
      <c r="I18" s="130" t="s">
        <v>684</v>
      </c>
      <c r="J18" s="76"/>
      <c r="K18" s="132"/>
      <c r="L18" s="76"/>
      <c r="M18" s="81" t="s">
        <v>2788</v>
      </c>
      <c r="N18" s="47" t="s">
        <v>2789</v>
      </c>
      <c r="O18" s="47" t="s">
        <v>2790</v>
      </c>
      <c r="P18" s="134">
        <v>22.966548</v>
      </c>
      <c r="Q18" s="134">
        <v>91.807793</v>
      </c>
      <c r="R18" s="81">
        <v>600</v>
      </c>
      <c r="S18" s="81"/>
      <c r="T18" s="81"/>
      <c r="U18" s="81"/>
      <c r="V18" s="135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3"/>
      <c r="AJ18" s="58"/>
      <c r="AK18" s="59"/>
      <c r="AL18" s="57"/>
    </row>
    <row x14ac:dyDescent="0.25" r="19" customHeight="1" ht="18">
      <c r="A19" s="45">
        <v>13</v>
      </c>
      <c r="B19" s="155" t="s">
        <v>2760</v>
      </c>
      <c r="C19" s="156">
        <v>13</v>
      </c>
      <c r="D19" s="46" t="s">
        <v>47</v>
      </c>
      <c r="E19" s="46" t="s">
        <v>48</v>
      </c>
      <c r="F19" s="47" t="s">
        <v>49</v>
      </c>
      <c r="G19" s="47" t="s">
        <v>2758</v>
      </c>
      <c r="H19" s="47" t="s">
        <v>2761</v>
      </c>
      <c r="I19" s="130" t="s">
        <v>684</v>
      </c>
      <c r="J19" s="76"/>
      <c r="K19" s="132"/>
      <c r="L19" s="76"/>
      <c r="M19" s="81" t="s">
        <v>2791</v>
      </c>
      <c r="N19" s="47" t="s">
        <v>2792</v>
      </c>
      <c r="O19" s="47" t="s">
        <v>2793</v>
      </c>
      <c r="P19" s="134">
        <v>22.956716</v>
      </c>
      <c r="Q19" s="134">
        <v>91.825362</v>
      </c>
      <c r="R19" s="81">
        <v>500</v>
      </c>
      <c r="S19" s="81"/>
      <c r="T19" s="81"/>
      <c r="U19" s="81"/>
      <c r="V19" s="135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3"/>
      <c r="AJ19" s="58"/>
      <c r="AK19" s="59"/>
      <c r="AL19" s="57"/>
    </row>
    <row x14ac:dyDescent="0.25" r="20" customHeight="1" ht="18">
      <c r="A20" s="45">
        <v>14</v>
      </c>
      <c r="B20" s="155" t="s">
        <v>2760</v>
      </c>
      <c r="C20" s="156">
        <v>14</v>
      </c>
      <c r="D20" s="46" t="s">
        <v>47</v>
      </c>
      <c r="E20" s="46" t="s">
        <v>48</v>
      </c>
      <c r="F20" s="47" t="s">
        <v>49</v>
      </c>
      <c r="G20" s="47" t="s">
        <v>2758</v>
      </c>
      <c r="H20" s="47" t="s">
        <v>2761</v>
      </c>
      <c r="I20" s="130" t="s">
        <v>684</v>
      </c>
      <c r="J20" s="76"/>
      <c r="K20" s="132"/>
      <c r="L20" s="76"/>
      <c r="M20" s="81" t="s">
        <v>2794</v>
      </c>
      <c r="N20" s="47" t="s">
        <v>2795</v>
      </c>
      <c r="O20" s="47" t="s">
        <v>2796</v>
      </c>
      <c r="P20" s="134">
        <v>22.959851</v>
      </c>
      <c r="Q20" s="134">
        <v>91.81402</v>
      </c>
      <c r="R20" s="81"/>
      <c r="S20" s="81"/>
      <c r="T20" s="81"/>
      <c r="U20" s="81"/>
      <c r="V20" s="135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3"/>
      <c r="AJ20" s="58"/>
      <c r="AK20" s="59"/>
      <c r="AL20" s="57"/>
    </row>
    <row x14ac:dyDescent="0.25" r="21" customHeight="1" ht="18">
      <c r="A21" s="45">
        <v>15</v>
      </c>
      <c r="B21" s="155" t="s">
        <v>2760</v>
      </c>
      <c r="C21" s="156">
        <v>15</v>
      </c>
      <c r="D21" s="46" t="s">
        <v>47</v>
      </c>
      <c r="E21" s="46" t="s">
        <v>48</v>
      </c>
      <c r="F21" s="47" t="s">
        <v>49</v>
      </c>
      <c r="G21" s="47" t="s">
        <v>2758</v>
      </c>
      <c r="H21" s="47" t="s">
        <v>2761</v>
      </c>
      <c r="I21" s="130" t="s">
        <v>697</v>
      </c>
      <c r="J21" s="76"/>
      <c r="K21" s="132"/>
      <c r="L21" s="76"/>
      <c r="M21" s="81" t="s">
        <v>2797</v>
      </c>
      <c r="N21" s="47" t="s">
        <v>2798</v>
      </c>
      <c r="O21" s="47" t="s">
        <v>2799</v>
      </c>
      <c r="P21" s="134">
        <v>22.993326</v>
      </c>
      <c r="Q21" s="134">
        <v>91.786911</v>
      </c>
      <c r="R21" s="81">
        <v>350</v>
      </c>
      <c r="S21" s="81"/>
      <c r="T21" s="81"/>
      <c r="U21" s="81"/>
      <c r="V21" s="7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3"/>
      <c r="AJ21" s="58"/>
      <c r="AK21" s="59"/>
      <c r="AL21" s="57"/>
    </row>
    <row x14ac:dyDescent="0.25" r="22" customHeight="1" ht="18">
      <c r="A22" s="45">
        <v>16</v>
      </c>
      <c r="B22" s="155" t="s">
        <v>2760</v>
      </c>
      <c r="C22" s="156">
        <v>16</v>
      </c>
      <c r="D22" s="46" t="s">
        <v>47</v>
      </c>
      <c r="E22" s="46" t="s">
        <v>48</v>
      </c>
      <c r="F22" s="47" t="s">
        <v>49</v>
      </c>
      <c r="G22" s="47" t="s">
        <v>2758</v>
      </c>
      <c r="H22" s="47" t="s">
        <v>2761</v>
      </c>
      <c r="I22" s="130" t="s">
        <v>697</v>
      </c>
      <c r="J22" s="76"/>
      <c r="K22" s="132"/>
      <c r="L22" s="76"/>
      <c r="M22" s="81" t="s">
        <v>2800</v>
      </c>
      <c r="N22" s="47" t="s">
        <v>2801</v>
      </c>
      <c r="O22" s="47" t="s">
        <v>2802</v>
      </c>
      <c r="P22" s="134">
        <v>22.982621</v>
      </c>
      <c r="Q22" s="134">
        <v>91.7935</v>
      </c>
      <c r="R22" s="81">
        <v>210</v>
      </c>
      <c r="S22" s="81"/>
      <c r="T22" s="81"/>
      <c r="U22" s="81"/>
      <c r="V22" s="135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3"/>
      <c r="AJ22" s="58"/>
      <c r="AK22" s="59"/>
      <c r="AL22" s="57"/>
    </row>
    <row x14ac:dyDescent="0.25" r="23" customHeight="1" ht="18">
      <c r="A23" s="45">
        <v>17</v>
      </c>
      <c r="B23" s="155" t="s">
        <v>2760</v>
      </c>
      <c r="C23" s="156">
        <v>17</v>
      </c>
      <c r="D23" s="46" t="s">
        <v>47</v>
      </c>
      <c r="E23" s="46" t="s">
        <v>48</v>
      </c>
      <c r="F23" s="47" t="s">
        <v>49</v>
      </c>
      <c r="G23" s="47" t="s">
        <v>2758</v>
      </c>
      <c r="H23" s="47" t="s">
        <v>2761</v>
      </c>
      <c r="I23" s="130" t="s">
        <v>697</v>
      </c>
      <c r="J23" s="131"/>
      <c r="K23" s="132"/>
      <c r="L23" s="76"/>
      <c r="M23" s="81" t="s">
        <v>1408</v>
      </c>
      <c r="N23" s="47" t="s">
        <v>1409</v>
      </c>
      <c r="O23" s="47" t="s">
        <v>2803</v>
      </c>
      <c r="P23" s="134">
        <v>22.971435</v>
      </c>
      <c r="Q23" s="134">
        <v>91.798161</v>
      </c>
      <c r="R23" s="81">
        <v>1500</v>
      </c>
      <c r="S23" s="81"/>
      <c r="T23" s="81"/>
      <c r="U23" s="81"/>
      <c r="V23" s="135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3"/>
      <c r="AJ23" s="58"/>
      <c r="AK23" s="59"/>
      <c r="AL23" s="57"/>
    </row>
    <row x14ac:dyDescent="0.25" r="24" customHeight="1" ht="18">
      <c r="A24" s="45">
        <v>18</v>
      </c>
      <c r="B24" s="155" t="s">
        <v>2760</v>
      </c>
      <c r="C24" s="156">
        <v>18</v>
      </c>
      <c r="D24" s="46" t="s">
        <v>47</v>
      </c>
      <c r="E24" s="46" t="s">
        <v>48</v>
      </c>
      <c r="F24" s="47" t="s">
        <v>49</v>
      </c>
      <c r="G24" s="47" t="s">
        <v>2758</v>
      </c>
      <c r="H24" s="47" t="s">
        <v>2761</v>
      </c>
      <c r="I24" s="130" t="s">
        <v>697</v>
      </c>
      <c r="J24" s="131"/>
      <c r="K24" s="132"/>
      <c r="L24" s="76"/>
      <c r="M24" s="81" t="s">
        <v>2804</v>
      </c>
      <c r="N24" s="47" t="s">
        <v>2805</v>
      </c>
      <c r="O24" s="47" t="s">
        <v>2806</v>
      </c>
      <c r="P24" s="134">
        <v>22.966407</v>
      </c>
      <c r="Q24" s="134">
        <v>91.794304</v>
      </c>
      <c r="R24" s="81">
        <v>150</v>
      </c>
      <c r="S24" s="81"/>
      <c r="T24" s="81"/>
      <c r="U24" s="81"/>
      <c r="V24" s="135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3"/>
      <c r="AJ24" s="58"/>
      <c r="AK24" s="59"/>
      <c r="AL24" s="57"/>
    </row>
    <row x14ac:dyDescent="0.25" r="25" customHeight="1" ht="18">
      <c r="A25" s="45">
        <v>19</v>
      </c>
      <c r="B25" s="155" t="s">
        <v>2760</v>
      </c>
      <c r="C25" s="156">
        <v>19</v>
      </c>
      <c r="D25" s="46" t="s">
        <v>47</v>
      </c>
      <c r="E25" s="46" t="s">
        <v>48</v>
      </c>
      <c r="F25" s="47" t="s">
        <v>49</v>
      </c>
      <c r="G25" s="47" t="s">
        <v>2758</v>
      </c>
      <c r="H25" s="47" t="s">
        <v>2761</v>
      </c>
      <c r="I25" s="130" t="s">
        <v>697</v>
      </c>
      <c r="J25" s="131"/>
      <c r="K25" s="132"/>
      <c r="L25" s="76"/>
      <c r="M25" s="81" t="s">
        <v>2807</v>
      </c>
      <c r="N25" s="47" t="s">
        <v>2808</v>
      </c>
      <c r="O25" s="47" t="s">
        <v>2809</v>
      </c>
      <c r="P25" s="134">
        <v>22.963929</v>
      </c>
      <c r="Q25" s="134">
        <v>91.795527</v>
      </c>
      <c r="R25" s="81">
        <v>1000</v>
      </c>
      <c r="S25" s="81"/>
      <c r="T25" s="81"/>
      <c r="U25" s="81"/>
      <c r="V25" s="135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3"/>
      <c r="AJ25" s="58"/>
      <c r="AK25" s="59"/>
      <c r="AL25" s="57"/>
    </row>
    <row x14ac:dyDescent="0.25" r="26" customHeight="1" ht="18">
      <c r="A26" s="45">
        <v>20</v>
      </c>
      <c r="B26" s="155" t="s">
        <v>2760</v>
      </c>
      <c r="C26" s="156">
        <v>20</v>
      </c>
      <c r="D26" s="46" t="s">
        <v>47</v>
      </c>
      <c r="E26" s="46" t="s">
        <v>48</v>
      </c>
      <c r="F26" s="47" t="s">
        <v>49</v>
      </c>
      <c r="G26" s="47" t="s">
        <v>2758</v>
      </c>
      <c r="H26" s="47" t="s">
        <v>2761</v>
      </c>
      <c r="I26" s="130" t="s">
        <v>697</v>
      </c>
      <c r="J26" s="131"/>
      <c r="K26" s="132"/>
      <c r="L26" s="76"/>
      <c r="M26" s="81" t="s">
        <v>2810</v>
      </c>
      <c r="N26" s="47" t="s">
        <v>2811</v>
      </c>
      <c r="O26" s="47" t="s">
        <v>2812</v>
      </c>
      <c r="P26" s="134">
        <v>22.971227</v>
      </c>
      <c r="Q26" s="134">
        <v>91.804919</v>
      </c>
      <c r="R26" s="81">
        <v>150</v>
      </c>
      <c r="S26" s="81"/>
      <c r="T26" s="81"/>
      <c r="U26" s="81"/>
      <c r="V26" s="135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3"/>
      <c r="AJ26" s="58"/>
      <c r="AK26" s="59"/>
      <c r="AL26" s="57"/>
    </row>
    <row x14ac:dyDescent="0.25" r="27" customHeight="1" ht="18">
      <c r="A27" s="45">
        <v>21</v>
      </c>
      <c r="B27" s="155" t="s">
        <v>2760</v>
      </c>
      <c r="C27" s="156">
        <v>21</v>
      </c>
      <c r="D27" s="46" t="s">
        <v>47</v>
      </c>
      <c r="E27" s="46" t="s">
        <v>48</v>
      </c>
      <c r="F27" s="47" t="s">
        <v>49</v>
      </c>
      <c r="G27" s="47" t="s">
        <v>2758</v>
      </c>
      <c r="H27" s="47" t="s">
        <v>2761</v>
      </c>
      <c r="I27" s="130" t="s">
        <v>697</v>
      </c>
      <c r="J27" s="131"/>
      <c r="K27" s="132"/>
      <c r="L27" s="76"/>
      <c r="M27" s="81" t="s">
        <v>2813</v>
      </c>
      <c r="N27" s="47" t="s">
        <v>2814</v>
      </c>
      <c r="O27" s="47" t="s">
        <v>2815</v>
      </c>
      <c r="P27" s="134">
        <v>22.967687</v>
      </c>
      <c r="Q27" s="134">
        <v>91.796989</v>
      </c>
      <c r="R27" s="81"/>
      <c r="S27" s="81"/>
      <c r="T27" s="81"/>
      <c r="U27" s="81"/>
      <c r="V27" s="7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3"/>
      <c r="AJ27" s="58"/>
      <c r="AK27" s="59"/>
      <c r="AL27" s="57"/>
    </row>
    <row x14ac:dyDescent="0.25" r="28" customHeight="1" ht="18">
      <c r="A28" s="45">
        <v>22</v>
      </c>
      <c r="B28" s="155" t="s">
        <v>2760</v>
      </c>
      <c r="C28" s="156">
        <v>22</v>
      </c>
      <c r="D28" s="46" t="s">
        <v>47</v>
      </c>
      <c r="E28" s="46" t="s">
        <v>48</v>
      </c>
      <c r="F28" s="47" t="s">
        <v>49</v>
      </c>
      <c r="G28" s="47" t="s">
        <v>2758</v>
      </c>
      <c r="H28" s="47" t="s">
        <v>2761</v>
      </c>
      <c r="I28" s="130" t="s">
        <v>707</v>
      </c>
      <c r="J28" s="131"/>
      <c r="K28" s="132"/>
      <c r="L28" s="76"/>
      <c r="M28" s="81" t="s">
        <v>2816</v>
      </c>
      <c r="N28" s="47" t="s">
        <v>2817</v>
      </c>
      <c r="O28" s="47" t="s">
        <v>2818</v>
      </c>
      <c r="P28" s="134">
        <v>22.947228</v>
      </c>
      <c r="Q28" s="134">
        <v>91.854359</v>
      </c>
      <c r="R28" s="81">
        <v>930</v>
      </c>
      <c r="S28" s="81"/>
      <c r="T28" s="81"/>
      <c r="U28" s="81"/>
      <c r="V28" s="135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3"/>
      <c r="AJ28" s="58"/>
      <c r="AK28" s="59"/>
      <c r="AL28" s="57"/>
    </row>
    <row x14ac:dyDescent="0.25" r="29" customHeight="1" ht="18">
      <c r="A29" s="45">
        <v>23</v>
      </c>
      <c r="B29" s="155" t="s">
        <v>2760</v>
      </c>
      <c r="C29" s="156">
        <v>23</v>
      </c>
      <c r="D29" s="46" t="s">
        <v>47</v>
      </c>
      <c r="E29" s="46" t="s">
        <v>48</v>
      </c>
      <c r="F29" s="47" t="s">
        <v>49</v>
      </c>
      <c r="G29" s="47" t="s">
        <v>2758</v>
      </c>
      <c r="H29" s="47" t="s">
        <v>2761</v>
      </c>
      <c r="I29" s="130" t="s">
        <v>707</v>
      </c>
      <c r="J29" s="131"/>
      <c r="K29" s="132"/>
      <c r="L29" s="76"/>
      <c r="M29" s="81" t="s">
        <v>2819</v>
      </c>
      <c r="N29" s="47" t="s">
        <v>2820</v>
      </c>
      <c r="O29" s="47" t="s">
        <v>2821</v>
      </c>
      <c r="P29" s="134">
        <v>22.938369</v>
      </c>
      <c r="Q29" s="134">
        <v>91.85489</v>
      </c>
      <c r="R29" s="81">
        <v>1185</v>
      </c>
      <c r="S29" s="81"/>
      <c r="T29" s="81"/>
      <c r="U29" s="81"/>
      <c r="V29" s="135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3"/>
      <c r="AJ29" s="58"/>
      <c r="AK29" s="59"/>
      <c r="AL29" s="57"/>
    </row>
    <row x14ac:dyDescent="0.25" r="30" customHeight="1" ht="18">
      <c r="A30" s="45">
        <v>24</v>
      </c>
      <c r="B30" s="155" t="s">
        <v>2760</v>
      </c>
      <c r="C30" s="156">
        <v>24</v>
      </c>
      <c r="D30" s="46" t="s">
        <v>47</v>
      </c>
      <c r="E30" s="46" t="s">
        <v>48</v>
      </c>
      <c r="F30" s="47" t="s">
        <v>49</v>
      </c>
      <c r="G30" s="47" t="s">
        <v>2758</v>
      </c>
      <c r="H30" s="47" t="s">
        <v>2761</v>
      </c>
      <c r="I30" s="130" t="s">
        <v>707</v>
      </c>
      <c r="J30" s="131"/>
      <c r="K30" s="132"/>
      <c r="L30" s="76"/>
      <c r="M30" s="81" t="s">
        <v>2822</v>
      </c>
      <c r="N30" s="47" t="s">
        <v>2823</v>
      </c>
      <c r="O30" s="47" t="s">
        <v>2824</v>
      </c>
      <c r="P30" s="134">
        <v>22.932855</v>
      </c>
      <c r="Q30" s="134">
        <v>91.842661</v>
      </c>
      <c r="R30" s="81">
        <v>350</v>
      </c>
      <c r="S30" s="81"/>
      <c r="T30" s="81"/>
      <c r="U30" s="81"/>
      <c r="V30" s="135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3"/>
      <c r="AJ30" s="58"/>
      <c r="AK30" s="59"/>
      <c r="AL30" s="57"/>
    </row>
    <row x14ac:dyDescent="0.25" r="31" customHeight="1" ht="18">
      <c r="A31" s="45">
        <v>25</v>
      </c>
      <c r="B31" s="155" t="s">
        <v>2760</v>
      </c>
      <c r="C31" s="156">
        <v>25</v>
      </c>
      <c r="D31" s="46" t="s">
        <v>47</v>
      </c>
      <c r="E31" s="46" t="s">
        <v>48</v>
      </c>
      <c r="F31" s="47" t="s">
        <v>49</v>
      </c>
      <c r="G31" s="47" t="s">
        <v>2758</v>
      </c>
      <c r="H31" s="47" t="s">
        <v>2761</v>
      </c>
      <c r="I31" s="130" t="s">
        <v>726</v>
      </c>
      <c r="J31" s="131"/>
      <c r="K31" s="132"/>
      <c r="L31" s="76"/>
      <c r="M31" s="81" t="s">
        <v>2825</v>
      </c>
      <c r="N31" s="47" t="s">
        <v>2826</v>
      </c>
      <c r="O31" s="47" t="s">
        <v>2827</v>
      </c>
      <c r="P31" s="134">
        <v>22.933772</v>
      </c>
      <c r="Q31" s="134">
        <v>91.793819</v>
      </c>
      <c r="R31" s="81">
        <v>635</v>
      </c>
      <c r="S31" s="81"/>
      <c r="T31" s="81"/>
      <c r="U31" s="81"/>
      <c r="V31" s="135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3"/>
      <c r="AJ31" s="58"/>
      <c r="AK31" s="59"/>
      <c r="AL31" s="57"/>
    </row>
    <row x14ac:dyDescent="0.25" r="32" customHeight="1" ht="18">
      <c r="A32" s="45">
        <v>26</v>
      </c>
      <c r="B32" s="155" t="s">
        <v>2760</v>
      </c>
      <c r="C32" s="156">
        <v>26</v>
      </c>
      <c r="D32" s="46" t="s">
        <v>47</v>
      </c>
      <c r="E32" s="46" t="s">
        <v>48</v>
      </c>
      <c r="F32" s="47" t="s">
        <v>49</v>
      </c>
      <c r="G32" s="47" t="s">
        <v>2758</v>
      </c>
      <c r="H32" s="47" t="s">
        <v>2761</v>
      </c>
      <c r="I32" s="130" t="s">
        <v>726</v>
      </c>
      <c r="J32" s="131"/>
      <c r="K32" s="132"/>
      <c r="L32" s="76"/>
      <c r="M32" s="81" t="s">
        <v>2828</v>
      </c>
      <c r="N32" s="47" t="s">
        <v>2829</v>
      </c>
      <c r="O32" s="47" t="s">
        <v>2830</v>
      </c>
      <c r="P32" s="134">
        <v>22.936834</v>
      </c>
      <c r="Q32" s="134">
        <v>91.784586</v>
      </c>
      <c r="R32" s="81">
        <v>180</v>
      </c>
      <c r="S32" s="81"/>
      <c r="T32" s="81"/>
      <c r="U32" s="81"/>
      <c r="V32" s="135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3"/>
      <c r="AJ32" s="58"/>
      <c r="AK32" s="59"/>
      <c r="AL32" s="57"/>
    </row>
    <row x14ac:dyDescent="0.25" r="33" customHeight="1" ht="18">
      <c r="A33" s="45">
        <v>27</v>
      </c>
      <c r="B33" s="155" t="s">
        <v>2760</v>
      </c>
      <c r="C33" s="156">
        <v>27</v>
      </c>
      <c r="D33" s="46" t="s">
        <v>47</v>
      </c>
      <c r="E33" s="46" t="s">
        <v>48</v>
      </c>
      <c r="F33" s="47" t="s">
        <v>49</v>
      </c>
      <c r="G33" s="47" t="s">
        <v>2758</v>
      </c>
      <c r="H33" s="47" t="s">
        <v>2761</v>
      </c>
      <c r="I33" s="130" t="s">
        <v>726</v>
      </c>
      <c r="J33" s="131"/>
      <c r="K33" s="132"/>
      <c r="L33" s="76"/>
      <c r="M33" s="81" t="s">
        <v>2831</v>
      </c>
      <c r="N33" s="47" t="s">
        <v>2832</v>
      </c>
      <c r="O33" s="47" t="s">
        <v>2833</v>
      </c>
      <c r="P33" s="134">
        <v>22.934941</v>
      </c>
      <c r="Q33" s="134">
        <v>91.784813</v>
      </c>
      <c r="R33" s="81">
        <v>75</v>
      </c>
      <c r="S33" s="81"/>
      <c r="T33" s="81"/>
      <c r="U33" s="81"/>
      <c r="V33" s="135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3"/>
      <c r="AJ33" s="58"/>
      <c r="AK33" s="59"/>
      <c r="AL33" s="57"/>
    </row>
    <row x14ac:dyDescent="0.25" r="34" customHeight="1" ht="18">
      <c r="A34" s="45">
        <v>28</v>
      </c>
      <c r="B34" s="155" t="s">
        <v>2760</v>
      </c>
      <c r="C34" s="156">
        <v>28</v>
      </c>
      <c r="D34" s="46" t="s">
        <v>47</v>
      </c>
      <c r="E34" s="46" t="s">
        <v>48</v>
      </c>
      <c r="F34" s="47" t="s">
        <v>49</v>
      </c>
      <c r="G34" s="47" t="s">
        <v>2758</v>
      </c>
      <c r="H34" s="47" t="s">
        <v>2761</v>
      </c>
      <c r="I34" s="130" t="s">
        <v>726</v>
      </c>
      <c r="J34" s="131"/>
      <c r="K34" s="59"/>
      <c r="L34" s="76"/>
      <c r="M34" s="81" t="s">
        <v>346</v>
      </c>
      <c r="N34" s="47" t="s">
        <v>1692</v>
      </c>
      <c r="O34" s="47" t="s">
        <v>2834</v>
      </c>
      <c r="P34" s="134">
        <v>22.931108</v>
      </c>
      <c r="Q34" s="134">
        <v>91.793812</v>
      </c>
      <c r="R34" s="81">
        <v>50</v>
      </c>
      <c r="S34" s="81"/>
      <c r="T34" s="81"/>
      <c r="U34" s="81"/>
      <c r="V34" s="135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3"/>
      <c r="AJ34" s="58"/>
      <c r="AK34" s="59"/>
      <c r="AL34" s="57"/>
    </row>
    <row x14ac:dyDescent="0.25" r="35" customHeight="1" ht="18">
      <c r="A35" s="45">
        <v>29</v>
      </c>
      <c r="B35" s="155" t="s">
        <v>2760</v>
      </c>
      <c r="C35" s="156">
        <v>29</v>
      </c>
      <c r="D35" s="46" t="s">
        <v>47</v>
      </c>
      <c r="E35" s="46" t="s">
        <v>48</v>
      </c>
      <c r="F35" s="47" t="s">
        <v>49</v>
      </c>
      <c r="G35" s="47" t="s">
        <v>2758</v>
      </c>
      <c r="H35" s="47" t="s">
        <v>2761</v>
      </c>
      <c r="I35" s="130" t="s">
        <v>726</v>
      </c>
      <c r="J35" s="131"/>
      <c r="K35" s="59"/>
      <c r="L35" s="76"/>
      <c r="M35" s="81" t="s">
        <v>2835</v>
      </c>
      <c r="N35" s="47" t="s">
        <v>2836</v>
      </c>
      <c r="O35" s="47" t="s">
        <v>2837</v>
      </c>
      <c r="P35" s="134">
        <v>22.930189</v>
      </c>
      <c r="Q35" s="134">
        <v>91.80745</v>
      </c>
      <c r="R35" s="81">
        <v>150</v>
      </c>
      <c r="S35" s="81"/>
      <c r="T35" s="81"/>
      <c r="U35" s="81"/>
      <c r="V35" s="135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3"/>
      <c r="AJ35" s="58"/>
      <c r="AK35" s="70"/>
      <c r="AL35" s="71"/>
    </row>
    <row x14ac:dyDescent="0.25" r="36" customHeight="1" ht="18">
      <c r="A36" s="45">
        <v>30</v>
      </c>
      <c r="B36" s="155" t="s">
        <v>2760</v>
      </c>
      <c r="C36" s="156">
        <v>30</v>
      </c>
      <c r="D36" s="46" t="s">
        <v>47</v>
      </c>
      <c r="E36" s="46" t="s">
        <v>48</v>
      </c>
      <c r="F36" s="47" t="s">
        <v>49</v>
      </c>
      <c r="G36" s="47" t="s">
        <v>2758</v>
      </c>
      <c r="H36" s="47" t="s">
        <v>2761</v>
      </c>
      <c r="I36" s="130" t="s">
        <v>726</v>
      </c>
      <c r="J36" s="131"/>
      <c r="K36" s="59"/>
      <c r="L36" s="76"/>
      <c r="M36" s="81" t="s">
        <v>2838</v>
      </c>
      <c r="N36" s="157" t="s">
        <v>2839</v>
      </c>
      <c r="O36" s="47" t="s">
        <v>2840</v>
      </c>
      <c r="P36" s="134">
        <v>22.94798</v>
      </c>
      <c r="Q36" s="134">
        <v>91.810425</v>
      </c>
      <c r="R36" s="81">
        <v>600</v>
      </c>
      <c r="S36" s="81"/>
      <c r="T36" s="81"/>
      <c r="U36" s="81"/>
      <c r="V36" s="135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3"/>
      <c r="AJ36" s="58"/>
      <c r="AK36" s="72"/>
      <c r="AL36" s="72"/>
    </row>
    <row x14ac:dyDescent="0.25" r="37" customHeight="1" ht="18">
      <c r="A37" s="45">
        <v>31</v>
      </c>
      <c r="B37" s="155" t="s">
        <v>2760</v>
      </c>
      <c r="C37" s="156">
        <v>31</v>
      </c>
      <c r="D37" s="46" t="s">
        <v>47</v>
      </c>
      <c r="E37" s="46" t="s">
        <v>48</v>
      </c>
      <c r="F37" s="47" t="s">
        <v>49</v>
      </c>
      <c r="G37" s="47" t="s">
        <v>2758</v>
      </c>
      <c r="H37" s="47" t="s">
        <v>2761</v>
      </c>
      <c r="I37" s="130" t="s">
        <v>726</v>
      </c>
      <c r="J37" s="131"/>
      <c r="K37" s="59"/>
      <c r="L37" s="76"/>
      <c r="M37" s="81" t="s">
        <v>490</v>
      </c>
      <c r="N37" s="157" t="s">
        <v>2841</v>
      </c>
      <c r="O37" s="47" t="s">
        <v>2842</v>
      </c>
      <c r="P37" s="134">
        <v>22.934845</v>
      </c>
      <c r="Q37" s="134">
        <v>91.803103</v>
      </c>
      <c r="R37" s="81">
        <v>75</v>
      </c>
      <c r="S37" s="81"/>
      <c r="T37" s="81"/>
      <c r="U37" s="81"/>
      <c r="V37" s="135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3"/>
      <c r="AJ37" s="58"/>
      <c r="AK37" s="72"/>
      <c r="AL37" s="72"/>
    </row>
    <row x14ac:dyDescent="0.25" r="38" customHeight="1" ht="18">
      <c r="A38" s="45">
        <v>32</v>
      </c>
      <c r="B38" s="155" t="s">
        <v>2760</v>
      </c>
      <c r="C38" s="156">
        <v>32</v>
      </c>
      <c r="D38" s="46" t="s">
        <v>47</v>
      </c>
      <c r="E38" s="46" t="s">
        <v>48</v>
      </c>
      <c r="F38" s="47" t="s">
        <v>49</v>
      </c>
      <c r="G38" s="47" t="s">
        <v>2758</v>
      </c>
      <c r="H38" s="47" t="s">
        <v>2761</v>
      </c>
      <c r="I38" s="130" t="s">
        <v>726</v>
      </c>
      <c r="J38" s="131"/>
      <c r="K38" s="59"/>
      <c r="L38" s="76"/>
      <c r="M38" s="81" t="s">
        <v>984</v>
      </c>
      <c r="N38" s="47" t="s">
        <v>985</v>
      </c>
      <c r="O38" s="47" t="s">
        <v>2843</v>
      </c>
      <c r="P38" s="134">
        <v>22.952735</v>
      </c>
      <c r="Q38" s="134">
        <v>91.798201</v>
      </c>
      <c r="R38" s="81">
        <v>500</v>
      </c>
      <c r="S38" s="81"/>
      <c r="T38" s="81"/>
      <c r="U38" s="81"/>
      <c r="V38" s="7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3"/>
      <c r="AJ38" s="58"/>
      <c r="AK38" s="72"/>
      <c r="AL38" s="72"/>
    </row>
    <row x14ac:dyDescent="0.25" r="39" customHeight="1" ht="18">
      <c r="A39" s="45">
        <v>33</v>
      </c>
      <c r="B39" s="155" t="s">
        <v>2760</v>
      </c>
      <c r="C39" s="156">
        <v>33</v>
      </c>
      <c r="D39" s="46" t="s">
        <v>47</v>
      </c>
      <c r="E39" s="46" t="s">
        <v>48</v>
      </c>
      <c r="F39" s="47" t="s">
        <v>49</v>
      </c>
      <c r="G39" s="47" t="s">
        <v>2758</v>
      </c>
      <c r="H39" s="47" t="s">
        <v>2761</v>
      </c>
      <c r="I39" s="130" t="s">
        <v>726</v>
      </c>
      <c r="J39" s="131"/>
      <c r="K39" s="59"/>
      <c r="L39" s="76"/>
      <c r="M39" s="81" t="s">
        <v>2844</v>
      </c>
      <c r="N39" s="157" t="s">
        <v>2845</v>
      </c>
      <c r="O39" s="47" t="s">
        <v>2846</v>
      </c>
      <c r="P39" s="134">
        <v>22.934289</v>
      </c>
      <c r="Q39" s="134">
        <v>91.767813</v>
      </c>
      <c r="R39" s="81">
        <v>300</v>
      </c>
      <c r="S39" s="81"/>
      <c r="T39" s="81"/>
      <c r="U39" s="81"/>
      <c r="V39" s="7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3"/>
      <c r="AJ39" s="58"/>
      <c r="AK39" s="70"/>
      <c r="AL39" s="71"/>
    </row>
    <row x14ac:dyDescent="0.25" r="40" customHeight="1" ht="18">
      <c r="A40" s="45">
        <v>34</v>
      </c>
      <c r="B40" s="155" t="s">
        <v>2760</v>
      </c>
      <c r="C40" s="156">
        <v>34</v>
      </c>
      <c r="D40" s="46" t="s">
        <v>47</v>
      </c>
      <c r="E40" s="46" t="s">
        <v>48</v>
      </c>
      <c r="F40" s="47" t="s">
        <v>49</v>
      </c>
      <c r="G40" s="47" t="s">
        <v>2758</v>
      </c>
      <c r="H40" s="47" t="s">
        <v>2761</v>
      </c>
      <c r="I40" s="130" t="s">
        <v>726</v>
      </c>
      <c r="J40" s="131"/>
      <c r="K40" s="59"/>
      <c r="L40" s="76"/>
      <c r="M40" s="81" t="s">
        <v>2847</v>
      </c>
      <c r="N40" s="47" t="s">
        <v>2848</v>
      </c>
      <c r="O40" s="47" t="s">
        <v>2849</v>
      </c>
      <c r="P40" s="134">
        <v>22.936027</v>
      </c>
      <c r="Q40" s="134">
        <v>91.827187</v>
      </c>
      <c r="R40" s="81">
        <v>300</v>
      </c>
      <c r="S40" s="81"/>
      <c r="T40" s="137"/>
      <c r="U40" s="137"/>
      <c r="V40" s="7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3"/>
      <c r="AJ40" s="58"/>
      <c r="AK40" s="70"/>
      <c r="AL40" s="71"/>
    </row>
    <row x14ac:dyDescent="0.25" r="41" customHeight="1" ht="18">
      <c r="A41" s="45">
        <v>35</v>
      </c>
      <c r="B41" s="155" t="s">
        <v>2760</v>
      </c>
      <c r="C41" s="156">
        <v>35</v>
      </c>
      <c r="D41" s="46" t="s">
        <v>47</v>
      </c>
      <c r="E41" s="46" t="s">
        <v>48</v>
      </c>
      <c r="F41" s="47" t="s">
        <v>49</v>
      </c>
      <c r="G41" s="47" t="s">
        <v>2758</v>
      </c>
      <c r="H41" s="47" t="s">
        <v>2761</v>
      </c>
      <c r="I41" s="130" t="s">
        <v>742</v>
      </c>
      <c r="J41" s="131"/>
      <c r="K41" s="59"/>
      <c r="L41" s="76"/>
      <c r="M41" s="81" t="s">
        <v>2800</v>
      </c>
      <c r="N41" s="47" t="s">
        <v>2801</v>
      </c>
      <c r="O41" s="47" t="s">
        <v>2850</v>
      </c>
      <c r="P41" s="134">
        <v>22.975419</v>
      </c>
      <c r="Q41" s="134">
        <v>91.786875</v>
      </c>
      <c r="R41" s="81">
        <v>1250</v>
      </c>
      <c r="S41" s="81"/>
      <c r="T41" s="81"/>
      <c r="U41" s="81"/>
      <c r="V41" s="7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3"/>
      <c r="AJ41" s="58"/>
      <c r="AK41" s="59"/>
      <c r="AL41" s="57"/>
    </row>
    <row x14ac:dyDescent="0.25" r="42" customHeight="1" ht="18">
      <c r="A42" s="45">
        <v>36</v>
      </c>
      <c r="B42" s="155" t="s">
        <v>2760</v>
      </c>
      <c r="C42" s="156">
        <v>36</v>
      </c>
      <c r="D42" s="46" t="s">
        <v>47</v>
      </c>
      <c r="E42" s="46" t="s">
        <v>48</v>
      </c>
      <c r="F42" s="47" t="s">
        <v>49</v>
      </c>
      <c r="G42" s="47" t="s">
        <v>2758</v>
      </c>
      <c r="H42" s="47" t="s">
        <v>2761</v>
      </c>
      <c r="I42" s="130" t="s">
        <v>742</v>
      </c>
      <c r="J42" s="131"/>
      <c r="K42" s="59"/>
      <c r="L42" s="76"/>
      <c r="M42" s="81" t="s">
        <v>2851</v>
      </c>
      <c r="N42" s="47" t="s">
        <v>2852</v>
      </c>
      <c r="O42" s="47" t="s">
        <v>2853</v>
      </c>
      <c r="P42" s="134">
        <v>22.967718</v>
      </c>
      <c r="Q42" s="134">
        <v>91.784605</v>
      </c>
      <c r="R42" s="81">
        <v>170</v>
      </c>
      <c r="S42" s="81"/>
      <c r="T42" s="81"/>
      <c r="U42" s="81"/>
      <c r="V42" s="7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3"/>
      <c r="AJ42" s="58"/>
      <c r="AK42" s="59"/>
      <c r="AL42" s="57"/>
    </row>
    <row x14ac:dyDescent="0.25" r="43" customHeight="1" ht="18">
      <c r="A43" s="45">
        <v>37</v>
      </c>
      <c r="B43" s="155" t="s">
        <v>2760</v>
      </c>
      <c r="C43" s="156">
        <v>37</v>
      </c>
      <c r="D43" s="46" t="s">
        <v>47</v>
      </c>
      <c r="E43" s="46" t="s">
        <v>48</v>
      </c>
      <c r="F43" s="47" t="s">
        <v>49</v>
      </c>
      <c r="G43" s="47" t="s">
        <v>2758</v>
      </c>
      <c r="H43" s="47" t="s">
        <v>2761</v>
      </c>
      <c r="I43" s="130" t="s">
        <v>742</v>
      </c>
      <c r="J43" s="131"/>
      <c r="K43" s="59"/>
      <c r="L43" s="131"/>
      <c r="M43" s="81" t="s">
        <v>2854</v>
      </c>
      <c r="N43" s="47" t="s">
        <v>2855</v>
      </c>
      <c r="O43" s="47" t="s">
        <v>2856</v>
      </c>
      <c r="P43" s="134">
        <v>22.964927</v>
      </c>
      <c r="Q43" s="134">
        <v>91.791984</v>
      </c>
      <c r="R43" s="81">
        <v>160</v>
      </c>
      <c r="S43" s="81"/>
      <c r="T43" s="81"/>
      <c r="U43" s="81"/>
      <c r="V43" s="7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3"/>
      <c r="AJ43" s="58"/>
      <c r="AK43" s="59"/>
      <c r="AL43" s="57"/>
    </row>
    <row x14ac:dyDescent="0.25" r="44" customHeight="1" ht="18">
      <c r="A44" s="45">
        <v>38</v>
      </c>
      <c r="B44" s="155" t="s">
        <v>2760</v>
      </c>
      <c r="C44" s="156">
        <v>38</v>
      </c>
      <c r="D44" s="46" t="s">
        <v>47</v>
      </c>
      <c r="E44" s="46" t="s">
        <v>48</v>
      </c>
      <c r="F44" s="47" t="s">
        <v>49</v>
      </c>
      <c r="G44" s="47" t="s">
        <v>2758</v>
      </c>
      <c r="H44" s="47" t="s">
        <v>2761</v>
      </c>
      <c r="I44" s="130" t="s">
        <v>742</v>
      </c>
      <c r="J44" s="131"/>
      <c r="K44" s="59"/>
      <c r="L44" s="76"/>
      <c r="M44" s="81" t="s">
        <v>599</v>
      </c>
      <c r="N44" s="47" t="s">
        <v>2489</v>
      </c>
      <c r="O44" s="47" t="s">
        <v>2857</v>
      </c>
      <c r="P44" s="134">
        <v>22.959056</v>
      </c>
      <c r="Q44" s="134">
        <v>91.790103</v>
      </c>
      <c r="R44" s="81">
        <v>550</v>
      </c>
      <c r="S44" s="81"/>
      <c r="T44" s="81"/>
      <c r="U44" s="81"/>
      <c r="V44" s="7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3"/>
      <c r="AJ44" s="58"/>
      <c r="AK44" s="73"/>
      <c r="AL44" s="74"/>
    </row>
    <row x14ac:dyDescent="0.25" r="45" customHeight="1" ht="18">
      <c r="A45" s="45">
        <v>39</v>
      </c>
      <c r="B45" s="155" t="s">
        <v>2760</v>
      </c>
      <c r="C45" s="156">
        <v>39</v>
      </c>
      <c r="D45" s="46" t="s">
        <v>47</v>
      </c>
      <c r="E45" s="46" t="s">
        <v>48</v>
      </c>
      <c r="F45" s="47" t="s">
        <v>49</v>
      </c>
      <c r="G45" s="47" t="s">
        <v>2758</v>
      </c>
      <c r="H45" s="47" t="s">
        <v>2761</v>
      </c>
      <c r="I45" s="130" t="s">
        <v>742</v>
      </c>
      <c r="J45" s="131"/>
      <c r="K45" s="59"/>
      <c r="L45" s="76"/>
      <c r="M45" s="81" t="s">
        <v>2858</v>
      </c>
      <c r="N45" s="47" t="s">
        <v>2859</v>
      </c>
      <c r="O45" s="47" t="s">
        <v>2860</v>
      </c>
      <c r="P45" s="134">
        <v>22.969116</v>
      </c>
      <c r="Q45" s="134">
        <v>91.791585</v>
      </c>
      <c r="R45" s="81">
        <v>510</v>
      </c>
      <c r="S45" s="81"/>
      <c r="T45" s="81"/>
      <c r="U45" s="81"/>
      <c r="V45" s="7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3"/>
      <c r="AJ45" s="58"/>
      <c r="AK45" s="75"/>
      <c r="AL45" s="76"/>
    </row>
    <row x14ac:dyDescent="0.25" r="46" customHeight="1" ht="18">
      <c r="A46" s="45">
        <v>40</v>
      </c>
      <c r="B46" s="155" t="s">
        <v>2760</v>
      </c>
      <c r="C46" s="156">
        <v>40</v>
      </c>
      <c r="D46" s="46" t="s">
        <v>47</v>
      </c>
      <c r="E46" s="46" t="s">
        <v>48</v>
      </c>
      <c r="F46" s="47" t="s">
        <v>49</v>
      </c>
      <c r="G46" s="47" t="s">
        <v>2758</v>
      </c>
      <c r="H46" s="47" t="s">
        <v>2761</v>
      </c>
      <c r="I46" s="130" t="s">
        <v>761</v>
      </c>
      <c r="J46" s="131"/>
      <c r="K46" s="59"/>
      <c r="L46" s="76"/>
      <c r="M46" s="81" t="s">
        <v>2861</v>
      </c>
      <c r="N46" s="47" t="s">
        <v>2862</v>
      </c>
      <c r="O46" s="47" t="s">
        <v>2863</v>
      </c>
      <c r="P46" s="134">
        <v>22.928367</v>
      </c>
      <c r="Q46" s="134">
        <v>91.780934</v>
      </c>
      <c r="R46" s="81">
        <v>115</v>
      </c>
      <c r="S46" s="81"/>
      <c r="T46" s="81"/>
      <c r="U46" s="81"/>
      <c r="V46" s="7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3"/>
      <c r="AJ46" s="58"/>
      <c r="AK46" s="75"/>
      <c r="AL46" s="76"/>
    </row>
    <row x14ac:dyDescent="0.25" r="47" customHeight="1" ht="18">
      <c r="A47" s="45">
        <v>41</v>
      </c>
      <c r="B47" s="155" t="s">
        <v>2760</v>
      </c>
      <c r="C47" s="156">
        <v>41</v>
      </c>
      <c r="D47" s="46" t="s">
        <v>47</v>
      </c>
      <c r="E47" s="46" t="s">
        <v>48</v>
      </c>
      <c r="F47" s="47" t="s">
        <v>49</v>
      </c>
      <c r="G47" s="47" t="s">
        <v>2758</v>
      </c>
      <c r="H47" s="47" t="s">
        <v>2761</v>
      </c>
      <c r="I47" s="130" t="s">
        <v>761</v>
      </c>
      <c r="J47" s="131"/>
      <c r="K47" s="59"/>
      <c r="L47" s="76"/>
      <c r="M47" s="81" t="s">
        <v>2864</v>
      </c>
      <c r="N47" s="47" t="s">
        <v>2865</v>
      </c>
      <c r="O47" s="47" t="s">
        <v>2866</v>
      </c>
      <c r="P47" s="134">
        <v>22.931433</v>
      </c>
      <c r="Q47" s="134">
        <v>91.790673</v>
      </c>
      <c r="R47" s="81">
        <v>225</v>
      </c>
      <c r="S47" s="81"/>
      <c r="T47" s="81"/>
      <c r="U47" s="81"/>
      <c r="V47" s="7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3"/>
      <c r="AJ47" s="58"/>
      <c r="AK47" s="75"/>
      <c r="AL47" s="76"/>
    </row>
    <row x14ac:dyDescent="0.25" r="48" customHeight="1" ht="18">
      <c r="A48" s="45">
        <v>42</v>
      </c>
      <c r="B48" s="155" t="s">
        <v>2760</v>
      </c>
      <c r="C48" s="156">
        <v>42</v>
      </c>
      <c r="D48" s="46" t="s">
        <v>47</v>
      </c>
      <c r="E48" s="46" t="s">
        <v>48</v>
      </c>
      <c r="F48" s="47" t="s">
        <v>49</v>
      </c>
      <c r="G48" s="47" t="s">
        <v>2758</v>
      </c>
      <c r="H48" s="47" t="s">
        <v>2761</v>
      </c>
      <c r="I48" s="130" t="s">
        <v>761</v>
      </c>
      <c r="J48" s="131"/>
      <c r="K48" s="59"/>
      <c r="L48" s="76"/>
      <c r="M48" s="81" t="s">
        <v>2867</v>
      </c>
      <c r="N48" s="47" t="s">
        <v>2868</v>
      </c>
      <c r="O48" s="47" t="s">
        <v>2869</v>
      </c>
      <c r="P48" s="134">
        <v>22.908714</v>
      </c>
      <c r="Q48" s="134">
        <v>91.78607</v>
      </c>
      <c r="R48" s="81">
        <v>290</v>
      </c>
      <c r="S48" s="81"/>
      <c r="T48" s="81"/>
      <c r="U48" s="81"/>
      <c r="V48" s="7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77"/>
      <c r="AJ48" s="58"/>
      <c r="AK48" s="75"/>
      <c r="AL48" s="76"/>
    </row>
    <row x14ac:dyDescent="0.25" r="49" customHeight="1" ht="18">
      <c r="A49" s="45">
        <v>43</v>
      </c>
      <c r="B49" s="155" t="s">
        <v>2760</v>
      </c>
      <c r="C49" s="156">
        <v>43</v>
      </c>
      <c r="D49" s="46" t="s">
        <v>47</v>
      </c>
      <c r="E49" s="46" t="s">
        <v>48</v>
      </c>
      <c r="F49" s="47" t="s">
        <v>49</v>
      </c>
      <c r="G49" s="47" t="s">
        <v>2758</v>
      </c>
      <c r="H49" s="47" t="s">
        <v>2761</v>
      </c>
      <c r="I49" s="130" t="s">
        <v>761</v>
      </c>
      <c r="J49" s="131"/>
      <c r="K49" s="59"/>
      <c r="L49" s="76"/>
      <c r="M49" s="81" t="s">
        <v>367</v>
      </c>
      <c r="N49" s="47" t="s">
        <v>2870</v>
      </c>
      <c r="O49" s="47" t="s">
        <v>2871</v>
      </c>
      <c r="P49" s="134">
        <v>22.903322</v>
      </c>
      <c r="Q49" s="134">
        <v>91.758162</v>
      </c>
      <c r="R49" s="81">
        <v>370</v>
      </c>
      <c r="S49" s="81"/>
      <c r="T49" s="81"/>
      <c r="U49" s="81"/>
      <c r="V49" s="135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3"/>
      <c r="AJ49" s="58"/>
      <c r="AK49" s="75"/>
      <c r="AL49" s="76"/>
    </row>
    <row x14ac:dyDescent="0.25" r="50" customHeight="1" ht="18">
      <c r="A50" s="45">
        <v>44</v>
      </c>
      <c r="B50" s="155" t="s">
        <v>2760</v>
      </c>
      <c r="C50" s="156">
        <v>44</v>
      </c>
      <c r="D50" s="46" t="s">
        <v>47</v>
      </c>
      <c r="E50" s="46" t="s">
        <v>48</v>
      </c>
      <c r="F50" s="47" t="s">
        <v>49</v>
      </c>
      <c r="G50" s="47" t="s">
        <v>2758</v>
      </c>
      <c r="H50" s="47" t="s">
        <v>2761</v>
      </c>
      <c r="I50" s="130" t="s">
        <v>761</v>
      </c>
      <c r="J50" s="131"/>
      <c r="K50" s="59"/>
      <c r="L50" s="76"/>
      <c r="M50" s="81" t="s">
        <v>2536</v>
      </c>
      <c r="N50" s="47" t="s">
        <v>2872</v>
      </c>
      <c r="O50" s="47" t="s">
        <v>2873</v>
      </c>
      <c r="P50" s="134">
        <v>22.888375</v>
      </c>
      <c r="Q50" s="134">
        <v>91.763602</v>
      </c>
      <c r="R50" s="81">
        <v>320</v>
      </c>
      <c r="S50" s="81"/>
      <c r="T50" s="81"/>
      <c r="U50" s="81"/>
      <c r="V50" s="135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3"/>
      <c r="AJ50" s="58"/>
      <c r="AK50" s="75"/>
      <c r="AL50" s="76"/>
    </row>
    <row x14ac:dyDescent="0.25" r="51" customHeight="1" ht="18">
      <c r="A51" s="45">
        <v>45</v>
      </c>
      <c r="B51" s="155" t="s">
        <v>2760</v>
      </c>
      <c r="C51" s="156">
        <v>45</v>
      </c>
      <c r="D51" s="46" t="s">
        <v>47</v>
      </c>
      <c r="E51" s="46" t="s">
        <v>48</v>
      </c>
      <c r="F51" s="47" t="s">
        <v>49</v>
      </c>
      <c r="G51" s="47" t="s">
        <v>2758</v>
      </c>
      <c r="H51" s="47" t="s">
        <v>2761</v>
      </c>
      <c r="I51" s="130" t="s">
        <v>761</v>
      </c>
      <c r="J51" s="131"/>
      <c r="K51" s="59"/>
      <c r="L51" s="76"/>
      <c r="M51" s="81" t="s">
        <v>2874</v>
      </c>
      <c r="N51" s="47" t="s">
        <v>2875</v>
      </c>
      <c r="O51" s="47" t="s">
        <v>2876</v>
      </c>
      <c r="P51" s="134">
        <v>22.912482</v>
      </c>
      <c r="Q51" s="134">
        <v>91.77559</v>
      </c>
      <c r="R51" s="81">
        <v>325</v>
      </c>
      <c r="S51" s="81"/>
      <c r="T51" s="81"/>
      <c r="U51" s="81"/>
      <c r="V51" s="135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3"/>
      <c r="AJ51" s="58"/>
      <c r="AK51" s="59"/>
      <c r="AL51" s="57"/>
    </row>
    <row x14ac:dyDescent="0.25" r="52" customHeight="1" ht="18">
      <c r="A52" s="45">
        <v>46</v>
      </c>
      <c r="B52" s="155" t="s">
        <v>2760</v>
      </c>
      <c r="C52" s="156">
        <v>46</v>
      </c>
      <c r="D52" s="46" t="s">
        <v>47</v>
      </c>
      <c r="E52" s="46" t="s">
        <v>48</v>
      </c>
      <c r="F52" s="47" t="s">
        <v>49</v>
      </c>
      <c r="G52" s="47" t="s">
        <v>2758</v>
      </c>
      <c r="H52" s="47" t="s">
        <v>2761</v>
      </c>
      <c r="I52" s="130" t="s">
        <v>761</v>
      </c>
      <c r="J52" s="131"/>
      <c r="K52" s="59"/>
      <c r="L52" s="76"/>
      <c r="M52" s="81" t="s">
        <v>2877</v>
      </c>
      <c r="N52" s="47" t="s">
        <v>2878</v>
      </c>
      <c r="O52" s="47" t="s">
        <v>2879</v>
      </c>
      <c r="P52" s="134">
        <v>22.911331</v>
      </c>
      <c r="Q52" s="134">
        <v>91.783249</v>
      </c>
      <c r="R52" s="81">
        <v>175</v>
      </c>
      <c r="S52" s="81"/>
      <c r="T52" s="81"/>
      <c r="U52" s="81"/>
      <c r="V52" s="135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3"/>
      <c r="AJ52" s="58"/>
      <c r="AK52" s="59"/>
      <c r="AL52" s="57"/>
    </row>
    <row x14ac:dyDescent="0.25" r="53" customHeight="1" ht="18">
      <c r="A53" s="45">
        <v>47</v>
      </c>
      <c r="B53" s="155" t="s">
        <v>2760</v>
      </c>
      <c r="C53" s="156">
        <v>47</v>
      </c>
      <c r="D53" s="46" t="s">
        <v>47</v>
      </c>
      <c r="E53" s="46" t="s">
        <v>48</v>
      </c>
      <c r="F53" s="47" t="s">
        <v>49</v>
      </c>
      <c r="G53" s="47" t="s">
        <v>2758</v>
      </c>
      <c r="H53" s="47" t="s">
        <v>2761</v>
      </c>
      <c r="I53" s="130" t="s">
        <v>781</v>
      </c>
      <c r="J53" s="131"/>
      <c r="K53" s="59"/>
      <c r="L53" s="76"/>
      <c r="M53" s="81" t="s">
        <v>2880</v>
      </c>
      <c r="N53" s="47" t="s">
        <v>2881</v>
      </c>
      <c r="O53" s="47" t="s">
        <v>2882</v>
      </c>
      <c r="P53" s="134">
        <v>22.884448</v>
      </c>
      <c r="Q53" s="134">
        <v>91.719967</v>
      </c>
      <c r="R53" s="81">
        <v>700</v>
      </c>
      <c r="S53" s="81"/>
      <c r="T53" s="81"/>
      <c r="U53" s="81"/>
      <c r="V53" s="135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3"/>
      <c r="AJ53" s="58"/>
      <c r="AK53" s="59"/>
      <c r="AL53" s="57"/>
    </row>
    <row x14ac:dyDescent="0.25" r="54" customHeight="1" ht="18">
      <c r="A54" s="45">
        <v>48</v>
      </c>
      <c r="B54" s="155" t="s">
        <v>2760</v>
      </c>
      <c r="C54" s="156">
        <v>48</v>
      </c>
      <c r="D54" s="46" t="s">
        <v>47</v>
      </c>
      <c r="E54" s="46" t="s">
        <v>48</v>
      </c>
      <c r="F54" s="47" t="s">
        <v>49</v>
      </c>
      <c r="G54" s="47" t="s">
        <v>2758</v>
      </c>
      <c r="H54" s="47" t="s">
        <v>2761</v>
      </c>
      <c r="I54" s="130" t="s">
        <v>781</v>
      </c>
      <c r="J54" s="138"/>
      <c r="K54" s="132"/>
      <c r="L54" s="76"/>
      <c r="M54" s="81" t="s">
        <v>2883</v>
      </c>
      <c r="N54" s="47" t="s">
        <v>2884</v>
      </c>
      <c r="O54" s="47" t="s">
        <v>2885</v>
      </c>
      <c r="P54" s="134">
        <v>22.8849</v>
      </c>
      <c r="Q54" s="134">
        <v>91.729701</v>
      </c>
      <c r="R54" s="81">
        <v>350</v>
      </c>
      <c r="S54" s="81"/>
      <c r="T54" s="81"/>
      <c r="U54" s="81"/>
      <c r="V54" s="7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3"/>
      <c r="AJ54" s="58"/>
      <c r="AK54" s="59"/>
      <c r="AL54" s="57"/>
    </row>
    <row x14ac:dyDescent="0.25" r="55" customHeight="1" ht="18">
      <c r="A55" s="45">
        <v>49</v>
      </c>
      <c r="B55" s="155" t="s">
        <v>2760</v>
      </c>
      <c r="C55" s="156">
        <v>49</v>
      </c>
      <c r="D55" s="46" t="s">
        <v>47</v>
      </c>
      <c r="E55" s="46" t="s">
        <v>48</v>
      </c>
      <c r="F55" s="47" t="s">
        <v>49</v>
      </c>
      <c r="G55" s="47" t="s">
        <v>2758</v>
      </c>
      <c r="H55" s="47" t="s">
        <v>2761</v>
      </c>
      <c r="I55" s="130" t="s">
        <v>781</v>
      </c>
      <c r="J55" s="131"/>
      <c r="K55" s="132"/>
      <c r="L55" s="76"/>
      <c r="M55" s="81" t="s">
        <v>2886</v>
      </c>
      <c r="N55" s="47" t="s">
        <v>2887</v>
      </c>
      <c r="O55" s="47" t="s">
        <v>2888</v>
      </c>
      <c r="P55" s="134">
        <v>22.890353</v>
      </c>
      <c r="Q55" s="134">
        <v>91.738093</v>
      </c>
      <c r="R55" s="81">
        <v>150</v>
      </c>
      <c r="S55" s="81"/>
      <c r="T55" s="81"/>
      <c r="U55" s="81"/>
      <c r="V55" s="7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3"/>
      <c r="AJ55" s="58"/>
      <c r="AK55" s="59"/>
      <c r="AL55" s="57"/>
    </row>
    <row x14ac:dyDescent="0.25" r="56" customHeight="1" ht="18">
      <c r="A56" s="45">
        <v>50</v>
      </c>
      <c r="B56" s="155" t="s">
        <v>2760</v>
      </c>
      <c r="C56" s="156">
        <v>50</v>
      </c>
      <c r="D56" s="46" t="s">
        <v>47</v>
      </c>
      <c r="E56" s="46" t="s">
        <v>48</v>
      </c>
      <c r="F56" s="47" t="s">
        <v>49</v>
      </c>
      <c r="G56" s="47" t="s">
        <v>2758</v>
      </c>
      <c r="H56" s="47" t="s">
        <v>2761</v>
      </c>
      <c r="I56" s="130" t="s">
        <v>781</v>
      </c>
      <c r="J56" s="131"/>
      <c r="K56" s="132"/>
      <c r="L56" s="76"/>
      <c r="M56" s="81" t="s">
        <v>2889</v>
      </c>
      <c r="N56" s="47" t="s">
        <v>2890</v>
      </c>
      <c r="O56" s="47" t="s">
        <v>2891</v>
      </c>
      <c r="P56" s="134">
        <v>22.889776</v>
      </c>
      <c r="Q56" s="134">
        <v>91.733789</v>
      </c>
      <c r="R56" s="81">
        <v>200</v>
      </c>
      <c r="S56" s="81"/>
      <c r="T56" s="81"/>
      <c r="U56" s="81"/>
      <c r="V56" s="7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3"/>
      <c r="AJ56" s="58"/>
      <c r="AK56" s="59"/>
      <c r="AL56" s="57"/>
    </row>
    <row x14ac:dyDescent="0.25" r="57" customHeight="1" ht="18">
      <c r="A57" s="45">
        <v>51</v>
      </c>
      <c r="B57" s="155" t="s">
        <v>2760</v>
      </c>
      <c r="C57" s="156">
        <v>51</v>
      </c>
      <c r="D57" s="46" t="s">
        <v>47</v>
      </c>
      <c r="E57" s="46" t="s">
        <v>48</v>
      </c>
      <c r="F57" s="47" t="s">
        <v>49</v>
      </c>
      <c r="G57" s="47" t="s">
        <v>2758</v>
      </c>
      <c r="H57" s="47" t="s">
        <v>2761</v>
      </c>
      <c r="I57" s="130" t="s">
        <v>781</v>
      </c>
      <c r="J57" s="131"/>
      <c r="K57" s="132"/>
      <c r="L57" s="76"/>
      <c r="M57" s="81" t="s">
        <v>373</v>
      </c>
      <c r="N57" s="47" t="s">
        <v>2892</v>
      </c>
      <c r="O57" s="47" t="s">
        <v>2893</v>
      </c>
      <c r="P57" s="134">
        <v>22.882035</v>
      </c>
      <c r="Q57" s="134">
        <v>91.73388</v>
      </c>
      <c r="R57" s="81">
        <v>200</v>
      </c>
      <c r="S57" s="81"/>
      <c r="T57" s="81"/>
      <c r="U57" s="81"/>
      <c r="V57" s="7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3"/>
      <c r="AJ57" s="58"/>
      <c r="AK57" s="59"/>
      <c r="AL57" s="57"/>
    </row>
    <row x14ac:dyDescent="0.25" r="58" customHeight="1" ht="18">
      <c r="A58" s="45">
        <v>52</v>
      </c>
      <c r="B58" s="155" t="s">
        <v>2760</v>
      </c>
      <c r="C58" s="156">
        <v>52</v>
      </c>
      <c r="D58" s="46" t="s">
        <v>47</v>
      </c>
      <c r="E58" s="46" t="s">
        <v>48</v>
      </c>
      <c r="F58" s="47" t="s">
        <v>49</v>
      </c>
      <c r="G58" s="47" t="s">
        <v>2758</v>
      </c>
      <c r="H58" s="47" t="s">
        <v>2761</v>
      </c>
      <c r="I58" s="130" t="s">
        <v>797</v>
      </c>
      <c r="J58" s="131"/>
      <c r="K58" s="132"/>
      <c r="L58" s="76"/>
      <c r="M58" s="81" t="s">
        <v>2894</v>
      </c>
      <c r="N58" s="47" t="s">
        <v>2895</v>
      </c>
      <c r="O58" s="47" t="s">
        <v>2896</v>
      </c>
      <c r="P58" s="134">
        <v>22.891725</v>
      </c>
      <c r="Q58" s="134">
        <v>91.719474</v>
      </c>
      <c r="R58" s="81">
        <v>750</v>
      </c>
      <c r="S58" s="81"/>
      <c r="T58" s="81"/>
      <c r="U58" s="81"/>
      <c r="V58" s="7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3"/>
      <c r="AJ58" s="58"/>
      <c r="AK58" s="59"/>
      <c r="AL58" s="57"/>
    </row>
    <row x14ac:dyDescent="0.25" r="59" customHeight="1" ht="18">
      <c r="A59" s="45">
        <v>53</v>
      </c>
      <c r="B59" s="155" t="s">
        <v>2760</v>
      </c>
      <c r="C59" s="156">
        <v>53</v>
      </c>
      <c r="D59" s="46" t="s">
        <v>47</v>
      </c>
      <c r="E59" s="46" t="s">
        <v>48</v>
      </c>
      <c r="F59" s="47" t="s">
        <v>49</v>
      </c>
      <c r="G59" s="47" t="s">
        <v>2758</v>
      </c>
      <c r="H59" s="47" t="s">
        <v>2761</v>
      </c>
      <c r="I59" s="130" t="s">
        <v>797</v>
      </c>
      <c r="J59" s="131"/>
      <c r="K59" s="132"/>
      <c r="L59" s="76"/>
      <c r="M59" s="81" t="s">
        <v>2897</v>
      </c>
      <c r="N59" s="47" t="s">
        <v>2898</v>
      </c>
      <c r="O59" s="47" t="s">
        <v>2899</v>
      </c>
      <c r="P59" s="134">
        <v>22.905637</v>
      </c>
      <c r="Q59" s="134">
        <v>91.73288</v>
      </c>
      <c r="R59" s="81">
        <v>220</v>
      </c>
      <c r="S59" s="81"/>
      <c r="T59" s="81"/>
      <c r="U59" s="81"/>
      <c r="V59" s="7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3"/>
      <c r="AJ59" s="58"/>
      <c r="AK59" s="59"/>
      <c r="AL59" s="57"/>
    </row>
    <row x14ac:dyDescent="0.25" r="60" customHeight="1" ht="18">
      <c r="A60" s="45">
        <v>54</v>
      </c>
      <c r="B60" s="155" t="s">
        <v>2760</v>
      </c>
      <c r="C60" s="156">
        <v>54</v>
      </c>
      <c r="D60" s="46" t="s">
        <v>47</v>
      </c>
      <c r="E60" s="46" t="s">
        <v>48</v>
      </c>
      <c r="F60" s="47" t="s">
        <v>49</v>
      </c>
      <c r="G60" s="47" t="s">
        <v>2758</v>
      </c>
      <c r="H60" s="47" t="s">
        <v>2761</v>
      </c>
      <c r="I60" s="130" t="s">
        <v>797</v>
      </c>
      <c r="J60" s="131"/>
      <c r="K60" s="132"/>
      <c r="L60" s="76"/>
      <c r="M60" s="81" t="s">
        <v>2900</v>
      </c>
      <c r="N60" s="47" t="s">
        <v>2901</v>
      </c>
      <c r="O60" s="47" t="s">
        <v>2902</v>
      </c>
      <c r="P60" s="134">
        <v>22.894245</v>
      </c>
      <c r="Q60" s="134">
        <v>91.728744</v>
      </c>
      <c r="R60" s="81">
        <v>80</v>
      </c>
      <c r="S60" s="81"/>
      <c r="T60" s="81"/>
      <c r="U60" s="81"/>
      <c r="V60" s="7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3"/>
      <c r="AJ60" s="58"/>
      <c r="AK60" s="59"/>
      <c r="AL60" s="57"/>
    </row>
    <row x14ac:dyDescent="0.25" r="61" customHeight="1" ht="18">
      <c r="A61" s="45">
        <v>55</v>
      </c>
      <c r="B61" s="155" t="s">
        <v>2760</v>
      </c>
      <c r="C61" s="156">
        <v>55</v>
      </c>
      <c r="D61" s="46" t="s">
        <v>47</v>
      </c>
      <c r="E61" s="46" t="s">
        <v>48</v>
      </c>
      <c r="F61" s="47" t="s">
        <v>49</v>
      </c>
      <c r="G61" s="47" t="s">
        <v>2758</v>
      </c>
      <c r="H61" s="47" t="s">
        <v>2758</v>
      </c>
      <c r="I61" s="130" t="s">
        <v>677</v>
      </c>
      <c r="J61" s="131"/>
      <c r="K61" s="132"/>
      <c r="L61" s="76"/>
      <c r="M61" s="81" t="s">
        <v>2903</v>
      </c>
      <c r="N61" s="47" t="s">
        <v>2904</v>
      </c>
      <c r="O61" s="47" t="s">
        <v>2905</v>
      </c>
      <c r="P61" s="134">
        <v>23.037468</v>
      </c>
      <c r="Q61" s="134">
        <v>91.771798</v>
      </c>
      <c r="R61" s="81">
        <v>200</v>
      </c>
      <c r="S61" s="81"/>
      <c r="T61" s="81"/>
      <c r="U61" s="81"/>
      <c r="V61" s="7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3"/>
      <c r="AJ61" s="58"/>
      <c r="AK61" s="59"/>
      <c r="AL61" s="57"/>
    </row>
    <row x14ac:dyDescent="0.25" r="62" customHeight="1" ht="18">
      <c r="A62" s="45">
        <v>56</v>
      </c>
      <c r="B62" s="155" t="s">
        <v>2760</v>
      </c>
      <c r="C62" s="156">
        <v>56</v>
      </c>
      <c r="D62" s="46" t="s">
        <v>47</v>
      </c>
      <c r="E62" s="46" t="s">
        <v>48</v>
      </c>
      <c r="F62" s="47" t="s">
        <v>49</v>
      </c>
      <c r="G62" s="47" t="s">
        <v>2758</v>
      </c>
      <c r="H62" s="47" t="s">
        <v>2758</v>
      </c>
      <c r="I62" s="130" t="s">
        <v>677</v>
      </c>
      <c r="J62" s="131"/>
      <c r="K62" s="132"/>
      <c r="L62" s="76"/>
      <c r="M62" s="81" t="s">
        <v>2906</v>
      </c>
      <c r="N62" s="47" t="s">
        <v>2907</v>
      </c>
      <c r="O62" s="47" t="s">
        <v>2908</v>
      </c>
      <c r="P62" s="134">
        <v>23.020197</v>
      </c>
      <c r="Q62" s="134">
        <v>91.775554</v>
      </c>
      <c r="R62" s="81">
        <v>160</v>
      </c>
      <c r="S62" s="81"/>
      <c r="T62" s="81"/>
      <c r="U62" s="81"/>
      <c r="V62" s="135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3"/>
      <c r="AJ62" s="58"/>
      <c r="AK62" s="59"/>
      <c r="AL62" s="57"/>
    </row>
    <row x14ac:dyDescent="0.25" r="63" customHeight="1" ht="18">
      <c r="A63" s="45">
        <v>57</v>
      </c>
      <c r="B63" s="155" t="s">
        <v>2760</v>
      </c>
      <c r="C63" s="156">
        <v>57</v>
      </c>
      <c r="D63" s="46" t="s">
        <v>47</v>
      </c>
      <c r="E63" s="46" t="s">
        <v>48</v>
      </c>
      <c r="F63" s="47" t="s">
        <v>49</v>
      </c>
      <c r="G63" s="47" t="s">
        <v>2758</v>
      </c>
      <c r="H63" s="47" t="s">
        <v>2758</v>
      </c>
      <c r="I63" s="130" t="s">
        <v>677</v>
      </c>
      <c r="J63" s="131"/>
      <c r="K63" s="132"/>
      <c r="L63" s="76"/>
      <c r="M63" s="81" t="s">
        <v>2909</v>
      </c>
      <c r="N63" s="47" t="s">
        <v>2910</v>
      </c>
      <c r="O63" s="47" t="s">
        <v>2911</v>
      </c>
      <c r="P63" s="134">
        <v>23.012757</v>
      </c>
      <c r="Q63" s="134">
        <v>91.756116</v>
      </c>
      <c r="R63" s="81">
        <v>212</v>
      </c>
      <c r="S63" s="81"/>
      <c r="T63" s="81"/>
      <c r="U63" s="81"/>
      <c r="V63" s="7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3"/>
      <c r="AJ63" s="58"/>
      <c r="AK63" s="59"/>
      <c r="AL63" s="57"/>
    </row>
    <row x14ac:dyDescent="0.25" r="64" customHeight="1" ht="18">
      <c r="A64" s="45">
        <v>58</v>
      </c>
      <c r="B64" s="155" t="s">
        <v>2760</v>
      </c>
      <c r="C64" s="156">
        <v>58</v>
      </c>
      <c r="D64" s="46" t="s">
        <v>47</v>
      </c>
      <c r="E64" s="46" t="s">
        <v>48</v>
      </c>
      <c r="F64" s="47" t="s">
        <v>49</v>
      </c>
      <c r="G64" s="47" t="s">
        <v>2758</v>
      </c>
      <c r="H64" s="47" t="s">
        <v>2758</v>
      </c>
      <c r="I64" s="130" t="s">
        <v>677</v>
      </c>
      <c r="J64" s="131"/>
      <c r="K64" s="132"/>
      <c r="L64" s="76"/>
      <c r="M64" s="81" t="s">
        <v>2912</v>
      </c>
      <c r="N64" s="47" t="s">
        <v>2913</v>
      </c>
      <c r="O64" s="47" t="s">
        <v>2914</v>
      </c>
      <c r="P64" s="134">
        <v>23.023432</v>
      </c>
      <c r="Q64" s="134">
        <v>91.765242</v>
      </c>
      <c r="R64" s="81">
        <v>12</v>
      </c>
      <c r="S64" s="81"/>
      <c r="T64" s="81"/>
      <c r="U64" s="81"/>
      <c r="V64" s="7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3"/>
      <c r="AJ64" s="58"/>
      <c r="AK64" s="59"/>
      <c r="AL64" s="57"/>
    </row>
    <row x14ac:dyDescent="0.25" r="65" customHeight="1" ht="18">
      <c r="A65" s="45">
        <v>59</v>
      </c>
      <c r="B65" s="155" t="s">
        <v>2760</v>
      </c>
      <c r="C65" s="156">
        <v>59</v>
      </c>
      <c r="D65" s="46" t="s">
        <v>47</v>
      </c>
      <c r="E65" s="46" t="s">
        <v>48</v>
      </c>
      <c r="F65" s="47" t="s">
        <v>49</v>
      </c>
      <c r="G65" s="47" t="s">
        <v>2758</v>
      </c>
      <c r="H65" s="47" t="s">
        <v>2758</v>
      </c>
      <c r="I65" s="130" t="s">
        <v>677</v>
      </c>
      <c r="J65" s="131"/>
      <c r="K65" s="132"/>
      <c r="L65" s="76"/>
      <c r="M65" s="81" t="s">
        <v>2915</v>
      </c>
      <c r="N65" s="47" t="s">
        <v>2916</v>
      </c>
      <c r="O65" s="47" t="s">
        <v>2917</v>
      </c>
      <c r="P65" s="134">
        <v>23.019251</v>
      </c>
      <c r="Q65" s="134">
        <v>91.754671</v>
      </c>
      <c r="R65" s="81">
        <v>80</v>
      </c>
      <c r="S65" s="81"/>
      <c r="T65" s="81"/>
      <c r="U65" s="81"/>
      <c r="V65" s="7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3"/>
      <c r="AJ65" s="58"/>
      <c r="AK65" s="59"/>
      <c r="AL65" s="57"/>
    </row>
    <row x14ac:dyDescent="0.25" r="66" customHeight="1" ht="18">
      <c r="A66" s="45">
        <v>60</v>
      </c>
      <c r="B66" s="155" t="s">
        <v>2760</v>
      </c>
      <c r="C66" s="156">
        <v>60</v>
      </c>
      <c r="D66" s="46" t="s">
        <v>47</v>
      </c>
      <c r="E66" s="46" t="s">
        <v>48</v>
      </c>
      <c r="F66" s="47" t="s">
        <v>49</v>
      </c>
      <c r="G66" s="47" t="s">
        <v>2758</v>
      </c>
      <c r="H66" s="47" t="s">
        <v>2758</v>
      </c>
      <c r="I66" s="130" t="s">
        <v>677</v>
      </c>
      <c r="J66" s="131"/>
      <c r="K66" s="132"/>
      <c r="L66" s="76"/>
      <c r="M66" s="81" t="s">
        <v>2918</v>
      </c>
      <c r="N66" s="47" t="s">
        <v>2919</v>
      </c>
      <c r="O66" s="47" t="s">
        <v>2920</v>
      </c>
      <c r="P66" s="134">
        <v>23.02506</v>
      </c>
      <c r="Q66" s="134">
        <v>91.778213</v>
      </c>
      <c r="R66" s="81">
        <v>8</v>
      </c>
      <c r="S66" s="81"/>
      <c r="T66" s="81"/>
      <c r="U66" s="81"/>
      <c r="V66" s="7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3"/>
      <c r="AJ66" s="58"/>
      <c r="AK66" s="59"/>
      <c r="AL66" s="57"/>
    </row>
    <row x14ac:dyDescent="0.25" r="67" customHeight="1" ht="18">
      <c r="A67" s="45">
        <v>61</v>
      </c>
      <c r="B67" s="155" t="s">
        <v>2760</v>
      </c>
      <c r="C67" s="156">
        <v>61</v>
      </c>
      <c r="D67" s="46" t="s">
        <v>47</v>
      </c>
      <c r="E67" s="46" t="s">
        <v>48</v>
      </c>
      <c r="F67" s="47" t="s">
        <v>49</v>
      </c>
      <c r="G67" s="47" t="s">
        <v>2758</v>
      </c>
      <c r="H67" s="47" t="s">
        <v>2758</v>
      </c>
      <c r="I67" s="130" t="s">
        <v>677</v>
      </c>
      <c r="J67" s="131"/>
      <c r="K67" s="132"/>
      <c r="L67" s="76"/>
      <c r="M67" s="81" t="s">
        <v>2921</v>
      </c>
      <c r="N67" s="47" t="s">
        <v>2922</v>
      </c>
      <c r="O67" s="47" t="s">
        <v>2923</v>
      </c>
      <c r="P67" s="134">
        <v>23.031731</v>
      </c>
      <c r="Q67" s="134">
        <v>91.772072</v>
      </c>
      <c r="R67" s="81"/>
      <c r="S67" s="81"/>
      <c r="T67" s="81"/>
      <c r="U67" s="81"/>
      <c r="V67" s="7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3"/>
      <c r="AJ67" s="58"/>
      <c r="AK67" s="59"/>
      <c r="AL67" s="57"/>
    </row>
    <row x14ac:dyDescent="0.25" r="68" customHeight="1" ht="18">
      <c r="A68" s="45">
        <v>62</v>
      </c>
      <c r="B68" s="155" t="s">
        <v>2760</v>
      </c>
      <c r="C68" s="156">
        <v>62</v>
      </c>
      <c r="D68" s="46" t="s">
        <v>47</v>
      </c>
      <c r="E68" s="46" t="s">
        <v>48</v>
      </c>
      <c r="F68" s="47" t="s">
        <v>49</v>
      </c>
      <c r="G68" s="47" t="s">
        <v>2758</v>
      </c>
      <c r="H68" s="47" t="s">
        <v>2758</v>
      </c>
      <c r="I68" s="130" t="s">
        <v>677</v>
      </c>
      <c r="J68" s="131"/>
      <c r="K68" s="132"/>
      <c r="L68" s="76"/>
      <c r="M68" s="81" t="s">
        <v>2924</v>
      </c>
      <c r="N68" s="47" t="s">
        <v>2925</v>
      </c>
      <c r="O68" s="47" t="s">
        <v>2926</v>
      </c>
      <c r="P68" s="134">
        <v>23.017931</v>
      </c>
      <c r="Q68" s="134">
        <v>91.754462</v>
      </c>
      <c r="R68" s="81"/>
      <c r="S68" s="81"/>
      <c r="T68" s="81"/>
      <c r="U68" s="81"/>
      <c r="V68" s="7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3"/>
      <c r="AJ68" s="58"/>
      <c r="AK68" s="59"/>
      <c r="AL68" s="57"/>
    </row>
    <row x14ac:dyDescent="0.25" r="69" customHeight="1" ht="18">
      <c r="A69" s="45">
        <v>63</v>
      </c>
      <c r="B69" s="155" t="s">
        <v>2760</v>
      </c>
      <c r="C69" s="156">
        <v>63</v>
      </c>
      <c r="D69" s="46" t="s">
        <v>47</v>
      </c>
      <c r="E69" s="46" t="s">
        <v>48</v>
      </c>
      <c r="F69" s="47" t="s">
        <v>49</v>
      </c>
      <c r="G69" s="47" t="s">
        <v>2758</v>
      </c>
      <c r="H69" s="47" t="s">
        <v>2758</v>
      </c>
      <c r="I69" s="130" t="s">
        <v>684</v>
      </c>
      <c r="J69" s="131"/>
      <c r="K69" s="132"/>
      <c r="L69" s="76"/>
      <c r="M69" s="81" t="s">
        <v>2927</v>
      </c>
      <c r="N69" s="47" t="s">
        <v>2928</v>
      </c>
      <c r="O69" s="47" t="s">
        <v>2929</v>
      </c>
      <c r="P69" s="134">
        <v>23.00454</v>
      </c>
      <c r="Q69" s="134">
        <v>91.774092</v>
      </c>
      <c r="R69" s="81">
        <v>100</v>
      </c>
      <c r="S69" s="81"/>
      <c r="T69" s="81"/>
      <c r="U69" s="81"/>
      <c r="V69" s="7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3"/>
      <c r="AJ69" s="58"/>
      <c r="AK69" s="59"/>
      <c r="AL69" s="57"/>
    </row>
    <row x14ac:dyDescent="0.25" r="70" customHeight="1" ht="18">
      <c r="A70" s="45">
        <v>64</v>
      </c>
      <c r="B70" s="155" t="s">
        <v>2760</v>
      </c>
      <c r="C70" s="156">
        <v>64</v>
      </c>
      <c r="D70" s="46" t="s">
        <v>47</v>
      </c>
      <c r="E70" s="46" t="s">
        <v>48</v>
      </c>
      <c r="F70" s="47" t="s">
        <v>49</v>
      </c>
      <c r="G70" s="47" t="s">
        <v>2758</v>
      </c>
      <c r="H70" s="47" t="s">
        <v>2758</v>
      </c>
      <c r="I70" s="130" t="s">
        <v>684</v>
      </c>
      <c r="J70" s="131"/>
      <c r="K70" s="132"/>
      <c r="L70" s="76"/>
      <c r="M70" s="81" t="s">
        <v>364</v>
      </c>
      <c r="N70" s="47" t="s">
        <v>2930</v>
      </c>
      <c r="O70" s="47" t="s">
        <v>2931</v>
      </c>
      <c r="P70" s="134">
        <v>23.008964</v>
      </c>
      <c r="Q70" s="134">
        <v>91.776071</v>
      </c>
      <c r="R70" s="81">
        <v>48</v>
      </c>
      <c r="S70" s="81"/>
      <c r="T70" s="81"/>
      <c r="U70" s="81"/>
      <c r="V70" s="7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3"/>
      <c r="AJ70" s="58"/>
      <c r="AK70" s="59"/>
      <c r="AL70" s="57"/>
    </row>
    <row x14ac:dyDescent="0.25" r="71" customHeight="1" ht="18">
      <c r="A71" s="45">
        <v>65</v>
      </c>
      <c r="B71" s="155" t="s">
        <v>2760</v>
      </c>
      <c r="C71" s="156">
        <v>65</v>
      </c>
      <c r="D71" s="46" t="s">
        <v>47</v>
      </c>
      <c r="E71" s="46" t="s">
        <v>48</v>
      </c>
      <c r="F71" s="47" t="s">
        <v>49</v>
      </c>
      <c r="G71" s="47" t="s">
        <v>2758</v>
      </c>
      <c r="H71" s="47" t="s">
        <v>2758</v>
      </c>
      <c r="I71" s="130" t="s">
        <v>684</v>
      </c>
      <c r="J71" s="131"/>
      <c r="K71" s="132"/>
      <c r="L71" s="76"/>
      <c r="M71" s="81" t="s">
        <v>2932</v>
      </c>
      <c r="N71" s="47" t="s">
        <v>2933</v>
      </c>
      <c r="O71" s="47" t="s">
        <v>2934</v>
      </c>
      <c r="P71" s="134">
        <v>23.011652</v>
      </c>
      <c r="Q71" s="134">
        <v>91.775048</v>
      </c>
      <c r="R71" s="81">
        <v>200</v>
      </c>
      <c r="S71" s="81"/>
      <c r="T71" s="81"/>
      <c r="U71" s="81"/>
      <c r="V71" s="7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3"/>
      <c r="AJ71" s="58"/>
      <c r="AK71" s="59"/>
      <c r="AL71" s="57"/>
    </row>
    <row x14ac:dyDescent="0.25" r="72" customHeight="1" ht="18">
      <c r="A72" s="45">
        <v>66</v>
      </c>
      <c r="B72" s="155" t="s">
        <v>2760</v>
      </c>
      <c r="C72" s="156">
        <v>66</v>
      </c>
      <c r="D72" s="46" t="s">
        <v>47</v>
      </c>
      <c r="E72" s="46" t="s">
        <v>48</v>
      </c>
      <c r="F72" s="47" t="s">
        <v>49</v>
      </c>
      <c r="G72" s="47" t="s">
        <v>2758</v>
      </c>
      <c r="H72" s="47" t="s">
        <v>2758</v>
      </c>
      <c r="I72" s="130" t="s">
        <v>684</v>
      </c>
      <c r="J72" s="131"/>
      <c r="K72" s="132"/>
      <c r="L72" s="76"/>
      <c r="M72" s="81" t="s">
        <v>2935</v>
      </c>
      <c r="N72" s="47" t="s">
        <v>2936</v>
      </c>
      <c r="O72" s="47" t="s">
        <v>2937</v>
      </c>
      <c r="P72" s="134">
        <v>23.013971</v>
      </c>
      <c r="Q72" s="134">
        <v>91.779568</v>
      </c>
      <c r="R72" s="81">
        <v>120</v>
      </c>
      <c r="S72" s="81"/>
      <c r="T72" s="81"/>
      <c r="U72" s="81"/>
      <c r="V72" s="135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3"/>
      <c r="AJ72" s="58"/>
      <c r="AK72" s="59"/>
      <c r="AL72" s="57"/>
    </row>
    <row x14ac:dyDescent="0.25" r="73" customHeight="1" ht="18">
      <c r="A73" s="45">
        <v>67</v>
      </c>
      <c r="B73" s="155" t="s">
        <v>2760</v>
      </c>
      <c r="C73" s="156">
        <v>67</v>
      </c>
      <c r="D73" s="46" t="s">
        <v>47</v>
      </c>
      <c r="E73" s="46" t="s">
        <v>48</v>
      </c>
      <c r="F73" s="47" t="s">
        <v>49</v>
      </c>
      <c r="G73" s="47" t="s">
        <v>2758</v>
      </c>
      <c r="H73" s="47" t="s">
        <v>2758</v>
      </c>
      <c r="I73" s="130" t="s">
        <v>684</v>
      </c>
      <c r="J73" s="131"/>
      <c r="K73" s="132"/>
      <c r="L73" s="76"/>
      <c r="M73" s="81" t="s">
        <v>2938</v>
      </c>
      <c r="N73" s="47" t="s">
        <v>2939</v>
      </c>
      <c r="O73" s="47" t="s">
        <v>2940</v>
      </c>
      <c r="P73" s="134">
        <v>22.996623</v>
      </c>
      <c r="Q73" s="134">
        <v>91.753033</v>
      </c>
      <c r="R73" s="81">
        <v>120</v>
      </c>
      <c r="S73" s="81"/>
      <c r="T73" s="81"/>
      <c r="U73" s="81"/>
      <c r="V73" s="7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3"/>
      <c r="AJ73" s="58"/>
      <c r="AK73" s="59"/>
      <c r="AL73" s="57"/>
    </row>
    <row x14ac:dyDescent="0.25" r="74" customHeight="1" ht="18">
      <c r="A74" s="45">
        <v>68</v>
      </c>
      <c r="B74" s="155" t="s">
        <v>2760</v>
      </c>
      <c r="C74" s="156">
        <v>68</v>
      </c>
      <c r="D74" s="46" t="s">
        <v>47</v>
      </c>
      <c r="E74" s="46" t="s">
        <v>48</v>
      </c>
      <c r="F74" s="47" t="s">
        <v>49</v>
      </c>
      <c r="G74" s="47" t="s">
        <v>2758</v>
      </c>
      <c r="H74" s="47" t="s">
        <v>2758</v>
      </c>
      <c r="I74" s="130" t="s">
        <v>684</v>
      </c>
      <c r="J74" s="131"/>
      <c r="K74" s="132"/>
      <c r="L74" s="76"/>
      <c r="M74" s="81" t="s">
        <v>2941</v>
      </c>
      <c r="N74" s="47" t="s">
        <v>2942</v>
      </c>
      <c r="O74" s="47" t="s">
        <v>2943</v>
      </c>
      <c r="P74" s="134">
        <v>23.002667</v>
      </c>
      <c r="Q74" s="134">
        <v>91.75894</v>
      </c>
      <c r="R74" s="81">
        <v>108</v>
      </c>
      <c r="S74" s="81"/>
      <c r="T74" s="81"/>
      <c r="U74" s="81"/>
      <c r="V74" s="7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3"/>
      <c r="AJ74" s="58"/>
      <c r="AK74" s="59"/>
      <c r="AL74" s="57"/>
    </row>
    <row x14ac:dyDescent="0.25" r="75" customHeight="1" ht="18">
      <c r="A75" s="45">
        <v>69</v>
      </c>
      <c r="B75" s="155" t="s">
        <v>2760</v>
      </c>
      <c r="C75" s="156">
        <v>69</v>
      </c>
      <c r="D75" s="46" t="s">
        <v>47</v>
      </c>
      <c r="E75" s="46" t="s">
        <v>48</v>
      </c>
      <c r="F75" s="47" t="s">
        <v>49</v>
      </c>
      <c r="G75" s="47" t="s">
        <v>2758</v>
      </c>
      <c r="H75" s="47" t="s">
        <v>2758</v>
      </c>
      <c r="I75" s="130" t="s">
        <v>684</v>
      </c>
      <c r="J75" s="139"/>
      <c r="K75" s="59"/>
      <c r="L75" s="76"/>
      <c r="M75" s="81" t="s">
        <v>432</v>
      </c>
      <c r="N75" s="47" t="s">
        <v>2944</v>
      </c>
      <c r="O75" s="47" t="s">
        <v>2945</v>
      </c>
      <c r="P75" s="134">
        <v>23.017485</v>
      </c>
      <c r="Q75" s="134">
        <v>91.781447</v>
      </c>
      <c r="R75" s="81">
        <v>60</v>
      </c>
      <c r="S75" s="81"/>
      <c r="T75" s="81"/>
      <c r="U75" s="81"/>
      <c r="V75" s="7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3"/>
      <c r="AJ75" s="58"/>
      <c r="AK75" s="59"/>
      <c r="AL75" s="57"/>
    </row>
    <row x14ac:dyDescent="0.25" r="76" customHeight="1" ht="18">
      <c r="A76" s="45">
        <v>70</v>
      </c>
      <c r="B76" s="155" t="s">
        <v>2760</v>
      </c>
      <c r="C76" s="156">
        <v>70</v>
      </c>
      <c r="D76" s="46" t="s">
        <v>47</v>
      </c>
      <c r="E76" s="46" t="s">
        <v>48</v>
      </c>
      <c r="F76" s="47" t="s">
        <v>49</v>
      </c>
      <c r="G76" s="47" t="s">
        <v>2758</v>
      </c>
      <c r="H76" s="47" t="s">
        <v>2758</v>
      </c>
      <c r="I76" s="130" t="s">
        <v>697</v>
      </c>
      <c r="J76" s="131"/>
      <c r="K76" s="132"/>
      <c r="L76" s="76"/>
      <c r="M76" s="81" t="s">
        <v>2515</v>
      </c>
      <c r="N76" s="47" t="s">
        <v>2516</v>
      </c>
      <c r="O76" s="47" t="s">
        <v>2946</v>
      </c>
      <c r="P76" s="134">
        <v>22.983358</v>
      </c>
      <c r="Q76" s="134">
        <v>91.782145</v>
      </c>
      <c r="R76" s="81">
        <v>260</v>
      </c>
      <c r="S76" s="81"/>
      <c r="T76" s="81"/>
      <c r="U76" s="81"/>
      <c r="V76" s="7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3"/>
      <c r="AJ76" s="58"/>
      <c r="AK76" s="59"/>
      <c r="AL76" s="57"/>
    </row>
    <row x14ac:dyDescent="0.25" r="77" customHeight="1" ht="18">
      <c r="A77" s="45">
        <v>71</v>
      </c>
      <c r="B77" s="155" t="s">
        <v>2760</v>
      </c>
      <c r="C77" s="156">
        <v>71</v>
      </c>
      <c r="D77" s="46" t="s">
        <v>47</v>
      </c>
      <c r="E77" s="46" t="s">
        <v>48</v>
      </c>
      <c r="F77" s="47" t="s">
        <v>49</v>
      </c>
      <c r="G77" s="47" t="s">
        <v>2758</v>
      </c>
      <c r="H77" s="47" t="s">
        <v>2758</v>
      </c>
      <c r="I77" s="130" t="s">
        <v>697</v>
      </c>
      <c r="J77" s="131"/>
      <c r="K77" s="59"/>
      <c r="L77" s="76"/>
      <c r="M77" s="81" t="s">
        <v>2233</v>
      </c>
      <c r="N77" s="47" t="s">
        <v>2947</v>
      </c>
      <c r="O77" s="47" t="s">
        <v>2948</v>
      </c>
      <c r="P77" s="134">
        <v>22.986371</v>
      </c>
      <c r="Q77" s="134">
        <v>91.787038</v>
      </c>
      <c r="R77" s="81">
        <v>128</v>
      </c>
      <c r="S77" s="81"/>
      <c r="T77" s="81"/>
      <c r="U77" s="81"/>
      <c r="V77" s="135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3"/>
      <c r="AJ77" s="58"/>
      <c r="AK77" s="59"/>
      <c r="AL77" s="57"/>
    </row>
    <row x14ac:dyDescent="0.25" r="78" customHeight="1" ht="18">
      <c r="A78" s="45">
        <v>72</v>
      </c>
      <c r="B78" s="155" t="s">
        <v>2760</v>
      </c>
      <c r="C78" s="156">
        <v>72</v>
      </c>
      <c r="D78" s="46" t="s">
        <v>47</v>
      </c>
      <c r="E78" s="46" t="s">
        <v>48</v>
      </c>
      <c r="F78" s="47" t="s">
        <v>49</v>
      </c>
      <c r="G78" s="47" t="s">
        <v>2758</v>
      </c>
      <c r="H78" s="47" t="s">
        <v>2758</v>
      </c>
      <c r="I78" s="130" t="s">
        <v>697</v>
      </c>
      <c r="J78" s="131"/>
      <c r="K78" s="59"/>
      <c r="L78" s="76"/>
      <c r="M78" s="81" t="s">
        <v>1077</v>
      </c>
      <c r="N78" s="47" t="s">
        <v>2949</v>
      </c>
      <c r="O78" s="47" t="s">
        <v>2950</v>
      </c>
      <c r="P78" s="134">
        <v>22.992811</v>
      </c>
      <c r="Q78" s="134">
        <v>91.780838</v>
      </c>
      <c r="R78" s="81">
        <v>360</v>
      </c>
      <c r="S78" s="81"/>
      <c r="T78" s="81"/>
      <c r="U78" s="81"/>
      <c r="V78" s="135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3"/>
      <c r="AJ78" s="58"/>
      <c r="AK78" s="59"/>
      <c r="AL78" s="57"/>
    </row>
    <row x14ac:dyDescent="0.25" r="79" customHeight="1" ht="18">
      <c r="A79" s="45">
        <v>73</v>
      </c>
      <c r="B79" s="155" t="s">
        <v>2760</v>
      </c>
      <c r="C79" s="156">
        <v>73</v>
      </c>
      <c r="D79" s="46" t="s">
        <v>47</v>
      </c>
      <c r="E79" s="46" t="s">
        <v>48</v>
      </c>
      <c r="F79" s="47" t="s">
        <v>49</v>
      </c>
      <c r="G79" s="47" t="s">
        <v>2758</v>
      </c>
      <c r="H79" s="47" t="s">
        <v>2758</v>
      </c>
      <c r="I79" s="130" t="s">
        <v>697</v>
      </c>
      <c r="J79" s="131"/>
      <c r="K79" s="59"/>
      <c r="L79" s="76"/>
      <c r="M79" s="81" t="s">
        <v>2951</v>
      </c>
      <c r="N79" s="47" t="s">
        <v>2952</v>
      </c>
      <c r="O79" s="47" t="s">
        <v>2953</v>
      </c>
      <c r="P79" s="134">
        <v>23.003561</v>
      </c>
      <c r="Q79" s="134">
        <v>91.789349</v>
      </c>
      <c r="R79" s="81">
        <v>120</v>
      </c>
      <c r="S79" s="81"/>
      <c r="T79" s="81"/>
      <c r="U79" s="81"/>
      <c r="V79" s="135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3"/>
      <c r="AJ79" s="58"/>
      <c r="AK79" s="59"/>
      <c r="AL79" s="57"/>
    </row>
    <row x14ac:dyDescent="0.25" r="80" customHeight="1" ht="18">
      <c r="A80" s="45">
        <v>74</v>
      </c>
      <c r="B80" s="155" t="s">
        <v>2760</v>
      </c>
      <c r="C80" s="156">
        <v>74</v>
      </c>
      <c r="D80" s="46" t="s">
        <v>47</v>
      </c>
      <c r="E80" s="46" t="s">
        <v>48</v>
      </c>
      <c r="F80" s="47" t="s">
        <v>49</v>
      </c>
      <c r="G80" s="47" t="s">
        <v>2758</v>
      </c>
      <c r="H80" s="47" t="s">
        <v>2758</v>
      </c>
      <c r="I80" s="130" t="s">
        <v>697</v>
      </c>
      <c r="J80" s="131"/>
      <c r="K80" s="59"/>
      <c r="L80" s="76"/>
      <c r="M80" s="81" t="s">
        <v>2954</v>
      </c>
      <c r="N80" s="47" t="s">
        <v>2955</v>
      </c>
      <c r="O80" s="47" t="s">
        <v>2956</v>
      </c>
      <c r="P80" s="134">
        <v>22.997947</v>
      </c>
      <c r="Q80" s="134">
        <v>91.796734</v>
      </c>
      <c r="R80" s="81">
        <v>128</v>
      </c>
      <c r="S80" s="81"/>
      <c r="T80" s="81"/>
      <c r="U80" s="81"/>
      <c r="V80" s="135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3"/>
      <c r="AJ80" s="58"/>
      <c r="AK80" s="59"/>
      <c r="AL80" s="57"/>
    </row>
    <row x14ac:dyDescent="0.25" r="81" customHeight="1" ht="18">
      <c r="A81" s="45">
        <v>75</v>
      </c>
      <c r="B81" s="155" t="s">
        <v>2760</v>
      </c>
      <c r="C81" s="156">
        <v>75</v>
      </c>
      <c r="D81" s="46" t="s">
        <v>47</v>
      </c>
      <c r="E81" s="46" t="s">
        <v>48</v>
      </c>
      <c r="F81" s="47" t="s">
        <v>49</v>
      </c>
      <c r="G81" s="47" t="s">
        <v>2758</v>
      </c>
      <c r="H81" s="47" t="s">
        <v>2758</v>
      </c>
      <c r="I81" s="130" t="s">
        <v>697</v>
      </c>
      <c r="J81" s="131"/>
      <c r="K81" s="59"/>
      <c r="L81" s="76"/>
      <c r="M81" s="81" t="s">
        <v>2957</v>
      </c>
      <c r="N81" s="47" t="s">
        <v>2958</v>
      </c>
      <c r="O81" s="47" t="s">
        <v>2959</v>
      </c>
      <c r="P81" s="134">
        <v>23.002225</v>
      </c>
      <c r="Q81" s="134">
        <v>91.784254</v>
      </c>
      <c r="R81" s="81">
        <v>120</v>
      </c>
      <c r="S81" s="81"/>
      <c r="T81" s="81"/>
      <c r="U81" s="81"/>
      <c r="V81" s="135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3"/>
      <c r="AJ81" s="58"/>
      <c r="AK81" s="59"/>
      <c r="AL81" s="57"/>
    </row>
    <row x14ac:dyDescent="0.25" r="82" customHeight="1" ht="18">
      <c r="A82" s="45">
        <v>76</v>
      </c>
      <c r="B82" s="155" t="s">
        <v>2760</v>
      </c>
      <c r="C82" s="156">
        <v>76</v>
      </c>
      <c r="D82" s="46" t="s">
        <v>47</v>
      </c>
      <c r="E82" s="46" t="s">
        <v>48</v>
      </c>
      <c r="F82" s="47" t="s">
        <v>49</v>
      </c>
      <c r="G82" s="47" t="s">
        <v>2758</v>
      </c>
      <c r="H82" s="47" t="s">
        <v>2758</v>
      </c>
      <c r="I82" s="130" t="s">
        <v>697</v>
      </c>
      <c r="J82" s="131"/>
      <c r="K82" s="59"/>
      <c r="L82" s="76"/>
      <c r="M82" s="81" t="s">
        <v>2960</v>
      </c>
      <c r="N82" s="47" t="s">
        <v>2961</v>
      </c>
      <c r="O82" s="47" t="s">
        <v>2962</v>
      </c>
      <c r="P82" s="134">
        <v>22.999533</v>
      </c>
      <c r="Q82" s="134">
        <v>91.780406</v>
      </c>
      <c r="R82" s="81">
        <v>160</v>
      </c>
      <c r="S82" s="81"/>
      <c r="T82" s="81"/>
      <c r="U82" s="81"/>
      <c r="V82" s="135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3"/>
      <c r="AJ82" s="58"/>
      <c r="AK82" s="59"/>
      <c r="AL82" s="57"/>
    </row>
    <row x14ac:dyDescent="0.25" r="83" customHeight="1" ht="18">
      <c r="A83" s="45">
        <v>77</v>
      </c>
      <c r="B83" s="155" t="s">
        <v>2760</v>
      </c>
      <c r="C83" s="156">
        <v>77</v>
      </c>
      <c r="D83" s="46" t="s">
        <v>47</v>
      </c>
      <c r="E83" s="46" t="s">
        <v>48</v>
      </c>
      <c r="F83" s="47" t="s">
        <v>49</v>
      </c>
      <c r="G83" s="47" t="s">
        <v>2758</v>
      </c>
      <c r="H83" s="47" t="s">
        <v>2758</v>
      </c>
      <c r="I83" s="130" t="s">
        <v>697</v>
      </c>
      <c r="J83" s="131"/>
      <c r="K83" s="59"/>
      <c r="L83" s="76"/>
      <c r="M83" s="81" t="s">
        <v>2963</v>
      </c>
      <c r="N83" s="47" t="s">
        <v>2964</v>
      </c>
      <c r="O83" s="47" t="s">
        <v>2965</v>
      </c>
      <c r="P83" s="134">
        <v>22.998152</v>
      </c>
      <c r="Q83" s="134">
        <v>91.777633</v>
      </c>
      <c r="R83" s="81"/>
      <c r="S83" s="81"/>
      <c r="T83" s="81"/>
      <c r="U83" s="81"/>
      <c r="V83" s="135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3"/>
      <c r="AJ83" s="58"/>
      <c r="AK83" s="59"/>
      <c r="AL83" s="57"/>
    </row>
    <row x14ac:dyDescent="0.25" r="84" customHeight="1" ht="18">
      <c r="A84" s="45">
        <v>78</v>
      </c>
      <c r="B84" s="155" t="s">
        <v>2760</v>
      </c>
      <c r="C84" s="156">
        <v>78</v>
      </c>
      <c r="D84" s="46" t="s">
        <v>47</v>
      </c>
      <c r="E84" s="46" t="s">
        <v>48</v>
      </c>
      <c r="F84" s="47" t="s">
        <v>49</v>
      </c>
      <c r="G84" s="47" t="s">
        <v>2758</v>
      </c>
      <c r="H84" s="47" t="s">
        <v>2758</v>
      </c>
      <c r="I84" s="130" t="s">
        <v>707</v>
      </c>
      <c r="J84" s="131"/>
      <c r="K84" s="59"/>
      <c r="L84" s="76"/>
      <c r="M84" s="81" t="s">
        <v>2966</v>
      </c>
      <c r="N84" s="47" t="s">
        <v>2967</v>
      </c>
      <c r="O84" s="47" t="s">
        <v>2968</v>
      </c>
      <c r="P84" s="134">
        <v>22.964376</v>
      </c>
      <c r="Q84" s="134">
        <v>91.748607</v>
      </c>
      <c r="R84" s="81">
        <v>80</v>
      </c>
      <c r="S84" s="81"/>
      <c r="T84" s="81"/>
      <c r="U84" s="81"/>
      <c r="V84" s="135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3"/>
      <c r="AJ84" s="58"/>
      <c r="AK84" s="59"/>
      <c r="AL84" s="57"/>
    </row>
    <row x14ac:dyDescent="0.25" r="85" customHeight="1" ht="18">
      <c r="A85" s="45">
        <v>79</v>
      </c>
      <c r="B85" s="155" t="s">
        <v>2760</v>
      </c>
      <c r="C85" s="156">
        <v>79</v>
      </c>
      <c r="D85" s="46" t="s">
        <v>47</v>
      </c>
      <c r="E85" s="46" t="s">
        <v>48</v>
      </c>
      <c r="F85" s="47" t="s">
        <v>49</v>
      </c>
      <c r="G85" s="47" t="s">
        <v>2758</v>
      </c>
      <c r="H85" s="47" t="s">
        <v>2758</v>
      </c>
      <c r="I85" s="130" t="s">
        <v>707</v>
      </c>
      <c r="J85" s="131"/>
      <c r="K85" s="59"/>
      <c r="L85" s="76"/>
      <c r="M85" s="81" t="s">
        <v>2969</v>
      </c>
      <c r="N85" s="47" t="s">
        <v>2970</v>
      </c>
      <c r="O85" s="47" t="s">
        <v>2971</v>
      </c>
      <c r="P85" s="134">
        <v>22.971597</v>
      </c>
      <c r="Q85" s="134">
        <v>91.756346</v>
      </c>
      <c r="R85" s="81">
        <v>155</v>
      </c>
      <c r="S85" s="81"/>
      <c r="T85" s="81"/>
      <c r="U85" s="81"/>
      <c r="V85" s="135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3"/>
      <c r="AJ85" s="58"/>
      <c r="AK85" s="59"/>
      <c r="AL85" s="57"/>
    </row>
    <row x14ac:dyDescent="0.25" r="86" customHeight="1" ht="18">
      <c r="A86" s="45">
        <v>80</v>
      </c>
      <c r="B86" s="155" t="s">
        <v>2760</v>
      </c>
      <c r="C86" s="156">
        <v>80</v>
      </c>
      <c r="D86" s="46" t="s">
        <v>47</v>
      </c>
      <c r="E86" s="46" t="s">
        <v>48</v>
      </c>
      <c r="F86" s="47" t="s">
        <v>49</v>
      </c>
      <c r="G86" s="47" t="s">
        <v>2758</v>
      </c>
      <c r="H86" s="47" t="s">
        <v>2758</v>
      </c>
      <c r="I86" s="130" t="s">
        <v>707</v>
      </c>
      <c r="J86" s="131"/>
      <c r="K86" s="59"/>
      <c r="L86" s="76"/>
      <c r="M86" s="81" t="s">
        <v>2972</v>
      </c>
      <c r="N86" s="47" t="s">
        <v>2973</v>
      </c>
      <c r="O86" s="47" t="s">
        <v>2974</v>
      </c>
      <c r="P86" s="134">
        <v>22.977145</v>
      </c>
      <c r="Q86" s="134">
        <v>91.773532</v>
      </c>
      <c r="R86" s="81">
        <v>115</v>
      </c>
      <c r="S86" s="81"/>
      <c r="T86" s="81"/>
      <c r="U86" s="81"/>
      <c r="V86" s="135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3"/>
      <c r="AJ86" s="58"/>
      <c r="AK86" s="59"/>
      <c r="AL86" s="57"/>
    </row>
    <row x14ac:dyDescent="0.25" r="87" customHeight="1" ht="18">
      <c r="A87" s="45">
        <v>81</v>
      </c>
      <c r="B87" s="155" t="s">
        <v>2760</v>
      </c>
      <c r="C87" s="156">
        <v>81</v>
      </c>
      <c r="D87" s="46" t="s">
        <v>47</v>
      </c>
      <c r="E87" s="46" t="s">
        <v>48</v>
      </c>
      <c r="F87" s="47" t="s">
        <v>49</v>
      </c>
      <c r="G87" s="47" t="s">
        <v>2758</v>
      </c>
      <c r="H87" s="47" t="s">
        <v>2758</v>
      </c>
      <c r="I87" s="130" t="s">
        <v>707</v>
      </c>
      <c r="J87" s="131"/>
      <c r="K87" s="59"/>
      <c r="L87" s="76"/>
      <c r="M87" s="81" t="s">
        <v>2851</v>
      </c>
      <c r="N87" s="47" t="s">
        <v>2852</v>
      </c>
      <c r="O87" s="47" t="s">
        <v>2975</v>
      </c>
      <c r="P87" s="134">
        <v>22.962363</v>
      </c>
      <c r="Q87" s="134">
        <v>91.778521</v>
      </c>
      <c r="R87" s="81">
        <v>90</v>
      </c>
      <c r="S87" s="81"/>
      <c r="T87" s="137"/>
      <c r="U87" s="137"/>
      <c r="V87" s="135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3"/>
      <c r="AJ87" s="58"/>
      <c r="AK87" s="59"/>
      <c r="AL87" s="57"/>
    </row>
    <row x14ac:dyDescent="0.25" r="88" customHeight="1" ht="18">
      <c r="A88" s="45">
        <v>82</v>
      </c>
      <c r="B88" s="155" t="s">
        <v>2760</v>
      </c>
      <c r="C88" s="156">
        <v>82</v>
      </c>
      <c r="D88" s="46" t="s">
        <v>47</v>
      </c>
      <c r="E88" s="46" t="s">
        <v>48</v>
      </c>
      <c r="F88" s="47" t="s">
        <v>49</v>
      </c>
      <c r="G88" s="47" t="s">
        <v>2758</v>
      </c>
      <c r="H88" s="47" t="s">
        <v>2758</v>
      </c>
      <c r="I88" s="130" t="s">
        <v>707</v>
      </c>
      <c r="J88" s="131"/>
      <c r="K88" s="132"/>
      <c r="L88" s="76"/>
      <c r="M88" s="81" t="s">
        <v>2976</v>
      </c>
      <c r="N88" s="47" t="s">
        <v>2977</v>
      </c>
      <c r="O88" s="47" t="s">
        <v>2978</v>
      </c>
      <c r="P88" s="134">
        <v>22.989786</v>
      </c>
      <c r="Q88" s="134">
        <v>91.753487</v>
      </c>
      <c r="R88" s="81">
        <v>150</v>
      </c>
      <c r="S88" s="81"/>
      <c r="T88" s="81"/>
      <c r="U88" s="81"/>
      <c r="V88" s="7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47"/>
      <c r="AJ88" s="58"/>
      <c r="AK88" s="59"/>
      <c r="AL88" s="57"/>
    </row>
    <row x14ac:dyDescent="0.25" r="89" customHeight="1" ht="18">
      <c r="A89" s="45">
        <v>83</v>
      </c>
      <c r="B89" s="155" t="s">
        <v>2760</v>
      </c>
      <c r="C89" s="156">
        <v>83</v>
      </c>
      <c r="D89" s="46" t="s">
        <v>47</v>
      </c>
      <c r="E89" s="46" t="s">
        <v>48</v>
      </c>
      <c r="F89" s="47" t="s">
        <v>49</v>
      </c>
      <c r="G89" s="47" t="s">
        <v>2758</v>
      </c>
      <c r="H89" s="47" t="s">
        <v>2758</v>
      </c>
      <c r="I89" s="130" t="s">
        <v>707</v>
      </c>
      <c r="J89" s="131"/>
      <c r="K89" s="132"/>
      <c r="L89" s="76"/>
      <c r="M89" s="81" t="s">
        <v>2979</v>
      </c>
      <c r="N89" s="47" t="s">
        <v>2980</v>
      </c>
      <c r="O89" s="47" t="s">
        <v>2981</v>
      </c>
      <c r="P89" s="134">
        <v>22.969092</v>
      </c>
      <c r="Q89" s="134">
        <v>91.777616</v>
      </c>
      <c r="R89" s="81">
        <v>125</v>
      </c>
      <c r="S89" s="81"/>
      <c r="T89" s="81"/>
      <c r="U89" s="81"/>
      <c r="V89" s="135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3"/>
      <c r="AJ89" s="58"/>
      <c r="AK89" s="59"/>
      <c r="AL89" s="57"/>
    </row>
    <row x14ac:dyDescent="0.25" r="90" customHeight="1" ht="18">
      <c r="A90" s="45">
        <v>84</v>
      </c>
      <c r="B90" s="155" t="s">
        <v>2760</v>
      </c>
      <c r="C90" s="156">
        <v>84</v>
      </c>
      <c r="D90" s="46" t="s">
        <v>47</v>
      </c>
      <c r="E90" s="46" t="s">
        <v>48</v>
      </c>
      <c r="F90" s="47" t="s">
        <v>49</v>
      </c>
      <c r="G90" s="47" t="s">
        <v>2758</v>
      </c>
      <c r="H90" s="47" t="s">
        <v>2758</v>
      </c>
      <c r="I90" s="130" t="s">
        <v>707</v>
      </c>
      <c r="J90" s="131"/>
      <c r="K90" s="132"/>
      <c r="L90" s="76"/>
      <c r="M90" s="81" t="s">
        <v>2982</v>
      </c>
      <c r="N90" s="47" t="s">
        <v>2983</v>
      </c>
      <c r="O90" s="47" t="s">
        <v>2984</v>
      </c>
      <c r="P90" s="134">
        <v>22.966402</v>
      </c>
      <c r="Q90" s="134">
        <v>91.758047</v>
      </c>
      <c r="R90" s="81">
        <v>215</v>
      </c>
      <c r="S90" s="81"/>
      <c r="T90" s="81"/>
      <c r="U90" s="81"/>
      <c r="V90" s="135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3"/>
      <c r="AJ90" s="58"/>
      <c r="AK90" s="59"/>
      <c r="AL90" s="57"/>
    </row>
    <row x14ac:dyDescent="0.25" r="91" customHeight="1" ht="18">
      <c r="A91" s="45">
        <v>85</v>
      </c>
      <c r="B91" s="155" t="s">
        <v>2760</v>
      </c>
      <c r="C91" s="156">
        <v>85</v>
      </c>
      <c r="D91" s="46" t="s">
        <v>47</v>
      </c>
      <c r="E91" s="46" t="s">
        <v>48</v>
      </c>
      <c r="F91" s="47" t="s">
        <v>49</v>
      </c>
      <c r="G91" s="47" t="s">
        <v>2758</v>
      </c>
      <c r="H91" s="47" t="s">
        <v>2758</v>
      </c>
      <c r="I91" s="130" t="s">
        <v>726</v>
      </c>
      <c r="J91" s="131"/>
      <c r="K91" s="132"/>
      <c r="L91" s="76"/>
      <c r="M91" s="81" t="s">
        <v>2985</v>
      </c>
      <c r="N91" s="47" t="s">
        <v>2986</v>
      </c>
      <c r="O91" s="47" t="s">
        <v>2987</v>
      </c>
      <c r="P91" s="134">
        <v>22.953738</v>
      </c>
      <c r="Q91" s="134">
        <v>91.740368</v>
      </c>
      <c r="R91" s="81">
        <v>190</v>
      </c>
      <c r="S91" s="81"/>
      <c r="T91" s="81"/>
      <c r="U91" s="81"/>
      <c r="V91" s="135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3"/>
      <c r="AJ91" s="58"/>
      <c r="AK91" s="59"/>
      <c r="AL91" s="57"/>
    </row>
    <row x14ac:dyDescent="0.25" r="92" customHeight="1" ht="18">
      <c r="A92" s="45">
        <v>86</v>
      </c>
      <c r="B92" s="155" t="s">
        <v>2760</v>
      </c>
      <c r="C92" s="156">
        <v>86</v>
      </c>
      <c r="D92" s="46" t="s">
        <v>47</v>
      </c>
      <c r="E92" s="46" t="s">
        <v>48</v>
      </c>
      <c r="F92" s="47" t="s">
        <v>49</v>
      </c>
      <c r="G92" s="47" t="s">
        <v>2758</v>
      </c>
      <c r="H92" s="47" t="s">
        <v>2758</v>
      </c>
      <c r="I92" s="130" t="s">
        <v>726</v>
      </c>
      <c r="J92" s="131"/>
      <c r="K92" s="132"/>
      <c r="L92" s="76"/>
      <c r="M92" s="81" t="s">
        <v>2988</v>
      </c>
      <c r="N92" s="47" t="s">
        <v>2989</v>
      </c>
      <c r="O92" s="47" t="s">
        <v>2990</v>
      </c>
      <c r="P92" s="134">
        <v>22.967473</v>
      </c>
      <c r="Q92" s="134">
        <v>91.73367</v>
      </c>
      <c r="R92" s="81">
        <v>720</v>
      </c>
      <c r="S92" s="81"/>
      <c r="T92" s="81"/>
      <c r="U92" s="81"/>
      <c r="V92" s="135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3"/>
      <c r="AJ92" s="58"/>
      <c r="AK92" s="59"/>
      <c r="AL92" s="57"/>
    </row>
    <row x14ac:dyDescent="0.25" r="93" customHeight="1" ht="18">
      <c r="A93" s="45">
        <v>87</v>
      </c>
      <c r="B93" s="155" t="s">
        <v>2760</v>
      </c>
      <c r="C93" s="156">
        <v>87</v>
      </c>
      <c r="D93" s="46" t="s">
        <v>47</v>
      </c>
      <c r="E93" s="46" t="s">
        <v>48</v>
      </c>
      <c r="F93" s="47" t="s">
        <v>49</v>
      </c>
      <c r="G93" s="47" t="s">
        <v>2758</v>
      </c>
      <c r="H93" s="47" t="s">
        <v>2758</v>
      </c>
      <c r="I93" s="130" t="s">
        <v>726</v>
      </c>
      <c r="J93" s="131"/>
      <c r="K93" s="132"/>
      <c r="L93" s="76"/>
      <c r="M93" s="81" t="s">
        <v>2991</v>
      </c>
      <c r="N93" s="47" t="s">
        <v>2992</v>
      </c>
      <c r="O93" s="47" t="s">
        <v>2993</v>
      </c>
      <c r="P93" s="134">
        <v>22.960472</v>
      </c>
      <c r="Q93" s="134">
        <v>91.735932</v>
      </c>
      <c r="R93" s="81">
        <v>850</v>
      </c>
      <c r="S93" s="81"/>
      <c r="T93" s="81"/>
      <c r="U93" s="81"/>
      <c r="V93" s="135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3"/>
      <c r="AJ93" s="58"/>
      <c r="AK93" s="59"/>
      <c r="AL93" s="57"/>
    </row>
    <row x14ac:dyDescent="0.25" r="94" customHeight="1" ht="18">
      <c r="A94" s="45">
        <v>88</v>
      </c>
      <c r="B94" s="155" t="s">
        <v>2760</v>
      </c>
      <c r="C94" s="156">
        <v>88</v>
      </c>
      <c r="D94" s="46" t="s">
        <v>47</v>
      </c>
      <c r="E94" s="46" t="s">
        <v>48</v>
      </c>
      <c r="F94" s="47" t="s">
        <v>49</v>
      </c>
      <c r="G94" s="47" t="s">
        <v>2758</v>
      </c>
      <c r="H94" s="47" t="s">
        <v>2758</v>
      </c>
      <c r="I94" s="130" t="s">
        <v>726</v>
      </c>
      <c r="J94" s="131"/>
      <c r="K94" s="132"/>
      <c r="L94" s="76"/>
      <c r="M94" s="81" t="s">
        <v>2994</v>
      </c>
      <c r="N94" s="47" t="s">
        <v>2995</v>
      </c>
      <c r="O94" s="47" t="s">
        <v>2996</v>
      </c>
      <c r="P94" s="134">
        <v>22.962036</v>
      </c>
      <c r="Q94" s="134">
        <v>91.749049</v>
      </c>
      <c r="R94" s="81">
        <v>100</v>
      </c>
      <c r="S94" s="81"/>
      <c r="T94" s="81"/>
      <c r="U94" s="81"/>
      <c r="V94" s="135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3"/>
      <c r="AJ94" s="58"/>
      <c r="AK94" s="59"/>
      <c r="AL94" s="57"/>
    </row>
    <row x14ac:dyDescent="0.25" r="95" customHeight="1" ht="18">
      <c r="A95" s="45">
        <v>89</v>
      </c>
      <c r="B95" s="155" t="s">
        <v>2760</v>
      </c>
      <c r="C95" s="156">
        <v>89</v>
      </c>
      <c r="D95" s="46" t="s">
        <v>47</v>
      </c>
      <c r="E95" s="46" t="s">
        <v>48</v>
      </c>
      <c r="F95" s="47" t="s">
        <v>49</v>
      </c>
      <c r="G95" s="47" t="s">
        <v>2758</v>
      </c>
      <c r="H95" s="47" t="s">
        <v>2758</v>
      </c>
      <c r="I95" s="130" t="s">
        <v>742</v>
      </c>
      <c r="J95" s="131"/>
      <c r="K95" s="132"/>
      <c r="L95" s="76"/>
      <c r="M95" s="81" t="s">
        <v>2997</v>
      </c>
      <c r="N95" s="47" t="s">
        <v>2998</v>
      </c>
      <c r="O95" s="47" t="s">
        <v>2999</v>
      </c>
      <c r="P95" s="134">
        <v>22.928828</v>
      </c>
      <c r="Q95" s="134">
        <v>91.742522</v>
      </c>
      <c r="R95" s="81">
        <v>880</v>
      </c>
      <c r="S95" s="81"/>
      <c r="T95" s="81"/>
      <c r="U95" s="81"/>
      <c r="V95" s="135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3"/>
      <c r="AJ95" s="58"/>
      <c r="AK95" s="59"/>
      <c r="AL95" s="57"/>
    </row>
    <row x14ac:dyDescent="0.25" r="96" customHeight="1" ht="18">
      <c r="A96" s="45">
        <v>90</v>
      </c>
      <c r="B96" s="155" t="s">
        <v>2760</v>
      </c>
      <c r="C96" s="156">
        <v>90</v>
      </c>
      <c r="D96" s="46" t="s">
        <v>47</v>
      </c>
      <c r="E96" s="46" t="s">
        <v>48</v>
      </c>
      <c r="F96" s="47" t="s">
        <v>49</v>
      </c>
      <c r="G96" s="47" t="s">
        <v>2758</v>
      </c>
      <c r="H96" s="47" t="s">
        <v>2758</v>
      </c>
      <c r="I96" s="130" t="s">
        <v>742</v>
      </c>
      <c r="J96" s="131"/>
      <c r="K96" s="132"/>
      <c r="L96" s="76"/>
      <c r="M96" s="81" t="s">
        <v>3000</v>
      </c>
      <c r="N96" s="47" t="s">
        <v>3001</v>
      </c>
      <c r="O96" s="47" t="s">
        <v>3002</v>
      </c>
      <c r="P96" s="134">
        <v>22.946903</v>
      </c>
      <c r="Q96" s="134">
        <v>91.740586</v>
      </c>
      <c r="R96" s="81">
        <v>520</v>
      </c>
      <c r="S96" s="81"/>
      <c r="T96" s="81"/>
      <c r="U96" s="81"/>
      <c r="V96" s="7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3"/>
      <c r="AJ96" s="58"/>
      <c r="AK96" s="59"/>
      <c r="AL96" s="57"/>
    </row>
    <row x14ac:dyDescent="0.25" r="97" customHeight="1" ht="18">
      <c r="A97" s="45">
        <v>91</v>
      </c>
      <c r="B97" s="155" t="s">
        <v>2760</v>
      </c>
      <c r="C97" s="156">
        <v>91</v>
      </c>
      <c r="D97" s="46" t="s">
        <v>47</v>
      </c>
      <c r="E97" s="46" t="s">
        <v>48</v>
      </c>
      <c r="F97" s="47" t="s">
        <v>49</v>
      </c>
      <c r="G97" s="47" t="s">
        <v>2758</v>
      </c>
      <c r="H97" s="47" t="s">
        <v>2758</v>
      </c>
      <c r="I97" s="130" t="s">
        <v>742</v>
      </c>
      <c r="J97" s="131"/>
      <c r="K97" s="132"/>
      <c r="L97" s="76"/>
      <c r="M97" s="81" t="s">
        <v>3003</v>
      </c>
      <c r="N97" s="47" t="s">
        <v>3004</v>
      </c>
      <c r="O97" s="47" t="s">
        <v>3005</v>
      </c>
      <c r="P97" s="134">
        <v>22.937308</v>
      </c>
      <c r="Q97" s="134">
        <v>91.74634</v>
      </c>
      <c r="R97" s="81">
        <v>75</v>
      </c>
      <c r="S97" s="81"/>
      <c r="T97" s="81"/>
      <c r="U97" s="81"/>
      <c r="V97" s="135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3"/>
      <c r="AJ97" s="58"/>
      <c r="AK97" s="59"/>
      <c r="AL97" s="57"/>
    </row>
    <row x14ac:dyDescent="0.25" r="98" customHeight="1" ht="18">
      <c r="A98" s="45">
        <v>92</v>
      </c>
      <c r="B98" s="155" t="s">
        <v>2760</v>
      </c>
      <c r="C98" s="156">
        <v>92</v>
      </c>
      <c r="D98" s="46" t="s">
        <v>47</v>
      </c>
      <c r="E98" s="46" t="s">
        <v>48</v>
      </c>
      <c r="F98" s="47" t="s">
        <v>49</v>
      </c>
      <c r="G98" s="47" t="s">
        <v>2758</v>
      </c>
      <c r="H98" s="47" t="s">
        <v>2758</v>
      </c>
      <c r="I98" s="130" t="s">
        <v>742</v>
      </c>
      <c r="J98" s="131"/>
      <c r="K98" s="132"/>
      <c r="L98" s="76"/>
      <c r="M98" s="81" t="s">
        <v>2831</v>
      </c>
      <c r="N98" s="47" t="s">
        <v>2832</v>
      </c>
      <c r="O98" s="47" t="s">
        <v>3006</v>
      </c>
      <c r="P98" s="134">
        <v>22.941486</v>
      </c>
      <c r="Q98" s="134">
        <v>91.738276</v>
      </c>
      <c r="R98" s="81">
        <v>125</v>
      </c>
      <c r="S98" s="81"/>
      <c r="T98" s="81"/>
      <c r="U98" s="81"/>
      <c r="V98" s="7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3"/>
      <c r="AJ98" s="58"/>
      <c r="AK98" s="59"/>
      <c r="AL98" s="57"/>
    </row>
    <row x14ac:dyDescent="0.25" r="99" customHeight="1" ht="18">
      <c r="A99" s="45">
        <v>93</v>
      </c>
      <c r="B99" s="155" t="s">
        <v>2760</v>
      </c>
      <c r="C99" s="156">
        <v>93</v>
      </c>
      <c r="D99" s="46" t="s">
        <v>47</v>
      </c>
      <c r="E99" s="46" t="s">
        <v>48</v>
      </c>
      <c r="F99" s="47" t="s">
        <v>49</v>
      </c>
      <c r="G99" s="47" t="s">
        <v>2758</v>
      </c>
      <c r="H99" s="47" t="s">
        <v>2758</v>
      </c>
      <c r="I99" s="130" t="s">
        <v>742</v>
      </c>
      <c r="J99" s="131"/>
      <c r="K99" s="132"/>
      <c r="L99" s="76"/>
      <c r="M99" s="81" t="s">
        <v>3007</v>
      </c>
      <c r="N99" s="47" t="s">
        <v>3008</v>
      </c>
      <c r="O99" s="47" t="s">
        <v>3009</v>
      </c>
      <c r="P99" s="134">
        <v>22.918033</v>
      </c>
      <c r="Q99" s="134">
        <v>91.758388</v>
      </c>
      <c r="R99" s="81">
        <v>280</v>
      </c>
      <c r="S99" s="81"/>
      <c r="T99" s="81"/>
      <c r="U99" s="81"/>
      <c r="V99" s="7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3"/>
      <c r="AJ99" s="58"/>
      <c r="AK99" s="59"/>
      <c r="AL99" s="57"/>
    </row>
    <row x14ac:dyDescent="0.25" r="100" customHeight="1" ht="18">
      <c r="A100" s="45">
        <v>94</v>
      </c>
      <c r="B100" s="155" t="s">
        <v>2760</v>
      </c>
      <c r="C100" s="156">
        <v>94</v>
      </c>
      <c r="D100" s="46" t="s">
        <v>47</v>
      </c>
      <c r="E100" s="46" t="s">
        <v>48</v>
      </c>
      <c r="F100" s="47" t="s">
        <v>49</v>
      </c>
      <c r="G100" s="47" t="s">
        <v>2758</v>
      </c>
      <c r="H100" s="47" t="s">
        <v>2758</v>
      </c>
      <c r="I100" s="130" t="s">
        <v>742</v>
      </c>
      <c r="J100" s="131"/>
      <c r="K100" s="132"/>
      <c r="L100" s="76"/>
      <c r="M100" s="81" t="s">
        <v>3010</v>
      </c>
      <c r="N100" s="47" t="s">
        <v>3011</v>
      </c>
      <c r="O100" s="47" t="s">
        <v>3012</v>
      </c>
      <c r="P100" s="134">
        <v>22.928814</v>
      </c>
      <c r="Q100" s="134">
        <v>91.76083</v>
      </c>
      <c r="R100" s="81">
        <v>36</v>
      </c>
      <c r="S100" s="81"/>
      <c r="T100" s="81"/>
      <c r="U100" s="81"/>
      <c r="V100" s="7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3"/>
      <c r="AJ100" s="58"/>
      <c r="AK100" s="59"/>
      <c r="AL100" s="57"/>
    </row>
    <row x14ac:dyDescent="0.25" r="101" customHeight="1" ht="18">
      <c r="A101" s="45">
        <v>95</v>
      </c>
      <c r="B101" s="155" t="s">
        <v>2760</v>
      </c>
      <c r="C101" s="156">
        <v>95</v>
      </c>
      <c r="D101" s="46" t="s">
        <v>47</v>
      </c>
      <c r="E101" s="46" t="s">
        <v>48</v>
      </c>
      <c r="F101" s="47" t="s">
        <v>49</v>
      </c>
      <c r="G101" s="47" t="s">
        <v>2758</v>
      </c>
      <c r="H101" s="47" t="s">
        <v>2758</v>
      </c>
      <c r="I101" s="130" t="s">
        <v>742</v>
      </c>
      <c r="J101" s="131"/>
      <c r="K101" s="132"/>
      <c r="L101" s="76"/>
      <c r="M101" s="81" t="s">
        <v>3013</v>
      </c>
      <c r="N101" s="47" t="s">
        <v>3014</v>
      </c>
      <c r="O101" s="47" t="s">
        <v>3015</v>
      </c>
      <c r="P101" s="134">
        <v>22.925008</v>
      </c>
      <c r="Q101" s="134">
        <v>91.766399</v>
      </c>
      <c r="R101" s="81">
        <v>80</v>
      </c>
      <c r="S101" s="81"/>
      <c r="T101" s="81"/>
      <c r="U101" s="81"/>
      <c r="V101" s="7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3"/>
      <c r="AJ101" s="58"/>
      <c r="AK101" s="59"/>
      <c r="AL101" s="57"/>
    </row>
    <row x14ac:dyDescent="0.25" r="102" customHeight="1" ht="18">
      <c r="A102" s="45">
        <v>96</v>
      </c>
      <c r="B102" s="155" t="s">
        <v>2760</v>
      </c>
      <c r="C102" s="156">
        <v>96</v>
      </c>
      <c r="D102" s="46" t="s">
        <v>47</v>
      </c>
      <c r="E102" s="46" t="s">
        <v>48</v>
      </c>
      <c r="F102" s="47" t="s">
        <v>49</v>
      </c>
      <c r="G102" s="47" t="s">
        <v>2758</v>
      </c>
      <c r="H102" s="47" t="s">
        <v>2758</v>
      </c>
      <c r="I102" s="130" t="s">
        <v>742</v>
      </c>
      <c r="J102" s="131"/>
      <c r="K102" s="132"/>
      <c r="L102" s="76"/>
      <c r="M102" s="81" t="s">
        <v>3016</v>
      </c>
      <c r="N102" s="47" t="s">
        <v>3017</v>
      </c>
      <c r="O102" s="47" t="s">
        <v>3018</v>
      </c>
      <c r="P102" s="134">
        <v>22.937476</v>
      </c>
      <c r="Q102" s="134">
        <v>91.734717</v>
      </c>
      <c r="R102" s="81">
        <v>132</v>
      </c>
      <c r="S102" s="81"/>
      <c r="T102" s="81"/>
      <c r="U102" s="81"/>
      <c r="V102" s="7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3"/>
      <c r="AJ102" s="58"/>
      <c r="AK102" s="59"/>
      <c r="AL102" s="57"/>
    </row>
    <row x14ac:dyDescent="0.25" r="103" customHeight="1" ht="18">
      <c r="A103" s="45">
        <v>97</v>
      </c>
      <c r="B103" s="155" t="s">
        <v>2760</v>
      </c>
      <c r="C103" s="156">
        <v>97</v>
      </c>
      <c r="D103" s="46" t="s">
        <v>47</v>
      </c>
      <c r="E103" s="46" t="s">
        <v>48</v>
      </c>
      <c r="F103" s="47" t="s">
        <v>49</v>
      </c>
      <c r="G103" s="47" t="s">
        <v>2758</v>
      </c>
      <c r="H103" s="47" t="s">
        <v>2758</v>
      </c>
      <c r="I103" s="130" t="s">
        <v>761</v>
      </c>
      <c r="J103" s="131"/>
      <c r="K103" s="132"/>
      <c r="L103" s="76"/>
      <c r="M103" s="81" t="s">
        <v>3019</v>
      </c>
      <c r="N103" s="47" t="s">
        <v>3020</v>
      </c>
      <c r="O103" s="47" t="s">
        <v>3021</v>
      </c>
      <c r="P103" s="134">
        <v>22.963119</v>
      </c>
      <c r="Q103" s="134">
        <v>91.728228</v>
      </c>
      <c r="R103" s="81">
        <v>1200</v>
      </c>
      <c r="S103" s="81"/>
      <c r="T103" s="81"/>
      <c r="U103" s="81"/>
      <c r="V103" s="7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3"/>
      <c r="AJ103" s="58"/>
      <c r="AK103" s="59"/>
      <c r="AL103" s="57"/>
    </row>
    <row x14ac:dyDescent="0.25" r="104" customHeight="1" ht="18">
      <c r="A104" s="45">
        <v>98</v>
      </c>
      <c r="B104" s="155" t="s">
        <v>2760</v>
      </c>
      <c r="C104" s="156">
        <v>98</v>
      </c>
      <c r="D104" s="46" t="s">
        <v>47</v>
      </c>
      <c r="E104" s="46" t="s">
        <v>48</v>
      </c>
      <c r="F104" s="47" t="s">
        <v>49</v>
      </c>
      <c r="G104" s="47" t="s">
        <v>2758</v>
      </c>
      <c r="H104" s="47" t="s">
        <v>2758</v>
      </c>
      <c r="I104" s="130" t="s">
        <v>761</v>
      </c>
      <c r="J104" s="131"/>
      <c r="K104" s="132"/>
      <c r="L104" s="76"/>
      <c r="M104" s="81" t="s">
        <v>3022</v>
      </c>
      <c r="N104" s="47" t="s">
        <v>3023</v>
      </c>
      <c r="O104" s="47" t="s">
        <v>3024</v>
      </c>
      <c r="P104" s="134">
        <v>22.966259</v>
      </c>
      <c r="Q104" s="134">
        <v>91.722589</v>
      </c>
      <c r="R104" s="81">
        <v>380</v>
      </c>
      <c r="S104" s="81"/>
      <c r="T104" s="81"/>
      <c r="U104" s="81"/>
      <c r="V104" s="135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3"/>
      <c r="AJ104" s="58"/>
      <c r="AK104" s="59"/>
      <c r="AL104" s="57"/>
    </row>
    <row x14ac:dyDescent="0.25" r="105" customHeight="1" ht="18">
      <c r="A105" s="45">
        <v>99</v>
      </c>
      <c r="B105" s="155" t="s">
        <v>2760</v>
      </c>
      <c r="C105" s="156">
        <v>99</v>
      </c>
      <c r="D105" s="46" t="s">
        <v>47</v>
      </c>
      <c r="E105" s="46" t="s">
        <v>48</v>
      </c>
      <c r="F105" s="47" t="s">
        <v>49</v>
      </c>
      <c r="G105" s="47" t="s">
        <v>2758</v>
      </c>
      <c r="H105" s="47" t="s">
        <v>2758</v>
      </c>
      <c r="I105" s="130" t="s">
        <v>761</v>
      </c>
      <c r="J105" s="131"/>
      <c r="K105" s="132"/>
      <c r="L105" s="76"/>
      <c r="M105" s="81" t="s">
        <v>3025</v>
      </c>
      <c r="N105" s="47" t="s">
        <v>3026</v>
      </c>
      <c r="O105" s="47" t="s">
        <v>3027</v>
      </c>
      <c r="P105" s="134">
        <v>22.963035</v>
      </c>
      <c r="Q105" s="134">
        <v>91.722125</v>
      </c>
      <c r="R105" s="81">
        <v>420</v>
      </c>
      <c r="S105" s="81"/>
      <c r="T105" s="81"/>
      <c r="U105" s="81"/>
      <c r="V105" s="7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3"/>
      <c r="AJ105" s="58"/>
      <c r="AK105" s="59"/>
      <c r="AL105" s="57"/>
    </row>
    <row x14ac:dyDescent="0.25" r="106" customHeight="1" ht="18">
      <c r="A106" s="45">
        <v>100</v>
      </c>
      <c r="B106" s="155" t="s">
        <v>2760</v>
      </c>
      <c r="C106" s="156">
        <v>100</v>
      </c>
      <c r="D106" s="46" t="s">
        <v>47</v>
      </c>
      <c r="E106" s="46" t="s">
        <v>48</v>
      </c>
      <c r="F106" s="47" t="s">
        <v>49</v>
      </c>
      <c r="G106" s="47" t="s">
        <v>2758</v>
      </c>
      <c r="H106" s="47" t="s">
        <v>2758</v>
      </c>
      <c r="I106" s="130" t="s">
        <v>761</v>
      </c>
      <c r="J106" s="131"/>
      <c r="K106" s="132"/>
      <c r="L106" s="76"/>
      <c r="M106" s="81" t="s">
        <v>2401</v>
      </c>
      <c r="N106" s="47" t="s">
        <v>3028</v>
      </c>
      <c r="O106" s="47" t="s">
        <v>3029</v>
      </c>
      <c r="P106" s="134">
        <v>22.956776</v>
      </c>
      <c r="Q106" s="134">
        <v>91.727172</v>
      </c>
      <c r="R106" s="81">
        <v>600</v>
      </c>
      <c r="S106" s="81"/>
      <c r="T106" s="81"/>
      <c r="U106" s="81"/>
      <c r="V106" s="7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3"/>
      <c r="AJ106" s="58"/>
      <c r="AK106" s="59"/>
      <c r="AL106" s="57"/>
    </row>
    <row x14ac:dyDescent="0.25" r="107" customHeight="1" ht="18">
      <c r="A107" s="45">
        <v>101</v>
      </c>
      <c r="B107" s="155" t="s">
        <v>2760</v>
      </c>
      <c r="C107" s="156">
        <v>101</v>
      </c>
      <c r="D107" s="46" t="s">
        <v>47</v>
      </c>
      <c r="E107" s="46" t="s">
        <v>48</v>
      </c>
      <c r="F107" s="47" t="s">
        <v>49</v>
      </c>
      <c r="G107" s="47" t="s">
        <v>2758</v>
      </c>
      <c r="H107" s="47" t="s">
        <v>2758</v>
      </c>
      <c r="I107" s="130" t="s">
        <v>781</v>
      </c>
      <c r="J107" s="131"/>
      <c r="K107" s="132"/>
      <c r="L107" s="76"/>
      <c r="M107" s="81" t="s">
        <v>3030</v>
      </c>
      <c r="N107" s="47" t="s">
        <v>3031</v>
      </c>
      <c r="O107" s="47" t="s">
        <v>3032</v>
      </c>
      <c r="P107" s="134">
        <v>22.938359</v>
      </c>
      <c r="Q107" s="134">
        <v>91.729908</v>
      </c>
      <c r="R107" s="81">
        <v>250</v>
      </c>
      <c r="S107" s="81"/>
      <c r="T107" s="81"/>
      <c r="U107" s="81"/>
      <c r="V107" s="135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3"/>
      <c r="AJ107" s="58"/>
      <c r="AK107" s="59"/>
      <c r="AL107" s="57"/>
    </row>
    <row x14ac:dyDescent="0.25" r="108" customHeight="1" ht="18">
      <c r="A108" s="45">
        <v>102</v>
      </c>
      <c r="B108" s="155" t="s">
        <v>2760</v>
      </c>
      <c r="C108" s="156">
        <v>102</v>
      </c>
      <c r="D108" s="46" t="s">
        <v>47</v>
      </c>
      <c r="E108" s="46" t="s">
        <v>48</v>
      </c>
      <c r="F108" s="47" t="s">
        <v>49</v>
      </c>
      <c r="G108" s="47" t="s">
        <v>2758</v>
      </c>
      <c r="H108" s="47" t="s">
        <v>2758</v>
      </c>
      <c r="I108" s="130" t="s">
        <v>781</v>
      </c>
      <c r="J108" s="131"/>
      <c r="K108" s="132"/>
      <c r="L108" s="76"/>
      <c r="M108" s="81" t="s">
        <v>3033</v>
      </c>
      <c r="N108" s="47" t="s">
        <v>3034</v>
      </c>
      <c r="O108" s="47" t="s">
        <v>3035</v>
      </c>
      <c r="P108" s="134">
        <v>22.948131</v>
      </c>
      <c r="Q108" s="134">
        <v>91.730276</v>
      </c>
      <c r="R108" s="81">
        <v>980</v>
      </c>
      <c r="S108" s="81"/>
      <c r="T108" s="81"/>
      <c r="U108" s="81"/>
      <c r="V108" s="7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3"/>
      <c r="AJ108" s="58"/>
      <c r="AK108" s="59"/>
      <c r="AL108" s="57"/>
    </row>
    <row x14ac:dyDescent="0.25" r="109" customHeight="1" ht="18">
      <c r="A109" s="45">
        <v>103</v>
      </c>
      <c r="B109" s="155" t="s">
        <v>2760</v>
      </c>
      <c r="C109" s="156">
        <v>103</v>
      </c>
      <c r="D109" s="46" t="s">
        <v>47</v>
      </c>
      <c r="E109" s="46" t="s">
        <v>48</v>
      </c>
      <c r="F109" s="47" t="s">
        <v>49</v>
      </c>
      <c r="G109" s="47" t="s">
        <v>2758</v>
      </c>
      <c r="H109" s="47" t="s">
        <v>2758</v>
      </c>
      <c r="I109" s="130" t="s">
        <v>781</v>
      </c>
      <c r="J109" s="131"/>
      <c r="K109" s="132"/>
      <c r="L109" s="76"/>
      <c r="M109" s="81" t="s">
        <v>3036</v>
      </c>
      <c r="N109" s="47" t="s">
        <v>3037</v>
      </c>
      <c r="O109" s="47" t="s">
        <v>3038</v>
      </c>
      <c r="P109" s="134">
        <v>22.935256</v>
      </c>
      <c r="Q109" s="134">
        <v>91.727449</v>
      </c>
      <c r="R109" s="81">
        <v>160</v>
      </c>
      <c r="S109" s="81"/>
      <c r="T109" s="81"/>
      <c r="U109" s="81"/>
      <c r="V109" s="7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3"/>
      <c r="AJ109" s="58"/>
      <c r="AK109" s="59"/>
      <c r="AL109" s="57"/>
    </row>
    <row x14ac:dyDescent="0.25" r="110" customHeight="1" ht="18">
      <c r="A110" s="45">
        <v>104</v>
      </c>
      <c r="B110" s="155" t="s">
        <v>2760</v>
      </c>
      <c r="C110" s="156">
        <v>104</v>
      </c>
      <c r="D110" s="46" t="s">
        <v>47</v>
      </c>
      <c r="E110" s="46" t="s">
        <v>48</v>
      </c>
      <c r="F110" s="47" t="s">
        <v>49</v>
      </c>
      <c r="G110" s="47" t="s">
        <v>2758</v>
      </c>
      <c r="H110" s="47" t="s">
        <v>2758</v>
      </c>
      <c r="I110" s="130" t="s">
        <v>781</v>
      </c>
      <c r="J110" s="131"/>
      <c r="K110" s="132"/>
      <c r="L110" s="76"/>
      <c r="M110" s="81" t="s">
        <v>2536</v>
      </c>
      <c r="N110" s="47" t="s">
        <v>2872</v>
      </c>
      <c r="O110" s="47" t="s">
        <v>3039</v>
      </c>
      <c r="P110" s="134">
        <v>22.929426</v>
      </c>
      <c r="Q110" s="134">
        <v>91.729015</v>
      </c>
      <c r="R110" s="81">
        <v>360</v>
      </c>
      <c r="S110" s="81"/>
      <c r="T110" s="81"/>
      <c r="U110" s="81"/>
      <c r="V110" s="7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3"/>
      <c r="AJ110" s="58"/>
      <c r="AK110" s="59"/>
      <c r="AL110" s="57"/>
    </row>
    <row x14ac:dyDescent="0.25" r="111" customHeight="1" ht="18">
      <c r="A111" s="45">
        <v>105</v>
      </c>
      <c r="B111" s="155" t="s">
        <v>2760</v>
      </c>
      <c r="C111" s="156">
        <v>105</v>
      </c>
      <c r="D111" s="46" t="s">
        <v>47</v>
      </c>
      <c r="E111" s="46" t="s">
        <v>48</v>
      </c>
      <c r="F111" s="47" t="s">
        <v>49</v>
      </c>
      <c r="G111" s="47" t="s">
        <v>2758</v>
      </c>
      <c r="H111" s="47" t="s">
        <v>2758</v>
      </c>
      <c r="I111" s="130" t="s">
        <v>797</v>
      </c>
      <c r="J111" s="131"/>
      <c r="K111" s="132"/>
      <c r="L111" s="76"/>
      <c r="M111" s="81" t="s">
        <v>3040</v>
      </c>
      <c r="N111" s="47" t="s">
        <v>3041</v>
      </c>
      <c r="O111" s="47" t="s">
        <v>3042</v>
      </c>
      <c r="P111" s="134">
        <v>22.933</v>
      </c>
      <c r="Q111" s="134">
        <v>91.733586</v>
      </c>
      <c r="R111" s="81">
        <v>140</v>
      </c>
      <c r="S111" s="81"/>
      <c r="T111" s="81"/>
      <c r="U111" s="81"/>
      <c r="V111" s="7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3"/>
      <c r="AJ111" s="58"/>
      <c r="AK111" s="59"/>
      <c r="AL111" s="57"/>
    </row>
    <row x14ac:dyDescent="0.25" r="112" customHeight="1" ht="18">
      <c r="A112" s="45">
        <v>106</v>
      </c>
      <c r="B112" s="155" t="s">
        <v>2760</v>
      </c>
      <c r="C112" s="156">
        <v>106</v>
      </c>
      <c r="D112" s="46" t="s">
        <v>47</v>
      </c>
      <c r="E112" s="46" t="s">
        <v>48</v>
      </c>
      <c r="F112" s="47" t="s">
        <v>49</v>
      </c>
      <c r="G112" s="47" t="s">
        <v>2758</v>
      </c>
      <c r="H112" s="47" t="s">
        <v>2758</v>
      </c>
      <c r="I112" s="130" t="s">
        <v>797</v>
      </c>
      <c r="J112" s="131"/>
      <c r="K112" s="132"/>
      <c r="L112" s="76"/>
      <c r="M112" s="81" t="s">
        <v>3043</v>
      </c>
      <c r="N112" s="47" t="s">
        <v>3044</v>
      </c>
      <c r="O112" s="47" t="s">
        <v>3045</v>
      </c>
      <c r="P112" s="134">
        <v>22.930313</v>
      </c>
      <c r="Q112" s="134">
        <v>91.733538</v>
      </c>
      <c r="R112" s="81">
        <v>125</v>
      </c>
      <c r="S112" s="81"/>
      <c r="T112" s="81"/>
      <c r="U112" s="81"/>
      <c r="V112" s="7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3"/>
      <c r="AJ112" s="58"/>
      <c r="AK112" s="59"/>
      <c r="AL112" s="57"/>
    </row>
    <row x14ac:dyDescent="0.25" r="113" customHeight="1" ht="18">
      <c r="A113" s="45">
        <v>107</v>
      </c>
      <c r="B113" s="155" t="s">
        <v>2760</v>
      </c>
      <c r="C113" s="156">
        <v>107</v>
      </c>
      <c r="D113" s="46" t="s">
        <v>47</v>
      </c>
      <c r="E113" s="46" t="s">
        <v>48</v>
      </c>
      <c r="F113" s="47" t="s">
        <v>49</v>
      </c>
      <c r="G113" s="47" t="s">
        <v>2758</v>
      </c>
      <c r="H113" s="47" t="s">
        <v>2758</v>
      </c>
      <c r="I113" s="130" t="s">
        <v>797</v>
      </c>
      <c r="J113" s="131"/>
      <c r="K113" s="132"/>
      <c r="L113" s="76"/>
      <c r="M113" s="81" t="s">
        <v>3046</v>
      </c>
      <c r="N113" s="47" t="s">
        <v>3047</v>
      </c>
      <c r="O113" s="47" t="s">
        <v>3048</v>
      </c>
      <c r="P113" s="134">
        <v>22.927532</v>
      </c>
      <c r="Q113" s="134">
        <v>91.734059</v>
      </c>
      <c r="R113" s="81">
        <v>120</v>
      </c>
      <c r="S113" s="81"/>
      <c r="T113" s="81"/>
      <c r="U113" s="81"/>
      <c r="V113" s="7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3"/>
      <c r="AJ113" s="58"/>
      <c r="AK113" s="59"/>
      <c r="AL113" s="57"/>
    </row>
    <row x14ac:dyDescent="0.25" r="114" customHeight="1" ht="18">
      <c r="A114" s="45">
        <v>108</v>
      </c>
      <c r="B114" s="155" t="s">
        <v>2760</v>
      </c>
      <c r="C114" s="156">
        <v>108</v>
      </c>
      <c r="D114" s="46" t="s">
        <v>47</v>
      </c>
      <c r="E114" s="46" t="s">
        <v>48</v>
      </c>
      <c r="F114" s="47" t="s">
        <v>49</v>
      </c>
      <c r="G114" s="47" t="s">
        <v>2758</v>
      </c>
      <c r="H114" s="47" t="s">
        <v>2758</v>
      </c>
      <c r="I114" s="130" t="s">
        <v>797</v>
      </c>
      <c r="J114" s="131"/>
      <c r="K114" s="132"/>
      <c r="L114" s="76"/>
      <c r="M114" s="81" t="s">
        <v>3049</v>
      </c>
      <c r="N114" s="47" t="s">
        <v>3050</v>
      </c>
      <c r="O114" s="47" t="s">
        <v>3051</v>
      </c>
      <c r="P114" s="134">
        <v>22.921879</v>
      </c>
      <c r="Q114" s="134">
        <v>91.736141</v>
      </c>
      <c r="R114" s="81">
        <v>190</v>
      </c>
      <c r="S114" s="81"/>
      <c r="T114" s="81"/>
      <c r="U114" s="81"/>
      <c r="V114" s="7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3"/>
      <c r="AJ114" s="58"/>
      <c r="AK114" s="59"/>
      <c r="AL114" s="57"/>
    </row>
    <row x14ac:dyDescent="0.25" r="115" customHeight="1" ht="18">
      <c r="A115" s="45">
        <v>109</v>
      </c>
      <c r="B115" s="155" t="s">
        <v>2760</v>
      </c>
      <c r="C115" s="156">
        <v>109</v>
      </c>
      <c r="D115" s="46" t="s">
        <v>47</v>
      </c>
      <c r="E115" s="46" t="s">
        <v>48</v>
      </c>
      <c r="F115" s="47" t="s">
        <v>49</v>
      </c>
      <c r="G115" s="47" t="s">
        <v>2758</v>
      </c>
      <c r="H115" s="47" t="s">
        <v>2758</v>
      </c>
      <c r="I115" s="130" t="s">
        <v>797</v>
      </c>
      <c r="J115" s="131"/>
      <c r="K115" s="132"/>
      <c r="L115" s="76"/>
      <c r="M115" s="81" t="s">
        <v>3052</v>
      </c>
      <c r="N115" s="47" t="s">
        <v>3053</v>
      </c>
      <c r="O115" s="47" t="s">
        <v>3054</v>
      </c>
      <c r="P115" s="134">
        <v>22.916736</v>
      </c>
      <c r="Q115" s="134">
        <v>91.726313</v>
      </c>
      <c r="R115" s="81">
        <v>168</v>
      </c>
      <c r="S115" s="81"/>
      <c r="T115" s="81"/>
      <c r="U115" s="81"/>
      <c r="V115" s="7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3"/>
      <c r="AJ115" s="58"/>
      <c r="AK115" s="59"/>
      <c r="AL115" s="57"/>
    </row>
    <row x14ac:dyDescent="0.25" r="116" customHeight="1" ht="18">
      <c r="A116" s="45">
        <v>110</v>
      </c>
      <c r="B116" s="155" t="s">
        <v>2760</v>
      </c>
      <c r="C116" s="156">
        <v>110</v>
      </c>
      <c r="D116" s="46" t="s">
        <v>47</v>
      </c>
      <c r="E116" s="46" t="s">
        <v>48</v>
      </c>
      <c r="F116" s="47" t="s">
        <v>49</v>
      </c>
      <c r="G116" s="47" t="s">
        <v>2758</v>
      </c>
      <c r="H116" s="47" t="s">
        <v>2758</v>
      </c>
      <c r="I116" s="130" t="s">
        <v>797</v>
      </c>
      <c r="J116" s="131"/>
      <c r="K116" s="132"/>
      <c r="L116" s="76"/>
      <c r="M116" s="81" t="s">
        <v>3055</v>
      </c>
      <c r="N116" s="47" t="s">
        <v>3056</v>
      </c>
      <c r="O116" s="47" t="s">
        <v>3057</v>
      </c>
      <c r="P116" s="134">
        <v>22.920484</v>
      </c>
      <c r="Q116" s="134">
        <v>91.727933</v>
      </c>
      <c r="R116" s="81">
        <v>130</v>
      </c>
      <c r="S116" s="81"/>
      <c r="T116" s="81"/>
      <c r="U116" s="81"/>
      <c r="V116" s="7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3"/>
      <c r="AJ116" s="58"/>
      <c r="AK116" s="59"/>
      <c r="AL116" s="57"/>
    </row>
    <row x14ac:dyDescent="0.25" r="117" customHeight="1" ht="18">
      <c r="A117" s="45">
        <v>111</v>
      </c>
      <c r="B117" s="155" t="s">
        <v>2760</v>
      </c>
      <c r="C117" s="156">
        <v>111</v>
      </c>
      <c r="D117" s="46" t="s">
        <v>47</v>
      </c>
      <c r="E117" s="46" t="s">
        <v>48</v>
      </c>
      <c r="F117" s="47" t="s">
        <v>49</v>
      </c>
      <c r="G117" s="47" t="s">
        <v>2758</v>
      </c>
      <c r="H117" s="47" t="s">
        <v>2758</v>
      </c>
      <c r="I117" s="130" t="s">
        <v>797</v>
      </c>
      <c r="J117" s="131"/>
      <c r="K117" s="132"/>
      <c r="L117" s="76"/>
      <c r="M117" s="81" t="s">
        <v>3058</v>
      </c>
      <c r="N117" s="47" t="s">
        <v>3059</v>
      </c>
      <c r="O117" s="47" t="s">
        <v>3060</v>
      </c>
      <c r="P117" s="134">
        <v>22.923849</v>
      </c>
      <c r="Q117" s="134">
        <v>91.725639</v>
      </c>
      <c r="R117" s="81">
        <v>480</v>
      </c>
      <c r="S117" s="81"/>
      <c r="T117" s="81"/>
      <c r="U117" s="81"/>
      <c r="V117" s="7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3"/>
      <c r="AJ117" s="58"/>
      <c r="AK117" s="59"/>
      <c r="AL117" s="57"/>
    </row>
    <row x14ac:dyDescent="0.25" r="118" customHeight="1" ht="18">
      <c r="A118" s="45">
        <v>112</v>
      </c>
      <c r="B118" s="155" t="s">
        <v>2760</v>
      </c>
      <c r="C118" s="156">
        <v>112</v>
      </c>
      <c r="D118" s="46" t="s">
        <v>47</v>
      </c>
      <c r="E118" s="46" t="s">
        <v>48</v>
      </c>
      <c r="F118" s="47" t="s">
        <v>49</v>
      </c>
      <c r="G118" s="47" t="s">
        <v>2758</v>
      </c>
      <c r="H118" s="47" t="s">
        <v>2758</v>
      </c>
      <c r="I118" s="130" t="s">
        <v>797</v>
      </c>
      <c r="J118" s="131"/>
      <c r="K118" s="132"/>
      <c r="L118" s="76"/>
      <c r="M118" s="81" t="s">
        <v>3061</v>
      </c>
      <c r="N118" s="47" t="s">
        <v>3062</v>
      </c>
      <c r="O118" s="47" t="s">
        <v>3063</v>
      </c>
      <c r="P118" s="134">
        <v>22.923322</v>
      </c>
      <c r="Q118" s="134">
        <v>91.72878</v>
      </c>
      <c r="R118" s="81"/>
      <c r="S118" s="81"/>
      <c r="T118" s="81"/>
      <c r="U118" s="81"/>
      <c r="V118" s="7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3"/>
      <c r="AJ118" s="58"/>
      <c r="AK118" s="59"/>
      <c r="AL118" s="57"/>
    </row>
    <row x14ac:dyDescent="0.25" r="119" customHeight="1" ht="18">
      <c r="A119" s="45">
        <v>113</v>
      </c>
      <c r="B119" s="155" t="s">
        <v>2760</v>
      </c>
      <c r="C119" s="156">
        <v>113</v>
      </c>
      <c r="D119" s="46" t="s">
        <v>47</v>
      </c>
      <c r="E119" s="46" t="s">
        <v>48</v>
      </c>
      <c r="F119" s="47" t="s">
        <v>49</v>
      </c>
      <c r="G119" s="47" t="s">
        <v>2758</v>
      </c>
      <c r="H119" s="47" t="s">
        <v>3064</v>
      </c>
      <c r="I119" s="130" t="s">
        <v>677</v>
      </c>
      <c r="J119" s="131"/>
      <c r="K119" s="132"/>
      <c r="L119" s="76"/>
      <c r="M119" s="81" t="s">
        <v>3065</v>
      </c>
      <c r="N119" s="47" t="s">
        <v>3066</v>
      </c>
      <c r="O119" s="47" t="s">
        <v>3067</v>
      </c>
      <c r="P119" s="134">
        <v>23.005491</v>
      </c>
      <c r="Q119" s="134">
        <v>91.745919</v>
      </c>
      <c r="R119" s="81">
        <v>574</v>
      </c>
      <c r="S119" s="81"/>
      <c r="T119" s="81"/>
      <c r="U119" s="81"/>
      <c r="V119" s="7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3"/>
      <c r="AJ119" s="58"/>
      <c r="AK119" s="59"/>
      <c r="AL119" s="57"/>
    </row>
    <row x14ac:dyDescent="0.25" r="120" customHeight="1" ht="18">
      <c r="A120" s="45">
        <v>114</v>
      </c>
      <c r="B120" s="155" t="s">
        <v>2760</v>
      </c>
      <c r="C120" s="156">
        <v>114</v>
      </c>
      <c r="D120" s="46" t="s">
        <v>47</v>
      </c>
      <c r="E120" s="46" t="s">
        <v>48</v>
      </c>
      <c r="F120" s="47" t="s">
        <v>49</v>
      </c>
      <c r="G120" s="47" t="s">
        <v>2758</v>
      </c>
      <c r="H120" s="47" t="s">
        <v>3064</v>
      </c>
      <c r="I120" s="130" t="s">
        <v>677</v>
      </c>
      <c r="J120" s="131"/>
      <c r="K120" s="132"/>
      <c r="L120" s="76"/>
      <c r="M120" s="81" t="s">
        <v>3068</v>
      </c>
      <c r="N120" s="47" t="s">
        <v>3069</v>
      </c>
      <c r="O120" s="47" t="s">
        <v>3070</v>
      </c>
      <c r="P120" s="134">
        <v>23.014668</v>
      </c>
      <c r="Q120" s="134">
        <v>91.749843</v>
      </c>
      <c r="R120" s="81">
        <v>472</v>
      </c>
      <c r="S120" s="81"/>
      <c r="T120" s="81"/>
      <c r="U120" s="81"/>
      <c r="V120" s="7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3"/>
      <c r="AJ120" s="58"/>
      <c r="AK120" s="59"/>
      <c r="AL120" s="57"/>
    </row>
    <row x14ac:dyDescent="0.25" r="121" customHeight="1" ht="18">
      <c r="A121" s="45">
        <v>115</v>
      </c>
      <c r="B121" s="155" t="s">
        <v>2760</v>
      </c>
      <c r="C121" s="156">
        <v>115</v>
      </c>
      <c r="D121" s="46" t="s">
        <v>47</v>
      </c>
      <c r="E121" s="46" t="s">
        <v>48</v>
      </c>
      <c r="F121" s="47" t="s">
        <v>49</v>
      </c>
      <c r="G121" s="47" t="s">
        <v>2758</v>
      </c>
      <c r="H121" s="47" t="s">
        <v>3064</v>
      </c>
      <c r="I121" s="130" t="s">
        <v>677</v>
      </c>
      <c r="J121" s="131"/>
      <c r="K121" s="132"/>
      <c r="L121" s="76"/>
      <c r="M121" s="81" t="s">
        <v>3071</v>
      </c>
      <c r="N121" s="47" t="s">
        <v>3072</v>
      </c>
      <c r="O121" s="47" t="s">
        <v>3073</v>
      </c>
      <c r="P121" s="134">
        <v>23.009681</v>
      </c>
      <c r="Q121" s="134">
        <v>91.750933</v>
      </c>
      <c r="R121" s="81">
        <v>264</v>
      </c>
      <c r="S121" s="81"/>
      <c r="T121" s="81"/>
      <c r="U121" s="81"/>
      <c r="V121" s="135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3"/>
      <c r="AJ121" s="58"/>
      <c r="AK121" s="59"/>
      <c r="AL121" s="57"/>
    </row>
    <row x14ac:dyDescent="0.25" r="122" customHeight="1" ht="18">
      <c r="A122" s="45">
        <v>116</v>
      </c>
      <c r="B122" s="155" t="s">
        <v>2760</v>
      </c>
      <c r="C122" s="156">
        <v>116</v>
      </c>
      <c r="D122" s="46" t="s">
        <v>47</v>
      </c>
      <c r="E122" s="46" t="s">
        <v>48</v>
      </c>
      <c r="F122" s="47" t="s">
        <v>49</v>
      </c>
      <c r="G122" s="47" t="s">
        <v>2758</v>
      </c>
      <c r="H122" s="47" t="s">
        <v>3064</v>
      </c>
      <c r="I122" s="130" t="s">
        <v>677</v>
      </c>
      <c r="J122" s="131"/>
      <c r="K122" s="132"/>
      <c r="L122" s="76"/>
      <c r="M122" s="81" t="s">
        <v>3074</v>
      </c>
      <c r="N122" s="47" t="s">
        <v>3075</v>
      </c>
      <c r="O122" s="47" t="s">
        <v>3076</v>
      </c>
      <c r="P122" s="134">
        <v>23.002558</v>
      </c>
      <c r="Q122" s="134">
        <v>91.745611</v>
      </c>
      <c r="R122" s="81">
        <v>560</v>
      </c>
      <c r="S122" s="81"/>
      <c r="T122" s="81"/>
      <c r="U122" s="81"/>
      <c r="V122" s="135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3"/>
      <c r="AJ122" s="58"/>
      <c r="AK122" s="59"/>
      <c r="AL122" s="57"/>
    </row>
    <row x14ac:dyDescent="0.25" r="123" customHeight="1" ht="18">
      <c r="A123" s="45">
        <v>117</v>
      </c>
      <c r="B123" s="155" t="s">
        <v>2760</v>
      </c>
      <c r="C123" s="156">
        <v>117</v>
      </c>
      <c r="D123" s="46" t="s">
        <v>47</v>
      </c>
      <c r="E123" s="46" t="s">
        <v>48</v>
      </c>
      <c r="F123" s="47" t="s">
        <v>49</v>
      </c>
      <c r="G123" s="47" t="s">
        <v>2758</v>
      </c>
      <c r="H123" s="47" t="s">
        <v>3064</v>
      </c>
      <c r="I123" s="130" t="s">
        <v>677</v>
      </c>
      <c r="J123" s="131"/>
      <c r="K123" s="132"/>
      <c r="L123" s="76"/>
      <c r="M123" s="81" t="s">
        <v>3077</v>
      </c>
      <c r="N123" s="47" t="s">
        <v>3078</v>
      </c>
      <c r="O123" s="47" t="s">
        <v>3079</v>
      </c>
      <c r="P123" s="134">
        <v>23.002434</v>
      </c>
      <c r="Q123" s="134">
        <v>91.747902</v>
      </c>
      <c r="R123" s="81">
        <v>212</v>
      </c>
      <c r="S123" s="81"/>
      <c r="T123" s="81"/>
      <c r="U123" s="81"/>
      <c r="V123" s="7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3"/>
      <c r="AJ123" s="58"/>
      <c r="AK123" s="59"/>
      <c r="AL123" s="57"/>
    </row>
    <row x14ac:dyDescent="0.25" r="124" customHeight="1" ht="18">
      <c r="A124" s="45">
        <v>118</v>
      </c>
      <c r="B124" s="155" t="s">
        <v>2760</v>
      </c>
      <c r="C124" s="156">
        <v>118</v>
      </c>
      <c r="D124" s="46" t="s">
        <v>47</v>
      </c>
      <c r="E124" s="46" t="s">
        <v>48</v>
      </c>
      <c r="F124" s="47" t="s">
        <v>49</v>
      </c>
      <c r="G124" s="47" t="s">
        <v>2758</v>
      </c>
      <c r="H124" s="47" t="s">
        <v>3064</v>
      </c>
      <c r="I124" s="130" t="s">
        <v>684</v>
      </c>
      <c r="J124" s="131"/>
      <c r="K124" s="132"/>
      <c r="L124" s="76"/>
      <c r="M124" s="81" t="s">
        <v>3080</v>
      </c>
      <c r="N124" s="47" t="s">
        <v>3081</v>
      </c>
      <c r="O124" s="47" t="s">
        <v>3082</v>
      </c>
      <c r="P124" s="134">
        <v>23.001654</v>
      </c>
      <c r="Q124" s="134">
        <v>91.736477</v>
      </c>
      <c r="R124" s="81">
        <v>284</v>
      </c>
      <c r="S124" s="81"/>
      <c r="T124" s="81"/>
      <c r="U124" s="81"/>
      <c r="V124" s="135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3"/>
      <c r="AJ124" s="58"/>
      <c r="AK124" s="59"/>
      <c r="AL124" s="57"/>
    </row>
    <row x14ac:dyDescent="0.25" r="125" customHeight="1" ht="18">
      <c r="A125" s="45">
        <v>119</v>
      </c>
      <c r="B125" s="155" t="s">
        <v>2760</v>
      </c>
      <c r="C125" s="156">
        <v>119</v>
      </c>
      <c r="D125" s="46" t="s">
        <v>47</v>
      </c>
      <c r="E125" s="46" t="s">
        <v>48</v>
      </c>
      <c r="F125" s="47" t="s">
        <v>49</v>
      </c>
      <c r="G125" s="47" t="s">
        <v>2758</v>
      </c>
      <c r="H125" s="47" t="s">
        <v>3064</v>
      </c>
      <c r="I125" s="130" t="s">
        <v>684</v>
      </c>
      <c r="J125" s="131"/>
      <c r="K125" s="132"/>
      <c r="L125" s="76"/>
      <c r="M125" s="81" t="s">
        <v>3083</v>
      </c>
      <c r="N125" s="47" t="s">
        <v>3084</v>
      </c>
      <c r="O125" s="47" t="s">
        <v>3085</v>
      </c>
      <c r="P125" s="134">
        <v>22.999733</v>
      </c>
      <c r="Q125" s="134">
        <v>91.738357</v>
      </c>
      <c r="R125" s="81">
        <v>368</v>
      </c>
      <c r="S125" s="81"/>
      <c r="T125" s="81"/>
      <c r="U125" s="81"/>
      <c r="V125" s="135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3"/>
      <c r="AJ125" s="58"/>
      <c r="AK125" s="59"/>
      <c r="AL125" s="57"/>
    </row>
    <row x14ac:dyDescent="0.25" r="126" customHeight="1" ht="18">
      <c r="A126" s="45">
        <v>120</v>
      </c>
      <c r="B126" s="155" t="s">
        <v>2760</v>
      </c>
      <c r="C126" s="156">
        <v>120</v>
      </c>
      <c r="D126" s="46" t="s">
        <v>47</v>
      </c>
      <c r="E126" s="46" t="s">
        <v>48</v>
      </c>
      <c r="F126" s="47" t="s">
        <v>49</v>
      </c>
      <c r="G126" s="47" t="s">
        <v>2758</v>
      </c>
      <c r="H126" s="47" t="s">
        <v>3064</v>
      </c>
      <c r="I126" s="130" t="s">
        <v>684</v>
      </c>
      <c r="J126" s="131"/>
      <c r="K126" s="132"/>
      <c r="L126" s="76"/>
      <c r="M126" s="81" t="s">
        <v>666</v>
      </c>
      <c r="N126" s="47" t="s">
        <v>3086</v>
      </c>
      <c r="O126" s="47" t="s">
        <v>3087</v>
      </c>
      <c r="P126" s="134">
        <v>23.001052</v>
      </c>
      <c r="Q126" s="134">
        <v>91.740765</v>
      </c>
      <c r="R126" s="81">
        <v>320</v>
      </c>
      <c r="S126" s="81"/>
      <c r="T126" s="81"/>
      <c r="U126" s="81"/>
      <c r="V126" s="135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3"/>
      <c r="AJ126" s="58"/>
      <c r="AK126" s="59"/>
      <c r="AL126" s="57"/>
    </row>
    <row x14ac:dyDescent="0.25" r="127" customHeight="1" ht="18">
      <c r="A127" s="45">
        <v>121</v>
      </c>
      <c r="B127" s="155" t="s">
        <v>2760</v>
      </c>
      <c r="C127" s="156">
        <v>121</v>
      </c>
      <c r="D127" s="46" t="s">
        <v>47</v>
      </c>
      <c r="E127" s="46" t="s">
        <v>48</v>
      </c>
      <c r="F127" s="47" t="s">
        <v>49</v>
      </c>
      <c r="G127" s="47" t="s">
        <v>2758</v>
      </c>
      <c r="H127" s="47" t="s">
        <v>3064</v>
      </c>
      <c r="I127" s="130" t="s">
        <v>684</v>
      </c>
      <c r="J127" s="131"/>
      <c r="K127" s="132"/>
      <c r="L127" s="76"/>
      <c r="M127" s="81" t="s">
        <v>3088</v>
      </c>
      <c r="N127" s="47" t="s">
        <v>3089</v>
      </c>
      <c r="O127" s="47" t="s">
        <v>3090</v>
      </c>
      <c r="P127" s="134">
        <v>23.002386</v>
      </c>
      <c r="Q127" s="134">
        <v>91.741209</v>
      </c>
      <c r="R127" s="81">
        <v>360</v>
      </c>
      <c r="S127" s="81"/>
      <c r="T127" s="81"/>
      <c r="U127" s="81"/>
      <c r="V127" s="135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3"/>
      <c r="AJ127" s="58"/>
      <c r="AK127" s="59"/>
      <c r="AL127" s="57"/>
    </row>
    <row x14ac:dyDescent="0.25" r="128" customHeight="1" ht="18">
      <c r="A128" s="45">
        <v>122</v>
      </c>
      <c r="B128" s="155" t="s">
        <v>2760</v>
      </c>
      <c r="C128" s="156">
        <v>122</v>
      </c>
      <c r="D128" s="46" t="s">
        <v>47</v>
      </c>
      <c r="E128" s="46" t="s">
        <v>48</v>
      </c>
      <c r="F128" s="47" t="s">
        <v>49</v>
      </c>
      <c r="G128" s="47" t="s">
        <v>2758</v>
      </c>
      <c r="H128" s="47" t="s">
        <v>3064</v>
      </c>
      <c r="I128" s="130" t="s">
        <v>684</v>
      </c>
      <c r="J128" s="131"/>
      <c r="K128" s="132"/>
      <c r="L128" s="76"/>
      <c r="M128" s="158" t="s">
        <v>3091</v>
      </c>
      <c r="N128" s="47" t="s">
        <v>3092</v>
      </c>
      <c r="O128" s="47" t="s">
        <v>3093</v>
      </c>
      <c r="P128" s="134">
        <v>23.002796</v>
      </c>
      <c r="Q128" s="134">
        <v>91.738802</v>
      </c>
      <c r="R128" s="81"/>
      <c r="S128" s="81"/>
      <c r="T128" s="81"/>
      <c r="U128" s="81"/>
      <c r="V128" s="135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47"/>
      <c r="AJ128" s="58"/>
      <c r="AK128" s="59"/>
      <c r="AL128" s="57"/>
    </row>
    <row x14ac:dyDescent="0.25" r="129" customHeight="1" ht="18">
      <c r="A129" s="45">
        <v>123</v>
      </c>
      <c r="B129" s="155" t="s">
        <v>2760</v>
      </c>
      <c r="C129" s="156">
        <v>123</v>
      </c>
      <c r="D129" s="46" t="s">
        <v>47</v>
      </c>
      <c r="E129" s="46" t="s">
        <v>48</v>
      </c>
      <c r="F129" s="47" t="s">
        <v>49</v>
      </c>
      <c r="G129" s="47" t="s">
        <v>2758</v>
      </c>
      <c r="H129" s="47" t="s">
        <v>3064</v>
      </c>
      <c r="I129" s="130" t="s">
        <v>697</v>
      </c>
      <c r="J129" s="131"/>
      <c r="K129" s="132"/>
      <c r="L129" s="76"/>
      <c r="M129" s="81" t="s">
        <v>3094</v>
      </c>
      <c r="N129" s="47" t="s">
        <v>3095</v>
      </c>
      <c r="O129" s="47" t="s">
        <v>3096</v>
      </c>
      <c r="P129" s="134">
        <v>22.996121</v>
      </c>
      <c r="Q129" s="134">
        <v>91.742218</v>
      </c>
      <c r="R129" s="81">
        <v>232</v>
      </c>
      <c r="S129" s="81"/>
      <c r="T129" s="81"/>
      <c r="U129" s="81"/>
      <c r="V129" s="135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3"/>
      <c r="AJ129" s="58"/>
      <c r="AK129" s="59"/>
      <c r="AL129" s="57"/>
    </row>
    <row x14ac:dyDescent="0.25" r="130" customHeight="1" ht="18">
      <c r="A130" s="45">
        <v>124</v>
      </c>
      <c r="B130" s="155" t="s">
        <v>2760</v>
      </c>
      <c r="C130" s="156">
        <v>124</v>
      </c>
      <c r="D130" s="46" t="s">
        <v>47</v>
      </c>
      <c r="E130" s="46" t="s">
        <v>48</v>
      </c>
      <c r="F130" s="47" t="s">
        <v>49</v>
      </c>
      <c r="G130" s="47" t="s">
        <v>2758</v>
      </c>
      <c r="H130" s="47" t="s">
        <v>3064</v>
      </c>
      <c r="I130" s="130" t="s">
        <v>697</v>
      </c>
      <c r="J130" s="131"/>
      <c r="K130" s="132"/>
      <c r="L130" s="76"/>
      <c r="M130" s="81" t="s">
        <v>3097</v>
      </c>
      <c r="N130" s="47" t="s">
        <v>3098</v>
      </c>
      <c r="O130" s="47" t="s">
        <v>3099</v>
      </c>
      <c r="P130" s="134">
        <v>23.000417</v>
      </c>
      <c r="Q130" s="134">
        <v>91.744575</v>
      </c>
      <c r="R130" s="81">
        <v>2916</v>
      </c>
      <c r="S130" s="81"/>
      <c r="T130" s="81"/>
      <c r="U130" s="81"/>
      <c r="V130" s="135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3"/>
      <c r="AJ130" s="58"/>
      <c r="AK130" s="59"/>
      <c r="AL130" s="57"/>
    </row>
    <row x14ac:dyDescent="0.25" r="131" customHeight="1" ht="18">
      <c r="A131" s="45">
        <v>125</v>
      </c>
      <c r="B131" s="155" t="s">
        <v>2760</v>
      </c>
      <c r="C131" s="156">
        <v>125</v>
      </c>
      <c r="D131" s="46" t="s">
        <v>47</v>
      </c>
      <c r="E131" s="46" t="s">
        <v>48</v>
      </c>
      <c r="F131" s="47" t="s">
        <v>49</v>
      </c>
      <c r="G131" s="47" t="s">
        <v>2758</v>
      </c>
      <c r="H131" s="47" t="s">
        <v>3064</v>
      </c>
      <c r="I131" s="130" t="s">
        <v>707</v>
      </c>
      <c r="J131" s="131"/>
      <c r="K131" s="132"/>
      <c r="L131" s="76"/>
      <c r="M131" s="81" t="s">
        <v>346</v>
      </c>
      <c r="N131" s="47" t="s">
        <v>1692</v>
      </c>
      <c r="O131" s="47" t="s">
        <v>3100</v>
      </c>
      <c r="P131" s="134">
        <v>22.994196</v>
      </c>
      <c r="Q131" s="134">
        <v>91.737564</v>
      </c>
      <c r="R131" s="81">
        <v>3084</v>
      </c>
      <c r="S131" s="81"/>
      <c r="T131" s="81"/>
      <c r="U131" s="81"/>
      <c r="V131" s="7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3"/>
      <c r="AJ131" s="58"/>
      <c r="AK131" s="59"/>
      <c r="AL131" s="57"/>
    </row>
    <row x14ac:dyDescent="0.25" r="132" customHeight="1" ht="18">
      <c r="A132" s="45">
        <v>126</v>
      </c>
      <c r="B132" s="155" t="s">
        <v>2760</v>
      </c>
      <c r="C132" s="156">
        <v>126</v>
      </c>
      <c r="D132" s="46" t="s">
        <v>47</v>
      </c>
      <c r="E132" s="46" t="s">
        <v>48</v>
      </c>
      <c r="F132" s="47" t="s">
        <v>49</v>
      </c>
      <c r="G132" s="47" t="s">
        <v>2758</v>
      </c>
      <c r="H132" s="47" t="s">
        <v>3064</v>
      </c>
      <c r="I132" s="130" t="s">
        <v>707</v>
      </c>
      <c r="J132" s="131"/>
      <c r="K132" s="132"/>
      <c r="L132" s="76"/>
      <c r="M132" s="81" t="s">
        <v>3101</v>
      </c>
      <c r="N132" s="47" t="s">
        <v>3102</v>
      </c>
      <c r="O132" s="47" t="s">
        <v>3103</v>
      </c>
      <c r="P132" s="134">
        <v>22.987879</v>
      </c>
      <c r="Q132" s="134">
        <v>91.743989</v>
      </c>
      <c r="R132" s="81">
        <v>300</v>
      </c>
      <c r="S132" s="81"/>
      <c r="T132" s="81"/>
      <c r="U132" s="81"/>
      <c r="V132" s="7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3"/>
      <c r="AJ132" s="58"/>
      <c r="AK132" s="59"/>
      <c r="AL132" s="57"/>
    </row>
    <row x14ac:dyDescent="0.25" r="133" customHeight="1" ht="18">
      <c r="A133" s="45">
        <v>127</v>
      </c>
      <c r="B133" s="155" t="s">
        <v>2760</v>
      </c>
      <c r="C133" s="156">
        <v>127</v>
      </c>
      <c r="D133" s="46" t="s">
        <v>47</v>
      </c>
      <c r="E133" s="46" t="s">
        <v>48</v>
      </c>
      <c r="F133" s="47" t="s">
        <v>49</v>
      </c>
      <c r="G133" s="47" t="s">
        <v>2758</v>
      </c>
      <c r="H133" s="47" t="s">
        <v>3064</v>
      </c>
      <c r="I133" s="130" t="s">
        <v>726</v>
      </c>
      <c r="J133" s="131"/>
      <c r="K133" s="132"/>
      <c r="L133" s="76"/>
      <c r="M133" s="81" t="s">
        <v>404</v>
      </c>
      <c r="N133" s="47" t="s">
        <v>1438</v>
      </c>
      <c r="O133" s="47" t="s">
        <v>3104</v>
      </c>
      <c r="P133" s="134">
        <v>22.987487</v>
      </c>
      <c r="Q133" s="134">
        <v>91.736693</v>
      </c>
      <c r="R133" s="81">
        <v>2200</v>
      </c>
      <c r="S133" s="81"/>
      <c r="T133" s="81"/>
      <c r="U133" s="81"/>
      <c r="V133" s="7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3"/>
      <c r="AJ133" s="58"/>
      <c r="AK133" s="59"/>
      <c r="AL133" s="57"/>
    </row>
    <row x14ac:dyDescent="0.25" r="134" customHeight="1" ht="18">
      <c r="A134" s="45">
        <v>128</v>
      </c>
      <c r="B134" s="155" t="s">
        <v>2760</v>
      </c>
      <c r="C134" s="156">
        <v>128</v>
      </c>
      <c r="D134" s="46" t="s">
        <v>47</v>
      </c>
      <c r="E134" s="46" t="s">
        <v>48</v>
      </c>
      <c r="F134" s="47" t="s">
        <v>49</v>
      </c>
      <c r="G134" s="47" t="s">
        <v>2758</v>
      </c>
      <c r="H134" s="47" t="s">
        <v>3064</v>
      </c>
      <c r="I134" s="130" t="s">
        <v>726</v>
      </c>
      <c r="J134" s="131"/>
      <c r="K134" s="59"/>
      <c r="L134" s="76"/>
      <c r="M134" s="81" t="s">
        <v>3105</v>
      </c>
      <c r="N134" s="47" t="s">
        <v>3106</v>
      </c>
      <c r="O134" s="47" t="s">
        <v>3107</v>
      </c>
      <c r="P134" s="134">
        <v>22.97995</v>
      </c>
      <c r="Q134" s="134">
        <v>91.738474</v>
      </c>
      <c r="R134" s="81">
        <v>1300</v>
      </c>
      <c r="S134" s="81"/>
      <c r="T134" s="81"/>
      <c r="U134" s="81"/>
      <c r="V134" s="135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3"/>
      <c r="AJ134" s="58"/>
      <c r="AK134" s="59"/>
      <c r="AL134" s="57"/>
    </row>
    <row x14ac:dyDescent="0.25" r="135" customHeight="1" ht="18">
      <c r="A135" s="45">
        <v>129</v>
      </c>
      <c r="B135" s="155" t="s">
        <v>2760</v>
      </c>
      <c r="C135" s="156">
        <v>129</v>
      </c>
      <c r="D135" s="46" t="s">
        <v>47</v>
      </c>
      <c r="E135" s="46" t="s">
        <v>48</v>
      </c>
      <c r="F135" s="47" t="s">
        <v>49</v>
      </c>
      <c r="G135" s="47" t="s">
        <v>2758</v>
      </c>
      <c r="H135" s="47" t="s">
        <v>3064</v>
      </c>
      <c r="I135" s="130" t="s">
        <v>726</v>
      </c>
      <c r="J135" s="131"/>
      <c r="K135" s="59"/>
      <c r="L135" s="76"/>
      <c r="M135" s="81" t="s">
        <v>3108</v>
      </c>
      <c r="N135" s="47" t="s">
        <v>3109</v>
      </c>
      <c r="O135" s="47" t="s">
        <v>3110</v>
      </c>
      <c r="P135" s="134">
        <v>22.981818</v>
      </c>
      <c r="Q135" s="134">
        <v>91.74295</v>
      </c>
      <c r="R135" s="81">
        <v>1044</v>
      </c>
      <c r="S135" s="81"/>
      <c r="T135" s="81"/>
      <c r="U135" s="81"/>
      <c r="V135" s="7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3"/>
      <c r="AJ135" s="58"/>
      <c r="AK135" s="59"/>
      <c r="AL135" s="57"/>
    </row>
    <row x14ac:dyDescent="0.25" r="136" customHeight="1" ht="18">
      <c r="A136" s="45">
        <v>130</v>
      </c>
      <c r="B136" s="155" t="s">
        <v>2760</v>
      </c>
      <c r="C136" s="156">
        <v>130</v>
      </c>
      <c r="D136" s="46" t="s">
        <v>47</v>
      </c>
      <c r="E136" s="46" t="s">
        <v>48</v>
      </c>
      <c r="F136" s="47" t="s">
        <v>49</v>
      </c>
      <c r="G136" s="47" t="s">
        <v>2758</v>
      </c>
      <c r="H136" s="47" t="s">
        <v>3064</v>
      </c>
      <c r="I136" s="130" t="s">
        <v>742</v>
      </c>
      <c r="J136" s="131"/>
      <c r="K136" s="59"/>
      <c r="L136" s="76"/>
      <c r="M136" s="81" t="s">
        <v>3111</v>
      </c>
      <c r="N136" s="47" t="s">
        <v>3112</v>
      </c>
      <c r="O136" s="47" t="s">
        <v>3113</v>
      </c>
      <c r="P136" s="134">
        <v>22.984096</v>
      </c>
      <c r="Q136" s="134">
        <v>91.754347</v>
      </c>
      <c r="R136" s="81">
        <v>1820</v>
      </c>
      <c r="S136" s="81"/>
      <c r="T136" s="81"/>
      <c r="U136" s="81"/>
      <c r="V136" s="7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3"/>
      <c r="AJ136" s="58"/>
      <c r="AK136" s="59"/>
      <c r="AL136" s="57"/>
    </row>
    <row x14ac:dyDescent="0.25" r="137" customHeight="1" ht="18">
      <c r="A137" s="45">
        <v>131</v>
      </c>
      <c r="B137" s="155" t="s">
        <v>2760</v>
      </c>
      <c r="C137" s="156">
        <v>131</v>
      </c>
      <c r="D137" s="46" t="s">
        <v>47</v>
      </c>
      <c r="E137" s="46" t="s">
        <v>48</v>
      </c>
      <c r="F137" s="47" t="s">
        <v>49</v>
      </c>
      <c r="G137" s="47" t="s">
        <v>2758</v>
      </c>
      <c r="H137" s="47" t="s">
        <v>3064</v>
      </c>
      <c r="I137" s="130" t="s">
        <v>742</v>
      </c>
      <c r="J137" s="131"/>
      <c r="K137" s="59"/>
      <c r="L137" s="76"/>
      <c r="M137" s="81" t="s">
        <v>3114</v>
      </c>
      <c r="N137" s="47" t="s">
        <v>3115</v>
      </c>
      <c r="O137" s="47" t="s">
        <v>3116</v>
      </c>
      <c r="P137" s="134">
        <v>22.993206</v>
      </c>
      <c r="Q137" s="134">
        <v>91.751706</v>
      </c>
      <c r="R137" s="81">
        <v>124</v>
      </c>
      <c r="S137" s="81"/>
      <c r="T137" s="81"/>
      <c r="U137" s="81"/>
      <c r="V137" s="7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3"/>
      <c r="AJ137" s="58"/>
      <c r="AK137" s="59"/>
      <c r="AL137" s="57"/>
    </row>
    <row x14ac:dyDescent="0.25" r="138" customHeight="1" ht="18">
      <c r="A138" s="45">
        <v>132</v>
      </c>
      <c r="B138" s="155" t="s">
        <v>2760</v>
      </c>
      <c r="C138" s="156">
        <v>132</v>
      </c>
      <c r="D138" s="46" t="s">
        <v>47</v>
      </c>
      <c r="E138" s="46" t="s">
        <v>48</v>
      </c>
      <c r="F138" s="47" t="s">
        <v>49</v>
      </c>
      <c r="G138" s="47" t="s">
        <v>2758</v>
      </c>
      <c r="H138" s="47" t="s">
        <v>3064</v>
      </c>
      <c r="I138" s="130" t="s">
        <v>742</v>
      </c>
      <c r="J138" s="131"/>
      <c r="K138" s="59"/>
      <c r="L138" s="76"/>
      <c r="M138" s="81" t="s">
        <v>3117</v>
      </c>
      <c r="N138" s="47" t="s">
        <v>3118</v>
      </c>
      <c r="O138" s="47" t="s">
        <v>3119</v>
      </c>
      <c r="P138" s="134">
        <v>22.984239</v>
      </c>
      <c r="Q138" s="134">
        <v>91.750221</v>
      </c>
      <c r="R138" s="81"/>
      <c r="S138" s="81"/>
      <c r="T138" s="81"/>
      <c r="U138" s="81"/>
      <c r="V138" s="135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3"/>
      <c r="AJ138" s="58"/>
      <c r="AK138" s="59"/>
      <c r="AL138" s="57"/>
    </row>
    <row x14ac:dyDescent="0.25" r="139" customHeight="1" ht="18">
      <c r="A139" s="45">
        <v>133</v>
      </c>
      <c r="B139" s="155" t="s">
        <v>2760</v>
      </c>
      <c r="C139" s="156">
        <v>133</v>
      </c>
      <c r="D139" s="46" t="s">
        <v>47</v>
      </c>
      <c r="E139" s="46" t="s">
        <v>48</v>
      </c>
      <c r="F139" s="47" t="s">
        <v>49</v>
      </c>
      <c r="G139" s="47" t="s">
        <v>2758</v>
      </c>
      <c r="H139" s="47" t="s">
        <v>3064</v>
      </c>
      <c r="I139" s="130" t="s">
        <v>761</v>
      </c>
      <c r="J139" s="131"/>
      <c r="K139" s="59"/>
      <c r="L139" s="76"/>
      <c r="M139" s="81" t="s">
        <v>3120</v>
      </c>
      <c r="N139" s="47" t="s">
        <v>3121</v>
      </c>
      <c r="O139" s="47" t="s">
        <v>3122</v>
      </c>
      <c r="P139" s="134">
        <v>22.971097</v>
      </c>
      <c r="Q139" s="134">
        <v>91.742365</v>
      </c>
      <c r="R139" s="81">
        <v>2040</v>
      </c>
      <c r="S139" s="81"/>
      <c r="T139" s="81"/>
      <c r="U139" s="81"/>
      <c r="V139" s="135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3"/>
      <c r="AJ139" s="58"/>
      <c r="AK139" s="59"/>
      <c r="AL139" s="57"/>
    </row>
    <row x14ac:dyDescent="0.25" r="140" customHeight="1" ht="18">
      <c r="A140" s="45">
        <v>134</v>
      </c>
      <c r="B140" s="155" t="s">
        <v>2760</v>
      </c>
      <c r="C140" s="156">
        <v>134</v>
      </c>
      <c r="D140" s="46" t="s">
        <v>47</v>
      </c>
      <c r="E140" s="46" t="s">
        <v>48</v>
      </c>
      <c r="F140" s="47" t="s">
        <v>49</v>
      </c>
      <c r="G140" s="47" t="s">
        <v>2758</v>
      </c>
      <c r="H140" s="47" t="s">
        <v>3064</v>
      </c>
      <c r="I140" s="130" t="s">
        <v>761</v>
      </c>
      <c r="J140" s="131"/>
      <c r="K140" s="59"/>
      <c r="L140" s="76"/>
      <c r="M140" s="81" t="s">
        <v>3123</v>
      </c>
      <c r="N140" s="47" t="s">
        <v>3124</v>
      </c>
      <c r="O140" s="47" t="s">
        <v>3125</v>
      </c>
      <c r="P140" s="134">
        <v>22.974154</v>
      </c>
      <c r="Q140" s="134">
        <v>91.734517</v>
      </c>
      <c r="R140" s="81">
        <v>168</v>
      </c>
      <c r="S140" s="81"/>
      <c r="T140" s="81"/>
      <c r="U140" s="81"/>
      <c r="V140" s="135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3"/>
      <c r="AJ140" s="58"/>
      <c r="AK140" s="59"/>
      <c r="AL140" s="57"/>
    </row>
    <row x14ac:dyDescent="0.25" r="141" customHeight="1" ht="18">
      <c r="A141" s="45">
        <v>135</v>
      </c>
      <c r="B141" s="155" t="s">
        <v>2760</v>
      </c>
      <c r="C141" s="156">
        <v>135</v>
      </c>
      <c r="D141" s="46" t="s">
        <v>47</v>
      </c>
      <c r="E141" s="46" t="s">
        <v>48</v>
      </c>
      <c r="F141" s="47" t="s">
        <v>49</v>
      </c>
      <c r="G141" s="47" t="s">
        <v>2758</v>
      </c>
      <c r="H141" s="47" t="s">
        <v>3064</v>
      </c>
      <c r="I141" s="130" t="s">
        <v>761</v>
      </c>
      <c r="J141" s="131"/>
      <c r="K141" s="59"/>
      <c r="L141" s="76"/>
      <c r="M141" s="81" t="s">
        <v>2988</v>
      </c>
      <c r="N141" s="47" t="s">
        <v>2989</v>
      </c>
      <c r="O141" s="47" t="s">
        <v>3126</v>
      </c>
      <c r="P141" s="134">
        <v>22.971643</v>
      </c>
      <c r="Q141" s="134">
        <v>91.732985</v>
      </c>
      <c r="R141" s="81">
        <v>1420</v>
      </c>
      <c r="S141" s="81"/>
      <c r="T141" s="81"/>
      <c r="U141" s="81"/>
      <c r="V141" s="7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3"/>
      <c r="AJ141" s="58"/>
      <c r="AK141" s="59"/>
      <c r="AL141" s="57"/>
    </row>
    <row x14ac:dyDescent="0.25" r="142" customHeight="1" ht="18">
      <c r="A142" s="45">
        <v>136</v>
      </c>
      <c r="B142" s="155" t="s">
        <v>2760</v>
      </c>
      <c r="C142" s="156">
        <v>136</v>
      </c>
      <c r="D142" s="46" t="s">
        <v>47</v>
      </c>
      <c r="E142" s="46" t="s">
        <v>48</v>
      </c>
      <c r="F142" s="47" t="s">
        <v>49</v>
      </c>
      <c r="G142" s="47" t="s">
        <v>2758</v>
      </c>
      <c r="H142" s="47" t="s">
        <v>3064</v>
      </c>
      <c r="I142" s="130" t="s">
        <v>761</v>
      </c>
      <c r="J142" s="131"/>
      <c r="K142" s="59"/>
      <c r="L142" s="76"/>
      <c r="M142" s="81" t="s">
        <v>3127</v>
      </c>
      <c r="N142" s="47" t="s">
        <v>3128</v>
      </c>
      <c r="O142" s="47" t="s">
        <v>3129</v>
      </c>
      <c r="P142" s="134">
        <v>22.975821</v>
      </c>
      <c r="Q142" s="134">
        <v>91.730796</v>
      </c>
      <c r="R142" s="81">
        <v>1160</v>
      </c>
      <c r="S142" s="81"/>
      <c r="T142" s="81"/>
      <c r="U142" s="81"/>
      <c r="V142" s="135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3"/>
      <c r="AJ142" s="58"/>
      <c r="AK142" s="59"/>
      <c r="AL142" s="57"/>
    </row>
    <row x14ac:dyDescent="0.25" r="143" customHeight="1" ht="18">
      <c r="A143" s="45">
        <v>137</v>
      </c>
      <c r="B143" s="155" t="s">
        <v>2760</v>
      </c>
      <c r="C143" s="156">
        <v>137</v>
      </c>
      <c r="D143" s="46" t="s">
        <v>47</v>
      </c>
      <c r="E143" s="46" t="s">
        <v>48</v>
      </c>
      <c r="F143" s="47" t="s">
        <v>49</v>
      </c>
      <c r="G143" s="47" t="s">
        <v>2758</v>
      </c>
      <c r="H143" s="47" t="s">
        <v>3064</v>
      </c>
      <c r="I143" s="130" t="s">
        <v>761</v>
      </c>
      <c r="J143" s="131"/>
      <c r="K143" s="59"/>
      <c r="L143" s="76"/>
      <c r="M143" s="81" t="s">
        <v>3130</v>
      </c>
      <c r="N143" s="47" t="s">
        <v>3131</v>
      </c>
      <c r="O143" s="47" t="s">
        <v>3132</v>
      </c>
      <c r="P143" s="134">
        <v>22.969218</v>
      </c>
      <c r="Q143" s="134">
        <v>91.72434</v>
      </c>
      <c r="R143" s="81">
        <v>576</v>
      </c>
      <c r="S143" s="81"/>
      <c r="T143" s="81"/>
      <c r="U143" s="81"/>
      <c r="V143" s="135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3"/>
      <c r="AJ143" s="58"/>
      <c r="AK143" s="59"/>
      <c r="AL143" s="57"/>
    </row>
    <row x14ac:dyDescent="0.25" r="144" customHeight="1" ht="18">
      <c r="A144" s="45">
        <v>138</v>
      </c>
      <c r="B144" s="155" t="s">
        <v>2760</v>
      </c>
      <c r="C144" s="156">
        <v>138</v>
      </c>
      <c r="D144" s="46" t="s">
        <v>47</v>
      </c>
      <c r="E144" s="46" t="s">
        <v>48</v>
      </c>
      <c r="F144" s="47" t="s">
        <v>49</v>
      </c>
      <c r="G144" s="47" t="s">
        <v>2758</v>
      </c>
      <c r="H144" s="47" t="s">
        <v>3064</v>
      </c>
      <c r="I144" s="130" t="s">
        <v>781</v>
      </c>
      <c r="J144" s="131"/>
      <c r="K144" s="59"/>
      <c r="L144" s="76"/>
      <c r="M144" s="81" t="s">
        <v>3133</v>
      </c>
      <c r="N144" s="47" t="s">
        <v>3134</v>
      </c>
      <c r="O144" s="47" t="s">
        <v>3135</v>
      </c>
      <c r="P144" s="134">
        <v>22.985202</v>
      </c>
      <c r="Q144" s="134">
        <v>91.722385</v>
      </c>
      <c r="R144" s="81">
        <v>2440</v>
      </c>
      <c r="S144" s="81"/>
      <c r="T144" s="81"/>
      <c r="U144" s="81"/>
      <c r="V144" s="135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3"/>
      <c r="AJ144" s="58"/>
      <c r="AK144" s="59"/>
      <c r="AL144" s="57"/>
    </row>
    <row x14ac:dyDescent="0.25" r="145" customHeight="1" ht="18">
      <c r="A145" s="45">
        <v>139</v>
      </c>
      <c r="B145" s="155" t="s">
        <v>2760</v>
      </c>
      <c r="C145" s="156">
        <v>139</v>
      </c>
      <c r="D145" s="46" t="s">
        <v>47</v>
      </c>
      <c r="E145" s="46" t="s">
        <v>48</v>
      </c>
      <c r="F145" s="47" t="s">
        <v>49</v>
      </c>
      <c r="G145" s="47" t="s">
        <v>2758</v>
      </c>
      <c r="H145" s="47" t="s">
        <v>3064</v>
      </c>
      <c r="I145" s="130" t="s">
        <v>781</v>
      </c>
      <c r="J145" s="131"/>
      <c r="K145" s="59"/>
      <c r="L145" s="76"/>
      <c r="M145" s="81" t="s">
        <v>3136</v>
      </c>
      <c r="N145" s="47" t="s">
        <v>3137</v>
      </c>
      <c r="O145" s="47" t="s">
        <v>3138</v>
      </c>
      <c r="P145" s="134">
        <v>22.977545</v>
      </c>
      <c r="Q145" s="134">
        <v>91.720201</v>
      </c>
      <c r="R145" s="81">
        <v>2200</v>
      </c>
      <c r="S145" s="81"/>
      <c r="T145" s="81"/>
      <c r="U145" s="81"/>
      <c r="V145" s="7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3"/>
      <c r="AJ145" s="58"/>
      <c r="AK145" s="59"/>
      <c r="AL145" s="57"/>
    </row>
    <row x14ac:dyDescent="0.25" r="146" customHeight="1" ht="18">
      <c r="A146" s="45">
        <v>140</v>
      </c>
      <c r="B146" s="155" t="s">
        <v>2760</v>
      </c>
      <c r="C146" s="156">
        <v>140</v>
      </c>
      <c r="D146" s="46" t="s">
        <v>47</v>
      </c>
      <c r="E146" s="46" t="s">
        <v>48</v>
      </c>
      <c r="F146" s="47" t="s">
        <v>49</v>
      </c>
      <c r="G146" s="47" t="s">
        <v>2758</v>
      </c>
      <c r="H146" s="47" t="s">
        <v>3064</v>
      </c>
      <c r="I146" s="130" t="s">
        <v>797</v>
      </c>
      <c r="J146" s="131"/>
      <c r="K146" s="59"/>
      <c r="L146" s="76"/>
      <c r="M146" s="81" t="s">
        <v>3139</v>
      </c>
      <c r="N146" s="47" t="s">
        <v>3140</v>
      </c>
      <c r="O146" s="47" t="s">
        <v>3141</v>
      </c>
      <c r="P146" s="134">
        <v>22.992768</v>
      </c>
      <c r="Q146" s="134">
        <v>91.724856</v>
      </c>
      <c r="R146" s="81">
        <v>532</v>
      </c>
      <c r="S146" s="81"/>
      <c r="T146" s="81"/>
      <c r="U146" s="81"/>
      <c r="V146" s="7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3"/>
      <c r="AJ146" s="58"/>
      <c r="AK146" s="59"/>
      <c r="AL146" s="57"/>
    </row>
    <row x14ac:dyDescent="0.25" r="147" customHeight="1" ht="18">
      <c r="A147" s="45">
        <v>141</v>
      </c>
      <c r="B147" s="155" t="s">
        <v>2760</v>
      </c>
      <c r="C147" s="156">
        <v>141</v>
      </c>
      <c r="D147" s="46" t="s">
        <v>47</v>
      </c>
      <c r="E147" s="46" t="s">
        <v>48</v>
      </c>
      <c r="F147" s="47" t="s">
        <v>49</v>
      </c>
      <c r="G147" s="47" t="s">
        <v>2758</v>
      </c>
      <c r="H147" s="47" t="s">
        <v>3064</v>
      </c>
      <c r="I147" s="130" t="s">
        <v>797</v>
      </c>
      <c r="J147" s="131"/>
      <c r="K147" s="59"/>
      <c r="L147" s="76"/>
      <c r="M147" s="81" t="s">
        <v>3142</v>
      </c>
      <c r="N147" s="47" t="s">
        <v>3143</v>
      </c>
      <c r="O147" s="47" t="s">
        <v>3144</v>
      </c>
      <c r="P147" s="134">
        <v>22.997862</v>
      </c>
      <c r="Q147" s="134">
        <v>91.729193</v>
      </c>
      <c r="R147" s="81">
        <v>1080</v>
      </c>
      <c r="S147" s="81"/>
      <c r="T147" s="81"/>
      <c r="U147" s="81"/>
      <c r="V147" s="135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3"/>
      <c r="AJ147" s="58"/>
      <c r="AK147" s="59"/>
      <c r="AL147" s="57"/>
    </row>
    <row x14ac:dyDescent="0.25" r="148" customHeight="1" ht="18">
      <c r="A148" s="45">
        <v>142</v>
      </c>
      <c r="B148" s="155" t="s">
        <v>2760</v>
      </c>
      <c r="C148" s="156">
        <v>142</v>
      </c>
      <c r="D148" s="46" t="s">
        <v>47</v>
      </c>
      <c r="E148" s="46" t="s">
        <v>48</v>
      </c>
      <c r="F148" s="47" t="s">
        <v>49</v>
      </c>
      <c r="G148" s="47" t="s">
        <v>2758</v>
      </c>
      <c r="H148" s="47" t="s">
        <v>3064</v>
      </c>
      <c r="I148" s="130" t="s">
        <v>797</v>
      </c>
      <c r="J148" s="131"/>
      <c r="K148" s="59"/>
      <c r="L148" s="76"/>
      <c r="M148" s="81" t="s">
        <v>3145</v>
      </c>
      <c r="N148" s="47" t="s">
        <v>3146</v>
      </c>
      <c r="O148" s="47" t="s">
        <v>3147</v>
      </c>
      <c r="P148" s="134">
        <v>22.999811</v>
      </c>
      <c r="Q148" s="134">
        <v>91.734298</v>
      </c>
      <c r="R148" s="81">
        <v>1448</v>
      </c>
      <c r="S148" s="81"/>
      <c r="T148" s="81"/>
      <c r="U148" s="81"/>
      <c r="V148" s="135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3"/>
      <c r="AJ148" s="58"/>
      <c r="AK148" s="59"/>
      <c r="AL148" s="57"/>
    </row>
    <row x14ac:dyDescent="0.25" r="149" customHeight="1" ht="18">
      <c r="A149" s="45">
        <v>143</v>
      </c>
      <c r="B149" s="155" t="s">
        <v>2760</v>
      </c>
      <c r="C149" s="156">
        <v>143</v>
      </c>
      <c r="D149" s="46" t="s">
        <v>47</v>
      </c>
      <c r="E149" s="46" t="s">
        <v>48</v>
      </c>
      <c r="F149" s="47" t="s">
        <v>49</v>
      </c>
      <c r="G149" s="47" t="s">
        <v>2758</v>
      </c>
      <c r="H149" s="47" t="s">
        <v>3064</v>
      </c>
      <c r="I149" s="130" t="s">
        <v>797</v>
      </c>
      <c r="J149" s="131"/>
      <c r="K149" s="59"/>
      <c r="L149" s="76"/>
      <c r="M149" s="81" t="s">
        <v>3148</v>
      </c>
      <c r="N149" s="47" t="s">
        <v>3149</v>
      </c>
      <c r="O149" s="47" t="s">
        <v>3150</v>
      </c>
      <c r="P149" s="134">
        <v>22.990692</v>
      </c>
      <c r="Q149" s="134">
        <v>91.724738</v>
      </c>
      <c r="R149" s="81"/>
      <c r="S149" s="81"/>
      <c r="T149" s="81"/>
      <c r="U149" s="81"/>
      <c r="V149" s="135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3"/>
      <c r="AJ149" s="58"/>
      <c r="AK149" s="59"/>
      <c r="AL149" s="57"/>
    </row>
  </sheetData>
  <mergeCells count="3">
    <mergeCell ref="I1:I2"/>
    <mergeCell ref="A5:B5"/>
    <mergeCell ref="W5:A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64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0.576428571428572" customWidth="1" bestFit="1"/>
    <col min="3" max="3" style="85" width="11.147857142857141" customWidth="1" bestFit="1"/>
    <col min="4" max="4" style="86" width="12.43357142857143" customWidth="1" bestFit="1"/>
    <col min="5" max="5" style="85" width="11.005" customWidth="1" bestFit="1"/>
    <col min="6" max="6" style="85" width="13.290714285714287" customWidth="1" bestFit="1"/>
    <col min="7" max="7" style="140" width="6.862142857142857" customWidth="1" bestFit="1"/>
    <col min="8" max="8" style="86" width="19.719285714285714" customWidth="1" bestFit="1"/>
    <col min="9" max="9" style="87" width="7.2907142857142855" customWidth="1" bestFit="1"/>
    <col min="10" max="10" style="86" width="15.719285714285713" customWidth="1" bestFit="1"/>
    <col min="11" max="11" style="88" width="22.005" customWidth="1" bestFit="1"/>
    <col min="12" max="12" style="85" width="19.290714285714284" customWidth="1" bestFit="1"/>
    <col min="13" max="13" style="85" width="8.290714285714287" customWidth="1" bestFit="1"/>
    <col min="14" max="14" style="141" width="9.719285714285713" customWidth="1" bestFit="1"/>
    <col min="15" max="15" style="141" width="10.43357142857143" customWidth="1" bestFit="1"/>
    <col min="16" max="16" style="88" width="8.719285714285713" customWidth="1" bestFit="1"/>
    <col min="17" max="17" style="85" width="8.719285714285713" customWidth="1" bestFit="1"/>
    <col min="18" max="18" style="85" width="7.2907142857142855" customWidth="1" bestFit="1"/>
    <col min="19" max="19" style="85" width="7.433571428571429" customWidth="1" bestFit="1"/>
    <col min="20" max="20" style="86" width="7.2907142857142855" customWidth="1" bestFit="1"/>
    <col min="21" max="21" style="86" width="4.719285714285714" customWidth="1" bestFit="1"/>
    <col min="22" max="22" style="86" width="4.719285714285714" customWidth="1" bestFit="1"/>
    <col min="23" max="23" style="86" width="4.719285714285714" customWidth="1" bestFit="1"/>
    <col min="24" max="24" style="86" width="4.719285714285714" customWidth="1" bestFit="1"/>
    <col min="25" max="25" style="86" width="4.719285714285714" customWidth="1" bestFit="1"/>
    <col min="26" max="26" style="86" width="4.719285714285714" customWidth="1" bestFit="1"/>
    <col min="27" max="27" style="86" width="4.719285714285714" customWidth="1" bestFit="1"/>
    <col min="28" max="28" style="86" width="4.719285714285714" customWidth="1" bestFit="1"/>
    <col min="29" max="29" style="86" width="4.719285714285714" customWidth="1" bestFit="1"/>
    <col min="30" max="30" style="86" width="4.719285714285714" customWidth="1" bestFit="1"/>
    <col min="31" max="31" style="86" width="4.719285714285714" customWidth="1" bestFit="1"/>
    <col min="32" max="32" style="86" width="4.719285714285714" customWidth="1" bestFit="1"/>
    <col min="33" max="33" style="86" width="15.005" customWidth="1" bestFit="1"/>
    <col min="34" max="34" style="87" width="13.005" customWidth="1" bestFit="1"/>
    <col min="35" max="35" style="87" width="13.005" customWidth="1" bestFit="1"/>
    <col min="36" max="36" style="86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19" t="s">
        <v>0</v>
      </c>
      <c r="H1" s="4" t="s">
        <v>1</v>
      </c>
      <c r="I1" s="5">
        <f>COUNTIF(I7:I597,"SK(H)")</f>
      </c>
      <c r="J1" s="4" t="s">
        <v>2</v>
      </c>
      <c r="K1" s="6">
        <f>COUNTA(J7:J613)</f>
      </c>
      <c r="L1" s="7"/>
      <c r="M1" s="7"/>
      <c r="N1" s="120"/>
      <c r="O1" s="120"/>
      <c r="P1" s="121"/>
      <c r="Q1" s="122"/>
      <c r="R1" s="122"/>
      <c r="S1" s="122"/>
      <c r="T1" s="19"/>
      <c r="U1" s="19"/>
      <c r="V1" s="19"/>
      <c r="W1" s="19"/>
      <c r="X1" s="19"/>
      <c r="Y1" s="19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23"/>
      <c r="H2" s="4" t="s">
        <v>4</v>
      </c>
      <c r="I2" s="5">
        <f>COUNTIF(I7:I598,"SHW(H)")</f>
      </c>
      <c r="J2" s="4" t="s">
        <v>5</v>
      </c>
      <c r="K2" s="6">
        <f>COUNTA(K7:K464)</f>
      </c>
      <c r="L2" s="7"/>
      <c r="M2" s="7"/>
      <c r="N2" s="120"/>
      <c r="O2" s="120"/>
      <c r="P2" s="121"/>
      <c r="Q2" s="122"/>
      <c r="R2" s="122"/>
      <c r="S2" s="122"/>
      <c r="T2" s="19"/>
      <c r="U2" s="19"/>
      <c r="V2" s="19"/>
      <c r="W2" s="19"/>
      <c r="X2" s="19"/>
      <c r="Y2" s="19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23"/>
      <c r="H3" s="7"/>
      <c r="I3" s="17"/>
      <c r="J3" s="7"/>
      <c r="K3" s="18"/>
      <c r="L3" s="7"/>
      <c r="M3" s="7"/>
      <c r="N3" s="120"/>
      <c r="O3" s="120"/>
      <c r="P3" s="121"/>
      <c r="Q3" s="122"/>
      <c r="R3" s="122"/>
      <c r="S3" s="122"/>
      <c r="T3" s="19"/>
      <c r="U3" s="19"/>
      <c r="V3" s="19"/>
      <c r="W3" s="19"/>
      <c r="X3" s="19"/>
      <c r="Y3" s="19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24"/>
      <c r="H4" s="2"/>
      <c r="I4" s="14"/>
      <c r="J4" s="19"/>
      <c r="K4" s="20"/>
      <c r="L4" s="12"/>
      <c r="M4" s="12"/>
      <c r="N4" s="125"/>
      <c r="O4" s="125"/>
      <c r="P4" s="121"/>
      <c r="Q4" s="122"/>
      <c r="R4" s="122"/>
      <c r="S4" s="122"/>
      <c r="T4" s="19"/>
      <c r="U4" s="19"/>
      <c r="V4" s="19"/>
      <c r="W4" s="19"/>
      <c r="X4" s="19"/>
      <c r="Y4" s="19"/>
      <c r="Z4" s="12"/>
      <c r="AA4" s="2"/>
      <c r="AB4" s="2"/>
      <c r="AC4" s="2"/>
      <c r="AD4" s="12"/>
      <c r="AE4" s="12"/>
      <c r="AF4" s="19"/>
      <c r="AG4" s="12"/>
      <c r="AH4" s="13"/>
      <c r="AI4" s="142"/>
      <c r="AJ4" s="19"/>
    </row>
    <row x14ac:dyDescent="0.25" r="5" customHeight="1" ht="19.8">
      <c r="A5" s="22" t="s">
        <v>8</v>
      </c>
      <c r="B5" s="23"/>
      <c r="C5" s="23"/>
      <c r="D5" s="23"/>
      <c r="E5" s="23" t="s">
        <v>1464</v>
      </c>
      <c r="F5" s="23"/>
      <c r="G5" s="126"/>
      <c r="H5" s="12"/>
      <c r="I5" s="14"/>
      <c r="J5" s="2"/>
      <c r="K5" s="24"/>
      <c r="L5" s="25"/>
      <c r="M5" s="25"/>
      <c r="N5" s="127"/>
      <c r="O5" s="127"/>
      <c r="P5" s="26"/>
      <c r="Q5" s="27"/>
      <c r="R5" s="27"/>
      <c r="S5" s="27"/>
      <c r="T5" s="2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128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129" t="s">
        <v>24</v>
      </c>
      <c r="O6" s="129" t="s">
        <v>25</v>
      </c>
      <c r="P6" s="39" t="s">
        <v>26</v>
      </c>
      <c r="Q6" s="34" t="s">
        <v>27</v>
      </c>
      <c r="R6" s="34" t="s">
        <v>28</v>
      </c>
      <c r="S6" s="34" t="s">
        <v>29</v>
      </c>
      <c r="T6" s="34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7" t="s">
        <v>1464</v>
      </c>
      <c r="F7" s="47" t="s">
        <v>1465</v>
      </c>
      <c r="G7" s="130" t="s">
        <v>677</v>
      </c>
      <c r="H7" s="131"/>
      <c r="I7" s="132"/>
      <c r="J7" s="76"/>
      <c r="K7" s="81" t="s">
        <v>1466</v>
      </c>
      <c r="L7" s="47" t="s">
        <v>1467</v>
      </c>
      <c r="M7" s="47" t="s">
        <v>1468</v>
      </c>
      <c r="N7" s="134">
        <v>23.178005</v>
      </c>
      <c r="O7" s="134">
        <v>91.815613</v>
      </c>
      <c r="P7" s="81">
        <v>500</v>
      </c>
      <c r="Q7" s="47"/>
      <c r="R7" s="81"/>
      <c r="S7" s="81"/>
      <c r="T7" s="7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7" t="s">
        <v>1464</v>
      </c>
      <c r="F8" s="47" t="s">
        <v>1465</v>
      </c>
      <c r="G8" s="130" t="s">
        <v>677</v>
      </c>
      <c r="H8" s="131"/>
      <c r="I8" s="132"/>
      <c r="J8" s="76"/>
      <c r="K8" s="81" t="s">
        <v>1469</v>
      </c>
      <c r="L8" s="47" t="s">
        <v>1470</v>
      </c>
      <c r="M8" s="47" t="s">
        <v>1471</v>
      </c>
      <c r="N8" s="134">
        <v>23.172926</v>
      </c>
      <c r="O8" s="134">
        <v>91.822903</v>
      </c>
      <c r="P8" s="81">
        <v>800</v>
      </c>
      <c r="Q8" s="47"/>
      <c r="R8" s="81"/>
      <c r="S8" s="81"/>
      <c r="T8" s="7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7" t="s">
        <v>1464</v>
      </c>
      <c r="F9" s="47" t="s">
        <v>1465</v>
      </c>
      <c r="G9" s="130" t="s">
        <v>677</v>
      </c>
      <c r="H9" s="131"/>
      <c r="I9" s="132"/>
      <c r="J9" s="76"/>
      <c r="K9" s="81" t="s">
        <v>1472</v>
      </c>
      <c r="L9" s="47" t="s">
        <v>1473</v>
      </c>
      <c r="M9" s="47" t="s">
        <v>1474</v>
      </c>
      <c r="N9" s="134">
        <v>23.172559</v>
      </c>
      <c r="O9" s="134">
        <v>91.833112</v>
      </c>
      <c r="P9" s="81">
        <v>360</v>
      </c>
      <c r="Q9" s="47"/>
      <c r="R9" s="81"/>
      <c r="S9" s="81"/>
      <c r="T9" s="7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7" t="s">
        <v>1464</v>
      </c>
      <c r="F10" s="47" t="s">
        <v>1465</v>
      </c>
      <c r="G10" s="130" t="s">
        <v>677</v>
      </c>
      <c r="H10" s="131"/>
      <c r="I10" s="132"/>
      <c r="J10" s="76"/>
      <c r="K10" s="81" t="s">
        <v>1475</v>
      </c>
      <c r="L10" s="47" t="s">
        <v>1476</v>
      </c>
      <c r="M10" s="47" t="s">
        <v>1477</v>
      </c>
      <c r="N10" s="134">
        <v>23.172274</v>
      </c>
      <c r="O10" s="134">
        <v>91.837708</v>
      </c>
      <c r="P10" s="81">
        <v>540</v>
      </c>
      <c r="Q10" s="47"/>
      <c r="R10" s="81"/>
      <c r="S10" s="81"/>
      <c r="T10" s="7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7" t="s">
        <v>1464</v>
      </c>
      <c r="F11" s="47" t="s">
        <v>1465</v>
      </c>
      <c r="G11" s="130" t="s">
        <v>677</v>
      </c>
      <c r="H11" s="131"/>
      <c r="I11" s="132"/>
      <c r="J11" s="76"/>
      <c r="K11" s="81" t="s">
        <v>1478</v>
      </c>
      <c r="L11" s="47" t="s">
        <v>1479</v>
      </c>
      <c r="M11" s="47" t="s">
        <v>1480</v>
      </c>
      <c r="N11" s="134">
        <v>23.171847</v>
      </c>
      <c r="O11" s="134">
        <v>91.842483</v>
      </c>
      <c r="P11" s="81">
        <v>700</v>
      </c>
      <c r="Q11" s="47"/>
      <c r="R11" s="81"/>
      <c r="S11" s="81"/>
      <c r="T11" s="7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7" t="s">
        <v>1464</v>
      </c>
      <c r="F12" s="47" t="s">
        <v>1465</v>
      </c>
      <c r="G12" s="130" t="s">
        <v>684</v>
      </c>
      <c r="H12" s="131"/>
      <c r="I12" s="132"/>
      <c r="J12" s="76"/>
      <c r="K12" s="81" t="s">
        <v>1481</v>
      </c>
      <c r="L12" s="47" t="s">
        <v>1482</v>
      </c>
      <c r="M12" s="47" t="s">
        <v>1483</v>
      </c>
      <c r="N12" s="134">
        <v>23.165244</v>
      </c>
      <c r="O12" s="134">
        <v>91.828954</v>
      </c>
      <c r="P12" s="81">
        <v>350</v>
      </c>
      <c r="Q12" s="47"/>
      <c r="R12" s="81"/>
      <c r="S12" s="81"/>
      <c r="T12" s="7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7" t="s">
        <v>1464</v>
      </c>
      <c r="F13" s="47" t="s">
        <v>1465</v>
      </c>
      <c r="G13" s="130" t="s">
        <v>684</v>
      </c>
      <c r="H13" s="131"/>
      <c r="I13" s="132"/>
      <c r="J13" s="76"/>
      <c r="K13" s="81" t="s">
        <v>1484</v>
      </c>
      <c r="L13" s="47" t="s">
        <v>1485</v>
      </c>
      <c r="M13" s="47" t="s">
        <v>1486</v>
      </c>
      <c r="N13" s="134">
        <v>23.163519</v>
      </c>
      <c r="O13" s="134">
        <v>91.822214</v>
      </c>
      <c r="P13" s="81">
        <v>300</v>
      </c>
      <c r="Q13" s="47"/>
      <c r="R13" s="81"/>
      <c r="S13" s="81"/>
      <c r="T13" s="7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7" t="s">
        <v>1464</v>
      </c>
      <c r="F14" s="47" t="s">
        <v>1465</v>
      </c>
      <c r="G14" s="130" t="s">
        <v>684</v>
      </c>
      <c r="H14" s="76"/>
      <c r="I14" s="132"/>
      <c r="J14" s="76"/>
      <c r="K14" s="81" t="s">
        <v>1487</v>
      </c>
      <c r="L14" s="47" t="s">
        <v>1488</v>
      </c>
      <c r="M14" s="47" t="s">
        <v>1489</v>
      </c>
      <c r="N14" s="134">
        <v>23.15713</v>
      </c>
      <c r="O14" s="134">
        <v>91.834686</v>
      </c>
      <c r="P14" s="81">
        <v>320</v>
      </c>
      <c r="Q14" s="47"/>
      <c r="R14" s="81"/>
      <c r="S14" s="81"/>
      <c r="T14" s="13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7" t="s">
        <v>1464</v>
      </c>
      <c r="F15" s="47" t="s">
        <v>1465</v>
      </c>
      <c r="G15" s="130" t="s">
        <v>684</v>
      </c>
      <c r="H15" s="76"/>
      <c r="I15" s="132"/>
      <c r="J15" s="76"/>
      <c r="K15" s="81" t="s">
        <v>1490</v>
      </c>
      <c r="L15" s="47" t="s">
        <v>1491</v>
      </c>
      <c r="M15" s="47" t="s">
        <v>1492</v>
      </c>
      <c r="N15" s="134">
        <v>23.163941</v>
      </c>
      <c r="O15" s="134">
        <v>91.840653</v>
      </c>
      <c r="P15" s="81">
        <v>310</v>
      </c>
      <c r="Q15" s="47"/>
      <c r="R15" s="81"/>
      <c r="S15" s="81"/>
      <c r="T15" s="135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7" t="s">
        <v>1464</v>
      </c>
      <c r="F16" s="47" t="s">
        <v>1465</v>
      </c>
      <c r="G16" s="130" t="s">
        <v>697</v>
      </c>
      <c r="H16" s="76"/>
      <c r="I16" s="132"/>
      <c r="J16" s="76"/>
      <c r="K16" s="81" t="s">
        <v>1493</v>
      </c>
      <c r="L16" s="47" t="s">
        <v>1494</v>
      </c>
      <c r="M16" s="47" t="s">
        <v>1495</v>
      </c>
      <c r="N16" s="134">
        <v>23.16797</v>
      </c>
      <c r="O16" s="134">
        <v>91.818471</v>
      </c>
      <c r="P16" s="81">
        <v>225</v>
      </c>
      <c r="Q16" s="47"/>
      <c r="R16" s="81"/>
      <c r="S16" s="81"/>
      <c r="T16" s="135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7" t="s">
        <v>1464</v>
      </c>
      <c r="F17" s="47" t="s">
        <v>1465</v>
      </c>
      <c r="G17" s="130" t="s">
        <v>697</v>
      </c>
      <c r="H17" s="76"/>
      <c r="I17" s="132"/>
      <c r="J17" s="136"/>
      <c r="K17" s="81" t="s">
        <v>1496</v>
      </c>
      <c r="L17" s="47" t="s">
        <v>1497</v>
      </c>
      <c r="M17" s="47" t="s">
        <v>1498</v>
      </c>
      <c r="N17" s="134">
        <v>23.163623</v>
      </c>
      <c r="O17" s="134">
        <v>91.812023</v>
      </c>
      <c r="P17" s="81">
        <v>440</v>
      </c>
      <c r="Q17" s="47"/>
      <c r="R17" s="81"/>
      <c r="S17" s="81"/>
      <c r="T17" s="135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7" t="s">
        <v>1464</v>
      </c>
      <c r="F18" s="47" t="s">
        <v>1465</v>
      </c>
      <c r="G18" s="130" t="s">
        <v>697</v>
      </c>
      <c r="H18" s="76"/>
      <c r="I18" s="132"/>
      <c r="J18" s="76"/>
      <c r="K18" s="81" t="s">
        <v>1499</v>
      </c>
      <c r="L18" s="47" t="s">
        <v>1500</v>
      </c>
      <c r="M18" s="47" t="s">
        <v>1501</v>
      </c>
      <c r="N18" s="134">
        <v>23.160189</v>
      </c>
      <c r="O18" s="134">
        <v>91.812021</v>
      </c>
      <c r="P18" s="81">
        <v>235</v>
      </c>
      <c r="Q18" s="47"/>
      <c r="R18" s="81"/>
      <c r="S18" s="81"/>
      <c r="T18" s="135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7" t="s">
        <v>1464</v>
      </c>
      <c r="F19" s="47" t="s">
        <v>1465</v>
      </c>
      <c r="G19" s="130" t="s">
        <v>697</v>
      </c>
      <c r="H19" s="76"/>
      <c r="I19" s="132"/>
      <c r="J19" s="76"/>
      <c r="K19" s="81" t="s">
        <v>1502</v>
      </c>
      <c r="L19" s="47" t="s">
        <v>1503</v>
      </c>
      <c r="M19" s="47" t="s">
        <v>1504</v>
      </c>
      <c r="N19" s="134">
        <v>23.161288</v>
      </c>
      <c r="O19" s="134">
        <v>91.809132</v>
      </c>
      <c r="P19" s="81">
        <v>45</v>
      </c>
      <c r="Q19" s="47"/>
      <c r="R19" s="81"/>
      <c r="S19" s="81"/>
      <c r="T19" s="135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7" t="s">
        <v>1464</v>
      </c>
      <c r="F20" s="47" t="s">
        <v>1465</v>
      </c>
      <c r="G20" s="130" t="s">
        <v>707</v>
      </c>
      <c r="H20" s="76"/>
      <c r="I20" s="132"/>
      <c r="J20" s="76"/>
      <c r="K20" s="81" t="s">
        <v>1505</v>
      </c>
      <c r="L20" s="47" t="s">
        <v>1506</v>
      </c>
      <c r="M20" s="47" t="s">
        <v>1507</v>
      </c>
      <c r="N20" s="134">
        <v>23.152752</v>
      </c>
      <c r="O20" s="134">
        <v>91.826938</v>
      </c>
      <c r="P20" s="81">
        <v>250</v>
      </c>
      <c r="Q20" s="47"/>
      <c r="R20" s="81"/>
      <c r="S20" s="81"/>
      <c r="T20" s="135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7" t="s">
        <v>1464</v>
      </c>
      <c r="F21" s="47" t="s">
        <v>1465</v>
      </c>
      <c r="G21" s="130" t="s">
        <v>707</v>
      </c>
      <c r="H21" s="76"/>
      <c r="I21" s="132"/>
      <c r="J21" s="76"/>
      <c r="K21" s="81" t="s">
        <v>1508</v>
      </c>
      <c r="L21" s="47" t="s">
        <v>1509</v>
      </c>
      <c r="M21" s="47" t="s">
        <v>1510</v>
      </c>
      <c r="N21" s="134">
        <v>23.147105</v>
      </c>
      <c r="O21" s="134">
        <v>91.823287</v>
      </c>
      <c r="P21" s="81">
        <v>390</v>
      </c>
      <c r="Q21" s="47"/>
      <c r="R21" s="81"/>
      <c r="S21" s="81"/>
      <c r="T21" s="7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7" t="s">
        <v>1464</v>
      </c>
      <c r="F22" s="47" t="s">
        <v>1465</v>
      </c>
      <c r="G22" s="130" t="s">
        <v>707</v>
      </c>
      <c r="H22" s="76"/>
      <c r="I22" s="132"/>
      <c r="J22" s="76"/>
      <c r="K22" s="81" t="s">
        <v>1511</v>
      </c>
      <c r="L22" s="47" t="s">
        <v>1512</v>
      </c>
      <c r="M22" s="47" t="s">
        <v>1513</v>
      </c>
      <c r="N22" s="134">
        <v>23.144412</v>
      </c>
      <c r="O22" s="134">
        <v>91.829484</v>
      </c>
      <c r="P22" s="81">
        <v>170</v>
      </c>
      <c r="Q22" s="47"/>
      <c r="R22" s="81"/>
      <c r="S22" s="81"/>
      <c r="T22" s="135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7" t="s">
        <v>1464</v>
      </c>
      <c r="F23" s="47" t="s">
        <v>1465</v>
      </c>
      <c r="G23" s="130" t="s">
        <v>707</v>
      </c>
      <c r="H23" s="131"/>
      <c r="I23" s="132"/>
      <c r="J23" s="76"/>
      <c r="K23" s="81" t="s">
        <v>1514</v>
      </c>
      <c r="L23" s="47" t="s">
        <v>1515</v>
      </c>
      <c r="M23" s="47" t="s">
        <v>1516</v>
      </c>
      <c r="N23" s="134">
        <v>23.137665</v>
      </c>
      <c r="O23" s="134">
        <v>91.821647</v>
      </c>
      <c r="P23" s="81">
        <v>780</v>
      </c>
      <c r="Q23" s="47"/>
      <c r="R23" s="81"/>
      <c r="S23" s="81"/>
      <c r="T23" s="135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7" t="s">
        <v>1464</v>
      </c>
      <c r="F24" s="47" t="s">
        <v>1465</v>
      </c>
      <c r="G24" s="130" t="s">
        <v>707</v>
      </c>
      <c r="H24" s="131"/>
      <c r="I24" s="132"/>
      <c r="J24" s="76"/>
      <c r="K24" s="81" t="s">
        <v>1517</v>
      </c>
      <c r="L24" s="47" t="s">
        <v>1518</v>
      </c>
      <c r="M24" s="47" t="s">
        <v>1519</v>
      </c>
      <c r="N24" s="134">
        <v>23.138367</v>
      </c>
      <c r="O24" s="134">
        <v>91.81644</v>
      </c>
      <c r="P24" s="81">
        <v>40</v>
      </c>
      <c r="Q24" s="47"/>
      <c r="R24" s="81"/>
      <c r="S24" s="81"/>
      <c r="T24" s="135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7" t="s">
        <v>1464</v>
      </c>
      <c r="F25" s="47" t="s">
        <v>1465</v>
      </c>
      <c r="G25" s="130" t="s">
        <v>726</v>
      </c>
      <c r="H25" s="131"/>
      <c r="I25" s="132"/>
      <c r="J25" s="76"/>
      <c r="K25" s="81" t="s">
        <v>1520</v>
      </c>
      <c r="L25" s="47" t="s">
        <v>1521</v>
      </c>
      <c r="M25" s="47" t="s">
        <v>1522</v>
      </c>
      <c r="N25" s="134">
        <v>23.13867</v>
      </c>
      <c r="O25" s="134">
        <v>91.828371</v>
      </c>
      <c r="P25" s="81">
        <v>400</v>
      </c>
      <c r="Q25" s="47"/>
      <c r="R25" s="81"/>
      <c r="S25" s="81"/>
      <c r="T25" s="135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7" t="s">
        <v>1464</v>
      </c>
      <c r="F26" s="47" t="s">
        <v>1465</v>
      </c>
      <c r="G26" s="130" t="s">
        <v>726</v>
      </c>
      <c r="H26" s="131"/>
      <c r="I26" s="132"/>
      <c r="J26" s="76"/>
      <c r="K26" s="81" t="s">
        <v>1523</v>
      </c>
      <c r="L26" s="47" t="s">
        <v>1524</v>
      </c>
      <c r="M26" s="47" t="s">
        <v>1525</v>
      </c>
      <c r="N26" s="134">
        <v>23.136771</v>
      </c>
      <c r="O26" s="134">
        <v>91.837414</v>
      </c>
      <c r="P26" s="81">
        <v>140</v>
      </c>
      <c r="Q26" s="47"/>
      <c r="R26" s="81"/>
      <c r="S26" s="81"/>
      <c r="T26" s="135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7" t="s">
        <v>1464</v>
      </c>
      <c r="F27" s="47" t="s">
        <v>1465</v>
      </c>
      <c r="G27" s="130" t="s">
        <v>726</v>
      </c>
      <c r="H27" s="131"/>
      <c r="I27" s="132"/>
      <c r="J27" s="76"/>
      <c r="K27" s="81" t="s">
        <v>1526</v>
      </c>
      <c r="L27" s="47" t="s">
        <v>1527</v>
      </c>
      <c r="M27" s="47" t="s">
        <v>1528</v>
      </c>
      <c r="N27" s="134">
        <v>23.139831</v>
      </c>
      <c r="O27" s="134">
        <v>91.835196</v>
      </c>
      <c r="P27" s="81">
        <v>450</v>
      </c>
      <c r="Q27" s="47"/>
      <c r="R27" s="81"/>
      <c r="S27" s="81"/>
      <c r="T27" s="7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7" t="s">
        <v>1464</v>
      </c>
      <c r="F28" s="47" t="s">
        <v>1465</v>
      </c>
      <c r="G28" s="130" t="s">
        <v>726</v>
      </c>
      <c r="H28" s="131"/>
      <c r="I28" s="132"/>
      <c r="J28" s="76"/>
      <c r="K28" s="81" t="s">
        <v>1529</v>
      </c>
      <c r="L28" s="47" t="s">
        <v>1530</v>
      </c>
      <c r="M28" s="47" t="s">
        <v>1531</v>
      </c>
      <c r="N28" s="134">
        <v>23.140837</v>
      </c>
      <c r="O28" s="134">
        <v>91.832479</v>
      </c>
      <c r="P28" s="81">
        <v>325</v>
      </c>
      <c r="Q28" s="47"/>
      <c r="R28" s="81"/>
      <c r="S28" s="81"/>
      <c r="T28" s="135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7" t="s">
        <v>1464</v>
      </c>
      <c r="F29" s="47" t="s">
        <v>1465</v>
      </c>
      <c r="G29" s="130" t="s">
        <v>742</v>
      </c>
      <c r="H29" s="131"/>
      <c r="I29" s="132"/>
      <c r="J29" s="76"/>
      <c r="K29" s="81" t="s">
        <v>1532</v>
      </c>
      <c r="L29" s="47" t="s">
        <v>1533</v>
      </c>
      <c r="M29" s="47" t="s">
        <v>1534</v>
      </c>
      <c r="N29" s="134">
        <v>23.150626</v>
      </c>
      <c r="O29" s="134">
        <v>91.837742</v>
      </c>
      <c r="P29" s="81">
        <v>430</v>
      </c>
      <c r="Q29" s="47"/>
      <c r="R29" s="81"/>
      <c r="S29" s="81"/>
      <c r="T29" s="135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7" t="s">
        <v>1464</v>
      </c>
      <c r="F30" s="47" t="s">
        <v>1465</v>
      </c>
      <c r="G30" s="130" t="s">
        <v>742</v>
      </c>
      <c r="H30" s="131"/>
      <c r="I30" s="132"/>
      <c r="J30" s="76"/>
      <c r="K30" s="81" t="s">
        <v>1535</v>
      </c>
      <c r="L30" s="47" t="s">
        <v>1536</v>
      </c>
      <c r="M30" s="47" t="s">
        <v>1537</v>
      </c>
      <c r="N30" s="134">
        <v>23.150029</v>
      </c>
      <c r="O30" s="134">
        <v>91.849335</v>
      </c>
      <c r="P30" s="81">
        <v>180</v>
      </c>
      <c r="Q30" s="47"/>
      <c r="R30" s="81"/>
      <c r="S30" s="81"/>
      <c r="T30" s="135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7" t="s">
        <v>1464</v>
      </c>
      <c r="F31" s="47" t="s">
        <v>1465</v>
      </c>
      <c r="G31" s="130" t="s">
        <v>742</v>
      </c>
      <c r="H31" s="131"/>
      <c r="I31" s="132"/>
      <c r="J31" s="76"/>
      <c r="K31" s="81" t="s">
        <v>1538</v>
      </c>
      <c r="L31" s="47" t="s">
        <v>1539</v>
      </c>
      <c r="M31" s="47" t="s">
        <v>1540</v>
      </c>
      <c r="N31" s="134">
        <v>23.159601</v>
      </c>
      <c r="O31" s="134">
        <v>91.84992</v>
      </c>
      <c r="P31" s="81">
        <v>135</v>
      </c>
      <c r="Q31" s="47"/>
      <c r="R31" s="81"/>
      <c r="S31" s="81"/>
      <c r="T31" s="135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7" t="s">
        <v>1464</v>
      </c>
      <c r="F32" s="47" t="s">
        <v>1465</v>
      </c>
      <c r="G32" s="130" t="s">
        <v>742</v>
      </c>
      <c r="H32" s="131"/>
      <c r="I32" s="132"/>
      <c r="J32" s="76"/>
      <c r="K32" s="81" t="s">
        <v>1541</v>
      </c>
      <c r="L32" s="47" t="s">
        <v>1542</v>
      </c>
      <c r="M32" s="47" t="s">
        <v>1543</v>
      </c>
      <c r="N32" s="134">
        <v>23.148655</v>
      </c>
      <c r="O32" s="134">
        <v>91.860008</v>
      </c>
      <c r="P32" s="81">
        <v>475</v>
      </c>
      <c r="Q32" s="47"/>
      <c r="R32" s="81"/>
      <c r="S32" s="81"/>
      <c r="T32" s="135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7" t="s">
        <v>1464</v>
      </c>
      <c r="F33" s="47" t="s">
        <v>1465</v>
      </c>
      <c r="G33" s="130" t="s">
        <v>742</v>
      </c>
      <c r="H33" s="131"/>
      <c r="I33" s="132"/>
      <c r="J33" s="76"/>
      <c r="K33" s="81" t="s">
        <v>1544</v>
      </c>
      <c r="L33" s="47" t="s">
        <v>1545</v>
      </c>
      <c r="M33" s="47" t="s">
        <v>1546</v>
      </c>
      <c r="N33" s="134">
        <v>23.164291</v>
      </c>
      <c r="O33" s="134">
        <v>91.863962</v>
      </c>
      <c r="P33" s="81">
        <v>90</v>
      </c>
      <c r="Q33" s="47"/>
      <c r="R33" s="81"/>
      <c r="S33" s="81"/>
      <c r="T33" s="135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7" t="s">
        <v>1464</v>
      </c>
      <c r="F34" s="47" t="s">
        <v>1465</v>
      </c>
      <c r="G34" s="130" t="s">
        <v>761</v>
      </c>
      <c r="H34" s="131"/>
      <c r="I34" s="59"/>
      <c r="J34" s="76"/>
      <c r="K34" s="81" t="s">
        <v>1547</v>
      </c>
      <c r="L34" s="47" t="s">
        <v>1548</v>
      </c>
      <c r="M34" s="47" t="s">
        <v>1549</v>
      </c>
      <c r="N34" s="134">
        <v>23.217892</v>
      </c>
      <c r="O34" s="134">
        <v>91.833318</v>
      </c>
      <c r="P34" s="81">
        <v>126</v>
      </c>
      <c r="Q34" s="47"/>
      <c r="R34" s="81"/>
      <c r="S34" s="81"/>
      <c r="T34" s="135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7" t="s">
        <v>1464</v>
      </c>
      <c r="F35" s="47" t="s">
        <v>1465</v>
      </c>
      <c r="G35" s="130" t="s">
        <v>761</v>
      </c>
      <c r="H35" s="131"/>
      <c r="I35" s="59"/>
      <c r="J35" s="76"/>
      <c r="K35" s="81" t="s">
        <v>1550</v>
      </c>
      <c r="L35" s="47" t="s">
        <v>1551</v>
      </c>
      <c r="M35" s="47" t="s">
        <v>1552</v>
      </c>
      <c r="N35" s="134">
        <v>23.211568</v>
      </c>
      <c r="O35" s="134">
        <v>91.837436</v>
      </c>
      <c r="P35" s="81">
        <v>170</v>
      </c>
      <c r="Q35" s="47"/>
      <c r="R35" s="81"/>
      <c r="S35" s="81"/>
      <c r="T35" s="135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7" t="s">
        <v>1464</v>
      </c>
      <c r="F36" s="47" t="s">
        <v>1465</v>
      </c>
      <c r="G36" s="130" t="s">
        <v>761</v>
      </c>
      <c r="H36" s="131"/>
      <c r="I36" s="59"/>
      <c r="J36" s="76"/>
      <c r="K36" s="81" t="s">
        <v>1553</v>
      </c>
      <c r="L36" s="47" t="s">
        <v>1554</v>
      </c>
      <c r="M36" s="47" t="s">
        <v>1555</v>
      </c>
      <c r="N36" s="134">
        <v>23.221533</v>
      </c>
      <c r="O36" s="134">
        <v>91.84694</v>
      </c>
      <c r="P36" s="81">
        <v>228</v>
      </c>
      <c r="Q36" s="47"/>
      <c r="R36" s="81"/>
      <c r="S36" s="81"/>
      <c r="T36" s="135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7" t="s">
        <v>1464</v>
      </c>
      <c r="F37" s="47" t="s">
        <v>1465</v>
      </c>
      <c r="G37" s="130" t="s">
        <v>761</v>
      </c>
      <c r="H37" s="131"/>
      <c r="I37" s="59"/>
      <c r="J37" s="76"/>
      <c r="K37" s="81" t="s">
        <v>1556</v>
      </c>
      <c r="L37" s="47" t="s">
        <v>1557</v>
      </c>
      <c r="M37" s="47" t="s">
        <v>1558</v>
      </c>
      <c r="N37" s="134">
        <v>23.21834</v>
      </c>
      <c r="O37" s="134">
        <v>91.85655</v>
      </c>
      <c r="P37" s="81">
        <v>142</v>
      </c>
      <c r="Q37" s="47"/>
      <c r="R37" s="81"/>
      <c r="S37" s="81"/>
      <c r="T37" s="135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7" t="s">
        <v>1464</v>
      </c>
      <c r="F38" s="47" t="s">
        <v>1465</v>
      </c>
      <c r="G38" s="130" t="s">
        <v>781</v>
      </c>
      <c r="H38" s="131"/>
      <c r="I38" s="59"/>
      <c r="J38" s="76"/>
      <c r="K38" s="81" t="s">
        <v>1559</v>
      </c>
      <c r="L38" s="47" t="s">
        <v>1560</v>
      </c>
      <c r="M38" s="47" t="s">
        <v>1561</v>
      </c>
      <c r="N38" s="134">
        <v>23.200167</v>
      </c>
      <c r="O38" s="134">
        <v>91.844212</v>
      </c>
      <c r="P38" s="81">
        <v>126</v>
      </c>
      <c r="Q38" s="47"/>
      <c r="R38" s="81"/>
      <c r="S38" s="81"/>
      <c r="T38" s="7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7" t="s">
        <v>1464</v>
      </c>
      <c r="F39" s="47" t="s">
        <v>1465</v>
      </c>
      <c r="G39" s="130" t="s">
        <v>781</v>
      </c>
      <c r="H39" s="131"/>
      <c r="I39" s="59"/>
      <c r="J39" s="76"/>
      <c r="K39" s="81" t="s">
        <v>1562</v>
      </c>
      <c r="L39" s="47" t="s">
        <v>1563</v>
      </c>
      <c r="M39" s="47" t="s">
        <v>1564</v>
      </c>
      <c r="N39" s="134">
        <v>23.199335</v>
      </c>
      <c r="O39" s="134">
        <v>91.840828</v>
      </c>
      <c r="P39" s="81">
        <v>83</v>
      </c>
      <c r="Q39" s="47"/>
      <c r="R39" s="81"/>
      <c r="S39" s="81"/>
      <c r="T39" s="7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7" t="s">
        <v>1464</v>
      </c>
      <c r="F40" s="47" t="s">
        <v>1465</v>
      </c>
      <c r="G40" s="130" t="s">
        <v>781</v>
      </c>
      <c r="H40" s="131"/>
      <c r="I40" s="59"/>
      <c r="J40" s="76"/>
      <c r="K40" s="81" t="s">
        <v>1565</v>
      </c>
      <c r="L40" s="47" t="s">
        <v>1566</v>
      </c>
      <c r="M40" s="47" t="s">
        <v>1567</v>
      </c>
      <c r="N40" s="134">
        <v>23.195667</v>
      </c>
      <c r="O40" s="134">
        <v>91.845482</v>
      </c>
      <c r="P40" s="81">
        <v>192</v>
      </c>
      <c r="Q40" s="47"/>
      <c r="R40" s="137"/>
      <c r="S40" s="137"/>
      <c r="T40" s="7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7" t="s">
        <v>1464</v>
      </c>
      <c r="F41" s="47" t="s">
        <v>1465</v>
      </c>
      <c r="G41" s="130" t="s">
        <v>781</v>
      </c>
      <c r="H41" s="131"/>
      <c r="I41" s="59"/>
      <c r="J41" s="76"/>
      <c r="K41" s="81" t="s">
        <v>1568</v>
      </c>
      <c r="L41" s="47" t="s">
        <v>1569</v>
      </c>
      <c r="M41" s="47" t="s">
        <v>1570</v>
      </c>
      <c r="N41" s="134">
        <v>23.189465</v>
      </c>
      <c r="O41" s="134">
        <v>91.846114</v>
      </c>
      <c r="P41" s="81">
        <v>78</v>
      </c>
      <c r="Q41" s="47"/>
      <c r="R41" s="81"/>
      <c r="S41" s="81"/>
      <c r="T41" s="7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7" t="s">
        <v>1464</v>
      </c>
      <c r="F42" s="47" t="s">
        <v>1465</v>
      </c>
      <c r="G42" s="130" t="s">
        <v>781</v>
      </c>
      <c r="H42" s="131"/>
      <c r="I42" s="59"/>
      <c r="J42" s="76"/>
      <c r="K42" s="81" t="s">
        <v>1571</v>
      </c>
      <c r="L42" s="47" t="s">
        <v>1572</v>
      </c>
      <c r="M42" s="47" t="s">
        <v>1573</v>
      </c>
      <c r="N42" s="134">
        <v>23.192381</v>
      </c>
      <c r="O42" s="134">
        <v>91.848214</v>
      </c>
      <c r="P42" s="81">
        <v>184</v>
      </c>
      <c r="Q42" s="47"/>
      <c r="R42" s="81"/>
      <c r="S42" s="81"/>
      <c r="T42" s="7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7" t="s">
        <v>1464</v>
      </c>
      <c r="F43" s="47" t="s">
        <v>1465</v>
      </c>
      <c r="G43" s="130" t="s">
        <v>781</v>
      </c>
      <c r="H43" s="131"/>
      <c r="I43" s="59"/>
      <c r="J43" s="131"/>
      <c r="K43" s="81" t="s">
        <v>1574</v>
      </c>
      <c r="L43" s="47" t="s">
        <v>1575</v>
      </c>
      <c r="M43" s="47" t="s">
        <v>1576</v>
      </c>
      <c r="N43" s="134">
        <v>23.191673</v>
      </c>
      <c r="O43" s="134">
        <v>91.851591</v>
      </c>
      <c r="P43" s="81">
        <v>101</v>
      </c>
      <c r="Q43" s="47"/>
      <c r="R43" s="81"/>
      <c r="S43" s="81"/>
      <c r="T43" s="7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7" t="s">
        <v>1464</v>
      </c>
      <c r="F44" s="47" t="s">
        <v>1465</v>
      </c>
      <c r="G44" s="130" t="s">
        <v>781</v>
      </c>
      <c r="H44" s="131"/>
      <c r="I44" s="59"/>
      <c r="J44" s="76"/>
      <c r="K44" s="81" t="s">
        <v>1577</v>
      </c>
      <c r="L44" s="47" t="s">
        <v>1578</v>
      </c>
      <c r="M44" s="47" t="s">
        <v>1579</v>
      </c>
      <c r="N44" s="134">
        <v>23.188912</v>
      </c>
      <c r="O44" s="134">
        <v>91.85324</v>
      </c>
      <c r="P44" s="81">
        <v>98</v>
      </c>
      <c r="Q44" s="47"/>
      <c r="R44" s="81"/>
      <c r="S44" s="81"/>
      <c r="T44" s="7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7" t="s">
        <v>1464</v>
      </c>
      <c r="F45" s="47" t="s">
        <v>1465</v>
      </c>
      <c r="G45" s="130" t="s">
        <v>797</v>
      </c>
      <c r="H45" s="131"/>
      <c r="I45" s="59"/>
      <c r="J45" s="76"/>
      <c r="K45" s="81" t="s">
        <v>1580</v>
      </c>
      <c r="L45" s="47" t="s">
        <v>1581</v>
      </c>
      <c r="M45" s="47" t="s">
        <v>1582</v>
      </c>
      <c r="N45" s="134">
        <v>23.172469</v>
      </c>
      <c r="O45" s="134">
        <v>91.875968</v>
      </c>
      <c r="P45" s="81">
        <v>660</v>
      </c>
      <c r="Q45" s="47"/>
      <c r="R45" s="81"/>
      <c r="S45" s="81"/>
      <c r="T45" s="7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7" t="s">
        <v>1464</v>
      </c>
      <c r="F46" s="47" t="s">
        <v>1465</v>
      </c>
      <c r="G46" s="130" t="s">
        <v>797</v>
      </c>
      <c r="H46" s="131"/>
      <c r="I46" s="59"/>
      <c r="J46" s="76"/>
      <c r="K46" s="81" t="s">
        <v>1583</v>
      </c>
      <c r="L46" s="47" t="s">
        <v>1584</v>
      </c>
      <c r="M46" s="47" t="s">
        <v>1585</v>
      </c>
      <c r="N46" s="134">
        <v>23.168761</v>
      </c>
      <c r="O46" s="134">
        <v>91.887543</v>
      </c>
      <c r="P46" s="81">
        <v>225</v>
      </c>
      <c r="Q46" s="47"/>
      <c r="R46" s="81"/>
      <c r="S46" s="81"/>
      <c r="T46" s="7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7" t="s">
        <v>1464</v>
      </c>
      <c r="F47" s="47" t="s">
        <v>1465</v>
      </c>
      <c r="G47" s="130" t="s">
        <v>797</v>
      </c>
      <c r="H47" s="131"/>
      <c r="I47" s="59"/>
      <c r="J47" s="76"/>
      <c r="K47" s="81" t="s">
        <v>1586</v>
      </c>
      <c r="L47" s="47" t="s">
        <v>1587</v>
      </c>
      <c r="M47" s="47" t="s">
        <v>1588</v>
      </c>
      <c r="N47" s="134">
        <v>23.166787</v>
      </c>
      <c r="O47" s="134">
        <v>91.905857</v>
      </c>
      <c r="P47" s="81">
        <v>388</v>
      </c>
      <c r="Q47" s="47"/>
      <c r="R47" s="81"/>
      <c r="S47" s="81"/>
      <c r="T47" s="7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7" t="s">
        <v>1464</v>
      </c>
      <c r="F48" s="47" t="s">
        <v>1465</v>
      </c>
      <c r="G48" s="130" t="s">
        <v>797</v>
      </c>
      <c r="H48" s="131"/>
      <c r="I48" s="59"/>
      <c r="J48" s="76"/>
      <c r="K48" s="81" t="s">
        <v>1589</v>
      </c>
      <c r="L48" s="47" t="s">
        <v>1590</v>
      </c>
      <c r="M48" s="47" t="s">
        <v>1591</v>
      </c>
      <c r="N48" s="134">
        <v>23.184522</v>
      </c>
      <c r="O48" s="134">
        <v>91.861383</v>
      </c>
      <c r="P48" s="81">
        <v>248</v>
      </c>
      <c r="Q48" s="47"/>
      <c r="R48" s="81"/>
      <c r="S48" s="81"/>
      <c r="T48" s="7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7" t="s">
        <v>1464</v>
      </c>
      <c r="F49" s="47" t="s">
        <v>1465</v>
      </c>
      <c r="G49" s="130" t="s">
        <v>797</v>
      </c>
      <c r="H49" s="131"/>
      <c r="I49" s="59"/>
      <c r="J49" s="76"/>
      <c r="K49" s="81" t="s">
        <v>1592</v>
      </c>
      <c r="L49" s="47" t="s">
        <v>1593</v>
      </c>
      <c r="M49" s="47" t="s">
        <v>1594</v>
      </c>
      <c r="N49" s="134">
        <v>23.158663</v>
      </c>
      <c r="O49" s="134">
        <v>91.878962</v>
      </c>
      <c r="P49" s="81">
        <v>88</v>
      </c>
      <c r="Q49" s="47"/>
      <c r="R49" s="81"/>
      <c r="S49" s="81"/>
      <c r="T49" s="135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7" t="s">
        <v>1464</v>
      </c>
      <c r="F50" s="47" t="s">
        <v>1465</v>
      </c>
      <c r="G50" s="130" t="s">
        <v>797</v>
      </c>
      <c r="H50" s="131"/>
      <c r="I50" s="59"/>
      <c r="J50" s="76"/>
      <c r="K50" s="81" t="s">
        <v>1595</v>
      </c>
      <c r="L50" s="47" t="s">
        <v>1596</v>
      </c>
      <c r="M50" s="47" t="s">
        <v>1597</v>
      </c>
      <c r="N50" s="134">
        <v>23.179497</v>
      </c>
      <c r="O50" s="134">
        <v>91.867762</v>
      </c>
      <c r="P50" s="81">
        <v>275</v>
      </c>
      <c r="Q50" s="47"/>
      <c r="R50" s="81"/>
      <c r="S50" s="81"/>
      <c r="T50" s="135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7" t="s">
        <v>1464</v>
      </c>
      <c r="F51" s="47" t="s">
        <v>1598</v>
      </c>
      <c r="G51" s="130" t="s">
        <v>677</v>
      </c>
      <c r="H51" s="131"/>
      <c r="I51" s="59"/>
      <c r="J51" s="76"/>
      <c r="K51" s="81" t="s">
        <v>1599</v>
      </c>
      <c r="L51" s="47" t="s">
        <v>1600</v>
      </c>
      <c r="M51" s="47" t="s">
        <v>1601</v>
      </c>
      <c r="N51" s="134">
        <v>23.231442</v>
      </c>
      <c r="O51" s="134">
        <v>91.825608</v>
      </c>
      <c r="P51" s="81">
        <v>220</v>
      </c>
      <c r="Q51" s="47"/>
      <c r="R51" s="81"/>
      <c r="S51" s="81"/>
      <c r="T51" s="135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7" t="s">
        <v>1464</v>
      </c>
      <c r="F52" s="47" t="s">
        <v>1598</v>
      </c>
      <c r="G52" s="130" t="s">
        <v>677</v>
      </c>
      <c r="H52" s="131"/>
      <c r="I52" s="59"/>
      <c r="J52" s="76"/>
      <c r="K52" s="81" t="s">
        <v>601</v>
      </c>
      <c r="L52" s="47" t="s">
        <v>1602</v>
      </c>
      <c r="M52" s="47" t="s">
        <v>1603</v>
      </c>
      <c r="N52" s="134">
        <v>23.2248</v>
      </c>
      <c r="O52" s="134">
        <v>91.822341</v>
      </c>
      <c r="P52" s="81">
        <v>276</v>
      </c>
      <c r="Q52" s="47"/>
      <c r="R52" s="81"/>
      <c r="S52" s="81"/>
      <c r="T52" s="135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7" t="s">
        <v>1464</v>
      </c>
      <c r="F53" s="47" t="s">
        <v>1598</v>
      </c>
      <c r="G53" s="130" t="s">
        <v>677</v>
      </c>
      <c r="H53" s="131"/>
      <c r="I53" s="59"/>
      <c r="J53" s="76"/>
      <c r="K53" s="81" t="s">
        <v>1604</v>
      </c>
      <c r="L53" s="47" t="s">
        <v>1605</v>
      </c>
      <c r="M53" s="47" t="s">
        <v>1606</v>
      </c>
      <c r="N53" s="134">
        <v>23.232798</v>
      </c>
      <c r="O53" s="134">
        <v>91.818277</v>
      </c>
      <c r="P53" s="81">
        <v>465</v>
      </c>
      <c r="Q53" s="47"/>
      <c r="R53" s="81"/>
      <c r="S53" s="81"/>
      <c r="T53" s="135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7" t="s">
        <v>1464</v>
      </c>
      <c r="F54" s="47" t="s">
        <v>1598</v>
      </c>
      <c r="G54" s="130" t="s">
        <v>677</v>
      </c>
      <c r="H54" s="138"/>
      <c r="I54" s="132"/>
      <c r="J54" s="76"/>
      <c r="K54" s="81" t="s">
        <v>1607</v>
      </c>
      <c r="L54" s="47" t="s">
        <v>1608</v>
      </c>
      <c r="M54" s="47" t="s">
        <v>1609</v>
      </c>
      <c r="N54" s="134">
        <v>23.227826</v>
      </c>
      <c r="O54" s="134">
        <v>91.814353</v>
      </c>
      <c r="P54" s="81">
        <v>36</v>
      </c>
      <c r="Q54" s="47"/>
      <c r="R54" s="81"/>
      <c r="S54" s="81"/>
      <c r="T54" s="7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7" t="s">
        <v>1464</v>
      </c>
      <c r="F55" s="47" t="s">
        <v>1598</v>
      </c>
      <c r="G55" s="130" t="s">
        <v>677</v>
      </c>
      <c r="H55" s="131"/>
      <c r="I55" s="132"/>
      <c r="J55" s="76"/>
      <c r="K55" s="81" t="s">
        <v>1610</v>
      </c>
      <c r="L55" s="47" t="s">
        <v>1611</v>
      </c>
      <c r="M55" s="47" t="s">
        <v>1612</v>
      </c>
      <c r="N55" s="134">
        <v>23.244441</v>
      </c>
      <c r="O55" s="134">
        <v>91.828015</v>
      </c>
      <c r="P55" s="81">
        <v>60</v>
      </c>
      <c r="Q55" s="47"/>
      <c r="R55" s="81"/>
      <c r="S55" s="81"/>
      <c r="T55" s="7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7" t="s">
        <v>1464</v>
      </c>
      <c r="F56" s="47" t="s">
        <v>1598</v>
      </c>
      <c r="G56" s="130" t="s">
        <v>684</v>
      </c>
      <c r="H56" s="131"/>
      <c r="I56" s="132"/>
      <c r="J56" s="76"/>
      <c r="K56" s="81" t="s">
        <v>1613</v>
      </c>
      <c r="L56" s="47" t="s">
        <v>1614</v>
      </c>
      <c r="M56" s="47" t="s">
        <v>1615</v>
      </c>
      <c r="N56" s="134">
        <v>23.220933</v>
      </c>
      <c r="O56" s="134">
        <v>91.822165</v>
      </c>
      <c r="P56" s="81">
        <v>85</v>
      </c>
      <c r="Q56" s="47"/>
      <c r="R56" s="81"/>
      <c r="S56" s="81"/>
      <c r="T56" s="7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7" t="s">
        <v>1464</v>
      </c>
      <c r="F57" s="47" t="s">
        <v>1598</v>
      </c>
      <c r="G57" s="130" t="s">
        <v>684</v>
      </c>
      <c r="H57" s="131"/>
      <c r="I57" s="132"/>
      <c r="J57" s="76"/>
      <c r="K57" s="81" t="s">
        <v>1616</v>
      </c>
      <c r="L57" s="47" t="s">
        <v>1617</v>
      </c>
      <c r="M57" s="47" t="s">
        <v>1618</v>
      </c>
      <c r="N57" s="134">
        <v>23.218587</v>
      </c>
      <c r="O57" s="134">
        <v>91.824441</v>
      </c>
      <c r="P57" s="81">
        <v>75</v>
      </c>
      <c r="Q57" s="47"/>
      <c r="R57" s="81"/>
      <c r="S57" s="81"/>
      <c r="T57" s="7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7" t="s">
        <v>1464</v>
      </c>
      <c r="F58" s="47" t="s">
        <v>1598</v>
      </c>
      <c r="G58" s="130" t="s">
        <v>684</v>
      </c>
      <c r="H58" s="131"/>
      <c r="I58" s="132"/>
      <c r="J58" s="76"/>
      <c r="K58" s="81" t="s">
        <v>1619</v>
      </c>
      <c r="L58" s="47" t="s">
        <v>1620</v>
      </c>
      <c r="M58" s="47" t="s">
        <v>1621</v>
      </c>
      <c r="N58" s="134">
        <v>23.216871</v>
      </c>
      <c r="O58" s="134">
        <v>91.829088</v>
      </c>
      <c r="P58" s="81">
        <v>95</v>
      </c>
      <c r="Q58" s="47"/>
      <c r="R58" s="81"/>
      <c r="S58" s="81"/>
      <c r="T58" s="7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7" t="s">
        <v>1464</v>
      </c>
      <c r="F59" s="47" t="s">
        <v>1598</v>
      </c>
      <c r="G59" s="130" t="s">
        <v>684</v>
      </c>
      <c r="H59" s="131"/>
      <c r="I59" s="132"/>
      <c r="J59" s="76"/>
      <c r="K59" s="81" t="s">
        <v>1622</v>
      </c>
      <c r="L59" s="47" t="s">
        <v>1623</v>
      </c>
      <c r="M59" s="47" t="s">
        <v>1624</v>
      </c>
      <c r="N59" s="134">
        <v>23.222092</v>
      </c>
      <c r="O59" s="134">
        <v>91.829214</v>
      </c>
      <c r="P59" s="81">
        <v>160</v>
      </c>
      <c r="Q59" s="47"/>
      <c r="R59" s="81"/>
      <c r="S59" s="81"/>
      <c r="T59" s="7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7" t="s">
        <v>1464</v>
      </c>
      <c r="F60" s="47" t="s">
        <v>1598</v>
      </c>
      <c r="G60" s="130" t="s">
        <v>684</v>
      </c>
      <c r="H60" s="131"/>
      <c r="I60" s="132"/>
      <c r="J60" s="76"/>
      <c r="K60" s="81" t="s">
        <v>1625</v>
      </c>
      <c r="L60" s="47" t="s">
        <v>1626</v>
      </c>
      <c r="M60" s="47" t="s">
        <v>1627</v>
      </c>
      <c r="N60" s="134">
        <v>23.219118</v>
      </c>
      <c r="O60" s="134">
        <v>91.832444</v>
      </c>
      <c r="P60" s="81">
        <v>270</v>
      </c>
      <c r="Q60" s="47"/>
      <c r="R60" s="81"/>
      <c r="S60" s="81"/>
      <c r="T60" s="7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7" t="s">
        <v>1464</v>
      </c>
      <c r="F61" s="47" t="s">
        <v>1598</v>
      </c>
      <c r="G61" s="130" t="s">
        <v>684</v>
      </c>
      <c r="H61" s="131"/>
      <c r="I61" s="132"/>
      <c r="J61" s="76"/>
      <c r="K61" s="81" t="s">
        <v>1628</v>
      </c>
      <c r="L61" s="47" t="s">
        <v>1629</v>
      </c>
      <c r="M61" s="47" t="s">
        <v>1630</v>
      </c>
      <c r="N61" s="134">
        <v>23.242787</v>
      </c>
      <c r="O61" s="134">
        <v>91.848587</v>
      </c>
      <c r="P61" s="81">
        <v>13</v>
      </c>
      <c r="Q61" s="47"/>
      <c r="R61" s="81"/>
      <c r="S61" s="81"/>
      <c r="T61" s="7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7" t="s">
        <v>1464</v>
      </c>
      <c r="F62" s="47" t="s">
        <v>1598</v>
      </c>
      <c r="G62" s="130" t="s">
        <v>684</v>
      </c>
      <c r="H62" s="131"/>
      <c r="I62" s="132"/>
      <c r="J62" s="76"/>
      <c r="K62" s="81" t="s">
        <v>1631</v>
      </c>
      <c r="L62" s="47" t="s">
        <v>1632</v>
      </c>
      <c r="M62" s="47" t="s">
        <v>1633</v>
      </c>
      <c r="N62" s="134">
        <v>23.239815</v>
      </c>
      <c r="O62" s="134">
        <v>91.859399</v>
      </c>
      <c r="P62" s="81">
        <v>180</v>
      </c>
      <c r="Q62" s="47"/>
      <c r="R62" s="81"/>
      <c r="S62" s="81"/>
      <c r="T62" s="135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7" t="s">
        <v>1464</v>
      </c>
      <c r="F63" s="47" t="s">
        <v>1598</v>
      </c>
      <c r="G63" s="130" t="s">
        <v>697</v>
      </c>
      <c r="H63" s="131"/>
      <c r="I63" s="132"/>
      <c r="J63" s="76"/>
      <c r="K63" s="81" t="s">
        <v>364</v>
      </c>
      <c r="L63" s="47" t="s">
        <v>1084</v>
      </c>
      <c r="M63" s="47" t="s">
        <v>1634</v>
      </c>
      <c r="N63" s="134">
        <v>23.214422</v>
      </c>
      <c r="O63" s="134">
        <v>91.814614</v>
      </c>
      <c r="P63" s="81">
        <v>344</v>
      </c>
      <c r="Q63" s="47"/>
      <c r="R63" s="81"/>
      <c r="S63" s="81"/>
      <c r="T63" s="7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7" t="s">
        <v>1464</v>
      </c>
      <c r="F64" s="47" t="s">
        <v>1598</v>
      </c>
      <c r="G64" s="130" t="s">
        <v>697</v>
      </c>
      <c r="H64" s="131"/>
      <c r="I64" s="132"/>
      <c r="J64" s="76"/>
      <c r="K64" s="81" t="s">
        <v>1635</v>
      </c>
      <c r="L64" s="47" t="s">
        <v>1636</v>
      </c>
      <c r="M64" s="47" t="s">
        <v>1637</v>
      </c>
      <c r="N64" s="134">
        <v>23.216894</v>
      </c>
      <c r="O64" s="134">
        <v>91.818489</v>
      </c>
      <c r="P64" s="81">
        <v>75</v>
      </c>
      <c r="Q64" s="47"/>
      <c r="R64" s="81"/>
      <c r="S64" s="81"/>
      <c r="T64" s="7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7" t="s">
        <v>1464</v>
      </c>
      <c r="F65" s="47" t="s">
        <v>1598</v>
      </c>
      <c r="G65" s="130" t="s">
        <v>697</v>
      </c>
      <c r="H65" s="131"/>
      <c r="I65" s="132"/>
      <c r="J65" s="76"/>
      <c r="K65" s="81" t="s">
        <v>1638</v>
      </c>
      <c r="L65" s="47" t="s">
        <v>1639</v>
      </c>
      <c r="M65" s="47" t="s">
        <v>1640</v>
      </c>
      <c r="N65" s="134">
        <v>23.218961</v>
      </c>
      <c r="O65" s="134">
        <v>91.811722</v>
      </c>
      <c r="P65" s="81">
        <v>280</v>
      </c>
      <c r="Q65" s="47"/>
      <c r="R65" s="81"/>
      <c r="S65" s="81"/>
      <c r="T65" s="7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7" t="s">
        <v>1464</v>
      </c>
      <c r="F66" s="47" t="s">
        <v>1598</v>
      </c>
      <c r="G66" s="130" t="s">
        <v>697</v>
      </c>
      <c r="H66" s="131"/>
      <c r="I66" s="132"/>
      <c r="J66" s="76"/>
      <c r="K66" s="81" t="s">
        <v>1641</v>
      </c>
      <c r="L66" s="47" t="s">
        <v>1642</v>
      </c>
      <c r="M66" s="47" t="s">
        <v>1643</v>
      </c>
      <c r="N66" s="134">
        <v>23.217814</v>
      </c>
      <c r="O66" s="134">
        <v>91.808114</v>
      </c>
      <c r="P66" s="81">
        <v>360</v>
      </c>
      <c r="Q66" s="47"/>
      <c r="R66" s="81"/>
      <c r="S66" s="81"/>
      <c r="T66" s="7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7" t="s">
        <v>1464</v>
      </c>
      <c r="F67" s="47" t="s">
        <v>1598</v>
      </c>
      <c r="G67" s="130" t="s">
        <v>697</v>
      </c>
      <c r="H67" s="131"/>
      <c r="I67" s="132"/>
      <c r="J67" s="76"/>
      <c r="K67" s="81" t="s">
        <v>1644</v>
      </c>
      <c r="L67" s="47" t="s">
        <v>1645</v>
      </c>
      <c r="M67" s="47" t="s">
        <v>1646</v>
      </c>
      <c r="N67" s="134">
        <v>23.221129</v>
      </c>
      <c r="O67" s="134">
        <v>91.808032</v>
      </c>
      <c r="P67" s="81">
        <v>160</v>
      </c>
      <c r="Q67" s="47"/>
      <c r="R67" s="81"/>
      <c r="S67" s="81"/>
      <c r="T67" s="7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7" t="s">
        <v>1464</v>
      </c>
      <c r="F68" s="47" t="s">
        <v>1598</v>
      </c>
      <c r="G68" s="130" t="s">
        <v>697</v>
      </c>
      <c r="H68" s="131"/>
      <c r="I68" s="132"/>
      <c r="J68" s="76"/>
      <c r="K68" s="81" t="s">
        <v>1647</v>
      </c>
      <c r="L68" s="47" t="s">
        <v>1648</v>
      </c>
      <c r="M68" s="47" t="s">
        <v>1649</v>
      </c>
      <c r="N68" s="134">
        <v>23.221694</v>
      </c>
      <c r="O68" s="134">
        <v>91.811157</v>
      </c>
      <c r="P68" s="81">
        <v>280</v>
      </c>
      <c r="Q68" s="47"/>
      <c r="R68" s="81"/>
      <c r="S68" s="81"/>
      <c r="T68" s="7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7" t="s">
        <v>1464</v>
      </c>
      <c r="F69" s="47" t="s">
        <v>1598</v>
      </c>
      <c r="G69" s="130" t="s">
        <v>697</v>
      </c>
      <c r="H69" s="131"/>
      <c r="I69" s="132"/>
      <c r="J69" s="76"/>
      <c r="K69" s="81" t="s">
        <v>1650</v>
      </c>
      <c r="L69" s="47" t="s">
        <v>1651</v>
      </c>
      <c r="M69" s="47" t="s">
        <v>1652</v>
      </c>
      <c r="N69" s="134">
        <v>23.218636</v>
      </c>
      <c r="O69" s="134">
        <v>91.817818</v>
      </c>
      <c r="P69" s="81">
        <v>160</v>
      </c>
      <c r="Q69" s="47"/>
      <c r="R69" s="81"/>
      <c r="S69" s="81"/>
      <c r="T69" s="7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7" t="s">
        <v>1464</v>
      </c>
      <c r="F70" s="47" t="s">
        <v>1598</v>
      </c>
      <c r="G70" s="130" t="s">
        <v>697</v>
      </c>
      <c r="H70" s="131"/>
      <c r="I70" s="132"/>
      <c r="J70" s="76"/>
      <c r="K70" s="81" t="s">
        <v>1653</v>
      </c>
      <c r="L70" s="47" t="s">
        <v>1654</v>
      </c>
      <c r="M70" s="47" t="s">
        <v>1655</v>
      </c>
      <c r="N70" s="134">
        <v>23.221601</v>
      </c>
      <c r="O70" s="134">
        <v>91.804572</v>
      </c>
      <c r="P70" s="81">
        <v>370</v>
      </c>
      <c r="Q70" s="47"/>
      <c r="R70" s="81"/>
      <c r="S70" s="81"/>
      <c r="T70" s="7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7" t="s">
        <v>1464</v>
      </c>
      <c r="F71" s="47" t="s">
        <v>1598</v>
      </c>
      <c r="G71" s="130" t="s">
        <v>697</v>
      </c>
      <c r="H71" s="131"/>
      <c r="I71" s="132"/>
      <c r="J71" s="76"/>
      <c r="K71" s="81" t="s">
        <v>1656</v>
      </c>
      <c r="L71" s="47" t="s">
        <v>1657</v>
      </c>
      <c r="M71" s="47" t="s">
        <v>1658</v>
      </c>
      <c r="N71" s="134">
        <v>23.214712</v>
      </c>
      <c r="O71" s="134">
        <v>91.820982</v>
      </c>
      <c r="P71" s="81">
        <v>45</v>
      </c>
      <c r="Q71" s="47"/>
      <c r="R71" s="81"/>
      <c r="S71" s="81"/>
      <c r="T71" s="7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7" t="s">
        <v>1464</v>
      </c>
      <c r="F72" s="47" t="s">
        <v>1598</v>
      </c>
      <c r="G72" s="130" t="s">
        <v>707</v>
      </c>
      <c r="H72" s="131"/>
      <c r="I72" s="132"/>
      <c r="J72" s="76"/>
      <c r="K72" s="81" t="s">
        <v>1659</v>
      </c>
      <c r="L72" s="47" t="s">
        <v>1660</v>
      </c>
      <c r="M72" s="47" t="s">
        <v>1661</v>
      </c>
      <c r="N72" s="134">
        <v>23.207704</v>
      </c>
      <c r="O72" s="134">
        <v>91.81711</v>
      </c>
      <c r="P72" s="81">
        <v>384</v>
      </c>
      <c r="Q72" s="47"/>
      <c r="R72" s="81"/>
      <c r="S72" s="81"/>
      <c r="T72" s="135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7" t="s">
        <v>1464</v>
      </c>
      <c r="F73" s="47" t="s">
        <v>1598</v>
      </c>
      <c r="G73" s="130" t="s">
        <v>707</v>
      </c>
      <c r="H73" s="131"/>
      <c r="I73" s="132"/>
      <c r="J73" s="76"/>
      <c r="K73" s="81" t="s">
        <v>1662</v>
      </c>
      <c r="L73" s="47" t="s">
        <v>1663</v>
      </c>
      <c r="M73" s="47" t="s">
        <v>1664</v>
      </c>
      <c r="N73" s="134">
        <v>23.203065</v>
      </c>
      <c r="O73" s="134">
        <v>91.817112</v>
      </c>
      <c r="P73" s="81">
        <v>420</v>
      </c>
      <c r="Q73" s="47"/>
      <c r="R73" s="81"/>
      <c r="S73" s="81"/>
      <c r="T73" s="7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7" t="s">
        <v>1464</v>
      </c>
      <c r="F74" s="47" t="s">
        <v>1598</v>
      </c>
      <c r="G74" s="130" t="s">
        <v>707</v>
      </c>
      <c r="H74" s="131"/>
      <c r="I74" s="132"/>
      <c r="J74" s="76"/>
      <c r="K74" s="81" t="s">
        <v>1665</v>
      </c>
      <c r="L74" s="47" t="s">
        <v>1666</v>
      </c>
      <c r="M74" s="47" t="s">
        <v>1667</v>
      </c>
      <c r="N74" s="134">
        <v>23.197524</v>
      </c>
      <c r="O74" s="134">
        <v>91.816744</v>
      </c>
      <c r="P74" s="81">
        <v>68</v>
      </c>
      <c r="Q74" s="47"/>
      <c r="R74" s="81"/>
      <c r="S74" s="81"/>
      <c r="T74" s="7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7" t="s">
        <v>1464</v>
      </c>
      <c r="F75" s="47" t="s">
        <v>1598</v>
      </c>
      <c r="G75" s="130" t="s">
        <v>707</v>
      </c>
      <c r="H75" s="139"/>
      <c r="I75" s="59"/>
      <c r="J75" s="76"/>
      <c r="K75" s="81" t="s">
        <v>1668</v>
      </c>
      <c r="L75" s="47" t="s">
        <v>1669</v>
      </c>
      <c r="M75" s="47" t="s">
        <v>1670</v>
      </c>
      <c r="N75" s="134">
        <v>23.198799</v>
      </c>
      <c r="O75" s="134">
        <v>91.813927</v>
      </c>
      <c r="P75" s="81">
        <v>380</v>
      </c>
      <c r="Q75" s="47"/>
      <c r="R75" s="81"/>
      <c r="S75" s="81"/>
      <c r="T75" s="7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7" t="s">
        <v>1464</v>
      </c>
      <c r="F76" s="47" t="s">
        <v>1598</v>
      </c>
      <c r="G76" s="130" t="s">
        <v>707</v>
      </c>
      <c r="H76" s="131"/>
      <c r="I76" s="132"/>
      <c r="J76" s="76"/>
      <c r="K76" s="81" t="s">
        <v>1671</v>
      </c>
      <c r="L76" s="47" t="s">
        <v>1672</v>
      </c>
      <c r="M76" s="47" t="s">
        <v>1673</v>
      </c>
      <c r="N76" s="134">
        <v>23.189802</v>
      </c>
      <c r="O76" s="134">
        <v>91.816062</v>
      </c>
      <c r="P76" s="81">
        <v>132</v>
      </c>
      <c r="Q76" s="47"/>
      <c r="R76" s="81"/>
      <c r="S76" s="81"/>
      <c r="T76" s="7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7" t="s">
        <v>1464</v>
      </c>
      <c r="F77" s="47" t="s">
        <v>1598</v>
      </c>
      <c r="G77" s="130" t="s">
        <v>707</v>
      </c>
      <c r="H77" s="131"/>
      <c r="I77" s="59"/>
      <c r="J77" s="76"/>
      <c r="K77" s="81" t="s">
        <v>1674</v>
      </c>
      <c r="L77" s="47" t="s">
        <v>1675</v>
      </c>
      <c r="M77" s="47" t="s">
        <v>1676</v>
      </c>
      <c r="N77" s="134">
        <v>23.185025</v>
      </c>
      <c r="O77" s="134">
        <v>91.817114</v>
      </c>
      <c r="P77" s="81">
        <v>388</v>
      </c>
      <c r="Q77" s="47"/>
      <c r="R77" s="81"/>
      <c r="S77" s="81"/>
      <c r="T77" s="135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7" t="s">
        <v>1464</v>
      </c>
      <c r="F78" s="47" t="s">
        <v>1598</v>
      </c>
      <c r="G78" s="130" t="s">
        <v>707</v>
      </c>
      <c r="H78" s="131"/>
      <c r="I78" s="59"/>
      <c r="J78" s="76"/>
      <c r="K78" s="81" t="s">
        <v>1677</v>
      </c>
      <c r="L78" s="47" t="s">
        <v>1678</v>
      </c>
      <c r="M78" s="47" t="s">
        <v>1679</v>
      </c>
      <c r="N78" s="134">
        <v>23.191267</v>
      </c>
      <c r="O78" s="134">
        <v>91.820674</v>
      </c>
      <c r="P78" s="81">
        <v>260</v>
      </c>
      <c r="Q78" s="81"/>
      <c r="R78" s="81"/>
      <c r="S78" s="81"/>
      <c r="T78" s="135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7" t="s">
        <v>1464</v>
      </c>
      <c r="F79" s="47" t="s">
        <v>1598</v>
      </c>
      <c r="G79" s="130" t="s">
        <v>707</v>
      </c>
      <c r="H79" s="131"/>
      <c r="I79" s="59"/>
      <c r="J79" s="76"/>
      <c r="K79" s="81" t="s">
        <v>1680</v>
      </c>
      <c r="L79" s="47" t="s">
        <v>1681</v>
      </c>
      <c r="M79" s="47" t="s">
        <v>1682</v>
      </c>
      <c r="N79" s="134">
        <v>23.190749</v>
      </c>
      <c r="O79" s="134">
        <v>91.828521</v>
      </c>
      <c r="P79" s="81">
        <v>1464</v>
      </c>
      <c r="Q79" s="47"/>
      <c r="R79" s="81"/>
      <c r="S79" s="81"/>
      <c r="T79" s="135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7" t="s">
        <v>1464</v>
      </c>
      <c r="F80" s="47" t="s">
        <v>1598</v>
      </c>
      <c r="G80" s="130" t="s">
        <v>726</v>
      </c>
      <c r="H80" s="131"/>
      <c r="I80" s="59"/>
      <c r="J80" s="76"/>
      <c r="K80" s="81" t="s">
        <v>1683</v>
      </c>
      <c r="L80" s="47" t="s">
        <v>1684</v>
      </c>
      <c r="M80" s="47" t="s">
        <v>1685</v>
      </c>
      <c r="N80" s="134">
        <v>23.178605</v>
      </c>
      <c r="O80" s="134">
        <v>91.826629</v>
      </c>
      <c r="P80" s="81">
        <v>720</v>
      </c>
      <c r="Q80" s="47"/>
      <c r="R80" s="81"/>
      <c r="S80" s="81"/>
      <c r="T80" s="135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7" t="s">
        <v>1464</v>
      </c>
      <c r="F81" s="47" t="s">
        <v>1598</v>
      </c>
      <c r="G81" s="130" t="s">
        <v>726</v>
      </c>
      <c r="H81" s="131"/>
      <c r="I81" s="59"/>
      <c r="J81" s="76"/>
      <c r="K81" s="81" t="s">
        <v>1686</v>
      </c>
      <c r="L81" s="47" t="s">
        <v>1687</v>
      </c>
      <c r="M81" s="47" t="s">
        <v>1688</v>
      </c>
      <c r="N81" s="134">
        <v>23.179363</v>
      </c>
      <c r="O81" s="134">
        <v>91.817694</v>
      </c>
      <c r="P81" s="81">
        <v>280</v>
      </c>
      <c r="Q81" s="47"/>
      <c r="R81" s="81"/>
      <c r="S81" s="81"/>
      <c r="T81" s="135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7" t="s">
        <v>1464</v>
      </c>
      <c r="F82" s="47" t="s">
        <v>1598</v>
      </c>
      <c r="G82" s="130" t="s">
        <v>742</v>
      </c>
      <c r="H82" s="131"/>
      <c r="I82" s="59"/>
      <c r="J82" s="76"/>
      <c r="K82" s="81" t="s">
        <v>1689</v>
      </c>
      <c r="L82" s="47" t="s">
        <v>1690</v>
      </c>
      <c r="M82" s="47" t="s">
        <v>1691</v>
      </c>
      <c r="N82" s="134">
        <v>23.183573</v>
      </c>
      <c r="O82" s="134">
        <v>91.829617</v>
      </c>
      <c r="P82" s="81">
        <v>470</v>
      </c>
      <c r="Q82" s="47"/>
      <c r="R82" s="81"/>
      <c r="S82" s="81"/>
      <c r="T82" s="135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7" t="s">
        <v>1464</v>
      </c>
      <c r="F83" s="47" t="s">
        <v>1598</v>
      </c>
      <c r="G83" s="130" t="s">
        <v>742</v>
      </c>
      <c r="H83" s="131"/>
      <c r="I83" s="59"/>
      <c r="J83" s="76"/>
      <c r="K83" s="81" t="s">
        <v>346</v>
      </c>
      <c r="L83" s="47" t="s">
        <v>1692</v>
      </c>
      <c r="M83" s="47" t="s">
        <v>1693</v>
      </c>
      <c r="N83" s="134">
        <v>23.177988</v>
      </c>
      <c r="O83" s="134">
        <v>91.838492</v>
      </c>
      <c r="P83" s="81">
        <v>560</v>
      </c>
      <c r="Q83" s="47"/>
      <c r="R83" s="81"/>
      <c r="S83" s="81"/>
      <c r="T83" s="135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7" t="s">
        <v>1464</v>
      </c>
      <c r="F84" s="47" t="s">
        <v>1598</v>
      </c>
      <c r="G84" s="130" t="s">
        <v>742</v>
      </c>
      <c r="H84" s="131"/>
      <c r="I84" s="59"/>
      <c r="J84" s="76"/>
      <c r="K84" s="81" t="s">
        <v>1694</v>
      </c>
      <c r="L84" s="47" t="s">
        <v>1695</v>
      </c>
      <c r="M84" s="47" t="s">
        <v>1696</v>
      </c>
      <c r="N84" s="134">
        <v>23.173389</v>
      </c>
      <c r="O84" s="134">
        <v>91.845876</v>
      </c>
      <c r="P84" s="81">
        <v>140</v>
      </c>
      <c r="Q84" s="47"/>
      <c r="R84" s="81"/>
      <c r="S84" s="81"/>
      <c r="T84" s="135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7" t="s">
        <v>1464</v>
      </c>
      <c r="F85" s="47" t="s">
        <v>1598</v>
      </c>
      <c r="G85" s="130" t="s">
        <v>742</v>
      </c>
      <c r="H85" s="131"/>
      <c r="I85" s="59"/>
      <c r="J85" s="76"/>
      <c r="K85" s="81" t="s">
        <v>1697</v>
      </c>
      <c r="L85" s="47" t="s">
        <v>1698</v>
      </c>
      <c r="M85" s="47" t="s">
        <v>1699</v>
      </c>
      <c r="N85" s="134">
        <v>23.188817</v>
      </c>
      <c r="O85" s="134">
        <v>91.843712</v>
      </c>
      <c r="P85" s="81">
        <v>36</v>
      </c>
      <c r="Q85" s="47"/>
      <c r="R85" s="81"/>
      <c r="S85" s="81"/>
      <c r="T85" s="135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7" t="s">
        <v>1464</v>
      </c>
      <c r="F86" s="47" t="s">
        <v>1598</v>
      </c>
      <c r="G86" s="130" t="s">
        <v>761</v>
      </c>
      <c r="H86" s="131"/>
      <c r="I86" s="59"/>
      <c r="J86" s="76"/>
      <c r="K86" s="81" t="s">
        <v>1700</v>
      </c>
      <c r="L86" s="47" t="s">
        <v>1701</v>
      </c>
      <c r="M86" s="47" t="s">
        <v>1702</v>
      </c>
      <c r="N86" s="134">
        <v>23.203317</v>
      </c>
      <c r="O86" s="134">
        <v>91.805803</v>
      </c>
      <c r="P86" s="81">
        <v>300</v>
      </c>
      <c r="Q86" s="47"/>
      <c r="R86" s="81"/>
      <c r="S86" s="81"/>
      <c r="T86" s="135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7" t="s">
        <v>1464</v>
      </c>
      <c r="F87" s="47" t="s">
        <v>1598</v>
      </c>
      <c r="G87" s="130" t="s">
        <v>761</v>
      </c>
      <c r="H87" s="131"/>
      <c r="I87" s="59"/>
      <c r="J87" s="76"/>
      <c r="K87" s="81" t="s">
        <v>1703</v>
      </c>
      <c r="L87" s="47" t="s">
        <v>1704</v>
      </c>
      <c r="M87" s="47" t="s">
        <v>1705</v>
      </c>
      <c r="N87" s="134">
        <v>23.199532</v>
      </c>
      <c r="O87" s="134">
        <v>91.803209</v>
      </c>
      <c r="P87" s="81">
        <v>320</v>
      </c>
      <c r="Q87" s="47"/>
      <c r="R87" s="137"/>
      <c r="S87" s="137"/>
      <c r="T87" s="135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7" t="s">
        <v>1464</v>
      </c>
      <c r="F88" s="47" t="s">
        <v>1598</v>
      </c>
      <c r="G88" s="130" t="s">
        <v>761</v>
      </c>
      <c r="H88" s="131"/>
      <c r="I88" s="132"/>
      <c r="J88" s="76"/>
      <c r="K88" s="81" t="s">
        <v>1706</v>
      </c>
      <c r="L88" s="47" t="s">
        <v>1707</v>
      </c>
      <c r="M88" s="47" t="s">
        <v>1708</v>
      </c>
      <c r="N88" s="134">
        <v>23.204288</v>
      </c>
      <c r="O88" s="134">
        <v>91.792797</v>
      </c>
      <c r="P88" s="81">
        <v>280</v>
      </c>
      <c r="Q88" s="47"/>
      <c r="R88" s="81"/>
      <c r="S88" s="81"/>
      <c r="T88" s="7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7" t="s">
        <v>1464</v>
      </c>
      <c r="F89" s="47" t="s">
        <v>1598</v>
      </c>
      <c r="G89" s="130" t="s">
        <v>761</v>
      </c>
      <c r="H89" s="131"/>
      <c r="I89" s="132"/>
      <c r="J89" s="76"/>
      <c r="K89" s="81" t="s">
        <v>1709</v>
      </c>
      <c r="L89" s="47" t="s">
        <v>1710</v>
      </c>
      <c r="M89" s="47" t="s">
        <v>1711</v>
      </c>
      <c r="N89" s="134">
        <v>23.200897</v>
      </c>
      <c r="O89" s="134">
        <v>91.799876</v>
      </c>
      <c r="P89" s="81">
        <v>25</v>
      </c>
      <c r="Q89" s="47"/>
      <c r="R89" s="81"/>
      <c r="S89" s="81"/>
      <c r="T89" s="135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7" t="s">
        <v>1464</v>
      </c>
      <c r="F90" s="47" t="s">
        <v>1598</v>
      </c>
      <c r="G90" s="130" t="s">
        <v>781</v>
      </c>
      <c r="H90" s="131"/>
      <c r="I90" s="132"/>
      <c r="J90" s="76"/>
      <c r="K90" s="81" t="s">
        <v>1712</v>
      </c>
      <c r="L90" s="47" t="s">
        <v>1713</v>
      </c>
      <c r="M90" s="47" t="s">
        <v>1714</v>
      </c>
      <c r="N90" s="134">
        <v>23.195937</v>
      </c>
      <c r="O90" s="134">
        <v>91.812123</v>
      </c>
      <c r="P90" s="81">
        <v>280</v>
      </c>
      <c r="Q90" s="47"/>
      <c r="R90" s="81"/>
      <c r="S90" s="81"/>
      <c r="T90" s="135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7" t="s">
        <v>1464</v>
      </c>
      <c r="F91" s="47" t="s">
        <v>1598</v>
      </c>
      <c r="G91" s="130" t="s">
        <v>781</v>
      </c>
      <c r="H91" s="131"/>
      <c r="I91" s="132"/>
      <c r="J91" s="76"/>
      <c r="K91" s="81" t="s">
        <v>1715</v>
      </c>
      <c r="L91" s="47" t="s">
        <v>1716</v>
      </c>
      <c r="M91" s="47" t="s">
        <v>1717</v>
      </c>
      <c r="N91" s="134">
        <v>23.200003</v>
      </c>
      <c r="O91" s="134">
        <v>91.811368</v>
      </c>
      <c r="P91" s="81">
        <v>384</v>
      </c>
      <c r="Q91" s="47"/>
      <c r="R91" s="81"/>
      <c r="S91" s="81"/>
      <c r="T91" s="135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7" t="s">
        <v>1464</v>
      </c>
      <c r="F92" s="47" t="s">
        <v>1598</v>
      </c>
      <c r="G92" s="130" t="s">
        <v>781</v>
      </c>
      <c r="H92" s="131"/>
      <c r="I92" s="132"/>
      <c r="J92" s="76"/>
      <c r="K92" s="81" t="s">
        <v>1718</v>
      </c>
      <c r="L92" s="47" t="s">
        <v>1719</v>
      </c>
      <c r="M92" s="47" t="s">
        <v>1720</v>
      </c>
      <c r="N92" s="134">
        <v>23.21446</v>
      </c>
      <c r="O92" s="134">
        <v>91.79512</v>
      </c>
      <c r="P92" s="81">
        <v>100</v>
      </c>
      <c r="Q92" s="47"/>
      <c r="R92" s="81"/>
      <c r="S92" s="81"/>
      <c r="T92" s="135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7" t="s">
        <v>1464</v>
      </c>
      <c r="F93" s="47" t="s">
        <v>1598</v>
      </c>
      <c r="G93" s="130" t="s">
        <v>797</v>
      </c>
      <c r="H93" s="131"/>
      <c r="I93" s="132"/>
      <c r="J93" s="76"/>
      <c r="K93" s="81" t="s">
        <v>1721</v>
      </c>
      <c r="L93" s="47" t="s">
        <v>1722</v>
      </c>
      <c r="M93" s="47" t="s">
        <v>1723</v>
      </c>
      <c r="N93" s="134">
        <v>23.183297</v>
      </c>
      <c r="O93" s="134">
        <v>91.812295</v>
      </c>
      <c r="P93" s="81">
        <v>400</v>
      </c>
      <c r="Q93" s="47"/>
      <c r="R93" s="81"/>
      <c r="S93" s="81"/>
      <c r="T93" s="135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7" t="s">
        <v>1464</v>
      </c>
      <c r="F94" s="47" t="s">
        <v>1598</v>
      </c>
      <c r="G94" s="130" t="s">
        <v>797</v>
      </c>
      <c r="H94" s="131"/>
      <c r="I94" s="132"/>
      <c r="J94" s="76"/>
      <c r="K94" s="81" t="s">
        <v>1724</v>
      </c>
      <c r="L94" s="47" t="s">
        <v>1725</v>
      </c>
      <c r="M94" s="47" t="s">
        <v>1726</v>
      </c>
      <c r="N94" s="134">
        <v>23.180969</v>
      </c>
      <c r="O94" s="134">
        <v>91.812427</v>
      </c>
      <c r="P94" s="81">
        <v>200</v>
      </c>
      <c r="Q94" s="47"/>
      <c r="R94" s="81"/>
      <c r="S94" s="81"/>
      <c r="T94" s="135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7" t="s">
        <v>1464</v>
      </c>
      <c r="F95" s="47" t="s">
        <v>1598</v>
      </c>
      <c r="G95" s="130" t="s">
        <v>797</v>
      </c>
      <c r="H95" s="131"/>
      <c r="I95" s="132"/>
      <c r="J95" s="76"/>
      <c r="K95" s="81" t="s">
        <v>1727</v>
      </c>
      <c r="L95" s="47" t="s">
        <v>1728</v>
      </c>
      <c r="M95" s="47" t="s">
        <v>1729</v>
      </c>
      <c r="N95" s="134">
        <v>23.18889</v>
      </c>
      <c r="O95" s="134">
        <v>91.81206</v>
      </c>
      <c r="P95" s="81">
        <v>520</v>
      </c>
      <c r="Q95" s="47"/>
      <c r="R95" s="81"/>
      <c r="S95" s="81"/>
      <c r="T95" s="135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7" t="s">
        <v>1464</v>
      </c>
      <c r="F96" s="47" t="s">
        <v>1598</v>
      </c>
      <c r="G96" s="130" t="s">
        <v>797</v>
      </c>
      <c r="H96" s="131"/>
      <c r="I96" s="132"/>
      <c r="J96" s="76"/>
      <c r="K96" s="81" t="s">
        <v>1730</v>
      </c>
      <c r="L96" s="47" t="s">
        <v>1731</v>
      </c>
      <c r="M96" s="47" t="s">
        <v>1732</v>
      </c>
      <c r="N96" s="134">
        <v>23.186836</v>
      </c>
      <c r="O96" s="134">
        <v>91.809489</v>
      </c>
      <c r="P96" s="81">
        <v>80</v>
      </c>
      <c r="Q96" s="47"/>
      <c r="R96" s="81"/>
      <c r="S96" s="81"/>
      <c r="T96" s="7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7" t="s">
        <v>1464</v>
      </c>
      <c r="F97" s="47" t="s">
        <v>1598</v>
      </c>
      <c r="G97" s="130" t="s">
        <v>797</v>
      </c>
      <c r="H97" s="131"/>
      <c r="I97" s="132"/>
      <c r="J97" s="76"/>
      <c r="K97" s="81" t="s">
        <v>1733</v>
      </c>
      <c r="L97" s="47" t="s">
        <v>1734</v>
      </c>
      <c r="M97" s="47" t="s">
        <v>1735</v>
      </c>
      <c r="N97" s="134">
        <v>23.188439</v>
      </c>
      <c r="O97" s="134">
        <v>91.80493</v>
      </c>
      <c r="P97" s="81">
        <v>564</v>
      </c>
      <c r="Q97" s="47"/>
      <c r="R97" s="81"/>
      <c r="S97" s="81"/>
      <c r="T97" s="135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7" t="s">
        <v>1464</v>
      </c>
      <c r="F98" s="47" t="s">
        <v>1598</v>
      </c>
      <c r="G98" s="130" t="s">
        <v>797</v>
      </c>
      <c r="H98" s="131"/>
      <c r="I98" s="132"/>
      <c r="J98" s="76"/>
      <c r="K98" s="81" t="s">
        <v>1736</v>
      </c>
      <c r="L98" s="47" t="s">
        <v>1737</v>
      </c>
      <c r="M98" s="47" t="s">
        <v>1738</v>
      </c>
      <c r="N98" s="134">
        <v>23.179111</v>
      </c>
      <c r="O98" s="134">
        <v>91.809526</v>
      </c>
      <c r="P98" s="81">
        <v>56</v>
      </c>
      <c r="Q98" s="47"/>
      <c r="R98" s="81"/>
      <c r="S98" s="81"/>
      <c r="T98" s="7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7" t="s">
        <v>1464</v>
      </c>
      <c r="F99" s="47" t="s">
        <v>1598</v>
      </c>
      <c r="G99" s="130" t="s">
        <v>797</v>
      </c>
      <c r="H99" s="131"/>
      <c r="I99" s="132"/>
      <c r="J99" s="76"/>
      <c r="K99" s="81" t="s">
        <v>1739</v>
      </c>
      <c r="L99" s="47" t="s">
        <v>1740</v>
      </c>
      <c r="M99" s="47" t="s">
        <v>1741</v>
      </c>
      <c r="N99" s="134">
        <v>23.180641</v>
      </c>
      <c r="O99" s="134">
        <v>91.809213</v>
      </c>
      <c r="P99" s="81"/>
      <c r="Q99" s="47"/>
      <c r="R99" s="81"/>
      <c r="S99" s="81"/>
      <c r="T99" s="7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7" t="s">
        <v>1464</v>
      </c>
      <c r="F100" s="47" t="s">
        <v>1742</v>
      </c>
      <c r="G100" s="130" t="s">
        <v>677</v>
      </c>
      <c r="H100" s="131"/>
      <c r="I100" s="132"/>
      <c r="J100" s="76"/>
      <c r="K100" s="81" t="s">
        <v>1743</v>
      </c>
      <c r="L100" s="47" t="s">
        <v>1744</v>
      </c>
      <c r="M100" s="47" t="s">
        <v>1745</v>
      </c>
      <c r="N100" s="134">
        <v>23.101831</v>
      </c>
      <c r="O100" s="134">
        <v>91.837181</v>
      </c>
      <c r="P100" s="81">
        <v>280</v>
      </c>
      <c r="Q100" s="47"/>
      <c r="R100" s="81"/>
      <c r="S100" s="81"/>
      <c r="T100" s="7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7" t="s">
        <v>1464</v>
      </c>
      <c r="F101" s="47" t="s">
        <v>1742</v>
      </c>
      <c r="G101" s="130" t="s">
        <v>677</v>
      </c>
      <c r="H101" s="131"/>
      <c r="I101" s="132"/>
      <c r="J101" s="76"/>
      <c r="K101" s="81" t="s">
        <v>1641</v>
      </c>
      <c r="L101" s="47" t="s">
        <v>1746</v>
      </c>
      <c r="M101" s="47" t="s">
        <v>1747</v>
      </c>
      <c r="N101" s="134">
        <v>23.103902</v>
      </c>
      <c r="O101" s="134">
        <v>91.839336</v>
      </c>
      <c r="P101" s="81">
        <v>220</v>
      </c>
      <c r="Q101" s="47"/>
      <c r="R101" s="81"/>
      <c r="S101" s="81"/>
      <c r="T101" s="7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7" t="s">
        <v>1464</v>
      </c>
      <c r="F102" s="47" t="s">
        <v>1742</v>
      </c>
      <c r="G102" s="130" t="s">
        <v>677</v>
      </c>
      <c r="H102" s="131"/>
      <c r="I102" s="132"/>
      <c r="J102" s="76"/>
      <c r="K102" s="81" t="s">
        <v>1748</v>
      </c>
      <c r="L102" s="47" t="s">
        <v>1749</v>
      </c>
      <c r="M102" s="47" t="s">
        <v>1750</v>
      </c>
      <c r="N102" s="134">
        <v>23.10541</v>
      </c>
      <c r="O102" s="134">
        <v>91.834403</v>
      </c>
      <c r="P102" s="81">
        <v>120</v>
      </c>
      <c r="Q102" s="47"/>
      <c r="R102" s="81"/>
      <c r="S102" s="81"/>
      <c r="T102" s="7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7" t="s">
        <v>1464</v>
      </c>
      <c r="F103" s="47" t="s">
        <v>1742</v>
      </c>
      <c r="G103" s="130" t="s">
        <v>677</v>
      </c>
      <c r="H103" s="131"/>
      <c r="I103" s="132"/>
      <c r="J103" s="76"/>
      <c r="K103" s="81" t="s">
        <v>1751</v>
      </c>
      <c r="L103" s="47" t="s">
        <v>1752</v>
      </c>
      <c r="M103" s="47" t="s">
        <v>1753</v>
      </c>
      <c r="N103" s="134">
        <v>23.103511</v>
      </c>
      <c r="O103" s="134">
        <v>91.835748</v>
      </c>
      <c r="P103" s="81">
        <v>360</v>
      </c>
      <c r="Q103" s="47"/>
      <c r="R103" s="81"/>
      <c r="S103" s="81"/>
      <c r="T103" s="7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7" t="s">
        <v>1464</v>
      </c>
      <c r="F104" s="47" t="s">
        <v>1742</v>
      </c>
      <c r="G104" s="130" t="s">
        <v>677</v>
      </c>
      <c r="H104" s="131"/>
      <c r="I104" s="132"/>
      <c r="J104" s="76"/>
      <c r="K104" s="81" t="s">
        <v>1754</v>
      </c>
      <c r="L104" s="47" t="s">
        <v>1755</v>
      </c>
      <c r="M104" s="47" t="s">
        <v>1756</v>
      </c>
      <c r="N104" s="134">
        <v>23.107615</v>
      </c>
      <c r="O104" s="134">
        <v>91.837096</v>
      </c>
      <c r="P104" s="81">
        <v>140</v>
      </c>
      <c r="Q104" s="47"/>
      <c r="R104" s="81"/>
      <c r="S104" s="81"/>
      <c r="T104" s="135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7" t="s">
        <v>1464</v>
      </c>
      <c r="F105" s="47" t="s">
        <v>1742</v>
      </c>
      <c r="G105" s="130" t="s">
        <v>677</v>
      </c>
      <c r="H105" s="131"/>
      <c r="I105" s="132"/>
      <c r="J105" s="76"/>
      <c r="K105" s="81" t="s">
        <v>1757</v>
      </c>
      <c r="L105" s="47" t="s">
        <v>1758</v>
      </c>
      <c r="M105" s="47" t="s">
        <v>1759</v>
      </c>
      <c r="N105" s="134">
        <v>23.110721</v>
      </c>
      <c r="O105" s="134">
        <v>91.836044</v>
      </c>
      <c r="P105" s="81">
        <v>110</v>
      </c>
      <c r="Q105" s="47"/>
      <c r="R105" s="81"/>
      <c r="S105" s="81"/>
      <c r="T105" s="7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7" t="s">
        <v>1464</v>
      </c>
      <c r="F106" s="47" t="s">
        <v>1742</v>
      </c>
      <c r="G106" s="130" t="s">
        <v>677</v>
      </c>
      <c r="H106" s="131"/>
      <c r="I106" s="132"/>
      <c r="J106" s="76"/>
      <c r="K106" s="81" t="s">
        <v>1760</v>
      </c>
      <c r="L106" s="47" t="s">
        <v>1761</v>
      </c>
      <c r="M106" s="47" t="s">
        <v>1762</v>
      </c>
      <c r="N106" s="134">
        <v>23.108986</v>
      </c>
      <c r="O106" s="134">
        <v>91.836539</v>
      </c>
      <c r="P106" s="81">
        <v>140</v>
      </c>
      <c r="Q106" s="47"/>
      <c r="R106" s="81"/>
      <c r="S106" s="81"/>
      <c r="T106" s="7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7" t="s">
        <v>1464</v>
      </c>
      <c r="F107" s="47" t="s">
        <v>1742</v>
      </c>
      <c r="G107" s="130" t="s">
        <v>677</v>
      </c>
      <c r="H107" s="131"/>
      <c r="I107" s="132"/>
      <c r="J107" s="76"/>
      <c r="K107" s="81" t="s">
        <v>1763</v>
      </c>
      <c r="L107" s="47" t="s">
        <v>1764</v>
      </c>
      <c r="M107" s="47" t="s">
        <v>1765</v>
      </c>
      <c r="N107" s="134">
        <v>23.110274</v>
      </c>
      <c r="O107" s="134">
        <v>91.832815</v>
      </c>
      <c r="P107" s="81">
        <v>280</v>
      </c>
      <c r="Q107" s="47"/>
      <c r="R107" s="81"/>
      <c r="S107" s="81"/>
      <c r="T107" s="135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7" t="s">
        <v>1464</v>
      </c>
      <c r="F108" s="47" t="s">
        <v>1742</v>
      </c>
      <c r="G108" s="130" t="s">
        <v>677</v>
      </c>
      <c r="H108" s="131"/>
      <c r="I108" s="132"/>
      <c r="J108" s="76"/>
      <c r="K108" s="81" t="s">
        <v>1766</v>
      </c>
      <c r="L108" s="47" t="s">
        <v>1767</v>
      </c>
      <c r="M108" s="47" t="s">
        <v>1768</v>
      </c>
      <c r="N108" s="134">
        <v>23.102504</v>
      </c>
      <c r="O108" s="134">
        <v>91.832328</v>
      </c>
      <c r="P108" s="81">
        <v>40</v>
      </c>
      <c r="Q108" s="47"/>
      <c r="R108" s="81"/>
      <c r="S108" s="81"/>
      <c r="T108" s="7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7" t="s">
        <v>1464</v>
      </c>
      <c r="F109" s="47" t="s">
        <v>1742</v>
      </c>
      <c r="G109" s="130" t="s">
        <v>677</v>
      </c>
      <c r="H109" s="131"/>
      <c r="I109" s="132"/>
      <c r="J109" s="76"/>
      <c r="K109" s="81" t="s">
        <v>1769</v>
      </c>
      <c r="L109" s="47" t="s">
        <v>1770</v>
      </c>
      <c r="M109" s="47" t="s">
        <v>1771</v>
      </c>
      <c r="N109" s="134">
        <v>23.106043</v>
      </c>
      <c r="O109" s="134">
        <v>91.835848</v>
      </c>
      <c r="P109" s="81">
        <v>85</v>
      </c>
      <c r="Q109" s="47"/>
      <c r="R109" s="81"/>
      <c r="S109" s="81"/>
      <c r="T109" s="7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7" t="s">
        <v>1464</v>
      </c>
      <c r="F110" s="47" t="s">
        <v>1742</v>
      </c>
      <c r="G110" s="130" t="s">
        <v>684</v>
      </c>
      <c r="H110" s="131"/>
      <c r="I110" s="132"/>
      <c r="J110" s="76"/>
      <c r="K110" s="81" t="s">
        <v>346</v>
      </c>
      <c r="L110" s="47" t="s">
        <v>1692</v>
      </c>
      <c r="M110" s="47" t="s">
        <v>1772</v>
      </c>
      <c r="N110" s="134">
        <v>23.102127</v>
      </c>
      <c r="O110" s="134">
        <v>91.84552</v>
      </c>
      <c r="P110" s="81">
        <v>450</v>
      </c>
      <c r="Q110" s="47"/>
      <c r="R110" s="81"/>
      <c r="S110" s="81"/>
      <c r="T110" s="7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7" t="s">
        <v>1464</v>
      </c>
      <c r="F111" s="47" t="s">
        <v>1742</v>
      </c>
      <c r="G111" s="130" t="s">
        <v>684</v>
      </c>
      <c r="H111" s="131"/>
      <c r="I111" s="132"/>
      <c r="J111" s="76"/>
      <c r="K111" s="81" t="s">
        <v>1773</v>
      </c>
      <c r="L111" s="47" t="s">
        <v>1774</v>
      </c>
      <c r="M111" s="47" t="s">
        <v>1775</v>
      </c>
      <c r="N111" s="134">
        <v>23.097169</v>
      </c>
      <c r="O111" s="134">
        <v>91.842018</v>
      </c>
      <c r="P111" s="81">
        <v>300</v>
      </c>
      <c r="Q111" s="47"/>
      <c r="R111" s="81"/>
      <c r="S111" s="81"/>
      <c r="T111" s="7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7" t="s">
        <v>1464</v>
      </c>
      <c r="F112" s="47" t="s">
        <v>1742</v>
      </c>
      <c r="G112" s="130" t="s">
        <v>684</v>
      </c>
      <c r="H112" s="131"/>
      <c r="I112" s="132"/>
      <c r="J112" s="76"/>
      <c r="K112" s="81" t="s">
        <v>1680</v>
      </c>
      <c r="L112" s="47" t="s">
        <v>1681</v>
      </c>
      <c r="M112" s="47" t="s">
        <v>1776</v>
      </c>
      <c r="N112" s="134">
        <v>23.099053</v>
      </c>
      <c r="O112" s="134">
        <v>91.850506</v>
      </c>
      <c r="P112" s="81">
        <v>160</v>
      </c>
      <c r="Q112" s="47"/>
      <c r="R112" s="81"/>
      <c r="S112" s="81"/>
      <c r="T112" s="7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7" t="s">
        <v>1464</v>
      </c>
      <c r="F113" s="47" t="s">
        <v>1742</v>
      </c>
      <c r="G113" s="130" t="s">
        <v>684</v>
      </c>
      <c r="H113" s="131"/>
      <c r="I113" s="132"/>
      <c r="J113" s="76"/>
      <c r="K113" s="81" t="s">
        <v>1777</v>
      </c>
      <c r="L113" s="47" t="s">
        <v>1778</v>
      </c>
      <c r="M113" s="47" t="s">
        <v>1779</v>
      </c>
      <c r="N113" s="134">
        <v>23.098354</v>
      </c>
      <c r="O113" s="134">
        <v>91.839521</v>
      </c>
      <c r="P113" s="81">
        <v>320</v>
      </c>
      <c r="Q113" s="47"/>
      <c r="R113" s="81"/>
      <c r="S113" s="81"/>
      <c r="T113" s="7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7" t="s">
        <v>1464</v>
      </c>
      <c r="F114" s="47" t="s">
        <v>1742</v>
      </c>
      <c r="G114" s="130" t="s">
        <v>684</v>
      </c>
      <c r="H114" s="131"/>
      <c r="I114" s="132"/>
      <c r="J114" s="76"/>
      <c r="K114" s="81" t="s">
        <v>1780</v>
      </c>
      <c r="L114" s="47" t="s">
        <v>1781</v>
      </c>
      <c r="M114" s="47" t="s">
        <v>1782</v>
      </c>
      <c r="N114" s="134">
        <v>23.095035</v>
      </c>
      <c r="O114" s="134">
        <v>91.843527</v>
      </c>
      <c r="P114" s="81">
        <v>45</v>
      </c>
      <c r="Q114" s="47"/>
      <c r="R114" s="81"/>
      <c r="S114" s="81"/>
      <c r="T114" s="7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7" t="s">
        <v>1464</v>
      </c>
      <c r="F115" s="47" t="s">
        <v>1742</v>
      </c>
      <c r="G115" s="130" t="s">
        <v>684</v>
      </c>
      <c r="H115" s="131"/>
      <c r="I115" s="132"/>
      <c r="J115" s="76"/>
      <c r="K115" s="81" t="s">
        <v>1647</v>
      </c>
      <c r="L115" s="47" t="s">
        <v>1783</v>
      </c>
      <c r="M115" s="47" t="s">
        <v>1784</v>
      </c>
      <c r="N115" s="134">
        <v>23.095614</v>
      </c>
      <c r="O115" s="134">
        <v>91.848145</v>
      </c>
      <c r="P115" s="81">
        <v>120</v>
      </c>
      <c r="Q115" s="47"/>
      <c r="R115" s="81"/>
      <c r="S115" s="81"/>
      <c r="T115" s="7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7" t="s">
        <v>1464</v>
      </c>
      <c r="F116" s="47" t="s">
        <v>1742</v>
      </c>
      <c r="G116" s="130" t="s">
        <v>684</v>
      </c>
      <c r="H116" s="131"/>
      <c r="I116" s="132"/>
      <c r="J116" s="76"/>
      <c r="K116" s="81" t="s">
        <v>1785</v>
      </c>
      <c r="L116" s="47" t="s">
        <v>1786</v>
      </c>
      <c r="M116" s="47" t="s">
        <v>1787</v>
      </c>
      <c r="N116" s="134">
        <v>23.09568</v>
      </c>
      <c r="O116" s="134">
        <v>91.838616</v>
      </c>
      <c r="P116" s="81">
        <v>220</v>
      </c>
      <c r="Q116" s="47"/>
      <c r="R116" s="81"/>
      <c r="S116" s="81"/>
      <c r="T116" s="7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7" t="s">
        <v>1464</v>
      </c>
      <c r="F117" s="47" t="s">
        <v>1742</v>
      </c>
      <c r="G117" s="130" t="s">
        <v>684</v>
      </c>
      <c r="H117" s="131"/>
      <c r="I117" s="132"/>
      <c r="J117" s="76"/>
      <c r="K117" s="81" t="s">
        <v>1788</v>
      </c>
      <c r="L117" s="47" t="s">
        <v>1789</v>
      </c>
      <c r="M117" s="47" t="s">
        <v>1790</v>
      </c>
      <c r="N117" s="134">
        <v>23.098508</v>
      </c>
      <c r="O117" s="134">
        <v>91.836257</v>
      </c>
      <c r="P117" s="81">
        <v>110</v>
      </c>
      <c r="Q117" s="47"/>
      <c r="R117" s="81"/>
      <c r="S117" s="81"/>
      <c r="T117" s="7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7" t="s">
        <v>1464</v>
      </c>
      <c r="F118" s="47" t="s">
        <v>1742</v>
      </c>
      <c r="G118" s="130" t="s">
        <v>684</v>
      </c>
      <c r="H118" s="131"/>
      <c r="I118" s="132"/>
      <c r="J118" s="76"/>
      <c r="K118" s="81" t="s">
        <v>1791</v>
      </c>
      <c r="L118" s="47" t="s">
        <v>1792</v>
      </c>
      <c r="M118" s="47" t="s">
        <v>1793</v>
      </c>
      <c r="N118" s="134">
        <v>23.093951</v>
      </c>
      <c r="O118" s="134">
        <v>91.837355</v>
      </c>
      <c r="P118" s="81">
        <v>40</v>
      </c>
      <c r="Q118" s="47"/>
      <c r="R118" s="81"/>
      <c r="S118" s="81"/>
      <c r="T118" s="7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7" t="s">
        <v>1464</v>
      </c>
      <c r="F119" s="47" t="s">
        <v>1742</v>
      </c>
      <c r="G119" s="130" t="s">
        <v>697</v>
      </c>
      <c r="H119" s="131"/>
      <c r="I119" s="132"/>
      <c r="J119" s="76"/>
      <c r="K119" s="81" t="s">
        <v>1794</v>
      </c>
      <c r="L119" s="47" t="s">
        <v>1795</v>
      </c>
      <c r="M119" s="47" t="s">
        <v>1796</v>
      </c>
      <c r="N119" s="134">
        <v>23.119649</v>
      </c>
      <c r="O119" s="134">
        <v>91.867997</v>
      </c>
      <c r="P119" s="81">
        <v>350</v>
      </c>
      <c r="Q119" s="47"/>
      <c r="R119" s="81"/>
      <c r="S119" s="81"/>
      <c r="T119" s="7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7" t="s">
        <v>1464</v>
      </c>
      <c r="F120" s="47" t="s">
        <v>1742</v>
      </c>
      <c r="G120" s="130" t="s">
        <v>697</v>
      </c>
      <c r="H120" s="131"/>
      <c r="I120" s="132"/>
      <c r="J120" s="76"/>
      <c r="K120" s="81" t="s">
        <v>1797</v>
      </c>
      <c r="L120" s="47" t="s">
        <v>1798</v>
      </c>
      <c r="M120" s="47" t="s">
        <v>1799</v>
      </c>
      <c r="N120" s="134">
        <v>23.116208</v>
      </c>
      <c r="O120" s="134">
        <v>91.865079</v>
      </c>
      <c r="P120" s="81">
        <v>280</v>
      </c>
      <c r="Q120" s="47"/>
      <c r="R120" s="81"/>
      <c r="S120" s="81"/>
      <c r="T120" s="7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7" t="s">
        <v>1464</v>
      </c>
      <c r="F121" s="47" t="s">
        <v>1742</v>
      </c>
      <c r="G121" s="130" t="s">
        <v>697</v>
      </c>
      <c r="H121" s="131"/>
      <c r="I121" s="132"/>
      <c r="J121" s="76"/>
      <c r="K121" s="81" t="s">
        <v>1800</v>
      </c>
      <c r="L121" s="47" t="s">
        <v>1801</v>
      </c>
      <c r="M121" s="47" t="s">
        <v>1802</v>
      </c>
      <c r="N121" s="134">
        <v>23.117431</v>
      </c>
      <c r="O121" s="134">
        <v>91.871991</v>
      </c>
      <c r="P121" s="81">
        <v>550</v>
      </c>
      <c r="Q121" s="47"/>
      <c r="R121" s="81"/>
      <c r="S121" s="81"/>
      <c r="T121" s="135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7" t="s">
        <v>1464</v>
      </c>
      <c r="F122" s="47" t="s">
        <v>1742</v>
      </c>
      <c r="G122" s="130" t="s">
        <v>697</v>
      </c>
      <c r="H122" s="131"/>
      <c r="I122" s="132"/>
      <c r="J122" s="76"/>
      <c r="K122" s="81" t="s">
        <v>1803</v>
      </c>
      <c r="L122" s="47" t="s">
        <v>1804</v>
      </c>
      <c r="M122" s="47" t="s">
        <v>1805</v>
      </c>
      <c r="N122" s="134">
        <v>23.098432</v>
      </c>
      <c r="O122" s="134">
        <v>91.85767</v>
      </c>
      <c r="P122" s="81">
        <v>600</v>
      </c>
      <c r="Q122" s="47"/>
      <c r="R122" s="81"/>
      <c r="S122" s="81"/>
      <c r="T122" s="135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7" t="s">
        <v>1464</v>
      </c>
      <c r="F123" s="47" t="s">
        <v>1742</v>
      </c>
      <c r="G123" s="130" t="s">
        <v>697</v>
      </c>
      <c r="H123" s="131"/>
      <c r="I123" s="132"/>
      <c r="J123" s="76"/>
      <c r="K123" s="81" t="s">
        <v>1806</v>
      </c>
      <c r="L123" s="47" t="s">
        <v>1807</v>
      </c>
      <c r="M123" s="47" t="s">
        <v>1808</v>
      </c>
      <c r="N123" s="134">
        <v>23.108796</v>
      </c>
      <c r="O123" s="134">
        <v>91.862114</v>
      </c>
      <c r="P123" s="81">
        <v>150</v>
      </c>
      <c r="Q123" s="47"/>
      <c r="R123" s="81"/>
      <c r="S123" s="81"/>
      <c r="T123" s="7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7" t="s">
        <v>1464</v>
      </c>
      <c r="F124" s="47" t="s">
        <v>1742</v>
      </c>
      <c r="G124" s="130" t="s">
        <v>697</v>
      </c>
      <c r="H124" s="131"/>
      <c r="I124" s="132"/>
      <c r="J124" s="76"/>
      <c r="K124" s="81" t="s">
        <v>1809</v>
      </c>
      <c r="L124" s="47" t="s">
        <v>1810</v>
      </c>
      <c r="M124" s="47" t="s">
        <v>1811</v>
      </c>
      <c r="N124" s="134">
        <v>23.100882</v>
      </c>
      <c r="O124" s="134">
        <v>91.852749</v>
      </c>
      <c r="P124" s="81">
        <v>180</v>
      </c>
      <c r="Q124" s="47"/>
      <c r="R124" s="81"/>
      <c r="S124" s="81"/>
      <c r="T124" s="135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7" t="s">
        <v>1464</v>
      </c>
      <c r="F125" s="47" t="s">
        <v>1742</v>
      </c>
      <c r="G125" s="130" t="s">
        <v>707</v>
      </c>
      <c r="H125" s="131"/>
      <c r="I125" s="132"/>
      <c r="J125" s="76"/>
      <c r="K125" s="81" t="s">
        <v>1812</v>
      </c>
      <c r="L125" s="47" t="s">
        <v>1813</v>
      </c>
      <c r="M125" s="47" t="s">
        <v>1814</v>
      </c>
      <c r="N125" s="134">
        <v>23.074108</v>
      </c>
      <c r="O125" s="134">
        <v>91.847873</v>
      </c>
      <c r="P125" s="81">
        <v>540</v>
      </c>
      <c r="Q125" s="47"/>
      <c r="R125" s="81"/>
      <c r="S125" s="81"/>
      <c r="T125" s="135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7" t="s">
        <v>1464</v>
      </c>
      <c r="F126" s="47" t="s">
        <v>1742</v>
      </c>
      <c r="G126" s="130" t="s">
        <v>707</v>
      </c>
      <c r="H126" s="131"/>
      <c r="I126" s="132"/>
      <c r="J126" s="76"/>
      <c r="K126" s="81" t="s">
        <v>1769</v>
      </c>
      <c r="L126" s="47" t="s">
        <v>1770</v>
      </c>
      <c r="M126" s="47" t="s">
        <v>1815</v>
      </c>
      <c r="N126" s="134">
        <v>23.076339</v>
      </c>
      <c r="O126" s="134">
        <v>91.853024</v>
      </c>
      <c r="P126" s="81">
        <v>148</v>
      </c>
      <c r="Q126" s="47"/>
      <c r="R126" s="81"/>
      <c r="S126" s="81"/>
      <c r="T126" s="135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7" t="s">
        <v>1464</v>
      </c>
      <c r="F127" s="47" t="s">
        <v>1742</v>
      </c>
      <c r="G127" s="130" t="s">
        <v>707</v>
      </c>
      <c r="H127" s="131"/>
      <c r="I127" s="132"/>
      <c r="J127" s="76"/>
      <c r="K127" s="81" t="s">
        <v>1816</v>
      </c>
      <c r="L127" s="47" t="s">
        <v>1817</v>
      </c>
      <c r="M127" s="47" t="s">
        <v>1818</v>
      </c>
      <c r="N127" s="134">
        <v>23.076971</v>
      </c>
      <c r="O127" s="134">
        <v>91.85531</v>
      </c>
      <c r="P127" s="81">
        <v>124</v>
      </c>
      <c r="Q127" s="47"/>
      <c r="R127" s="81"/>
      <c r="S127" s="81"/>
      <c r="T127" s="135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7" t="s">
        <v>1464</v>
      </c>
      <c r="F128" s="47" t="s">
        <v>1742</v>
      </c>
      <c r="G128" s="130" t="s">
        <v>707</v>
      </c>
      <c r="H128" s="131"/>
      <c r="I128" s="132"/>
      <c r="J128" s="76"/>
      <c r="K128" s="81" t="s">
        <v>1819</v>
      </c>
      <c r="L128" s="47" t="s">
        <v>1820</v>
      </c>
      <c r="M128" s="47" t="s">
        <v>1821</v>
      </c>
      <c r="N128" s="134">
        <v>23.073121</v>
      </c>
      <c r="O128" s="134">
        <v>91.854437</v>
      </c>
      <c r="P128" s="81">
        <v>76</v>
      </c>
      <c r="Q128" s="47"/>
      <c r="R128" s="81"/>
      <c r="S128" s="81"/>
      <c r="T128" s="135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7" t="s">
        <v>1464</v>
      </c>
      <c r="F129" s="47" t="s">
        <v>1742</v>
      </c>
      <c r="G129" s="130" t="s">
        <v>707</v>
      </c>
      <c r="H129" s="131"/>
      <c r="I129" s="132"/>
      <c r="J129" s="76"/>
      <c r="K129" s="81" t="s">
        <v>1822</v>
      </c>
      <c r="L129" s="47" t="s">
        <v>1823</v>
      </c>
      <c r="M129" s="47" t="s">
        <v>1824</v>
      </c>
      <c r="N129" s="134">
        <v>23.076667</v>
      </c>
      <c r="O129" s="134">
        <v>91.861166</v>
      </c>
      <c r="P129" s="81">
        <v>376</v>
      </c>
      <c r="Q129" s="47"/>
      <c r="R129" s="81"/>
      <c r="S129" s="81"/>
      <c r="T129" s="135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7" t="s">
        <v>1464</v>
      </c>
      <c r="F130" s="47" t="s">
        <v>1742</v>
      </c>
      <c r="G130" s="130" t="s">
        <v>707</v>
      </c>
      <c r="H130" s="131"/>
      <c r="I130" s="132"/>
      <c r="J130" s="76"/>
      <c r="K130" s="81" t="s">
        <v>1825</v>
      </c>
      <c r="L130" s="47" t="s">
        <v>1826</v>
      </c>
      <c r="M130" s="47" t="s">
        <v>1827</v>
      </c>
      <c r="N130" s="134">
        <v>23.072758</v>
      </c>
      <c r="O130" s="134">
        <v>91.861369</v>
      </c>
      <c r="P130" s="81">
        <v>352</v>
      </c>
      <c r="Q130" s="47"/>
      <c r="R130" s="81"/>
      <c r="S130" s="81"/>
      <c r="T130" s="135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7" t="s">
        <v>1464</v>
      </c>
      <c r="F131" s="47" t="s">
        <v>1742</v>
      </c>
      <c r="G131" s="130" t="s">
        <v>707</v>
      </c>
      <c r="H131" s="131"/>
      <c r="I131" s="132"/>
      <c r="J131" s="76"/>
      <c r="K131" s="81" t="s">
        <v>1828</v>
      </c>
      <c r="L131" s="47" t="s">
        <v>1829</v>
      </c>
      <c r="M131" s="47" t="s">
        <v>1830</v>
      </c>
      <c r="N131" s="134">
        <v>23.074902</v>
      </c>
      <c r="O131" s="134">
        <v>91.858176</v>
      </c>
      <c r="P131" s="81">
        <v>300</v>
      </c>
      <c r="Q131" s="47"/>
      <c r="R131" s="81"/>
      <c r="S131" s="81"/>
      <c r="T131" s="7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7" t="s">
        <v>1464</v>
      </c>
      <c r="F132" s="47" t="s">
        <v>1742</v>
      </c>
      <c r="G132" s="130" t="s">
        <v>726</v>
      </c>
      <c r="H132" s="131"/>
      <c r="I132" s="132"/>
      <c r="J132" s="76"/>
      <c r="K132" s="81" t="s">
        <v>1831</v>
      </c>
      <c r="L132" s="47" t="s">
        <v>1832</v>
      </c>
      <c r="M132" s="47" t="s">
        <v>1833</v>
      </c>
      <c r="N132" s="134">
        <v>23.081004</v>
      </c>
      <c r="O132" s="134">
        <v>91.859997</v>
      </c>
      <c r="P132" s="81">
        <v>150</v>
      </c>
      <c r="Q132" s="47"/>
      <c r="R132" s="81"/>
      <c r="S132" s="81"/>
      <c r="T132" s="7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7" t="s">
        <v>1464</v>
      </c>
      <c r="F133" s="47" t="s">
        <v>1742</v>
      </c>
      <c r="G133" s="130" t="s">
        <v>726</v>
      </c>
      <c r="H133" s="131"/>
      <c r="I133" s="132"/>
      <c r="J133" s="76"/>
      <c r="K133" s="81" t="s">
        <v>1834</v>
      </c>
      <c r="L133" s="47" t="s">
        <v>1835</v>
      </c>
      <c r="M133" s="47" t="s">
        <v>1836</v>
      </c>
      <c r="N133" s="134">
        <v>23.079669</v>
      </c>
      <c r="O133" s="134">
        <v>91.863827</v>
      </c>
      <c r="P133" s="81">
        <v>320</v>
      </c>
      <c r="Q133" s="47"/>
      <c r="R133" s="81"/>
      <c r="S133" s="81"/>
      <c r="T133" s="7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7" t="s">
        <v>1464</v>
      </c>
      <c r="F134" s="47" t="s">
        <v>1742</v>
      </c>
      <c r="G134" s="130" t="s">
        <v>726</v>
      </c>
      <c r="H134" s="131"/>
      <c r="I134" s="59"/>
      <c r="J134" s="76"/>
      <c r="K134" s="81" t="s">
        <v>1837</v>
      </c>
      <c r="L134" s="47" t="s">
        <v>1838</v>
      </c>
      <c r="M134" s="47" t="s">
        <v>1839</v>
      </c>
      <c r="N134" s="134">
        <v>23.082305</v>
      </c>
      <c r="O134" s="134">
        <v>91.863391</v>
      </c>
      <c r="P134" s="81">
        <v>135</v>
      </c>
      <c r="Q134" s="47"/>
      <c r="R134" s="81"/>
      <c r="S134" s="81"/>
      <c r="T134" s="135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7" t="s">
        <v>1464</v>
      </c>
      <c r="F135" s="47" t="s">
        <v>1742</v>
      </c>
      <c r="G135" s="130" t="s">
        <v>726</v>
      </c>
      <c r="H135" s="131"/>
      <c r="I135" s="59"/>
      <c r="J135" s="76"/>
      <c r="K135" s="81" t="s">
        <v>1840</v>
      </c>
      <c r="L135" s="47" t="s">
        <v>1841</v>
      </c>
      <c r="M135" s="47" t="s">
        <v>1842</v>
      </c>
      <c r="N135" s="134">
        <v>23.081595</v>
      </c>
      <c r="O135" s="134">
        <v>91.869178</v>
      </c>
      <c r="P135" s="81">
        <v>180</v>
      </c>
      <c r="Q135" s="47"/>
      <c r="R135" s="81"/>
      <c r="S135" s="81"/>
      <c r="T135" s="7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7" t="s">
        <v>1464</v>
      </c>
      <c r="F136" s="47" t="s">
        <v>1742</v>
      </c>
      <c r="G136" s="130" t="s">
        <v>726</v>
      </c>
      <c r="H136" s="131"/>
      <c r="I136" s="59"/>
      <c r="J136" s="76"/>
      <c r="K136" s="81" t="s">
        <v>1843</v>
      </c>
      <c r="L136" s="47" t="s">
        <v>1844</v>
      </c>
      <c r="M136" s="47" t="s">
        <v>1845</v>
      </c>
      <c r="N136" s="134">
        <v>23.083734</v>
      </c>
      <c r="O136" s="134">
        <v>91.867237</v>
      </c>
      <c r="P136" s="81">
        <v>150</v>
      </c>
      <c r="Q136" s="47"/>
      <c r="R136" s="81"/>
      <c r="S136" s="81"/>
      <c r="T136" s="7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7" t="s">
        <v>1464</v>
      </c>
      <c r="F137" s="47" t="s">
        <v>1742</v>
      </c>
      <c r="G137" s="130" t="s">
        <v>726</v>
      </c>
      <c r="H137" s="131"/>
      <c r="I137" s="59"/>
      <c r="J137" s="76"/>
      <c r="K137" s="81" t="s">
        <v>1846</v>
      </c>
      <c r="L137" s="47" t="s">
        <v>1847</v>
      </c>
      <c r="M137" s="47" t="s">
        <v>1848</v>
      </c>
      <c r="N137" s="134">
        <v>23.08142</v>
      </c>
      <c r="O137" s="134">
        <v>91.873729</v>
      </c>
      <c r="P137" s="81">
        <v>190</v>
      </c>
      <c r="Q137" s="47"/>
      <c r="R137" s="81"/>
      <c r="S137" s="81"/>
      <c r="T137" s="7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7" t="s">
        <v>1464</v>
      </c>
      <c r="F138" s="47" t="s">
        <v>1742</v>
      </c>
      <c r="G138" s="130" t="s">
        <v>726</v>
      </c>
      <c r="H138" s="131"/>
      <c r="I138" s="59"/>
      <c r="J138" s="76"/>
      <c r="K138" s="81" t="s">
        <v>1849</v>
      </c>
      <c r="L138" s="47" t="s">
        <v>1850</v>
      </c>
      <c r="M138" s="47" t="s">
        <v>1851</v>
      </c>
      <c r="N138" s="134">
        <v>23.088091</v>
      </c>
      <c r="O138" s="134">
        <v>91.879857</v>
      </c>
      <c r="P138" s="81">
        <v>480</v>
      </c>
      <c r="Q138" s="47"/>
      <c r="R138" s="81"/>
      <c r="S138" s="81"/>
      <c r="T138" s="135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7" t="s">
        <v>1464</v>
      </c>
      <c r="F139" s="47" t="s">
        <v>1742</v>
      </c>
      <c r="G139" s="130" t="s">
        <v>742</v>
      </c>
      <c r="H139" s="131"/>
      <c r="I139" s="59"/>
      <c r="J139" s="76"/>
      <c r="K139" s="81" t="s">
        <v>1852</v>
      </c>
      <c r="L139" s="47" t="s">
        <v>1853</v>
      </c>
      <c r="M139" s="143" t="s">
        <v>1854</v>
      </c>
      <c r="N139" s="134">
        <v>23.119978</v>
      </c>
      <c r="O139" s="134">
        <v>91.871959</v>
      </c>
      <c r="P139" s="144">
        <v>120</v>
      </c>
      <c r="Q139" s="143"/>
      <c r="R139" s="81"/>
      <c r="S139" s="81"/>
      <c r="T139" s="135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7" t="s">
        <v>1464</v>
      </c>
      <c r="F140" s="47" t="s">
        <v>1742</v>
      </c>
      <c r="G140" s="130" t="s">
        <v>742</v>
      </c>
      <c r="H140" s="131"/>
      <c r="I140" s="59"/>
      <c r="J140" s="76"/>
      <c r="K140" s="81" t="s">
        <v>1855</v>
      </c>
      <c r="L140" s="47" t="s">
        <v>1856</v>
      </c>
      <c r="M140" s="143" t="s">
        <v>1857</v>
      </c>
      <c r="N140" s="134">
        <v>23.116724</v>
      </c>
      <c r="O140" s="134">
        <v>91.879989</v>
      </c>
      <c r="P140" s="144">
        <v>200</v>
      </c>
      <c r="Q140" s="143"/>
      <c r="R140" s="81"/>
      <c r="S140" s="81"/>
      <c r="T140" s="135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7" t="s">
        <v>1464</v>
      </c>
      <c r="F141" s="47" t="s">
        <v>1742</v>
      </c>
      <c r="G141" s="130" t="s">
        <v>742</v>
      </c>
      <c r="H141" s="131"/>
      <c r="I141" s="59"/>
      <c r="J141" s="76"/>
      <c r="K141" s="81" t="s">
        <v>1858</v>
      </c>
      <c r="L141" s="47" t="s">
        <v>1859</v>
      </c>
      <c r="M141" s="143" t="s">
        <v>1860</v>
      </c>
      <c r="N141" s="134">
        <v>23.111298</v>
      </c>
      <c r="O141" s="134">
        <v>91.876088</v>
      </c>
      <c r="P141" s="144">
        <v>400</v>
      </c>
      <c r="Q141" s="143"/>
      <c r="R141" s="81"/>
      <c r="S141" s="81"/>
      <c r="T141" s="7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7" t="s">
        <v>1464</v>
      </c>
      <c r="F142" s="47" t="s">
        <v>1742</v>
      </c>
      <c r="G142" s="130" t="s">
        <v>742</v>
      </c>
      <c r="H142" s="131"/>
      <c r="I142" s="59"/>
      <c r="J142" s="76"/>
      <c r="K142" s="81" t="s">
        <v>1773</v>
      </c>
      <c r="L142" s="47" t="s">
        <v>1774</v>
      </c>
      <c r="M142" s="143" t="s">
        <v>1861</v>
      </c>
      <c r="N142" s="134">
        <v>23.118237</v>
      </c>
      <c r="O142" s="134">
        <v>91.880146</v>
      </c>
      <c r="P142" s="144">
        <v>40</v>
      </c>
      <c r="Q142" s="143"/>
      <c r="R142" s="81"/>
      <c r="S142" s="81"/>
      <c r="T142" s="135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7" t="s">
        <v>1464</v>
      </c>
      <c r="F143" s="47" t="s">
        <v>1742</v>
      </c>
      <c r="G143" s="130" t="s">
        <v>742</v>
      </c>
      <c r="H143" s="131"/>
      <c r="I143" s="59"/>
      <c r="J143" s="76"/>
      <c r="K143" s="81" t="s">
        <v>1862</v>
      </c>
      <c r="L143" s="47" t="s">
        <v>1863</v>
      </c>
      <c r="M143" s="143" t="s">
        <v>1864</v>
      </c>
      <c r="N143" s="134">
        <v>23.101305</v>
      </c>
      <c r="O143" s="134">
        <v>91.889921</v>
      </c>
      <c r="P143" s="144">
        <v>240</v>
      </c>
      <c r="Q143" s="143"/>
      <c r="R143" s="81"/>
      <c r="S143" s="81"/>
      <c r="T143" s="135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7" t="s">
        <v>1464</v>
      </c>
      <c r="F144" s="47" t="s">
        <v>1742</v>
      </c>
      <c r="G144" s="130" t="s">
        <v>742</v>
      </c>
      <c r="H144" s="131"/>
      <c r="I144" s="59"/>
      <c r="J144" s="76"/>
      <c r="K144" s="81" t="s">
        <v>1865</v>
      </c>
      <c r="L144" s="47" t="s">
        <v>1866</v>
      </c>
      <c r="M144" s="143" t="s">
        <v>1867</v>
      </c>
      <c r="N144" s="134">
        <v>23.099088</v>
      </c>
      <c r="O144" s="134">
        <v>91.875383</v>
      </c>
      <c r="P144" s="144">
        <v>50</v>
      </c>
      <c r="Q144" s="143"/>
      <c r="R144" s="81"/>
      <c r="S144" s="81"/>
      <c r="T144" s="135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7" t="s">
        <v>1464</v>
      </c>
      <c r="F145" s="47" t="s">
        <v>1742</v>
      </c>
      <c r="G145" s="130" t="s">
        <v>742</v>
      </c>
      <c r="H145" s="131"/>
      <c r="I145" s="59"/>
      <c r="J145" s="76"/>
      <c r="K145" s="81" t="s">
        <v>1868</v>
      </c>
      <c r="L145" s="47" t="s">
        <v>1869</v>
      </c>
      <c r="M145" s="143" t="s">
        <v>1870</v>
      </c>
      <c r="N145" s="134">
        <v>23.092947</v>
      </c>
      <c r="O145" s="134">
        <v>91.885802</v>
      </c>
      <c r="P145" s="144">
        <v>240</v>
      </c>
      <c r="Q145" s="143"/>
      <c r="R145" s="81"/>
      <c r="S145" s="81"/>
      <c r="T145" s="7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7" t="s">
        <v>1464</v>
      </c>
      <c r="F146" s="47" t="s">
        <v>1742</v>
      </c>
      <c r="G146" s="130" t="s">
        <v>742</v>
      </c>
      <c r="H146" s="131"/>
      <c r="I146" s="59"/>
      <c r="J146" s="76"/>
      <c r="K146" s="81" t="s">
        <v>1871</v>
      </c>
      <c r="L146" s="47" t="s">
        <v>1872</v>
      </c>
      <c r="M146" s="143" t="s">
        <v>1873</v>
      </c>
      <c r="N146" s="134">
        <v>23.083517</v>
      </c>
      <c r="O146" s="134">
        <v>91.880658</v>
      </c>
      <c r="P146" s="144">
        <v>95</v>
      </c>
      <c r="Q146" s="143"/>
      <c r="R146" s="81"/>
      <c r="S146" s="81"/>
      <c r="T146" s="7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7" t="s">
        <v>1464</v>
      </c>
      <c r="F147" s="47" t="s">
        <v>1742</v>
      </c>
      <c r="G147" s="130" t="s">
        <v>742</v>
      </c>
      <c r="H147" s="131"/>
      <c r="I147" s="59"/>
      <c r="J147" s="76"/>
      <c r="K147" s="81" t="s">
        <v>1874</v>
      </c>
      <c r="L147" s="47" t="s">
        <v>1875</v>
      </c>
      <c r="M147" s="143" t="s">
        <v>1876</v>
      </c>
      <c r="N147" s="134">
        <v>23.088554</v>
      </c>
      <c r="O147" s="134">
        <v>91.888939</v>
      </c>
      <c r="P147" s="144">
        <v>280</v>
      </c>
      <c r="Q147" s="143"/>
      <c r="R147" s="81"/>
      <c r="S147" s="81"/>
      <c r="T147" s="135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7" t="s">
        <v>1464</v>
      </c>
      <c r="F148" s="47" t="s">
        <v>1742</v>
      </c>
      <c r="G148" s="130" t="s">
        <v>742</v>
      </c>
      <c r="H148" s="131"/>
      <c r="I148" s="59"/>
      <c r="J148" s="76"/>
      <c r="K148" s="81" t="s">
        <v>1877</v>
      </c>
      <c r="L148" s="47" t="s">
        <v>1878</v>
      </c>
      <c r="M148" s="143" t="s">
        <v>1879</v>
      </c>
      <c r="N148" s="134">
        <v>23.081084</v>
      </c>
      <c r="O148" s="134">
        <v>91.888614</v>
      </c>
      <c r="P148" s="144">
        <v>160</v>
      </c>
      <c r="Q148" s="143"/>
      <c r="R148" s="81"/>
      <c r="S148" s="81"/>
      <c r="T148" s="135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7" t="s">
        <v>1464</v>
      </c>
      <c r="F149" s="47" t="s">
        <v>1742</v>
      </c>
      <c r="G149" s="130" t="s">
        <v>742</v>
      </c>
      <c r="H149" s="131"/>
      <c r="I149" s="59"/>
      <c r="J149" s="76"/>
      <c r="K149" s="81" t="s">
        <v>1880</v>
      </c>
      <c r="L149" s="47" t="s">
        <v>1881</v>
      </c>
      <c r="M149" s="143" t="s">
        <v>1882</v>
      </c>
      <c r="N149" s="134">
        <v>23.114534</v>
      </c>
      <c r="O149" s="134">
        <v>91.911552</v>
      </c>
      <c r="P149" s="144">
        <v>130</v>
      </c>
      <c r="Q149" s="143"/>
      <c r="R149" s="81"/>
      <c r="S149" s="81"/>
      <c r="T149" s="135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7" t="s">
        <v>1464</v>
      </c>
      <c r="F150" s="47" t="s">
        <v>1742</v>
      </c>
      <c r="G150" s="130" t="s">
        <v>742</v>
      </c>
      <c r="H150" s="131"/>
      <c r="I150" s="59"/>
      <c r="J150" s="76"/>
      <c r="K150" s="81" t="s">
        <v>57</v>
      </c>
      <c r="L150" s="47" t="s">
        <v>804</v>
      </c>
      <c r="M150" s="143" t="s">
        <v>1883</v>
      </c>
      <c r="N150" s="134">
        <v>23.108438</v>
      </c>
      <c r="O150" s="134">
        <v>91.935402</v>
      </c>
      <c r="P150" s="144">
        <v>250</v>
      </c>
      <c r="Q150" s="143"/>
      <c r="R150" s="81"/>
      <c r="S150" s="81"/>
      <c r="T150" s="135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7" t="s">
        <v>1464</v>
      </c>
      <c r="F151" s="47" t="s">
        <v>1742</v>
      </c>
      <c r="G151" s="130" t="s">
        <v>742</v>
      </c>
      <c r="H151" s="131"/>
      <c r="I151" s="59"/>
      <c r="J151" s="76"/>
      <c r="K151" s="81" t="s">
        <v>1884</v>
      </c>
      <c r="L151" s="47" t="s">
        <v>1885</v>
      </c>
      <c r="M151" s="143" t="s">
        <v>1886</v>
      </c>
      <c r="N151" s="134">
        <v>23.10243</v>
      </c>
      <c r="O151" s="134">
        <v>91.919437</v>
      </c>
      <c r="P151" s="144">
        <v>70</v>
      </c>
      <c r="Q151" s="143"/>
      <c r="R151" s="81"/>
      <c r="S151" s="81"/>
      <c r="T151" s="7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7" t="s">
        <v>1464</v>
      </c>
      <c r="F152" s="47" t="s">
        <v>1742</v>
      </c>
      <c r="G152" s="130" t="s">
        <v>742</v>
      </c>
      <c r="H152" s="131"/>
      <c r="I152" s="59"/>
      <c r="J152" s="76"/>
      <c r="K152" s="81" t="s">
        <v>1887</v>
      </c>
      <c r="L152" s="47" t="s">
        <v>1888</v>
      </c>
      <c r="M152" s="143" t="s">
        <v>1889</v>
      </c>
      <c r="N152" s="134">
        <v>23.092272</v>
      </c>
      <c r="O152" s="134">
        <v>91.902025</v>
      </c>
      <c r="P152" s="144">
        <v>95</v>
      </c>
      <c r="Q152" s="143"/>
      <c r="R152" s="81"/>
      <c r="S152" s="81"/>
      <c r="T152" s="135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7" t="s">
        <v>1464</v>
      </c>
      <c r="F153" s="47" t="s">
        <v>1742</v>
      </c>
      <c r="G153" s="130" t="s">
        <v>742</v>
      </c>
      <c r="H153" s="131"/>
      <c r="I153" s="132"/>
      <c r="J153" s="76"/>
      <c r="K153" s="81" t="s">
        <v>1890</v>
      </c>
      <c r="L153" s="47" t="s">
        <v>1891</v>
      </c>
      <c r="M153" s="143" t="s">
        <v>1892</v>
      </c>
      <c r="N153" s="134">
        <v>23.10279</v>
      </c>
      <c r="O153" s="134">
        <v>91.907909</v>
      </c>
      <c r="P153" s="144">
        <v>60</v>
      </c>
      <c r="Q153" s="143"/>
      <c r="R153" s="81"/>
      <c r="S153" s="81"/>
      <c r="T153" s="135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7" t="s">
        <v>1464</v>
      </c>
      <c r="F154" s="47" t="s">
        <v>1742</v>
      </c>
      <c r="G154" s="130" t="s">
        <v>761</v>
      </c>
      <c r="H154" s="131"/>
      <c r="I154" s="132"/>
      <c r="J154" s="76"/>
      <c r="K154" s="81" t="s">
        <v>1893</v>
      </c>
      <c r="L154" s="47" t="s">
        <v>1894</v>
      </c>
      <c r="M154" s="47" t="s">
        <v>1895</v>
      </c>
      <c r="N154" s="134">
        <v>23.075638</v>
      </c>
      <c r="O154" s="134">
        <v>91.819078</v>
      </c>
      <c r="P154" s="81">
        <v>240</v>
      </c>
      <c r="Q154" s="47"/>
      <c r="R154" s="81"/>
      <c r="S154" s="81"/>
      <c r="T154" s="7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7" t="s">
        <v>1464</v>
      </c>
      <c r="F155" s="47" t="s">
        <v>1742</v>
      </c>
      <c r="G155" s="130" t="s">
        <v>761</v>
      </c>
      <c r="H155" s="131"/>
      <c r="I155" s="132"/>
      <c r="J155" s="76"/>
      <c r="K155" s="81" t="s">
        <v>1896</v>
      </c>
      <c r="L155" s="47" t="s">
        <v>1897</v>
      </c>
      <c r="M155" s="47" t="s">
        <v>1898</v>
      </c>
      <c r="N155" s="134">
        <v>23.076107</v>
      </c>
      <c r="O155" s="134">
        <v>91.821915</v>
      </c>
      <c r="P155" s="81">
        <v>300</v>
      </c>
      <c r="Q155" s="47"/>
      <c r="R155" s="81"/>
      <c r="S155" s="81"/>
      <c r="T155" s="135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7" t="s">
        <v>1464</v>
      </c>
      <c r="F156" s="47" t="s">
        <v>1742</v>
      </c>
      <c r="G156" s="130" t="s">
        <v>761</v>
      </c>
      <c r="H156" s="131"/>
      <c r="I156" s="132"/>
      <c r="J156" s="76"/>
      <c r="K156" s="81" t="s">
        <v>1899</v>
      </c>
      <c r="L156" s="47" t="s">
        <v>1900</v>
      </c>
      <c r="M156" s="47" t="s">
        <v>1901</v>
      </c>
      <c r="N156" s="134">
        <v>23.079537</v>
      </c>
      <c r="O156" s="134">
        <v>91.826853</v>
      </c>
      <c r="P156" s="81">
        <v>150</v>
      </c>
      <c r="Q156" s="47"/>
      <c r="R156" s="81"/>
      <c r="S156" s="81"/>
      <c r="T156" s="7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7" t="s">
        <v>1464</v>
      </c>
      <c r="F157" s="47" t="s">
        <v>1742</v>
      </c>
      <c r="G157" s="130" t="s">
        <v>761</v>
      </c>
      <c r="H157" s="131"/>
      <c r="I157" s="132"/>
      <c r="J157" s="76"/>
      <c r="K157" s="81" t="s">
        <v>1902</v>
      </c>
      <c r="L157" s="47" t="s">
        <v>1903</v>
      </c>
      <c r="M157" s="47" t="s">
        <v>1904</v>
      </c>
      <c r="N157" s="134">
        <v>23.077814</v>
      </c>
      <c r="O157" s="134">
        <v>91.821349</v>
      </c>
      <c r="P157" s="81">
        <v>200</v>
      </c>
      <c r="Q157" s="47"/>
      <c r="R157" s="81"/>
      <c r="S157" s="81"/>
      <c r="T157" s="7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7" t="s">
        <v>1464</v>
      </c>
      <c r="F158" s="47" t="s">
        <v>1742</v>
      </c>
      <c r="G158" s="130" t="s">
        <v>761</v>
      </c>
      <c r="H158" s="131"/>
      <c r="I158" s="132"/>
      <c r="J158" s="76"/>
      <c r="K158" s="81" t="s">
        <v>1905</v>
      </c>
      <c r="L158" s="47" t="s">
        <v>1906</v>
      </c>
      <c r="M158" s="47" t="s">
        <v>1907</v>
      </c>
      <c r="N158" s="134">
        <v>23.08115</v>
      </c>
      <c r="O158" s="134">
        <v>91.82387</v>
      </c>
      <c r="P158" s="81">
        <v>240</v>
      </c>
      <c r="Q158" s="47"/>
      <c r="R158" s="81"/>
      <c r="S158" s="81"/>
      <c r="T158" s="135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7" t="s">
        <v>1464</v>
      </c>
      <c r="F159" s="47" t="s">
        <v>1742</v>
      </c>
      <c r="G159" s="130" t="s">
        <v>781</v>
      </c>
      <c r="H159" s="131"/>
      <c r="I159" s="132"/>
      <c r="J159" s="76"/>
      <c r="K159" s="81" t="s">
        <v>1908</v>
      </c>
      <c r="L159" s="47" t="s">
        <v>1909</v>
      </c>
      <c r="M159" s="143" t="s">
        <v>1910</v>
      </c>
      <c r="N159" s="134">
        <v>23.09166</v>
      </c>
      <c r="O159" s="134">
        <v>91.843075</v>
      </c>
      <c r="P159" s="144">
        <v>100</v>
      </c>
      <c r="Q159" s="143"/>
      <c r="R159" s="81"/>
      <c r="S159" s="81"/>
      <c r="T159" s="135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3"/>
      <c r="AH159" s="58"/>
      <c r="AI159" s="59"/>
      <c r="AJ159" s="57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7" t="s">
        <v>1464</v>
      </c>
      <c r="F160" s="47" t="s">
        <v>1742</v>
      </c>
      <c r="G160" s="130" t="s">
        <v>781</v>
      </c>
      <c r="H160" s="131"/>
      <c r="I160" s="59"/>
      <c r="J160" s="76"/>
      <c r="K160" s="81" t="s">
        <v>1911</v>
      </c>
      <c r="L160" s="47" t="s">
        <v>1912</v>
      </c>
      <c r="M160" s="143" t="s">
        <v>1913</v>
      </c>
      <c r="N160" s="134">
        <v>23.091635</v>
      </c>
      <c r="O160" s="134">
        <v>91.839413</v>
      </c>
      <c r="P160" s="144">
        <v>300</v>
      </c>
      <c r="Q160" s="143"/>
      <c r="R160" s="81"/>
      <c r="S160" s="81"/>
      <c r="T160" s="7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3"/>
      <c r="AH160" s="58"/>
      <c r="AI160" s="59"/>
      <c r="AJ160" s="57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7" t="s">
        <v>1464</v>
      </c>
      <c r="F161" s="47" t="s">
        <v>1742</v>
      </c>
      <c r="G161" s="130" t="s">
        <v>781</v>
      </c>
      <c r="H161" s="131"/>
      <c r="I161" s="59"/>
      <c r="J161" s="76"/>
      <c r="K161" s="81" t="s">
        <v>1914</v>
      </c>
      <c r="L161" s="47" t="s">
        <v>1915</v>
      </c>
      <c r="M161" s="143" t="s">
        <v>1916</v>
      </c>
      <c r="N161" s="134">
        <v>23.087287</v>
      </c>
      <c r="O161" s="134">
        <v>91.82978</v>
      </c>
      <c r="P161" s="144">
        <v>150</v>
      </c>
      <c r="Q161" s="143"/>
      <c r="R161" s="81"/>
      <c r="S161" s="81"/>
      <c r="T161" s="7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3"/>
      <c r="AH161" s="58"/>
      <c r="AI161" s="59"/>
      <c r="AJ161" s="57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7" t="s">
        <v>1464</v>
      </c>
      <c r="F162" s="47" t="s">
        <v>1742</v>
      </c>
      <c r="G162" s="130" t="s">
        <v>781</v>
      </c>
      <c r="H162" s="131"/>
      <c r="I162" s="59"/>
      <c r="J162" s="76"/>
      <c r="K162" s="81" t="s">
        <v>1917</v>
      </c>
      <c r="L162" s="47" t="s">
        <v>1918</v>
      </c>
      <c r="M162" s="143" t="s">
        <v>1919</v>
      </c>
      <c r="N162" s="134">
        <v>23.085983</v>
      </c>
      <c r="O162" s="134">
        <v>91.832925</v>
      </c>
      <c r="P162" s="144">
        <v>80</v>
      </c>
      <c r="Q162" s="143"/>
      <c r="R162" s="81"/>
      <c r="S162" s="81"/>
      <c r="T162" s="7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3"/>
      <c r="AH162" s="58"/>
      <c r="AI162" s="59"/>
      <c r="AJ162" s="57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7" t="s">
        <v>1464</v>
      </c>
      <c r="F163" s="47" t="s">
        <v>1742</v>
      </c>
      <c r="G163" s="130" t="s">
        <v>781</v>
      </c>
      <c r="H163" s="131"/>
      <c r="I163" s="59"/>
      <c r="J163" s="76"/>
      <c r="K163" s="81" t="s">
        <v>1920</v>
      </c>
      <c r="L163" s="47" t="s">
        <v>1921</v>
      </c>
      <c r="M163" s="143" t="s">
        <v>1922</v>
      </c>
      <c r="N163" s="134">
        <v>23.086129</v>
      </c>
      <c r="O163" s="134">
        <v>91.841606</v>
      </c>
      <c r="P163" s="144">
        <v>360</v>
      </c>
      <c r="Q163" s="143"/>
      <c r="R163" s="81"/>
      <c r="S163" s="81"/>
      <c r="T163" s="7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3"/>
      <c r="AH163" s="58"/>
      <c r="AI163" s="59"/>
      <c r="AJ163" s="57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7" t="s">
        <v>1464</v>
      </c>
      <c r="F164" s="47" t="s">
        <v>1742</v>
      </c>
      <c r="G164" s="130" t="s">
        <v>781</v>
      </c>
      <c r="H164" s="131"/>
      <c r="I164" s="59"/>
      <c r="J164" s="76"/>
      <c r="K164" s="81" t="s">
        <v>1923</v>
      </c>
      <c r="L164" s="47" t="s">
        <v>1924</v>
      </c>
      <c r="M164" s="143" t="s">
        <v>1925</v>
      </c>
      <c r="N164" s="134">
        <v>23.074548</v>
      </c>
      <c r="O164" s="134">
        <v>91.839781</v>
      </c>
      <c r="P164" s="144">
        <v>100</v>
      </c>
      <c r="Q164" s="143"/>
      <c r="R164" s="81"/>
      <c r="S164" s="81"/>
      <c r="T164" s="7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3"/>
      <c r="AH164" s="58"/>
      <c r="AI164" s="59"/>
      <c r="AJ164" s="57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7" t="s">
        <v>1464</v>
      </c>
      <c r="F165" s="47" t="s">
        <v>1742</v>
      </c>
      <c r="G165" s="130" t="s">
        <v>781</v>
      </c>
      <c r="H165" s="131"/>
      <c r="I165" s="59"/>
      <c r="J165" s="76"/>
      <c r="K165" s="81" t="s">
        <v>1926</v>
      </c>
      <c r="L165" s="47" t="s">
        <v>1927</v>
      </c>
      <c r="M165" s="143" t="s">
        <v>1928</v>
      </c>
      <c r="N165" s="134">
        <v>23.080274</v>
      </c>
      <c r="O165" s="134">
        <v>91.846674</v>
      </c>
      <c r="P165" s="144">
        <v>120</v>
      </c>
      <c r="Q165" s="143"/>
      <c r="R165" s="81"/>
      <c r="S165" s="81"/>
      <c r="T165" s="7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3"/>
      <c r="AH165" s="58"/>
      <c r="AI165" s="59"/>
      <c r="AJ165" s="57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7" t="s">
        <v>1464</v>
      </c>
      <c r="F166" s="47" t="s">
        <v>1742</v>
      </c>
      <c r="G166" s="130" t="s">
        <v>797</v>
      </c>
      <c r="H166" s="131"/>
      <c r="I166" s="59"/>
      <c r="J166" s="76"/>
      <c r="K166" s="81" t="s">
        <v>1929</v>
      </c>
      <c r="L166" s="47" t="s">
        <v>1930</v>
      </c>
      <c r="M166" s="47" t="s">
        <v>1931</v>
      </c>
      <c r="N166" s="134">
        <v>23.092393</v>
      </c>
      <c r="O166" s="134">
        <v>91.846737</v>
      </c>
      <c r="P166" s="81">
        <v>300</v>
      </c>
      <c r="Q166" s="47"/>
      <c r="R166" s="81"/>
      <c r="S166" s="81"/>
      <c r="T166" s="7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3"/>
      <c r="AH166" s="58"/>
      <c r="AI166" s="59"/>
      <c r="AJ166" s="57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7" t="s">
        <v>1464</v>
      </c>
      <c r="F167" s="47" t="s">
        <v>1742</v>
      </c>
      <c r="G167" s="130" t="s">
        <v>797</v>
      </c>
      <c r="H167" s="131"/>
      <c r="I167" s="59"/>
      <c r="J167" s="76"/>
      <c r="K167" s="81" t="s">
        <v>1932</v>
      </c>
      <c r="L167" s="47" t="s">
        <v>1933</v>
      </c>
      <c r="M167" s="47" t="s">
        <v>1934</v>
      </c>
      <c r="N167" s="134">
        <v>23.083534</v>
      </c>
      <c r="O167" s="134">
        <v>91.854027</v>
      </c>
      <c r="P167" s="81">
        <v>600</v>
      </c>
      <c r="Q167" s="47"/>
      <c r="R167" s="81"/>
      <c r="S167" s="81"/>
      <c r="T167" s="7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3"/>
      <c r="AH167" s="58"/>
      <c r="AI167" s="59"/>
      <c r="AJ167" s="57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7" t="s">
        <v>1464</v>
      </c>
      <c r="F168" s="47" t="s">
        <v>1742</v>
      </c>
      <c r="G168" s="130" t="s">
        <v>797</v>
      </c>
      <c r="H168" s="131"/>
      <c r="I168" s="132"/>
      <c r="J168" s="76"/>
      <c r="K168" s="81" t="s">
        <v>1935</v>
      </c>
      <c r="L168" s="47" t="s">
        <v>1936</v>
      </c>
      <c r="M168" s="47" t="s">
        <v>1937</v>
      </c>
      <c r="N168" s="134">
        <v>23.08767</v>
      </c>
      <c r="O168" s="134">
        <v>91.863595</v>
      </c>
      <c r="P168" s="81">
        <v>250</v>
      </c>
      <c r="Q168" s="47"/>
      <c r="R168" s="81"/>
      <c r="S168" s="81"/>
      <c r="T168" s="7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3"/>
      <c r="AH168" s="58"/>
      <c r="AI168" s="59"/>
      <c r="AJ168" s="57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7" t="s">
        <v>1464</v>
      </c>
      <c r="F169" s="47" t="s">
        <v>1938</v>
      </c>
      <c r="G169" s="130" t="s">
        <v>677</v>
      </c>
      <c r="H169" s="131"/>
      <c r="I169" s="132"/>
      <c r="J169" s="57"/>
      <c r="K169" s="81" t="s">
        <v>1939</v>
      </c>
      <c r="L169" s="47" t="s">
        <v>1940</v>
      </c>
      <c r="M169" s="47" t="s">
        <v>1941</v>
      </c>
      <c r="N169" s="134">
        <v>23.122229</v>
      </c>
      <c r="O169" s="134">
        <v>91.824259</v>
      </c>
      <c r="P169" s="81">
        <v>520</v>
      </c>
      <c r="Q169" s="47"/>
      <c r="R169" s="81"/>
      <c r="S169" s="81"/>
      <c r="T169" s="7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3"/>
      <c r="AH169" s="58"/>
      <c r="AI169" s="59"/>
      <c r="AJ169" s="57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7" t="s">
        <v>1464</v>
      </c>
      <c r="F170" s="47" t="s">
        <v>1938</v>
      </c>
      <c r="G170" s="130" t="s">
        <v>677</v>
      </c>
      <c r="H170" s="131"/>
      <c r="I170" s="132"/>
      <c r="J170" s="76"/>
      <c r="K170" s="81" t="s">
        <v>1942</v>
      </c>
      <c r="L170" s="47" t="s">
        <v>1943</v>
      </c>
      <c r="M170" s="47" t="s">
        <v>1944</v>
      </c>
      <c r="N170" s="134">
        <v>23.123341</v>
      </c>
      <c r="O170" s="134">
        <v>91.834117</v>
      </c>
      <c r="P170" s="81">
        <v>200</v>
      </c>
      <c r="Q170" s="47"/>
      <c r="R170" s="81"/>
      <c r="S170" s="81"/>
      <c r="T170" s="7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3"/>
      <c r="AH170" s="58"/>
      <c r="AI170" s="59"/>
      <c r="AJ170" s="57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7" t="s">
        <v>1464</v>
      </c>
      <c r="F171" s="47" t="s">
        <v>1938</v>
      </c>
      <c r="G171" s="130" t="s">
        <v>677</v>
      </c>
      <c r="H171" s="131"/>
      <c r="I171" s="132"/>
      <c r="J171" s="76"/>
      <c r="K171" s="81" t="s">
        <v>1945</v>
      </c>
      <c r="L171" s="47" t="s">
        <v>1946</v>
      </c>
      <c r="M171" s="47" t="s">
        <v>1947</v>
      </c>
      <c r="N171" s="134">
        <v>23.125374</v>
      </c>
      <c r="O171" s="134">
        <v>91.838048</v>
      </c>
      <c r="P171" s="81">
        <v>680</v>
      </c>
      <c r="Q171" s="47"/>
      <c r="R171" s="81"/>
      <c r="S171" s="81"/>
      <c r="T171" s="7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3"/>
      <c r="AH171" s="58"/>
      <c r="AI171" s="59"/>
      <c r="AJ171" s="57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7" t="s">
        <v>1464</v>
      </c>
      <c r="F172" s="47" t="s">
        <v>1938</v>
      </c>
      <c r="G172" s="130" t="s">
        <v>677</v>
      </c>
      <c r="H172" s="131"/>
      <c r="I172" s="132"/>
      <c r="J172" s="76"/>
      <c r="K172" s="81" t="s">
        <v>1948</v>
      </c>
      <c r="L172" s="47" t="s">
        <v>1949</v>
      </c>
      <c r="M172" s="47" t="s">
        <v>1950</v>
      </c>
      <c r="N172" s="134">
        <v>23.131073</v>
      </c>
      <c r="O172" s="134">
        <v>91.847955</v>
      </c>
      <c r="P172" s="81">
        <v>120</v>
      </c>
      <c r="Q172" s="47"/>
      <c r="R172" s="81"/>
      <c r="S172" s="81"/>
      <c r="T172" s="7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3"/>
      <c r="AH172" s="58"/>
      <c r="AI172" s="59"/>
      <c r="AJ172" s="57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7" t="s">
        <v>1464</v>
      </c>
      <c r="F173" s="47" t="s">
        <v>1938</v>
      </c>
      <c r="G173" s="130" t="s">
        <v>677</v>
      </c>
      <c r="H173" s="131"/>
      <c r="I173" s="132"/>
      <c r="J173" s="76"/>
      <c r="K173" s="81" t="s">
        <v>1951</v>
      </c>
      <c r="L173" s="47" t="s">
        <v>1952</v>
      </c>
      <c r="M173" s="47" t="s">
        <v>1953</v>
      </c>
      <c r="N173" s="134">
        <v>23.120101</v>
      </c>
      <c r="O173" s="134">
        <v>91.818548</v>
      </c>
      <c r="P173" s="81">
        <v>45</v>
      </c>
      <c r="Q173" s="47"/>
      <c r="R173" s="81"/>
      <c r="S173" s="81"/>
      <c r="T173" s="7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3"/>
      <c r="AH173" s="58"/>
      <c r="AI173" s="59"/>
      <c r="AJ173" s="57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7" t="s">
        <v>1464</v>
      </c>
      <c r="F174" s="47" t="s">
        <v>1938</v>
      </c>
      <c r="G174" s="130" t="s">
        <v>684</v>
      </c>
      <c r="H174" s="131"/>
      <c r="I174" s="132"/>
      <c r="J174" s="76"/>
      <c r="K174" s="81" t="s">
        <v>1954</v>
      </c>
      <c r="L174" s="47" t="s">
        <v>1955</v>
      </c>
      <c r="M174" s="143" t="s">
        <v>1956</v>
      </c>
      <c r="N174" s="134">
        <v>23.116259</v>
      </c>
      <c r="O174" s="134">
        <v>91.833841</v>
      </c>
      <c r="P174" s="144">
        <v>600</v>
      </c>
      <c r="Q174" s="143"/>
      <c r="R174" s="81"/>
      <c r="S174" s="81"/>
      <c r="T174" s="7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3"/>
      <c r="AH174" s="58"/>
      <c r="AI174" s="59"/>
      <c r="AJ174" s="57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7" t="s">
        <v>1464</v>
      </c>
      <c r="F175" s="47" t="s">
        <v>1938</v>
      </c>
      <c r="G175" s="130" t="s">
        <v>684</v>
      </c>
      <c r="H175" s="131"/>
      <c r="I175" s="59"/>
      <c r="J175" s="76"/>
      <c r="K175" s="81" t="s">
        <v>1957</v>
      </c>
      <c r="L175" s="47" t="s">
        <v>1958</v>
      </c>
      <c r="M175" s="143" t="s">
        <v>1959</v>
      </c>
      <c r="N175" s="134">
        <v>23.116936</v>
      </c>
      <c r="O175" s="134">
        <v>91.825763</v>
      </c>
      <c r="P175" s="144">
        <v>200</v>
      </c>
      <c r="Q175" s="143"/>
      <c r="R175" s="81"/>
      <c r="S175" s="81"/>
      <c r="T175" s="7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3"/>
      <c r="AH175" s="58"/>
      <c r="AI175" s="59"/>
      <c r="AJ175" s="57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7" t="s">
        <v>1464</v>
      </c>
      <c r="F176" s="47" t="s">
        <v>1938</v>
      </c>
      <c r="G176" s="130" t="s">
        <v>684</v>
      </c>
      <c r="H176" s="131"/>
      <c r="I176" s="132"/>
      <c r="J176" s="76"/>
      <c r="K176" s="81" t="s">
        <v>1960</v>
      </c>
      <c r="L176" s="47" t="s">
        <v>1961</v>
      </c>
      <c r="M176" s="143" t="s">
        <v>1962</v>
      </c>
      <c r="N176" s="134">
        <v>23.11353</v>
      </c>
      <c r="O176" s="134">
        <v>91.829025</v>
      </c>
      <c r="P176" s="144">
        <v>130</v>
      </c>
      <c r="Q176" s="143"/>
      <c r="R176" s="81"/>
      <c r="S176" s="81"/>
      <c r="T176" s="135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3"/>
      <c r="AH176" s="58"/>
      <c r="AI176" s="59"/>
      <c r="AJ176" s="57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7" t="s">
        <v>1464</v>
      </c>
      <c r="F177" s="47" t="s">
        <v>1938</v>
      </c>
      <c r="G177" s="130" t="s">
        <v>684</v>
      </c>
      <c r="H177" s="131"/>
      <c r="I177" s="132"/>
      <c r="J177" s="76"/>
      <c r="K177" s="81" t="s">
        <v>1963</v>
      </c>
      <c r="L177" s="47" t="s">
        <v>1964</v>
      </c>
      <c r="M177" s="143" t="s">
        <v>1965</v>
      </c>
      <c r="N177" s="134">
        <v>23.112114</v>
      </c>
      <c r="O177" s="134">
        <v>91.825979</v>
      </c>
      <c r="P177" s="144">
        <v>500</v>
      </c>
      <c r="Q177" s="143"/>
      <c r="R177" s="81"/>
      <c r="S177" s="81"/>
      <c r="T177" s="135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3"/>
      <c r="AH177" s="58"/>
      <c r="AI177" s="59"/>
      <c r="AJ177" s="57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7" t="s">
        <v>1464</v>
      </c>
      <c r="F178" s="47" t="s">
        <v>1938</v>
      </c>
      <c r="G178" s="130" t="s">
        <v>684</v>
      </c>
      <c r="H178" s="131"/>
      <c r="I178" s="132"/>
      <c r="J178" s="76"/>
      <c r="K178" s="81" t="s">
        <v>1966</v>
      </c>
      <c r="L178" s="47" t="s">
        <v>1967</v>
      </c>
      <c r="M178" s="143" t="s">
        <v>1968</v>
      </c>
      <c r="N178" s="134">
        <v>23.109093</v>
      </c>
      <c r="O178" s="134">
        <v>91.826739</v>
      </c>
      <c r="P178" s="144">
        <v>140</v>
      </c>
      <c r="Q178" s="143"/>
      <c r="R178" s="81"/>
      <c r="S178" s="81"/>
      <c r="T178" s="135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3"/>
      <c r="AH178" s="58"/>
      <c r="AI178" s="59"/>
      <c r="AJ178" s="57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7" t="s">
        <v>1464</v>
      </c>
      <c r="F179" s="47" t="s">
        <v>1938</v>
      </c>
      <c r="G179" s="130" t="s">
        <v>684</v>
      </c>
      <c r="H179" s="131"/>
      <c r="I179" s="132"/>
      <c r="J179" s="76"/>
      <c r="K179" s="81" t="s">
        <v>1969</v>
      </c>
      <c r="L179" s="47" t="s">
        <v>1970</v>
      </c>
      <c r="M179" s="143" t="s">
        <v>1971</v>
      </c>
      <c r="N179" s="134">
        <v>23.111829</v>
      </c>
      <c r="O179" s="134">
        <v>91.82858</v>
      </c>
      <c r="P179" s="144">
        <v>100</v>
      </c>
      <c r="Q179" s="143"/>
      <c r="R179" s="81"/>
      <c r="S179" s="81"/>
      <c r="T179" s="135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3"/>
      <c r="AH179" s="58"/>
      <c r="AI179" s="59"/>
      <c r="AJ179" s="57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7" t="s">
        <v>1464</v>
      </c>
      <c r="F180" s="47" t="s">
        <v>1938</v>
      </c>
      <c r="G180" s="130" t="s">
        <v>684</v>
      </c>
      <c r="H180" s="131"/>
      <c r="I180" s="132"/>
      <c r="J180" s="76"/>
      <c r="K180" s="81" t="s">
        <v>1972</v>
      </c>
      <c r="L180" s="47" t="s">
        <v>1973</v>
      </c>
      <c r="M180" s="143" t="s">
        <v>1974</v>
      </c>
      <c r="N180" s="134">
        <v>23.114109</v>
      </c>
      <c r="O180" s="134">
        <v>91.838569</v>
      </c>
      <c r="P180" s="144">
        <v>130</v>
      </c>
      <c r="Q180" s="143"/>
      <c r="R180" s="81"/>
      <c r="S180" s="81"/>
      <c r="T180" s="135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3"/>
      <c r="AH180" s="58"/>
      <c r="AI180" s="59"/>
      <c r="AJ180" s="57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7" t="s">
        <v>1464</v>
      </c>
      <c r="F181" s="47" t="s">
        <v>1938</v>
      </c>
      <c r="G181" s="130" t="s">
        <v>697</v>
      </c>
      <c r="H181" s="131"/>
      <c r="I181" s="132"/>
      <c r="J181" s="76"/>
      <c r="K181" s="81" t="s">
        <v>1975</v>
      </c>
      <c r="L181" s="47" t="s">
        <v>1976</v>
      </c>
      <c r="M181" s="47" t="s">
        <v>1977</v>
      </c>
      <c r="N181" s="134">
        <v>23.110121</v>
      </c>
      <c r="O181" s="134">
        <v>91.846872</v>
      </c>
      <c r="P181" s="81">
        <v>450</v>
      </c>
      <c r="Q181" s="47"/>
      <c r="R181" s="81"/>
      <c r="S181" s="81"/>
      <c r="T181" s="135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3"/>
      <c r="AH181" s="58"/>
      <c r="AI181" s="59"/>
      <c r="AJ181" s="57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7" t="s">
        <v>1464</v>
      </c>
      <c r="F182" s="47" t="s">
        <v>1938</v>
      </c>
      <c r="G182" s="130" t="s">
        <v>697</v>
      </c>
      <c r="H182" s="131"/>
      <c r="I182" s="132"/>
      <c r="J182" s="76"/>
      <c r="K182" s="81" t="s">
        <v>1978</v>
      </c>
      <c r="L182" s="47" t="s">
        <v>1979</v>
      </c>
      <c r="M182" s="47" t="s">
        <v>1980</v>
      </c>
      <c r="N182" s="134">
        <v>23.107093</v>
      </c>
      <c r="O182" s="134">
        <v>91.842799</v>
      </c>
      <c r="P182" s="81">
        <v>500</v>
      </c>
      <c r="Q182" s="47"/>
      <c r="R182" s="81"/>
      <c r="S182" s="81"/>
      <c r="T182" s="135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3"/>
      <c r="AH182" s="58"/>
      <c r="AI182" s="59"/>
      <c r="AJ182" s="57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7" t="s">
        <v>1464</v>
      </c>
      <c r="F183" s="47" t="s">
        <v>1938</v>
      </c>
      <c r="G183" s="130" t="s">
        <v>697</v>
      </c>
      <c r="H183" s="131"/>
      <c r="I183" s="132"/>
      <c r="J183" s="76"/>
      <c r="K183" s="81" t="s">
        <v>1981</v>
      </c>
      <c r="L183" s="47" t="s">
        <v>1982</v>
      </c>
      <c r="M183" s="47" t="s">
        <v>1983</v>
      </c>
      <c r="N183" s="134">
        <v>23.115793</v>
      </c>
      <c r="O183" s="134">
        <v>91.843777</v>
      </c>
      <c r="P183" s="81">
        <v>420</v>
      </c>
      <c r="Q183" s="47"/>
      <c r="R183" s="81"/>
      <c r="S183" s="81"/>
      <c r="T183" s="135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3"/>
      <c r="AH183" s="58"/>
      <c r="AI183" s="59"/>
      <c r="AJ183" s="57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7" t="s">
        <v>1464</v>
      </c>
      <c r="F184" s="47" t="s">
        <v>1938</v>
      </c>
      <c r="G184" s="130" t="s">
        <v>697</v>
      </c>
      <c r="H184" s="131"/>
      <c r="I184" s="132"/>
      <c r="J184" s="76"/>
      <c r="K184" s="81" t="s">
        <v>1984</v>
      </c>
      <c r="L184" s="47" t="s">
        <v>1985</v>
      </c>
      <c r="M184" s="47" t="s">
        <v>1986</v>
      </c>
      <c r="N184" s="134">
        <v>23.111385</v>
      </c>
      <c r="O184" s="134">
        <v>91.841563</v>
      </c>
      <c r="P184" s="81">
        <v>200</v>
      </c>
      <c r="Q184" s="47"/>
      <c r="R184" s="81"/>
      <c r="S184" s="81"/>
      <c r="T184" s="135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3"/>
      <c r="AH184" s="58"/>
      <c r="AI184" s="59"/>
      <c r="AJ184" s="57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7" t="s">
        <v>1464</v>
      </c>
      <c r="F185" s="47" t="s">
        <v>1938</v>
      </c>
      <c r="G185" s="130" t="s">
        <v>707</v>
      </c>
      <c r="H185" s="131"/>
      <c r="I185" s="132"/>
      <c r="J185" s="76"/>
      <c r="K185" s="81" t="s">
        <v>1987</v>
      </c>
      <c r="L185" s="47" t="s">
        <v>1988</v>
      </c>
      <c r="M185" s="143" t="s">
        <v>1989</v>
      </c>
      <c r="N185" s="134">
        <v>23.112126</v>
      </c>
      <c r="O185" s="134">
        <v>91.84906</v>
      </c>
      <c r="P185" s="144">
        <v>220</v>
      </c>
      <c r="Q185" s="143"/>
      <c r="R185" s="81"/>
      <c r="S185" s="81"/>
      <c r="T185" s="135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3"/>
      <c r="AH185" s="58"/>
      <c r="AI185" s="59"/>
      <c r="AJ185" s="57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7" t="s">
        <v>1464</v>
      </c>
      <c r="F186" s="47" t="s">
        <v>1938</v>
      </c>
      <c r="G186" s="130" t="s">
        <v>707</v>
      </c>
      <c r="H186" s="131"/>
      <c r="I186" s="132"/>
      <c r="J186" s="76"/>
      <c r="K186" s="81" t="s">
        <v>1990</v>
      </c>
      <c r="L186" s="47" t="s">
        <v>1991</v>
      </c>
      <c r="M186" s="143" t="s">
        <v>1992</v>
      </c>
      <c r="N186" s="134">
        <v>23.110444</v>
      </c>
      <c r="O186" s="134">
        <v>91.854259</v>
      </c>
      <c r="P186" s="144">
        <v>480</v>
      </c>
      <c r="Q186" s="143"/>
      <c r="R186" s="81"/>
      <c r="S186" s="81"/>
      <c r="T186" s="135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3"/>
      <c r="AH186" s="58"/>
      <c r="AI186" s="59"/>
      <c r="AJ186" s="57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7" t="s">
        <v>1464</v>
      </c>
      <c r="F187" s="47" t="s">
        <v>1938</v>
      </c>
      <c r="G187" s="130" t="s">
        <v>707</v>
      </c>
      <c r="H187" s="131"/>
      <c r="I187" s="132"/>
      <c r="J187" s="76"/>
      <c r="K187" s="81" t="s">
        <v>1993</v>
      </c>
      <c r="L187" s="47" t="s">
        <v>1994</v>
      </c>
      <c r="M187" s="143" t="s">
        <v>1995</v>
      </c>
      <c r="N187" s="134">
        <v>23.113796</v>
      </c>
      <c r="O187" s="134">
        <v>91.852898</v>
      </c>
      <c r="P187" s="144">
        <v>280</v>
      </c>
      <c r="Q187" s="143"/>
      <c r="R187" s="81"/>
      <c r="S187" s="81"/>
      <c r="T187" s="135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3"/>
      <c r="AH187" s="58"/>
      <c r="AI187" s="59"/>
      <c r="AJ187" s="57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7" t="s">
        <v>1464</v>
      </c>
      <c r="F188" s="47" t="s">
        <v>1938</v>
      </c>
      <c r="G188" s="130" t="s">
        <v>707</v>
      </c>
      <c r="H188" s="131"/>
      <c r="I188" s="132"/>
      <c r="J188" s="76"/>
      <c r="K188" s="81" t="s">
        <v>1996</v>
      </c>
      <c r="L188" s="47" t="s">
        <v>1997</v>
      </c>
      <c r="M188" s="143" t="s">
        <v>1998</v>
      </c>
      <c r="N188" s="134">
        <v>23.116299</v>
      </c>
      <c r="O188" s="134">
        <v>91.860478</v>
      </c>
      <c r="P188" s="144">
        <v>400</v>
      </c>
      <c r="Q188" s="143"/>
      <c r="R188" s="81"/>
      <c r="S188" s="81"/>
      <c r="T188" s="135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3"/>
      <c r="AH188" s="58"/>
      <c r="AI188" s="59"/>
      <c r="AJ188" s="57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7" t="s">
        <v>1464</v>
      </c>
      <c r="F189" s="47" t="s">
        <v>1938</v>
      </c>
      <c r="G189" s="130" t="s">
        <v>707</v>
      </c>
      <c r="H189" s="131"/>
      <c r="I189" s="132"/>
      <c r="J189" s="76"/>
      <c r="K189" s="81" t="s">
        <v>1999</v>
      </c>
      <c r="L189" s="47" t="s">
        <v>2000</v>
      </c>
      <c r="M189" s="143" t="s">
        <v>2001</v>
      </c>
      <c r="N189" s="134">
        <v>23.117826</v>
      </c>
      <c r="O189" s="134">
        <v>91.854499</v>
      </c>
      <c r="P189" s="144">
        <v>210</v>
      </c>
      <c r="Q189" s="143"/>
      <c r="R189" s="81"/>
      <c r="S189" s="81"/>
      <c r="T189" s="135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3"/>
      <c r="AH189" s="58"/>
      <c r="AI189" s="59"/>
      <c r="AJ189" s="57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7" t="s">
        <v>1464</v>
      </c>
      <c r="F190" s="47" t="s">
        <v>1938</v>
      </c>
      <c r="G190" s="130" t="s">
        <v>707</v>
      </c>
      <c r="H190" s="131"/>
      <c r="I190" s="132"/>
      <c r="J190" s="76"/>
      <c r="K190" s="81" t="s">
        <v>1484</v>
      </c>
      <c r="L190" s="47" t="s">
        <v>1485</v>
      </c>
      <c r="M190" s="143" t="s">
        <v>2002</v>
      </c>
      <c r="N190" s="134">
        <v>23.122384</v>
      </c>
      <c r="O190" s="134">
        <v>91.849983</v>
      </c>
      <c r="P190" s="144">
        <v>280</v>
      </c>
      <c r="Q190" s="143"/>
      <c r="R190" s="81"/>
      <c r="S190" s="81"/>
      <c r="T190" s="135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3"/>
      <c r="AH190" s="58"/>
      <c r="AI190" s="59"/>
      <c r="AJ190" s="57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7" t="s">
        <v>1464</v>
      </c>
      <c r="F191" s="47" t="s">
        <v>1938</v>
      </c>
      <c r="G191" s="130" t="s">
        <v>726</v>
      </c>
      <c r="H191" s="131"/>
      <c r="I191" s="132"/>
      <c r="J191" s="76"/>
      <c r="K191" s="81" t="s">
        <v>2003</v>
      </c>
      <c r="L191" s="47" t="s">
        <v>2004</v>
      </c>
      <c r="M191" s="47" t="s">
        <v>2005</v>
      </c>
      <c r="N191" s="134">
        <v>23.129359</v>
      </c>
      <c r="O191" s="134">
        <v>91.855382</v>
      </c>
      <c r="P191" s="81">
        <v>700</v>
      </c>
      <c r="Q191" s="47"/>
      <c r="R191" s="81"/>
      <c r="S191" s="81"/>
      <c r="T191" s="135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3"/>
      <c r="AH191" s="58"/>
      <c r="AI191" s="59"/>
      <c r="AJ191" s="57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7" t="s">
        <v>1464</v>
      </c>
      <c r="F192" s="47" t="s">
        <v>1938</v>
      </c>
      <c r="G192" s="130" t="s">
        <v>726</v>
      </c>
      <c r="H192" s="131"/>
      <c r="I192" s="132"/>
      <c r="J192" s="76"/>
      <c r="K192" s="81" t="s">
        <v>2006</v>
      </c>
      <c r="L192" s="47" t="s">
        <v>2007</v>
      </c>
      <c r="M192" s="47" t="s">
        <v>2008</v>
      </c>
      <c r="N192" s="134">
        <v>23.131998</v>
      </c>
      <c r="O192" s="134">
        <v>91.85839</v>
      </c>
      <c r="P192" s="81">
        <v>520</v>
      </c>
      <c r="Q192" s="47"/>
      <c r="R192" s="81"/>
      <c r="S192" s="81"/>
      <c r="T192" s="135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3"/>
      <c r="AH192" s="58"/>
      <c r="AI192" s="59"/>
      <c r="AJ192" s="57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7" t="s">
        <v>1464</v>
      </c>
      <c r="F193" s="47" t="s">
        <v>1938</v>
      </c>
      <c r="G193" s="130" t="s">
        <v>726</v>
      </c>
      <c r="H193" s="131"/>
      <c r="I193" s="132"/>
      <c r="J193" s="76"/>
      <c r="K193" s="81" t="s">
        <v>2009</v>
      </c>
      <c r="L193" s="47" t="s">
        <v>2010</v>
      </c>
      <c r="M193" s="47" t="s">
        <v>2011</v>
      </c>
      <c r="N193" s="134">
        <v>23.136295</v>
      </c>
      <c r="O193" s="134">
        <v>91.860972</v>
      </c>
      <c r="P193" s="81">
        <v>270</v>
      </c>
      <c r="Q193" s="47"/>
      <c r="R193" s="81"/>
      <c r="S193" s="81"/>
      <c r="T193" s="135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3"/>
      <c r="AH193" s="58"/>
      <c r="AI193" s="59"/>
      <c r="AJ193" s="57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7" t="s">
        <v>1464</v>
      </c>
      <c r="F194" s="47" t="s">
        <v>1938</v>
      </c>
      <c r="G194" s="130" t="s">
        <v>726</v>
      </c>
      <c r="H194" s="131"/>
      <c r="I194" s="132"/>
      <c r="J194" s="76"/>
      <c r="K194" s="81" t="s">
        <v>2012</v>
      </c>
      <c r="L194" s="47" t="s">
        <v>2013</v>
      </c>
      <c r="M194" s="47" t="s">
        <v>2014</v>
      </c>
      <c r="N194" s="134">
        <v>23.140594</v>
      </c>
      <c r="O194" s="134">
        <v>91.855818</v>
      </c>
      <c r="P194" s="81">
        <v>820</v>
      </c>
      <c r="Q194" s="47"/>
      <c r="R194" s="81"/>
      <c r="S194" s="81"/>
      <c r="T194" s="135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3"/>
      <c r="AH194" s="58"/>
      <c r="AI194" s="59"/>
      <c r="AJ194" s="57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7" t="s">
        <v>1464</v>
      </c>
      <c r="F195" s="47" t="s">
        <v>1938</v>
      </c>
      <c r="G195" s="130" t="s">
        <v>742</v>
      </c>
      <c r="H195" s="131"/>
      <c r="I195" s="132"/>
      <c r="J195" s="76"/>
      <c r="K195" s="81" t="s">
        <v>2015</v>
      </c>
      <c r="L195" s="47" t="s">
        <v>2016</v>
      </c>
      <c r="M195" s="143" t="s">
        <v>2017</v>
      </c>
      <c r="N195" s="134">
        <v>23.124093</v>
      </c>
      <c r="O195" s="134">
        <v>91.859287</v>
      </c>
      <c r="P195" s="144">
        <v>300</v>
      </c>
      <c r="Q195" s="143"/>
      <c r="R195" s="81"/>
      <c r="S195" s="81"/>
      <c r="T195" s="135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3"/>
      <c r="AH195" s="58"/>
      <c r="AI195" s="59"/>
      <c r="AJ195" s="57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7" t="s">
        <v>1464</v>
      </c>
      <c r="F196" s="47" t="s">
        <v>1938</v>
      </c>
      <c r="G196" s="130" t="s">
        <v>742</v>
      </c>
      <c r="H196" s="131"/>
      <c r="I196" s="132"/>
      <c r="J196" s="76"/>
      <c r="K196" s="81" t="s">
        <v>346</v>
      </c>
      <c r="L196" s="47" t="s">
        <v>1692</v>
      </c>
      <c r="M196" s="143" t="s">
        <v>2018</v>
      </c>
      <c r="N196" s="134">
        <v>23.12085</v>
      </c>
      <c r="O196" s="134">
        <v>91.859774</v>
      </c>
      <c r="P196" s="144">
        <v>320</v>
      </c>
      <c r="Q196" s="143"/>
      <c r="R196" s="81"/>
      <c r="S196" s="81"/>
      <c r="T196" s="135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3"/>
      <c r="AH196" s="58"/>
      <c r="AI196" s="59"/>
      <c r="AJ196" s="57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7" t="s">
        <v>1464</v>
      </c>
      <c r="F197" s="47" t="s">
        <v>1938</v>
      </c>
      <c r="G197" s="130" t="s">
        <v>742</v>
      </c>
      <c r="H197" s="131"/>
      <c r="I197" s="132"/>
      <c r="J197" s="76"/>
      <c r="K197" s="81" t="s">
        <v>2019</v>
      </c>
      <c r="L197" s="47" t="s">
        <v>2020</v>
      </c>
      <c r="M197" s="143" t="s">
        <v>2021</v>
      </c>
      <c r="N197" s="134">
        <v>23.11943</v>
      </c>
      <c r="O197" s="134">
        <v>91.861552</v>
      </c>
      <c r="P197" s="144">
        <v>80</v>
      </c>
      <c r="Q197" s="143"/>
      <c r="R197" s="81"/>
      <c r="S197" s="81"/>
      <c r="T197" s="135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3"/>
      <c r="AH197" s="58"/>
      <c r="AI197" s="59"/>
      <c r="AJ197" s="57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7" t="s">
        <v>1464</v>
      </c>
      <c r="F198" s="47" t="s">
        <v>1938</v>
      </c>
      <c r="G198" s="130" t="s">
        <v>742</v>
      </c>
      <c r="H198" s="131"/>
      <c r="I198" s="132"/>
      <c r="J198" s="76"/>
      <c r="K198" s="81" t="s">
        <v>2022</v>
      </c>
      <c r="L198" s="47" t="s">
        <v>2023</v>
      </c>
      <c r="M198" s="143" t="s">
        <v>2024</v>
      </c>
      <c r="N198" s="134">
        <v>23.12383</v>
      </c>
      <c r="O198" s="134">
        <v>91.865757</v>
      </c>
      <c r="P198" s="144">
        <v>300</v>
      </c>
      <c r="Q198" s="143"/>
      <c r="R198" s="81"/>
      <c r="S198" s="81"/>
      <c r="T198" s="135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3"/>
      <c r="AH198" s="58"/>
      <c r="AI198" s="59"/>
      <c r="AJ198" s="57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7" t="s">
        <v>1464</v>
      </c>
      <c r="F199" s="47" t="s">
        <v>1938</v>
      </c>
      <c r="G199" s="130" t="s">
        <v>742</v>
      </c>
      <c r="H199" s="131"/>
      <c r="I199" s="132"/>
      <c r="J199" s="76"/>
      <c r="K199" s="81" t="s">
        <v>2025</v>
      </c>
      <c r="L199" s="47" t="s">
        <v>2026</v>
      </c>
      <c r="M199" s="143" t="s">
        <v>2027</v>
      </c>
      <c r="N199" s="134">
        <v>23.119449</v>
      </c>
      <c r="O199" s="134">
        <v>91.864499</v>
      </c>
      <c r="P199" s="144">
        <v>145</v>
      </c>
      <c r="Q199" s="143"/>
      <c r="R199" s="81"/>
      <c r="S199" s="81"/>
      <c r="T199" s="135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3"/>
      <c r="AH199" s="58"/>
      <c r="AI199" s="59"/>
      <c r="AJ199" s="57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7" t="s">
        <v>1464</v>
      </c>
      <c r="F200" s="47" t="s">
        <v>1938</v>
      </c>
      <c r="G200" s="130" t="s">
        <v>742</v>
      </c>
      <c r="H200" s="131"/>
      <c r="I200" s="132"/>
      <c r="J200" s="76"/>
      <c r="K200" s="81" t="s">
        <v>1641</v>
      </c>
      <c r="L200" s="47" t="s">
        <v>1746</v>
      </c>
      <c r="M200" s="143" t="s">
        <v>2028</v>
      </c>
      <c r="N200" s="134">
        <v>23.128281</v>
      </c>
      <c r="O200" s="134">
        <v>91.863549</v>
      </c>
      <c r="P200" s="144">
        <v>220</v>
      </c>
      <c r="Q200" s="143"/>
      <c r="R200" s="81"/>
      <c r="S200" s="81"/>
      <c r="T200" s="135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3"/>
      <c r="AH200" s="58"/>
      <c r="AI200" s="59"/>
      <c r="AJ200" s="57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7" t="s">
        <v>1464</v>
      </c>
      <c r="F201" s="47" t="s">
        <v>1938</v>
      </c>
      <c r="G201" s="130" t="s">
        <v>742</v>
      </c>
      <c r="H201" s="131"/>
      <c r="I201" s="132"/>
      <c r="J201" s="76"/>
      <c r="K201" s="81" t="s">
        <v>364</v>
      </c>
      <c r="L201" s="47" t="s">
        <v>1084</v>
      </c>
      <c r="M201" s="47" t="s">
        <v>2029</v>
      </c>
      <c r="N201" s="134">
        <v>23.125477</v>
      </c>
      <c r="O201" s="134">
        <v>91.862261</v>
      </c>
      <c r="P201" s="81">
        <v>110</v>
      </c>
      <c r="Q201" s="47"/>
      <c r="R201" s="81"/>
      <c r="S201" s="81"/>
      <c r="T201" s="135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3"/>
      <c r="AH201" s="58"/>
      <c r="AI201" s="59"/>
      <c r="AJ201" s="57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7" t="s">
        <v>1464</v>
      </c>
      <c r="F202" s="47" t="s">
        <v>1938</v>
      </c>
      <c r="G202" s="130" t="s">
        <v>761</v>
      </c>
      <c r="H202" s="131"/>
      <c r="I202" s="132"/>
      <c r="J202" s="76"/>
      <c r="K202" s="81" t="s">
        <v>2030</v>
      </c>
      <c r="L202" s="47" t="s">
        <v>2031</v>
      </c>
      <c r="M202" s="47" t="s">
        <v>2032</v>
      </c>
      <c r="N202" s="134">
        <v>23.131364</v>
      </c>
      <c r="O202" s="134">
        <v>91.864631</v>
      </c>
      <c r="P202" s="81">
        <v>350</v>
      </c>
      <c r="Q202" s="47"/>
      <c r="R202" s="81"/>
      <c r="S202" s="81"/>
      <c r="T202" s="135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3"/>
      <c r="AH202" s="58"/>
      <c r="AI202" s="59"/>
      <c r="AJ202" s="57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7" t="s">
        <v>1464</v>
      </c>
      <c r="F203" s="47" t="s">
        <v>1938</v>
      </c>
      <c r="G203" s="130" t="s">
        <v>761</v>
      </c>
      <c r="H203" s="131"/>
      <c r="I203" s="132"/>
      <c r="J203" s="76"/>
      <c r="K203" s="81" t="s">
        <v>2033</v>
      </c>
      <c r="L203" s="47" t="s">
        <v>2034</v>
      </c>
      <c r="M203" s="47" t="s">
        <v>2035</v>
      </c>
      <c r="N203" s="134">
        <v>23.134368</v>
      </c>
      <c r="O203" s="134">
        <v>91.865092</v>
      </c>
      <c r="P203" s="81">
        <v>200</v>
      </c>
      <c r="Q203" s="47"/>
      <c r="R203" s="81"/>
      <c r="S203" s="81"/>
      <c r="T203" s="135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3"/>
      <c r="AH203" s="58"/>
      <c r="AI203" s="59"/>
      <c r="AJ203" s="57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7" t="s">
        <v>1464</v>
      </c>
      <c r="F204" s="47" t="s">
        <v>1938</v>
      </c>
      <c r="G204" s="130" t="s">
        <v>761</v>
      </c>
      <c r="H204" s="131"/>
      <c r="I204" s="132"/>
      <c r="J204" s="76"/>
      <c r="K204" s="81" t="s">
        <v>2036</v>
      </c>
      <c r="L204" s="47" t="s">
        <v>2037</v>
      </c>
      <c r="M204" s="47" t="s">
        <v>2038</v>
      </c>
      <c r="N204" s="134">
        <v>23.138044</v>
      </c>
      <c r="O204" s="134">
        <v>91.864687</v>
      </c>
      <c r="P204" s="81">
        <v>200</v>
      </c>
      <c r="Q204" s="47"/>
      <c r="R204" s="81"/>
      <c r="S204" s="81"/>
      <c r="T204" s="135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3"/>
      <c r="AH204" s="58"/>
      <c r="AI204" s="59"/>
      <c r="AJ204" s="57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7" t="s">
        <v>1464</v>
      </c>
      <c r="F205" s="47" t="s">
        <v>1938</v>
      </c>
      <c r="G205" s="130" t="s">
        <v>761</v>
      </c>
      <c r="H205" s="131"/>
      <c r="I205" s="132"/>
      <c r="J205" s="76"/>
      <c r="K205" s="81" t="s">
        <v>2039</v>
      </c>
      <c r="L205" s="47" t="s">
        <v>2040</v>
      </c>
      <c r="M205" s="47" t="s">
        <v>2041</v>
      </c>
      <c r="N205" s="134">
        <v>23.143836</v>
      </c>
      <c r="O205" s="134">
        <v>91.866947</v>
      </c>
      <c r="P205" s="81">
        <v>300</v>
      </c>
      <c r="Q205" s="47"/>
      <c r="R205" s="81"/>
      <c r="S205" s="81"/>
      <c r="T205" s="135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3"/>
      <c r="AH205" s="58"/>
      <c r="AI205" s="59"/>
      <c r="AJ205" s="57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7" t="s">
        <v>1464</v>
      </c>
      <c r="F206" s="47" t="s">
        <v>1938</v>
      </c>
      <c r="G206" s="130" t="s">
        <v>761</v>
      </c>
      <c r="H206" s="131"/>
      <c r="I206" s="132"/>
      <c r="J206" s="76"/>
      <c r="K206" s="81" t="s">
        <v>2042</v>
      </c>
      <c r="L206" s="47" t="s">
        <v>2043</v>
      </c>
      <c r="M206" s="47" t="s">
        <v>2044</v>
      </c>
      <c r="N206" s="134">
        <v>23.148134</v>
      </c>
      <c r="O206" s="134">
        <v>91.864858</v>
      </c>
      <c r="P206" s="81">
        <v>260</v>
      </c>
      <c r="Q206" s="47"/>
      <c r="R206" s="81"/>
      <c r="S206" s="81"/>
      <c r="T206" s="135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3"/>
      <c r="AH206" s="58"/>
      <c r="AI206" s="59"/>
      <c r="AJ206" s="57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7" t="s">
        <v>1464</v>
      </c>
      <c r="F207" s="47" t="s">
        <v>1938</v>
      </c>
      <c r="G207" s="130" t="s">
        <v>761</v>
      </c>
      <c r="H207" s="131"/>
      <c r="I207" s="132"/>
      <c r="J207" s="76"/>
      <c r="K207" s="81" t="s">
        <v>2045</v>
      </c>
      <c r="L207" s="47" t="s">
        <v>2046</v>
      </c>
      <c r="M207" s="47" t="s">
        <v>2047</v>
      </c>
      <c r="N207" s="134">
        <v>23.134918</v>
      </c>
      <c r="O207" s="134">
        <v>91.870679</v>
      </c>
      <c r="P207" s="81">
        <v>150</v>
      </c>
      <c r="Q207" s="47"/>
      <c r="R207" s="81"/>
      <c r="S207" s="81"/>
      <c r="T207" s="135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3"/>
      <c r="AH207" s="58"/>
      <c r="AI207" s="59"/>
      <c r="AJ207" s="57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7" t="s">
        <v>1464</v>
      </c>
      <c r="F208" s="47" t="s">
        <v>1938</v>
      </c>
      <c r="G208" s="130" t="s">
        <v>781</v>
      </c>
      <c r="H208" s="131"/>
      <c r="I208" s="132"/>
      <c r="J208" s="76"/>
      <c r="K208" s="81" t="s">
        <v>2048</v>
      </c>
      <c r="L208" s="47" t="s">
        <v>2049</v>
      </c>
      <c r="M208" s="47" t="s">
        <v>2050</v>
      </c>
      <c r="N208" s="134">
        <v>23.149735</v>
      </c>
      <c r="O208" s="134">
        <v>91.878251</v>
      </c>
      <c r="P208" s="81">
        <v>90</v>
      </c>
      <c r="Q208" s="47"/>
      <c r="R208" s="81"/>
      <c r="S208" s="81"/>
      <c r="T208" s="135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3"/>
      <c r="AH208" s="58"/>
      <c r="AI208" s="59"/>
      <c r="AJ208" s="57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7" t="s">
        <v>1464</v>
      </c>
      <c r="F209" s="47" t="s">
        <v>1938</v>
      </c>
      <c r="G209" s="130" t="s">
        <v>781</v>
      </c>
      <c r="H209" s="131"/>
      <c r="I209" s="132"/>
      <c r="J209" s="76"/>
      <c r="K209" s="81" t="s">
        <v>2051</v>
      </c>
      <c r="L209" s="47" t="s">
        <v>2052</v>
      </c>
      <c r="M209" s="47" t="s">
        <v>2053</v>
      </c>
      <c r="N209" s="134">
        <v>23.143465</v>
      </c>
      <c r="O209" s="134">
        <v>91.884029</v>
      </c>
      <c r="P209" s="81">
        <v>35</v>
      </c>
      <c r="Q209" s="47"/>
      <c r="R209" s="81"/>
      <c r="S209" s="81"/>
      <c r="T209" s="135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3"/>
      <c r="AH209" s="58"/>
      <c r="AI209" s="59"/>
      <c r="AJ209" s="57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7" t="s">
        <v>1464</v>
      </c>
      <c r="F210" s="47" t="s">
        <v>1938</v>
      </c>
      <c r="G210" s="130" t="s">
        <v>781</v>
      </c>
      <c r="H210" s="131"/>
      <c r="I210" s="132"/>
      <c r="J210" s="76"/>
      <c r="K210" s="81" t="s">
        <v>2054</v>
      </c>
      <c r="L210" s="47" t="s">
        <v>2055</v>
      </c>
      <c r="M210" s="47" t="s">
        <v>2056</v>
      </c>
      <c r="N210" s="134">
        <v>23.135596</v>
      </c>
      <c r="O210" s="134">
        <v>91.888879</v>
      </c>
      <c r="P210" s="81">
        <v>50</v>
      </c>
      <c r="Q210" s="47"/>
      <c r="R210" s="81"/>
      <c r="S210" s="81"/>
      <c r="T210" s="135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3"/>
      <c r="AH210" s="58"/>
      <c r="AI210" s="59"/>
      <c r="AJ210" s="57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7" t="s">
        <v>1464</v>
      </c>
      <c r="F211" s="47" t="s">
        <v>1938</v>
      </c>
      <c r="G211" s="130" t="s">
        <v>781</v>
      </c>
      <c r="H211" s="131"/>
      <c r="I211" s="132"/>
      <c r="J211" s="76"/>
      <c r="K211" s="81" t="s">
        <v>2057</v>
      </c>
      <c r="L211" s="47" t="s">
        <v>2058</v>
      </c>
      <c r="M211" s="47" t="s">
        <v>2059</v>
      </c>
      <c r="N211" s="134">
        <v>23.125282</v>
      </c>
      <c r="O211" s="134">
        <v>91.895072</v>
      </c>
      <c r="P211" s="81">
        <v>180</v>
      </c>
      <c r="Q211" s="47"/>
      <c r="R211" s="81"/>
      <c r="S211" s="81"/>
      <c r="T211" s="135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3"/>
      <c r="AH211" s="58"/>
      <c r="AI211" s="59"/>
      <c r="AJ211" s="57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7" t="s">
        <v>1464</v>
      </c>
      <c r="F212" s="47" t="s">
        <v>1938</v>
      </c>
      <c r="G212" s="130" t="s">
        <v>781</v>
      </c>
      <c r="H212" s="131"/>
      <c r="I212" s="132"/>
      <c r="J212" s="76"/>
      <c r="K212" s="81" t="s">
        <v>2060</v>
      </c>
      <c r="L212" s="47" t="s">
        <v>2061</v>
      </c>
      <c r="M212" s="47" t="s">
        <v>2062</v>
      </c>
      <c r="N212" s="134">
        <v>23.126217</v>
      </c>
      <c r="O212" s="134">
        <v>91.874597</v>
      </c>
      <c r="P212" s="81">
        <v>250</v>
      </c>
      <c r="Q212" s="47"/>
      <c r="R212" s="81"/>
      <c r="S212" s="81"/>
      <c r="T212" s="135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3"/>
      <c r="AH212" s="58"/>
      <c r="AI212" s="59"/>
      <c r="AJ212" s="57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7" t="s">
        <v>1464</v>
      </c>
      <c r="F213" s="47" t="s">
        <v>1938</v>
      </c>
      <c r="G213" s="130" t="s">
        <v>781</v>
      </c>
      <c r="H213" s="131"/>
      <c r="I213" s="132"/>
      <c r="J213" s="76"/>
      <c r="K213" s="81" t="s">
        <v>2063</v>
      </c>
      <c r="L213" s="47" t="s">
        <v>2064</v>
      </c>
      <c r="M213" s="47" t="s">
        <v>2065</v>
      </c>
      <c r="N213" s="134">
        <v>23.129405</v>
      </c>
      <c r="O213" s="134">
        <v>91.872166</v>
      </c>
      <c r="P213" s="81">
        <v>35</v>
      </c>
      <c r="Q213" s="47"/>
      <c r="R213" s="81"/>
      <c r="S213" s="81"/>
      <c r="T213" s="135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3"/>
      <c r="AH213" s="58"/>
      <c r="AI213" s="59"/>
      <c r="AJ213" s="57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7" t="s">
        <v>1464</v>
      </c>
      <c r="F214" s="47" t="s">
        <v>1938</v>
      </c>
      <c r="G214" s="130" t="s">
        <v>781</v>
      </c>
      <c r="H214" s="131"/>
      <c r="I214" s="132"/>
      <c r="J214" s="76"/>
      <c r="K214" s="81" t="s">
        <v>2066</v>
      </c>
      <c r="L214" s="47" t="s">
        <v>2067</v>
      </c>
      <c r="M214" s="47" t="s">
        <v>2068</v>
      </c>
      <c r="N214" s="134">
        <v>23.130196</v>
      </c>
      <c r="O214" s="134">
        <v>91.872929</v>
      </c>
      <c r="P214" s="81">
        <v>32</v>
      </c>
      <c r="Q214" s="47"/>
      <c r="R214" s="81"/>
      <c r="S214" s="81"/>
      <c r="T214" s="135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3"/>
      <c r="AH214" s="58"/>
      <c r="AI214" s="59"/>
      <c r="AJ214" s="57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7" t="s">
        <v>1464</v>
      </c>
      <c r="F215" s="47" t="s">
        <v>1938</v>
      </c>
      <c r="G215" s="130" t="s">
        <v>781</v>
      </c>
      <c r="H215" s="131"/>
      <c r="I215" s="132"/>
      <c r="J215" s="76"/>
      <c r="K215" s="81" t="s">
        <v>2069</v>
      </c>
      <c r="L215" s="47" t="s">
        <v>2070</v>
      </c>
      <c r="M215" s="47" t="s">
        <v>2071</v>
      </c>
      <c r="N215" s="134">
        <v>23.129581</v>
      </c>
      <c r="O215" s="134">
        <v>91.866763</v>
      </c>
      <c r="P215" s="81">
        <v>72</v>
      </c>
      <c r="Q215" s="47"/>
      <c r="R215" s="81"/>
      <c r="S215" s="81"/>
      <c r="T215" s="135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3"/>
      <c r="AH215" s="58"/>
      <c r="AI215" s="59"/>
      <c r="AJ215" s="57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7" t="s">
        <v>1464</v>
      </c>
      <c r="F216" s="47" t="s">
        <v>1938</v>
      </c>
      <c r="G216" s="130" t="s">
        <v>781</v>
      </c>
      <c r="H216" s="131"/>
      <c r="I216" s="132"/>
      <c r="J216" s="76"/>
      <c r="K216" s="81" t="s">
        <v>2072</v>
      </c>
      <c r="L216" s="47" t="s">
        <v>2073</v>
      </c>
      <c r="M216" s="47" t="s">
        <v>2074</v>
      </c>
      <c r="N216" s="134">
        <v>23.125558</v>
      </c>
      <c r="O216" s="134">
        <v>91.868399</v>
      </c>
      <c r="P216" s="81">
        <v>100</v>
      </c>
      <c r="Q216" s="47"/>
      <c r="R216" s="81"/>
      <c r="S216" s="81"/>
      <c r="T216" s="7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3"/>
      <c r="AH216" s="58"/>
      <c r="AI216" s="59"/>
      <c r="AJ216" s="57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7" t="s">
        <v>1464</v>
      </c>
      <c r="F217" s="47" t="s">
        <v>1938</v>
      </c>
      <c r="G217" s="130" t="s">
        <v>797</v>
      </c>
      <c r="H217" s="131"/>
      <c r="I217" s="132"/>
      <c r="J217" s="76"/>
      <c r="K217" s="81" t="s">
        <v>2075</v>
      </c>
      <c r="L217" s="47" t="s">
        <v>2076</v>
      </c>
      <c r="M217" s="47" t="s">
        <v>2077</v>
      </c>
      <c r="N217" s="134">
        <v>23.151833</v>
      </c>
      <c r="O217" s="134">
        <v>91.885461</v>
      </c>
      <c r="P217" s="81">
        <v>225</v>
      </c>
      <c r="Q217" s="47"/>
      <c r="R217" s="81"/>
      <c r="S217" s="81"/>
      <c r="T217" s="135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3"/>
      <c r="AH217" s="58"/>
      <c r="AI217" s="59"/>
      <c r="AJ217" s="57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7" t="s">
        <v>1464</v>
      </c>
      <c r="F218" s="47" t="s">
        <v>1938</v>
      </c>
      <c r="G218" s="130" t="s">
        <v>797</v>
      </c>
      <c r="H218" s="131"/>
      <c r="I218" s="132"/>
      <c r="J218" s="76"/>
      <c r="K218" s="81" t="s">
        <v>1577</v>
      </c>
      <c r="L218" s="47" t="s">
        <v>1578</v>
      </c>
      <c r="M218" s="47" t="s">
        <v>2078</v>
      </c>
      <c r="N218" s="134">
        <v>23.151703</v>
      </c>
      <c r="O218" s="134">
        <v>91.909349</v>
      </c>
      <c r="P218" s="81">
        <v>450</v>
      </c>
      <c r="Q218" s="47"/>
      <c r="R218" s="81"/>
      <c r="S218" s="81"/>
      <c r="T218" s="135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3"/>
      <c r="AH218" s="58"/>
      <c r="AI218" s="59"/>
      <c r="AJ218" s="57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7" t="s">
        <v>1464</v>
      </c>
      <c r="F219" s="47" t="s">
        <v>1938</v>
      </c>
      <c r="G219" s="130" t="s">
        <v>797</v>
      </c>
      <c r="H219" s="131"/>
      <c r="I219" s="132"/>
      <c r="J219" s="76"/>
      <c r="K219" s="81" t="s">
        <v>2079</v>
      </c>
      <c r="L219" s="47" t="s">
        <v>2080</v>
      </c>
      <c r="M219" s="47" t="s">
        <v>2081</v>
      </c>
      <c r="N219" s="134">
        <v>23.138365</v>
      </c>
      <c r="O219" s="134">
        <v>91.919421</v>
      </c>
      <c r="P219" s="81">
        <v>135</v>
      </c>
      <c r="Q219" s="47"/>
      <c r="R219" s="81"/>
      <c r="S219" s="81"/>
      <c r="T219" s="135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3"/>
      <c r="AH219" s="58"/>
      <c r="AI219" s="59"/>
      <c r="AJ219" s="57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7" t="s">
        <v>1464</v>
      </c>
      <c r="F220" s="47" t="s">
        <v>1938</v>
      </c>
      <c r="G220" s="130" t="s">
        <v>797</v>
      </c>
      <c r="H220" s="131"/>
      <c r="I220" s="132"/>
      <c r="J220" s="76"/>
      <c r="K220" s="81" t="s">
        <v>2082</v>
      </c>
      <c r="L220" s="47" t="s">
        <v>2083</v>
      </c>
      <c r="M220" s="47" t="s">
        <v>2084</v>
      </c>
      <c r="N220" s="134">
        <v>23.134774</v>
      </c>
      <c r="O220" s="134">
        <v>91.925324</v>
      </c>
      <c r="P220" s="81">
        <v>220</v>
      </c>
      <c r="Q220" s="47"/>
      <c r="R220" s="81"/>
      <c r="S220" s="81"/>
      <c r="T220" s="135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3"/>
      <c r="AH220" s="58"/>
      <c r="AI220" s="59"/>
      <c r="AJ220" s="57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7" t="s">
        <v>1464</v>
      </c>
      <c r="F221" s="47" t="s">
        <v>1938</v>
      </c>
      <c r="G221" s="130" t="s">
        <v>797</v>
      </c>
      <c r="H221" s="131"/>
      <c r="I221" s="132"/>
      <c r="J221" s="76"/>
      <c r="K221" s="81" t="s">
        <v>1880</v>
      </c>
      <c r="L221" s="47" t="s">
        <v>1881</v>
      </c>
      <c r="M221" s="47" t="s">
        <v>2085</v>
      </c>
      <c r="N221" s="134">
        <v>23.124195</v>
      </c>
      <c r="O221" s="134">
        <v>91.90867</v>
      </c>
      <c r="P221" s="81">
        <v>165</v>
      </c>
      <c r="Q221" s="47"/>
      <c r="R221" s="81"/>
      <c r="S221" s="81"/>
      <c r="T221" s="135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3"/>
      <c r="AH221" s="58"/>
      <c r="AI221" s="59"/>
      <c r="AJ221" s="57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7" t="s">
        <v>1464</v>
      </c>
      <c r="F222" s="47" t="s">
        <v>1938</v>
      </c>
      <c r="G222" s="130" t="s">
        <v>797</v>
      </c>
      <c r="H222" s="131"/>
      <c r="I222" s="132"/>
      <c r="J222" s="76"/>
      <c r="K222" s="81" t="s">
        <v>2086</v>
      </c>
      <c r="L222" s="47" t="s">
        <v>2087</v>
      </c>
      <c r="M222" s="47" t="s">
        <v>2088</v>
      </c>
      <c r="N222" s="134">
        <v>23.125152</v>
      </c>
      <c r="O222" s="134">
        <v>91.920714</v>
      </c>
      <c r="P222" s="81">
        <v>125</v>
      </c>
      <c r="Q222" s="47"/>
      <c r="R222" s="81"/>
      <c r="S222" s="81"/>
      <c r="T222" s="135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3"/>
      <c r="AH222" s="58"/>
      <c r="AI222" s="59"/>
      <c r="AJ222" s="57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7" t="s">
        <v>1464</v>
      </c>
      <c r="F223" s="47" t="s">
        <v>1938</v>
      </c>
      <c r="G223" s="130" t="s">
        <v>797</v>
      </c>
      <c r="H223" s="131"/>
      <c r="I223" s="132"/>
      <c r="J223" s="76"/>
      <c r="K223" s="81" t="s">
        <v>2089</v>
      </c>
      <c r="L223" s="47" t="s">
        <v>2090</v>
      </c>
      <c r="M223" s="47" t="s">
        <v>2091</v>
      </c>
      <c r="N223" s="134">
        <v>23.13175</v>
      </c>
      <c r="O223" s="134">
        <v>91.897664</v>
      </c>
      <c r="P223" s="81">
        <v>110</v>
      </c>
      <c r="Q223" s="47"/>
      <c r="R223" s="81"/>
      <c r="S223" s="81"/>
      <c r="T223" s="135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3"/>
      <c r="AH223" s="58"/>
      <c r="AI223" s="59"/>
      <c r="AJ223" s="57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7" t="s">
        <v>1464</v>
      </c>
      <c r="F224" s="47" t="s">
        <v>1938</v>
      </c>
      <c r="G224" s="130" t="s">
        <v>797</v>
      </c>
      <c r="H224" s="131"/>
      <c r="I224" s="132"/>
      <c r="J224" s="76"/>
      <c r="K224" s="81" t="s">
        <v>2092</v>
      </c>
      <c r="L224" s="47" t="s">
        <v>2093</v>
      </c>
      <c r="M224" s="47" t="s">
        <v>2094</v>
      </c>
      <c r="N224" s="134">
        <v>23.13609</v>
      </c>
      <c r="O224" s="134">
        <v>91.894871</v>
      </c>
      <c r="P224" s="81">
        <v>135</v>
      </c>
      <c r="Q224" s="47"/>
      <c r="R224" s="81"/>
      <c r="S224" s="81"/>
      <c r="T224" s="135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3"/>
      <c r="AH224" s="58"/>
      <c r="AI224" s="59"/>
      <c r="AJ224" s="57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7" t="s">
        <v>1464</v>
      </c>
      <c r="F225" s="47" t="s">
        <v>1938</v>
      </c>
      <c r="G225" s="130" t="s">
        <v>797</v>
      </c>
      <c r="H225" s="131"/>
      <c r="I225" s="132"/>
      <c r="J225" s="76"/>
      <c r="K225" s="81" t="s">
        <v>2095</v>
      </c>
      <c r="L225" s="47" t="s">
        <v>2096</v>
      </c>
      <c r="M225" s="47" t="s">
        <v>2097</v>
      </c>
      <c r="N225" s="134">
        <v>23.14131</v>
      </c>
      <c r="O225" s="134">
        <v>91.902187</v>
      </c>
      <c r="P225" s="81">
        <v>330</v>
      </c>
      <c r="Q225" s="47"/>
      <c r="R225" s="81"/>
      <c r="S225" s="81"/>
      <c r="T225" s="135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3"/>
      <c r="AH225" s="58"/>
      <c r="AI225" s="59"/>
      <c r="AJ225" s="57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7" t="s">
        <v>1464</v>
      </c>
      <c r="F226" s="47" t="s">
        <v>1938</v>
      </c>
      <c r="G226" s="130" t="s">
        <v>797</v>
      </c>
      <c r="H226" s="131"/>
      <c r="I226" s="132"/>
      <c r="J226" s="76"/>
      <c r="K226" s="81" t="s">
        <v>2098</v>
      </c>
      <c r="L226" s="47" t="s">
        <v>2099</v>
      </c>
      <c r="M226" s="47" t="s">
        <v>2100</v>
      </c>
      <c r="N226" s="134">
        <v>23.142747</v>
      </c>
      <c r="O226" s="134">
        <v>91.893312</v>
      </c>
      <c r="P226" s="81">
        <v>32</v>
      </c>
      <c r="Q226" s="47"/>
      <c r="R226" s="81"/>
      <c r="S226" s="81"/>
      <c r="T226" s="135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3"/>
      <c r="AH226" s="58"/>
      <c r="AI226" s="59"/>
      <c r="AJ226" s="57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7" t="s">
        <v>1464</v>
      </c>
      <c r="F227" s="47" t="s">
        <v>1938</v>
      </c>
      <c r="G227" s="130" t="s">
        <v>797</v>
      </c>
      <c r="H227" s="131"/>
      <c r="I227" s="132"/>
      <c r="J227" s="76"/>
      <c r="K227" s="81" t="s">
        <v>2063</v>
      </c>
      <c r="L227" s="47" t="s">
        <v>2064</v>
      </c>
      <c r="M227" s="47" t="s">
        <v>2101</v>
      </c>
      <c r="N227" s="134">
        <v>23.144185</v>
      </c>
      <c r="O227" s="134">
        <v>91.8872</v>
      </c>
      <c r="P227" s="81">
        <v>110</v>
      </c>
      <c r="Q227" s="47"/>
      <c r="R227" s="81"/>
      <c r="S227" s="81"/>
      <c r="T227" s="135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3"/>
      <c r="AH227" s="58"/>
      <c r="AI227" s="59"/>
      <c r="AJ227" s="57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7" t="s">
        <v>1464</v>
      </c>
      <c r="F228" s="47" t="s">
        <v>1464</v>
      </c>
      <c r="G228" s="130" t="s">
        <v>677</v>
      </c>
      <c r="H228" s="131"/>
      <c r="I228" s="132"/>
      <c r="J228" s="76"/>
      <c r="K228" s="81" t="s">
        <v>2102</v>
      </c>
      <c r="L228" s="47" t="s">
        <v>2103</v>
      </c>
      <c r="M228" s="47" t="s">
        <v>2104</v>
      </c>
      <c r="N228" s="134">
        <v>23.035042</v>
      </c>
      <c r="O228" s="134">
        <v>91.921577</v>
      </c>
      <c r="P228" s="81">
        <v>286</v>
      </c>
      <c r="Q228" s="47"/>
      <c r="R228" s="81"/>
      <c r="S228" s="81"/>
      <c r="T228" s="135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3"/>
      <c r="AH228" s="58"/>
      <c r="AI228" s="59"/>
      <c r="AJ228" s="57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47" t="s">
        <v>1464</v>
      </c>
      <c r="F229" s="47" t="s">
        <v>1464</v>
      </c>
      <c r="G229" s="130" t="s">
        <v>677</v>
      </c>
      <c r="H229" s="131"/>
      <c r="I229" s="132"/>
      <c r="J229" s="76"/>
      <c r="K229" s="81" t="s">
        <v>2105</v>
      </c>
      <c r="L229" s="47" t="s">
        <v>2106</v>
      </c>
      <c r="M229" s="47" t="s">
        <v>2107</v>
      </c>
      <c r="N229" s="134">
        <v>23.029221</v>
      </c>
      <c r="O229" s="134">
        <v>91.934778</v>
      </c>
      <c r="P229" s="81">
        <v>355</v>
      </c>
      <c r="Q229" s="47"/>
      <c r="R229" s="81"/>
      <c r="S229" s="81"/>
      <c r="T229" s="135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3"/>
      <c r="AH229" s="58"/>
      <c r="AI229" s="59"/>
      <c r="AJ229" s="57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47" t="s">
        <v>1464</v>
      </c>
      <c r="F230" s="47" t="s">
        <v>1464</v>
      </c>
      <c r="G230" s="130" t="s">
        <v>677</v>
      </c>
      <c r="H230" s="131"/>
      <c r="I230" s="132"/>
      <c r="J230" s="76"/>
      <c r="K230" s="81" t="s">
        <v>2108</v>
      </c>
      <c r="L230" s="47" t="s">
        <v>2109</v>
      </c>
      <c r="M230" s="47" t="s">
        <v>2110</v>
      </c>
      <c r="N230" s="134">
        <v>23.038665</v>
      </c>
      <c r="O230" s="134">
        <v>91.933515</v>
      </c>
      <c r="P230" s="81">
        <v>512</v>
      </c>
      <c r="Q230" s="47"/>
      <c r="R230" s="81"/>
      <c r="S230" s="81"/>
      <c r="T230" s="135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3"/>
      <c r="AH230" s="58"/>
      <c r="AI230" s="59"/>
      <c r="AJ230" s="57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47" t="s">
        <v>1464</v>
      </c>
      <c r="F231" s="47" t="s">
        <v>1464</v>
      </c>
      <c r="G231" s="130" t="s">
        <v>677</v>
      </c>
      <c r="H231" s="131"/>
      <c r="I231" s="132"/>
      <c r="J231" s="76"/>
      <c r="K231" s="81" t="s">
        <v>2111</v>
      </c>
      <c r="L231" s="47" t="s">
        <v>2112</v>
      </c>
      <c r="M231" s="47" t="s">
        <v>2113</v>
      </c>
      <c r="N231" s="134">
        <v>23.034796</v>
      </c>
      <c r="O231" s="134">
        <v>91.931783</v>
      </c>
      <c r="P231" s="81">
        <v>32</v>
      </c>
      <c r="Q231" s="47"/>
      <c r="R231" s="81"/>
      <c r="S231" s="81"/>
      <c r="T231" s="135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3"/>
      <c r="AH231" s="58"/>
      <c r="AI231" s="59"/>
      <c r="AJ231" s="57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47" t="s">
        <v>1464</v>
      </c>
      <c r="F232" s="47" t="s">
        <v>1464</v>
      </c>
      <c r="G232" s="130" t="s">
        <v>677</v>
      </c>
      <c r="H232" s="131"/>
      <c r="I232" s="132"/>
      <c r="J232" s="76"/>
      <c r="K232" s="81" t="s">
        <v>2114</v>
      </c>
      <c r="L232" s="47" t="s">
        <v>2115</v>
      </c>
      <c r="M232" s="47" t="s">
        <v>2116</v>
      </c>
      <c r="N232" s="134">
        <v>23.044996</v>
      </c>
      <c r="O232" s="134">
        <v>91.932871</v>
      </c>
      <c r="P232" s="81">
        <v>107</v>
      </c>
      <c r="Q232" s="47"/>
      <c r="R232" s="81"/>
      <c r="S232" s="81"/>
      <c r="T232" s="135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3"/>
      <c r="AH232" s="58"/>
      <c r="AI232" s="59"/>
      <c r="AJ232" s="57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47" t="s">
        <v>1464</v>
      </c>
      <c r="F233" s="47" t="s">
        <v>1464</v>
      </c>
      <c r="G233" s="130" t="s">
        <v>677</v>
      </c>
      <c r="H233" s="131"/>
      <c r="I233" s="132"/>
      <c r="J233" s="76"/>
      <c r="K233" s="81" t="s">
        <v>2117</v>
      </c>
      <c r="L233" s="47" t="s">
        <v>2118</v>
      </c>
      <c r="M233" s="47" t="s">
        <v>2119</v>
      </c>
      <c r="N233" s="134">
        <v>23.04286</v>
      </c>
      <c r="O233" s="134">
        <v>91.927756</v>
      </c>
      <c r="P233" s="81">
        <v>14</v>
      </c>
      <c r="Q233" s="47"/>
      <c r="R233" s="81"/>
      <c r="S233" s="81"/>
      <c r="T233" s="135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3"/>
      <c r="AH233" s="58"/>
      <c r="AI233" s="59"/>
      <c r="AJ233" s="57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47" t="s">
        <v>1464</v>
      </c>
      <c r="F234" s="47" t="s">
        <v>1464</v>
      </c>
      <c r="G234" s="130" t="s">
        <v>677</v>
      </c>
      <c r="H234" s="131"/>
      <c r="I234" s="132"/>
      <c r="J234" s="76"/>
      <c r="K234" s="81" t="s">
        <v>2120</v>
      </c>
      <c r="L234" s="47" t="s">
        <v>2121</v>
      </c>
      <c r="M234" s="47" t="s">
        <v>2122</v>
      </c>
      <c r="N234" s="134">
        <v>23.050199</v>
      </c>
      <c r="O234" s="134">
        <v>91.925419</v>
      </c>
      <c r="P234" s="81">
        <v>93</v>
      </c>
      <c r="Q234" s="47"/>
      <c r="R234" s="81"/>
      <c r="S234" s="81"/>
      <c r="T234" s="135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3"/>
      <c r="AH234" s="58"/>
      <c r="AI234" s="59"/>
      <c r="AJ234" s="57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47" t="s">
        <v>1464</v>
      </c>
      <c r="F235" s="47" t="s">
        <v>1464</v>
      </c>
      <c r="G235" s="130" t="s">
        <v>677</v>
      </c>
      <c r="H235" s="131"/>
      <c r="I235" s="132"/>
      <c r="J235" s="76"/>
      <c r="K235" s="81" t="s">
        <v>2123</v>
      </c>
      <c r="L235" s="47" t="s">
        <v>2124</v>
      </c>
      <c r="M235" s="47" t="s">
        <v>2125</v>
      </c>
      <c r="N235" s="134">
        <v>23.052788</v>
      </c>
      <c r="O235" s="134">
        <v>91.947848</v>
      </c>
      <c r="P235" s="81">
        <v>222</v>
      </c>
      <c r="Q235" s="47"/>
      <c r="R235" s="81"/>
      <c r="S235" s="81"/>
      <c r="T235" s="135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3"/>
      <c r="AH235" s="58"/>
      <c r="AI235" s="59"/>
      <c r="AJ235" s="57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47" t="s">
        <v>1464</v>
      </c>
      <c r="F236" s="47" t="s">
        <v>1464</v>
      </c>
      <c r="G236" s="130" t="s">
        <v>677</v>
      </c>
      <c r="H236" s="131"/>
      <c r="I236" s="132"/>
      <c r="J236" s="76"/>
      <c r="K236" s="81" t="s">
        <v>2126</v>
      </c>
      <c r="L236" s="47" t="s">
        <v>2127</v>
      </c>
      <c r="M236" s="47" t="s">
        <v>2128</v>
      </c>
      <c r="N236" s="134">
        <v>23.049005</v>
      </c>
      <c r="O236" s="134">
        <v>91.928086</v>
      </c>
      <c r="P236" s="81">
        <v>52</v>
      </c>
      <c r="Q236" s="47"/>
      <c r="R236" s="81"/>
      <c r="S236" s="81"/>
      <c r="T236" s="135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3"/>
      <c r="AH236" s="58"/>
      <c r="AI236" s="59"/>
      <c r="AJ236" s="57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47" t="s">
        <v>1464</v>
      </c>
      <c r="F237" s="47" t="s">
        <v>1464</v>
      </c>
      <c r="G237" s="130" t="s">
        <v>677</v>
      </c>
      <c r="H237" s="131"/>
      <c r="I237" s="132"/>
      <c r="J237" s="76"/>
      <c r="K237" s="81" t="s">
        <v>2129</v>
      </c>
      <c r="L237" s="47" t="s">
        <v>2130</v>
      </c>
      <c r="M237" s="47" t="s">
        <v>2131</v>
      </c>
      <c r="N237" s="134">
        <v>23.055042</v>
      </c>
      <c r="O237" s="134">
        <v>91.935506</v>
      </c>
      <c r="P237" s="81">
        <v>79</v>
      </c>
      <c r="Q237" s="47"/>
      <c r="R237" s="81"/>
      <c r="S237" s="81"/>
      <c r="T237" s="135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3"/>
      <c r="AH237" s="58"/>
      <c r="AI237" s="59"/>
      <c r="AJ237" s="57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47" t="s">
        <v>1464</v>
      </c>
      <c r="F238" s="47" t="s">
        <v>1464</v>
      </c>
      <c r="G238" s="130" t="s">
        <v>677</v>
      </c>
      <c r="H238" s="131"/>
      <c r="I238" s="132"/>
      <c r="J238" s="76"/>
      <c r="K238" s="81" t="s">
        <v>2132</v>
      </c>
      <c r="L238" s="47" t="s">
        <v>2133</v>
      </c>
      <c r="M238" s="47" t="s">
        <v>2134</v>
      </c>
      <c r="N238" s="134">
        <v>23.034118</v>
      </c>
      <c r="O238" s="134">
        <v>91.917187</v>
      </c>
      <c r="P238" s="81">
        <v>45</v>
      </c>
      <c r="Q238" s="47"/>
      <c r="R238" s="81"/>
      <c r="S238" s="81"/>
      <c r="T238" s="135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3"/>
      <c r="AH238" s="58"/>
      <c r="AI238" s="59"/>
      <c r="AJ238" s="57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47" t="s">
        <v>1464</v>
      </c>
      <c r="F239" s="47" t="s">
        <v>1464</v>
      </c>
      <c r="G239" s="130" t="s">
        <v>684</v>
      </c>
      <c r="H239" s="131"/>
      <c r="I239" s="132"/>
      <c r="J239" s="76"/>
      <c r="K239" s="81" t="s">
        <v>2135</v>
      </c>
      <c r="L239" s="47" t="s">
        <v>2136</v>
      </c>
      <c r="M239" s="47" t="s">
        <v>2137</v>
      </c>
      <c r="N239" s="134">
        <v>23.081031</v>
      </c>
      <c r="O239" s="134">
        <v>91.943757</v>
      </c>
      <c r="P239" s="81">
        <v>125</v>
      </c>
      <c r="Q239" s="47"/>
      <c r="R239" s="81"/>
      <c r="S239" s="81"/>
      <c r="T239" s="135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3"/>
      <c r="AH239" s="58"/>
      <c r="AI239" s="59"/>
      <c r="AJ239" s="57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47" t="s">
        <v>1464</v>
      </c>
      <c r="F240" s="47" t="s">
        <v>1464</v>
      </c>
      <c r="G240" s="130" t="s">
        <v>684</v>
      </c>
      <c r="H240" s="131"/>
      <c r="I240" s="132"/>
      <c r="J240" s="76"/>
      <c r="K240" s="81" t="s">
        <v>2138</v>
      </c>
      <c r="L240" s="47" t="s">
        <v>2139</v>
      </c>
      <c r="M240" s="47" t="s">
        <v>2140</v>
      </c>
      <c r="N240" s="134">
        <v>23.073828</v>
      </c>
      <c r="O240" s="134">
        <v>91.942084</v>
      </c>
      <c r="P240" s="81">
        <v>261</v>
      </c>
      <c r="Q240" s="47"/>
      <c r="R240" s="81"/>
      <c r="S240" s="81"/>
      <c r="T240" s="135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3"/>
      <c r="AH240" s="58"/>
      <c r="AI240" s="59"/>
      <c r="AJ240" s="57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47" t="s">
        <v>1464</v>
      </c>
      <c r="F241" s="47" t="s">
        <v>1464</v>
      </c>
      <c r="G241" s="130" t="s">
        <v>684</v>
      </c>
      <c r="H241" s="131"/>
      <c r="I241" s="132"/>
      <c r="J241" s="76"/>
      <c r="K241" s="81" t="s">
        <v>2141</v>
      </c>
      <c r="L241" s="47" t="s">
        <v>2142</v>
      </c>
      <c r="M241" s="47" t="s">
        <v>2143</v>
      </c>
      <c r="N241" s="134">
        <v>23.063742</v>
      </c>
      <c r="O241" s="134">
        <v>91.931381</v>
      </c>
      <c r="P241" s="81">
        <v>222</v>
      </c>
      <c r="Q241" s="47"/>
      <c r="R241" s="81"/>
      <c r="S241" s="81"/>
      <c r="T241" s="135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3"/>
      <c r="AH241" s="58"/>
      <c r="AI241" s="59"/>
      <c r="AJ241" s="57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47" t="s">
        <v>1464</v>
      </c>
      <c r="F242" s="47" t="s">
        <v>1464</v>
      </c>
      <c r="G242" s="130" t="s">
        <v>684</v>
      </c>
      <c r="H242" s="131"/>
      <c r="I242" s="132"/>
      <c r="J242" s="76"/>
      <c r="K242" s="81" t="s">
        <v>2144</v>
      </c>
      <c r="L242" s="47" t="s">
        <v>2145</v>
      </c>
      <c r="M242" s="47" t="s">
        <v>2146</v>
      </c>
      <c r="N242" s="134">
        <v>23.090606</v>
      </c>
      <c r="O242" s="134">
        <v>91.946351</v>
      </c>
      <c r="P242" s="81">
        <v>425</v>
      </c>
      <c r="Q242" s="47"/>
      <c r="R242" s="81"/>
      <c r="S242" s="81"/>
      <c r="T242" s="135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3"/>
      <c r="AH242" s="58"/>
      <c r="AI242" s="59"/>
      <c r="AJ242" s="57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47" t="s">
        <v>1464</v>
      </c>
      <c r="F243" s="47" t="s">
        <v>1464</v>
      </c>
      <c r="G243" s="130" t="s">
        <v>684</v>
      </c>
      <c r="H243" s="131"/>
      <c r="I243" s="132"/>
      <c r="J243" s="76"/>
      <c r="K243" s="81" t="s">
        <v>2147</v>
      </c>
      <c r="L243" s="47" t="s">
        <v>2148</v>
      </c>
      <c r="M243" s="47" t="s">
        <v>2149</v>
      </c>
      <c r="N243" s="134">
        <v>23.100424</v>
      </c>
      <c r="O243" s="134">
        <v>91.934242</v>
      </c>
      <c r="P243" s="81">
        <v>175</v>
      </c>
      <c r="Q243" s="47"/>
      <c r="R243" s="81"/>
      <c r="S243" s="81"/>
      <c r="T243" s="135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3"/>
      <c r="AH243" s="58"/>
      <c r="AI243" s="59"/>
      <c r="AJ243" s="57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47" t="s">
        <v>1464</v>
      </c>
      <c r="F244" s="47" t="s">
        <v>1464</v>
      </c>
      <c r="G244" s="130" t="s">
        <v>684</v>
      </c>
      <c r="H244" s="131"/>
      <c r="I244" s="132"/>
      <c r="J244" s="76"/>
      <c r="K244" s="81" t="s">
        <v>2150</v>
      </c>
      <c r="L244" s="47" t="s">
        <v>2151</v>
      </c>
      <c r="M244" s="47" t="s">
        <v>2152</v>
      </c>
      <c r="N244" s="134">
        <v>23.074998</v>
      </c>
      <c r="O244" s="134">
        <v>91.955818</v>
      </c>
      <c r="P244" s="81">
        <v>55</v>
      </c>
      <c r="Q244" s="47"/>
      <c r="R244" s="81"/>
      <c r="S244" s="81"/>
      <c r="T244" s="7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3"/>
      <c r="AH244" s="58"/>
      <c r="AI244" s="59"/>
      <c r="AJ244" s="57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47" t="s">
        <v>1464</v>
      </c>
      <c r="F245" s="47" t="s">
        <v>1464</v>
      </c>
      <c r="G245" s="130" t="s">
        <v>684</v>
      </c>
      <c r="H245" s="131"/>
      <c r="I245" s="132"/>
      <c r="J245" s="76"/>
      <c r="K245" s="81" t="s">
        <v>2153</v>
      </c>
      <c r="L245" s="47" t="s">
        <v>2154</v>
      </c>
      <c r="M245" s="47" t="s">
        <v>2155</v>
      </c>
      <c r="N245" s="134">
        <v>23.060017</v>
      </c>
      <c r="O245" s="134">
        <v>91.955619</v>
      </c>
      <c r="P245" s="81">
        <v>110</v>
      </c>
      <c r="Q245" s="47"/>
      <c r="R245" s="81"/>
      <c r="S245" s="81"/>
      <c r="T245" s="135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3"/>
      <c r="AH245" s="58"/>
      <c r="AI245" s="59"/>
      <c r="AJ245" s="57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47" t="s">
        <v>1464</v>
      </c>
      <c r="F246" s="47" t="s">
        <v>1464</v>
      </c>
      <c r="G246" s="130" t="s">
        <v>684</v>
      </c>
      <c r="H246" s="131"/>
      <c r="I246" s="132"/>
      <c r="J246" s="136"/>
      <c r="K246" s="81" t="s">
        <v>2156</v>
      </c>
      <c r="L246" s="47" t="s">
        <v>2157</v>
      </c>
      <c r="M246" s="47" t="s">
        <v>2158</v>
      </c>
      <c r="N246" s="134">
        <v>23.059715</v>
      </c>
      <c r="O246" s="134">
        <v>91.95882</v>
      </c>
      <c r="P246" s="81">
        <v>35</v>
      </c>
      <c r="Q246" s="47"/>
      <c r="R246" s="81"/>
      <c r="S246" s="81"/>
      <c r="T246" s="135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3"/>
      <c r="AH246" s="58"/>
      <c r="AI246" s="59"/>
      <c r="AJ246" s="57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47" t="s">
        <v>1464</v>
      </c>
      <c r="F247" s="47" t="s">
        <v>1464</v>
      </c>
      <c r="G247" s="130" t="s">
        <v>684</v>
      </c>
      <c r="H247" s="131"/>
      <c r="I247" s="132"/>
      <c r="J247" s="76"/>
      <c r="K247" s="81" t="s">
        <v>2159</v>
      </c>
      <c r="L247" s="47" t="s">
        <v>2160</v>
      </c>
      <c r="M247" s="47" t="s">
        <v>2161</v>
      </c>
      <c r="N247" s="134">
        <v>23.055124</v>
      </c>
      <c r="O247" s="134">
        <v>91.962575</v>
      </c>
      <c r="P247" s="81">
        <v>30</v>
      </c>
      <c r="Q247" s="47"/>
      <c r="R247" s="81"/>
      <c r="S247" s="81"/>
      <c r="T247" s="135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3"/>
      <c r="AH247" s="58"/>
      <c r="AI247" s="59"/>
      <c r="AJ247" s="57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47" t="s">
        <v>1464</v>
      </c>
      <c r="F248" s="47" t="s">
        <v>1464</v>
      </c>
      <c r="G248" s="130" t="s">
        <v>684</v>
      </c>
      <c r="H248" s="131"/>
      <c r="I248" s="132"/>
      <c r="J248" s="76"/>
      <c r="K248" s="81" t="s">
        <v>2162</v>
      </c>
      <c r="L248" s="47" t="s">
        <v>2163</v>
      </c>
      <c r="M248" s="47" t="s">
        <v>2164</v>
      </c>
      <c r="N248" s="134">
        <v>23.080139</v>
      </c>
      <c r="O248" s="134">
        <v>91.956326</v>
      </c>
      <c r="P248" s="81">
        <v>40</v>
      </c>
      <c r="Q248" s="47"/>
      <c r="R248" s="81"/>
      <c r="S248" s="81"/>
      <c r="T248" s="135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3"/>
      <c r="AH248" s="58"/>
      <c r="AI248" s="59"/>
      <c r="AJ248" s="57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47" t="s">
        <v>1464</v>
      </c>
      <c r="F249" s="47" t="s">
        <v>1464</v>
      </c>
      <c r="G249" s="130" t="s">
        <v>684</v>
      </c>
      <c r="H249" s="131"/>
      <c r="I249" s="132"/>
      <c r="J249" s="76"/>
      <c r="K249" s="81" t="s">
        <v>2165</v>
      </c>
      <c r="L249" s="47" t="s">
        <v>2166</v>
      </c>
      <c r="M249" s="47" t="s">
        <v>2167</v>
      </c>
      <c r="N249" s="134">
        <v>23.083587</v>
      </c>
      <c r="O249" s="134">
        <v>91.955132</v>
      </c>
      <c r="P249" s="81">
        <v>52</v>
      </c>
      <c r="Q249" s="47"/>
      <c r="R249" s="81"/>
      <c r="S249" s="81"/>
      <c r="T249" s="135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3"/>
      <c r="AH249" s="58"/>
      <c r="AI249" s="59"/>
      <c r="AJ249" s="57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47" t="s">
        <v>1464</v>
      </c>
      <c r="F250" s="47" t="s">
        <v>1464</v>
      </c>
      <c r="G250" s="130" t="s">
        <v>697</v>
      </c>
      <c r="H250" s="131"/>
      <c r="I250" s="132"/>
      <c r="J250" s="76"/>
      <c r="K250" s="81" t="s">
        <v>2168</v>
      </c>
      <c r="L250" s="47" t="s">
        <v>2169</v>
      </c>
      <c r="M250" s="47" t="s">
        <v>2170</v>
      </c>
      <c r="N250" s="134">
        <v>23.053588</v>
      </c>
      <c r="O250" s="134">
        <v>91.916409</v>
      </c>
      <c r="P250" s="81">
        <v>260</v>
      </c>
      <c r="Q250" s="47"/>
      <c r="R250" s="81"/>
      <c r="S250" s="81"/>
      <c r="T250" s="135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3"/>
      <c r="AH250" s="58"/>
      <c r="AI250" s="59"/>
      <c r="AJ250" s="57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47" t="s">
        <v>1464</v>
      </c>
      <c r="F251" s="47" t="s">
        <v>1464</v>
      </c>
      <c r="G251" s="130" t="s">
        <v>697</v>
      </c>
      <c r="H251" s="131"/>
      <c r="I251" s="132"/>
      <c r="J251" s="57"/>
      <c r="K251" s="81" t="s">
        <v>2171</v>
      </c>
      <c r="L251" s="47" t="s">
        <v>2172</v>
      </c>
      <c r="M251" s="47" t="s">
        <v>2173</v>
      </c>
      <c r="N251" s="134">
        <v>23.057842</v>
      </c>
      <c r="O251" s="134">
        <v>91.913947</v>
      </c>
      <c r="P251" s="81">
        <v>128</v>
      </c>
      <c r="Q251" s="47"/>
      <c r="R251" s="81"/>
      <c r="S251" s="81"/>
      <c r="T251" s="135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3"/>
      <c r="AH251" s="58"/>
      <c r="AI251" s="59"/>
      <c r="AJ251" s="57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47" t="s">
        <v>1464</v>
      </c>
      <c r="F252" s="47" t="s">
        <v>1464</v>
      </c>
      <c r="G252" s="130" t="s">
        <v>697</v>
      </c>
      <c r="H252" s="131"/>
      <c r="I252" s="132"/>
      <c r="J252" s="76"/>
      <c r="K252" s="81" t="s">
        <v>2174</v>
      </c>
      <c r="L252" s="47" t="s">
        <v>2175</v>
      </c>
      <c r="M252" s="47" t="s">
        <v>2176</v>
      </c>
      <c r="N252" s="134">
        <v>23.060896</v>
      </c>
      <c r="O252" s="134">
        <v>91.903627</v>
      </c>
      <c r="P252" s="81">
        <v>170</v>
      </c>
      <c r="Q252" s="47"/>
      <c r="R252" s="81"/>
      <c r="S252" s="81"/>
      <c r="T252" s="135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3"/>
      <c r="AH252" s="58"/>
      <c r="AI252" s="59"/>
      <c r="AJ252" s="57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47" t="s">
        <v>1464</v>
      </c>
      <c r="F253" s="47" t="s">
        <v>1464</v>
      </c>
      <c r="G253" s="130" t="s">
        <v>697</v>
      </c>
      <c r="H253" s="131"/>
      <c r="I253" s="132"/>
      <c r="J253" s="76"/>
      <c r="K253" s="81" t="s">
        <v>2177</v>
      </c>
      <c r="L253" s="47" t="s">
        <v>2178</v>
      </c>
      <c r="M253" s="47" t="s">
        <v>2179</v>
      </c>
      <c r="N253" s="134">
        <v>23.059679</v>
      </c>
      <c r="O253" s="134">
        <v>91.901911</v>
      </c>
      <c r="P253" s="81">
        <v>200</v>
      </c>
      <c r="Q253" s="47"/>
      <c r="R253" s="81"/>
      <c r="S253" s="81"/>
      <c r="T253" s="135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3"/>
      <c r="AH253" s="58"/>
      <c r="AI253" s="59"/>
      <c r="AJ253" s="57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47" t="s">
        <v>1464</v>
      </c>
      <c r="F254" s="47" t="s">
        <v>1464</v>
      </c>
      <c r="G254" s="130" t="s">
        <v>697</v>
      </c>
      <c r="H254" s="131"/>
      <c r="I254" s="132"/>
      <c r="J254" s="76"/>
      <c r="K254" s="81" t="s">
        <v>2180</v>
      </c>
      <c r="L254" s="47" t="s">
        <v>2181</v>
      </c>
      <c r="M254" s="47" t="s">
        <v>2182</v>
      </c>
      <c r="N254" s="134">
        <v>23.055682</v>
      </c>
      <c r="O254" s="134">
        <v>91.900554</v>
      </c>
      <c r="P254" s="81">
        <v>200</v>
      </c>
      <c r="Q254" s="47"/>
      <c r="R254" s="81"/>
      <c r="S254" s="81"/>
      <c r="T254" s="135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3"/>
      <c r="AH254" s="58"/>
      <c r="AI254" s="59"/>
      <c r="AJ254" s="57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47" t="s">
        <v>1464</v>
      </c>
      <c r="F255" s="47" t="s">
        <v>1464</v>
      </c>
      <c r="G255" s="130" t="s">
        <v>697</v>
      </c>
      <c r="H255" s="131"/>
      <c r="I255" s="132"/>
      <c r="J255" s="76"/>
      <c r="K255" s="81" t="s">
        <v>2183</v>
      </c>
      <c r="L255" s="47" t="s">
        <v>2184</v>
      </c>
      <c r="M255" s="47" t="s">
        <v>2185</v>
      </c>
      <c r="N255" s="134">
        <v>23.047665</v>
      </c>
      <c r="O255" s="134">
        <v>91.899643</v>
      </c>
      <c r="P255" s="81">
        <v>170</v>
      </c>
      <c r="Q255" s="47"/>
      <c r="R255" s="81"/>
      <c r="S255" s="81"/>
      <c r="T255" s="135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3"/>
      <c r="AH255" s="58"/>
      <c r="AI255" s="59"/>
      <c r="AJ255" s="57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47" t="s">
        <v>1464</v>
      </c>
      <c r="F256" s="47" t="s">
        <v>1464</v>
      </c>
      <c r="G256" s="130" t="s">
        <v>697</v>
      </c>
      <c r="H256" s="131"/>
      <c r="I256" s="132"/>
      <c r="J256" s="76"/>
      <c r="K256" s="81" t="s">
        <v>2186</v>
      </c>
      <c r="L256" s="47" t="s">
        <v>2187</v>
      </c>
      <c r="M256" s="47" t="s">
        <v>2188</v>
      </c>
      <c r="N256" s="134">
        <v>23.043697</v>
      </c>
      <c r="O256" s="134">
        <v>91.891807</v>
      </c>
      <c r="P256" s="81">
        <v>60</v>
      </c>
      <c r="Q256" s="47"/>
      <c r="R256" s="81"/>
      <c r="S256" s="81"/>
      <c r="T256" s="135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3"/>
      <c r="AH256" s="58"/>
      <c r="AI256" s="59"/>
      <c r="AJ256" s="57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47" t="s">
        <v>1464</v>
      </c>
      <c r="F257" s="47" t="s">
        <v>1464</v>
      </c>
      <c r="G257" s="130" t="s">
        <v>707</v>
      </c>
      <c r="H257" s="131"/>
      <c r="I257" s="132"/>
      <c r="J257" s="76"/>
      <c r="K257" s="81" t="s">
        <v>2189</v>
      </c>
      <c r="L257" s="47" t="s">
        <v>2190</v>
      </c>
      <c r="M257" s="47" t="s">
        <v>2191</v>
      </c>
      <c r="N257" s="134">
        <v>23.074221</v>
      </c>
      <c r="O257" s="134">
        <v>91.907403</v>
      </c>
      <c r="P257" s="81">
        <v>350</v>
      </c>
      <c r="Q257" s="47"/>
      <c r="R257" s="81"/>
      <c r="S257" s="81"/>
      <c r="T257" s="135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3"/>
      <c r="AH257" s="58"/>
      <c r="AI257" s="59"/>
      <c r="AJ257" s="57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47" t="s">
        <v>1464</v>
      </c>
      <c r="F258" s="47" t="s">
        <v>1464</v>
      </c>
      <c r="G258" s="130" t="s">
        <v>707</v>
      </c>
      <c r="H258" s="131"/>
      <c r="I258" s="132"/>
      <c r="J258" s="76"/>
      <c r="K258" s="81" t="s">
        <v>2192</v>
      </c>
      <c r="L258" s="47" t="s">
        <v>2193</v>
      </c>
      <c r="M258" s="47" t="s">
        <v>2194</v>
      </c>
      <c r="N258" s="134">
        <v>23.066515</v>
      </c>
      <c r="O258" s="134">
        <v>91.907714</v>
      </c>
      <c r="P258" s="81">
        <v>250</v>
      </c>
      <c r="Q258" s="47"/>
      <c r="R258" s="81"/>
      <c r="S258" s="81"/>
      <c r="T258" s="135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3"/>
      <c r="AH258" s="58"/>
      <c r="AI258" s="59"/>
      <c r="AJ258" s="57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47" t="s">
        <v>1464</v>
      </c>
      <c r="F259" s="47" t="s">
        <v>1464</v>
      </c>
      <c r="G259" s="130" t="s">
        <v>707</v>
      </c>
      <c r="H259" s="131"/>
      <c r="I259" s="132"/>
      <c r="J259" s="76"/>
      <c r="K259" s="81" t="s">
        <v>2195</v>
      </c>
      <c r="L259" s="47" t="s">
        <v>2196</v>
      </c>
      <c r="M259" s="47" t="s">
        <v>2197</v>
      </c>
      <c r="N259" s="134">
        <v>23.090492</v>
      </c>
      <c r="O259" s="134">
        <v>91.908078</v>
      </c>
      <c r="P259" s="81">
        <v>230</v>
      </c>
      <c r="Q259" s="47"/>
      <c r="R259" s="81"/>
      <c r="S259" s="81"/>
      <c r="T259" s="7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3"/>
      <c r="AH259" s="58"/>
      <c r="AI259" s="59"/>
      <c r="AJ259" s="57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47" t="s">
        <v>1464</v>
      </c>
      <c r="F260" s="47" t="s">
        <v>1464</v>
      </c>
      <c r="G260" s="130" t="s">
        <v>707</v>
      </c>
      <c r="H260" s="131"/>
      <c r="I260" s="132"/>
      <c r="J260" s="76"/>
      <c r="K260" s="81" t="s">
        <v>2198</v>
      </c>
      <c r="L260" s="47" t="s">
        <v>2199</v>
      </c>
      <c r="M260" s="47" t="s">
        <v>2200</v>
      </c>
      <c r="N260" s="134">
        <v>23.07333</v>
      </c>
      <c r="O260" s="134">
        <v>91.898023</v>
      </c>
      <c r="P260" s="81">
        <v>280</v>
      </c>
      <c r="Q260" s="47"/>
      <c r="R260" s="81"/>
      <c r="S260" s="81"/>
      <c r="T260" s="135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3"/>
      <c r="AH260" s="58"/>
      <c r="AI260" s="59"/>
      <c r="AJ260" s="57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47" t="s">
        <v>1464</v>
      </c>
      <c r="F261" s="47" t="s">
        <v>1464</v>
      </c>
      <c r="G261" s="130" t="s">
        <v>707</v>
      </c>
      <c r="H261" s="131"/>
      <c r="I261" s="132"/>
      <c r="J261" s="76"/>
      <c r="K261" s="81" t="s">
        <v>2201</v>
      </c>
      <c r="L261" s="47" t="s">
        <v>2202</v>
      </c>
      <c r="M261" s="47" t="s">
        <v>2203</v>
      </c>
      <c r="N261" s="134">
        <v>23.075758</v>
      </c>
      <c r="O261" s="134">
        <v>91.889667</v>
      </c>
      <c r="P261" s="81">
        <v>360</v>
      </c>
      <c r="Q261" s="47"/>
      <c r="R261" s="81"/>
      <c r="S261" s="81"/>
      <c r="T261" s="135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3"/>
      <c r="AH261" s="58"/>
      <c r="AI261" s="59"/>
      <c r="AJ261" s="57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47" t="s">
        <v>1464</v>
      </c>
      <c r="F262" s="47" t="s">
        <v>1464</v>
      </c>
      <c r="G262" s="130" t="s">
        <v>707</v>
      </c>
      <c r="H262" s="131"/>
      <c r="I262" s="132"/>
      <c r="J262" s="76"/>
      <c r="K262" s="81" t="s">
        <v>2204</v>
      </c>
      <c r="L262" s="47" t="s">
        <v>2205</v>
      </c>
      <c r="M262" s="47" t="s">
        <v>2206</v>
      </c>
      <c r="N262" s="134">
        <v>23.08891</v>
      </c>
      <c r="O262" s="134">
        <v>91.921117</v>
      </c>
      <c r="P262" s="81">
        <v>170</v>
      </c>
      <c r="Q262" s="47"/>
      <c r="R262" s="81"/>
      <c r="S262" s="81"/>
      <c r="T262" s="135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3"/>
      <c r="AH262" s="58"/>
      <c r="AI262" s="59"/>
      <c r="AJ262" s="57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47" t="s">
        <v>1464</v>
      </c>
      <c r="F263" s="47" t="s">
        <v>1464</v>
      </c>
      <c r="G263" s="130" t="s">
        <v>707</v>
      </c>
      <c r="H263" s="131"/>
      <c r="I263" s="132"/>
      <c r="J263" s="76"/>
      <c r="K263" s="81" t="s">
        <v>2207</v>
      </c>
      <c r="L263" s="47" t="s">
        <v>2208</v>
      </c>
      <c r="M263" s="47" t="s">
        <v>2209</v>
      </c>
      <c r="N263" s="134">
        <v>23.078144</v>
      </c>
      <c r="O263" s="134">
        <v>91.918071</v>
      </c>
      <c r="P263" s="81">
        <v>150</v>
      </c>
      <c r="Q263" s="47"/>
      <c r="R263" s="81"/>
      <c r="S263" s="81"/>
      <c r="T263" s="135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3"/>
      <c r="AH263" s="58"/>
      <c r="AI263" s="59"/>
      <c r="AJ263" s="57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47" t="s">
        <v>1464</v>
      </c>
      <c r="F264" s="47" t="s">
        <v>1464</v>
      </c>
      <c r="G264" s="130" t="s">
        <v>707</v>
      </c>
      <c r="H264" s="131"/>
      <c r="I264" s="132"/>
      <c r="J264" s="76"/>
      <c r="K264" s="81" t="s">
        <v>2210</v>
      </c>
      <c r="L264" s="47" t="s">
        <v>2211</v>
      </c>
      <c r="M264" s="47" t="s">
        <v>2212</v>
      </c>
      <c r="N264" s="134">
        <v>23.066593</v>
      </c>
      <c r="O264" s="134">
        <v>91.922496</v>
      </c>
      <c r="P264" s="81">
        <v>90</v>
      </c>
      <c r="Q264" s="47"/>
      <c r="R264" s="81"/>
      <c r="S264" s="81"/>
      <c r="T264" s="135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3"/>
      <c r="AH264" s="58"/>
      <c r="AI264" s="59"/>
      <c r="AJ264" s="57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47" t="s">
        <v>1464</v>
      </c>
      <c r="F265" s="47" t="s">
        <v>1464</v>
      </c>
      <c r="G265" s="130" t="s">
        <v>707</v>
      </c>
      <c r="H265" s="131"/>
      <c r="I265" s="132"/>
      <c r="J265" s="76"/>
      <c r="K265" s="81" t="s">
        <v>2213</v>
      </c>
      <c r="L265" s="47" t="s">
        <v>2214</v>
      </c>
      <c r="M265" s="47" t="s">
        <v>2215</v>
      </c>
      <c r="N265" s="134">
        <v>23.06772</v>
      </c>
      <c r="O265" s="134">
        <v>91.912414</v>
      </c>
      <c r="P265" s="81">
        <v>230</v>
      </c>
      <c r="Q265" s="47"/>
      <c r="R265" s="81"/>
      <c r="S265" s="81"/>
      <c r="T265" s="135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3"/>
      <c r="AH265" s="58"/>
      <c r="AI265" s="59"/>
      <c r="AJ265" s="57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47" t="s">
        <v>1464</v>
      </c>
      <c r="F266" s="47" t="s">
        <v>1464</v>
      </c>
      <c r="G266" s="130" t="s">
        <v>707</v>
      </c>
      <c r="H266" s="131"/>
      <c r="I266" s="132"/>
      <c r="J266" s="57"/>
      <c r="K266" s="81" t="s">
        <v>2216</v>
      </c>
      <c r="L266" s="47" t="s">
        <v>2217</v>
      </c>
      <c r="M266" s="47" t="s">
        <v>2218</v>
      </c>
      <c r="N266" s="134">
        <v>23.068747</v>
      </c>
      <c r="O266" s="134">
        <v>91.904366</v>
      </c>
      <c r="P266" s="81">
        <v>35</v>
      </c>
      <c r="Q266" s="47"/>
      <c r="R266" s="81"/>
      <c r="S266" s="81"/>
      <c r="T266" s="135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3"/>
      <c r="AH266" s="58"/>
      <c r="AI266" s="59"/>
      <c r="AJ266" s="57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47" t="s">
        <v>1464</v>
      </c>
      <c r="F267" s="47" t="s">
        <v>1464</v>
      </c>
      <c r="G267" s="130" t="s">
        <v>726</v>
      </c>
      <c r="H267" s="131"/>
      <c r="I267" s="132"/>
      <c r="J267" s="57"/>
      <c r="K267" s="81" t="s">
        <v>2219</v>
      </c>
      <c r="L267" s="47" t="s">
        <v>2220</v>
      </c>
      <c r="M267" s="47" t="s">
        <v>2221</v>
      </c>
      <c r="N267" s="134">
        <v>23.06301</v>
      </c>
      <c r="O267" s="134">
        <v>91.824647</v>
      </c>
      <c r="P267" s="81">
        <v>650</v>
      </c>
      <c r="Q267" s="47"/>
      <c r="R267" s="81"/>
      <c r="S267" s="81"/>
      <c r="T267" s="135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3"/>
      <c r="AH267" s="58"/>
      <c r="AI267" s="59"/>
      <c r="AJ267" s="57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47" t="s">
        <v>1464</v>
      </c>
      <c r="F268" s="47" t="s">
        <v>1464</v>
      </c>
      <c r="G268" s="130" t="s">
        <v>726</v>
      </c>
      <c r="H268" s="131"/>
      <c r="I268" s="132"/>
      <c r="J268" s="57"/>
      <c r="K268" s="81" t="s">
        <v>2222</v>
      </c>
      <c r="L268" s="47" t="s">
        <v>2223</v>
      </c>
      <c r="M268" s="47" t="s">
        <v>2224</v>
      </c>
      <c r="N268" s="134">
        <v>23.06677</v>
      </c>
      <c r="O268" s="134">
        <v>91.837261</v>
      </c>
      <c r="P268" s="81">
        <v>220</v>
      </c>
      <c r="Q268" s="47"/>
      <c r="R268" s="81"/>
      <c r="S268" s="81"/>
      <c r="T268" s="7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3"/>
      <c r="AH268" s="58"/>
      <c r="AI268" s="59"/>
      <c r="AJ268" s="57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47" t="s">
        <v>1464</v>
      </c>
      <c r="F269" s="47" t="s">
        <v>1464</v>
      </c>
      <c r="G269" s="130" t="s">
        <v>726</v>
      </c>
      <c r="H269" s="131"/>
      <c r="I269" s="132"/>
      <c r="J269" s="57"/>
      <c r="K269" s="81" t="s">
        <v>2225</v>
      </c>
      <c r="L269" s="47" t="s">
        <v>2226</v>
      </c>
      <c r="M269" s="47" t="s">
        <v>2227</v>
      </c>
      <c r="N269" s="134">
        <v>23.074742</v>
      </c>
      <c r="O269" s="134">
        <v>91.820417</v>
      </c>
      <c r="P269" s="81">
        <v>50</v>
      </c>
      <c r="Q269" s="47"/>
      <c r="R269" s="81"/>
      <c r="S269" s="81"/>
      <c r="T269" s="135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3"/>
      <c r="AH269" s="58"/>
      <c r="AI269" s="59"/>
      <c r="AJ269" s="57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47" t="s">
        <v>1464</v>
      </c>
      <c r="F270" s="47" t="s">
        <v>1464</v>
      </c>
      <c r="G270" s="130" t="s">
        <v>742</v>
      </c>
      <c r="H270" s="131"/>
      <c r="I270" s="132"/>
      <c r="J270" s="57"/>
      <c r="K270" s="81" t="s">
        <v>236</v>
      </c>
      <c r="L270" s="47" t="s">
        <v>2228</v>
      </c>
      <c r="M270" s="47" t="s">
        <v>2229</v>
      </c>
      <c r="N270" s="134">
        <v>23.016068</v>
      </c>
      <c r="O270" s="134">
        <v>91.862522</v>
      </c>
      <c r="P270" s="81">
        <v>150</v>
      </c>
      <c r="Q270" s="47"/>
      <c r="R270" s="81"/>
      <c r="S270" s="81"/>
      <c r="T270" s="135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3"/>
      <c r="AH270" s="58"/>
      <c r="AI270" s="59"/>
      <c r="AJ270" s="57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47" t="s">
        <v>1464</v>
      </c>
      <c r="F271" s="47" t="s">
        <v>1464</v>
      </c>
      <c r="G271" s="130" t="s">
        <v>742</v>
      </c>
      <c r="H271" s="131"/>
      <c r="I271" s="132"/>
      <c r="J271" s="57"/>
      <c r="K271" s="81" t="s">
        <v>2230</v>
      </c>
      <c r="L271" s="47" t="s">
        <v>2231</v>
      </c>
      <c r="M271" s="47" t="s">
        <v>2232</v>
      </c>
      <c r="N271" s="134">
        <v>23.014084</v>
      </c>
      <c r="O271" s="134">
        <v>91.8499</v>
      </c>
      <c r="P271" s="81">
        <v>450</v>
      </c>
      <c r="Q271" s="47"/>
      <c r="R271" s="81"/>
      <c r="S271" s="81"/>
      <c r="T271" s="135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3"/>
      <c r="AH271" s="58"/>
      <c r="AI271" s="59"/>
      <c r="AJ271" s="57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47" t="s">
        <v>1464</v>
      </c>
      <c r="F272" s="47" t="s">
        <v>1464</v>
      </c>
      <c r="G272" s="130" t="s">
        <v>742</v>
      </c>
      <c r="H272" s="131"/>
      <c r="I272" s="132"/>
      <c r="J272" s="57"/>
      <c r="K272" s="81" t="s">
        <v>2233</v>
      </c>
      <c r="L272" s="47" t="s">
        <v>2234</v>
      </c>
      <c r="M272" s="47" t="s">
        <v>2235</v>
      </c>
      <c r="N272" s="134">
        <v>23.037934</v>
      </c>
      <c r="O272" s="134">
        <v>91.856951</v>
      </c>
      <c r="P272" s="81">
        <v>170</v>
      </c>
      <c r="Q272" s="47"/>
      <c r="R272" s="81"/>
      <c r="S272" s="81"/>
      <c r="T272" s="135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3"/>
      <c r="AH272" s="58"/>
      <c r="AI272" s="59"/>
      <c r="AJ272" s="57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47" t="s">
        <v>1464</v>
      </c>
      <c r="F273" s="47" t="s">
        <v>1464</v>
      </c>
      <c r="G273" s="130" t="s">
        <v>742</v>
      </c>
      <c r="H273" s="131"/>
      <c r="I273" s="132"/>
      <c r="J273" s="57"/>
      <c r="K273" s="81" t="s">
        <v>328</v>
      </c>
      <c r="L273" s="47" t="s">
        <v>2236</v>
      </c>
      <c r="M273" s="47" t="s">
        <v>2237</v>
      </c>
      <c r="N273" s="134">
        <v>23.04318</v>
      </c>
      <c r="O273" s="134">
        <v>91.856313</v>
      </c>
      <c r="P273" s="81">
        <v>160</v>
      </c>
      <c r="Q273" s="47"/>
      <c r="R273" s="81"/>
      <c r="S273" s="81"/>
      <c r="T273" s="135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3"/>
      <c r="AH273" s="58"/>
      <c r="AI273" s="59"/>
      <c r="AJ273" s="57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47" t="s">
        <v>1464</v>
      </c>
      <c r="F274" s="47" t="s">
        <v>1464</v>
      </c>
      <c r="G274" s="130" t="s">
        <v>742</v>
      </c>
      <c r="H274" s="57"/>
      <c r="I274" s="59"/>
      <c r="J274" s="57"/>
      <c r="K274" s="81" t="s">
        <v>2238</v>
      </c>
      <c r="L274" s="47" t="s">
        <v>2239</v>
      </c>
      <c r="M274" s="47" t="s">
        <v>2240</v>
      </c>
      <c r="N274" s="134">
        <v>23.04525</v>
      </c>
      <c r="O274" s="134">
        <v>91.844542</v>
      </c>
      <c r="P274" s="81">
        <v>200</v>
      </c>
      <c r="Q274" s="47"/>
      <c r="R274" s="81"/>
      <c r="S274" s="81"/>
      <c r="T274" s="135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3"/>
      <c r="AH274" s="58"/>
      <c r="AI274" s="59"/>
      <c r="AJ274" s="57"/>
    </row>
    <row x14ac:dyDescent="0.25" r="275" customHeight="1" ht="18">
      <c r="A275" s="45">
        <v>269</v>
      </c>
      <c r="B275" s="46" t="s">
        <v>47</v>
      </c>
      <c r="C275" s="46" t="s">
        <v>48</v>
      </c>
      <c r="D275" s="47" t="s">
        <v>49</v>
      </c>
      <c r="E275" s="47" t="s">
        <v>1464</v>
      </c>
      <c r="F275" s="47" t="s">
        <v>1464</v>
      </c>
      <c r="G275" s="130" t="s">
        <v>742</v>
      </c>
      <c r="H275" s="57"/>
      <c r="I275" s="59"/>
      <c r="J275" s="57"/>
      <c r="K275" s="81" t="s">
        <v>2241</v>
      </c>
      <c r="L275" s="47" t="s">
        <v>2242</v>
      </c>
      <c r="M275" s="47" t="s">
        <v>2243</v>
      </c>
      <c r="N275" s="134">
        <v>23.046113</v>
      </c>
      <c r="O275" s="134">
        <v>91.841371</v>
      </c>
      <c r="P275" s="81">
        <v>250</v>
      </c>
      <c r="Q275" s="47"/>
      <c r="R275" s="81"/>
      <c r="S275" s="81"/>
      <c r="T275" s="135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3"/>
      <c r="AH275" s="58"/>
      <c r="AI275" s="59"/>
      <c r="AJ275" s="57"/>
    </row>
    <row x14ac:dyDescent="0.25" r="276" customHeight="1" ht="18">
      <c r="A276" s="45">
        <v>270</v>
      </c>
      <c r="B276" s="46" t="s">
        <v>47</v>
      </c>
      <c r="C276" s="46" t="s">
        <v>48</v>
      </c>
      <c r="D276" s="47" t="s">
        <v>49</v>
      </c>
      <c r="E276" s="47" t="s">
        <v>1464</v>
      </c>
      <c r="F276" s="47" t="s">
        <v>1464</v>
      </c>
      <c r="G276" s="130" t="s">
        <v>742</v>
      </c>
      <c r="H276" s="57"/>
      <c r="I276" s="59"/>
      <c r="J276" s="57"/>
      <c r="K276" s="81" t="s">
        <v>2244</v>
      </c>
      <c r="L276" s="47" t="s">
        <v>2245</v>
      </c>
      <c r="M276" s="47" t="s">
        <v>2246</v>
      </c>
      <c r="N276" s="134">
        <v>23.042368</v>
      </c>
      <c r="O276" s="134">
        <v>91.846846</v>
      </c>
      <c r="P276" s="81">
        <v>250</v>
      </c>
      <c r="Q276" s="47"/>
      <c r="R276" s="81"/>
      <c r="S276" s="81"/>
      <c r="T276" s="135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3"/>
      <c r="AH276" s="58"/>
      <c r="AI276" s="59"/>
      <c r="AJ276" s="57"/>
    </row>
    <row x14ac:dyDescent="0.25" r="277" customHeight="1" ht="18">
      <c r="A277" s="45">
        <v>271</v>
      </c>
      <c r="B277" s="46" t="s">
        <v>47</v>
      </c>
      <c r="C277" s="46" t="s">
        <v>48</v>
      </c>
      <c r="D277" s="47" t="s">
        <v>49</v>
      </c>
      <c r="E277" s="47" t="s">
        <v>1464</v>
      </c>
      <c r="F277" s="47" t="s">
        <v>1464</v>
      </c>
      <c r="G277" s="130" t="s">
        <v>742</v>
      </c>
      <c r="H277" s="57"/>
      <c r="I277" s="59"/>
      <c r="J277" s="57"/>
      <c r="K277" s="81" t="s">
        <v>2247</v>
      </c>
      <c r="L277" s="47" t="s">
        <v>2248</v>
      </c>
      <c r="M277" s="47" t="s">
        <v>2249</v>
      </c>
      <c r="N277" s="134">
        <v>23.032813</v>
      </c>
      <c r="O277" s="134">
        <v>91.860949</v>
      </c>
      <c r="P277" s="81">
        <v>30</v>
      </c>
      <c r="Q277" s="47"/>
      <c r="R277" s="81"/>
      <c r="S277" s="81"/>
      <c r="T277" s="135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3"/>
      <c r="AH277" s="58"/>
      <c r="AI277" s="59"/>
      <c r="AJ277" s="57"/>
    </row>
    <row x14ac:dyDescent="0.25" r="278" customHeight="1" ht="18">
      <c r="A278" s="45">
        <v>272</v>
      </c>
      <c r="B278" s="46" t="s">
        <v>47</v>
      </c>
      <c r="C278" s="46" t="s">
        <v>48</v>
      </c>
      <c r="D278" s="47" t="s">
        <v>49</v>
      </c>
      <c r="E278" s="47" t="s">
        <v>1464</v>
      </c>
      <c r="F278" s="47" t="s">
        <v>1464</v>
      </c>
      <c r="G278" s="130" t="s">
        <v>761</v>
      </c>
      <c r="H278" s="57"/>
      <c r="I278" s="59"/>
      <c r="J278" s="57"/>
      <c r="K278" s="81" t="s">
        <v>2250</v>
      </c>
      <c r="L278" s="47" t="s">
        <v>2251</v>
      </c>
      <c r="M278" s="47" t="s">
        <v>2252</v>
      </c>
      <c r="N278" s="134">
        <v>23.050356</v>
      </c>
      <c r="O278" s="134">
        <v>91.822923</v>
      </c>
      <c r="P278" s="81">
        <v>175</v>
      </c>
      <c r="Q278" s="47"/>
      <c r="R278" s="81"/>
      <c r="S278" s="81"/>
      <c r="T278" s="135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3"/>
      <c r="AH278" s="58"/>
      <c r="AI278" s="59"/>
      <c r="AJ278" s="57"/>
    </row>
    <row x14ac:dyDescent="0.25" r="279" customHeight="1" ht="18">
      <c r="A279" s="45">
        <v>273</v>
      </c>
      <c r="B279" s="46" t="s">
        <v>47</v>
      </c>
      <c r="C279" s="46" t="s">
        <v>48</v>
      </c>
      <c r="D279" s="47" t="s">
        <v>49</v>
      </c>
      <c r="E279" s="47" t="s">
        <v>1464</v>
      </c>
      <c r="F279" s="47" t="s">
        <v>1464</v>
      </c>
      <c r="G279" s="130" t="s">
        <v>761</v>
      </c>
      <c r="H279" s="57"/>
      <c r="I279" s="59"/>
      <c r="J279" s="57"/>
      <c r="K279" s="81" t="s">
        <v>2253</v>
      </c>
      <c r="L279" s="47" t="s">
        <v>2254</v>
      </c>
      <c r="M279" s="47" t="s">
        <v>2255</v>
      </c>
      <c r="N279" s="134">
        <v>23.054281</v>
      </c>
      <c r="O279" s="134">
        <v>91.825809</v>
      </c>
      <c r="P279" s="81">
        <v>225</v>
      </c>
      <c r="Q279" s="47"/>
      <c r="R279" s="81"/>
      <c r="S279" s="81"/>
      <c r="T279" s="135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3"/>
      <c r="AH279" s="58"/>
      <c r="AI279" s="59"/>
      <c r="AJ279" s="57"/>
    </row>
    <row x14ac:dyDescent="0.25" r="280" customHeight="1" ht="18">
      <c r="A280" s="45">
        <v>274</v>
      </c>
      <c r="B280" s="46" t="s">
        <v>47</v>
      </c>
      <c r="C280" s="46" t="s">
        <v>48</v>
      </c>
      <c r="D280" s="47" t="s">
        <v>49</v>
      </c>
      <c r="E280" s="47" t="s">
        <v>1464</v>
      </c>
      <c r="F280" s="47" t="s">
        <v>1464</v>
      </c>
      <c r="G280" s="130" t="s">
        <v>761</v>
      </c>
      <c r="H280" s="57"/>
      <c r="I280" s="59"/>
      <c r="J280" s="57"/>
      <c r="K280" s="81" t="s">
        <v>2256</v>
      </c>
      <c r="L280" s="47" t="s">
        <v>2257</v>
      </c>
      <c r="M280" s="47" t="s">
        <v>2258</v>
      </c>
      <c r="N280" s="134">
        <v>23.041163</v>
      </c>
      <c r="O280" s="134">
        <v>91.805985</v>
      </c>
      <c r="P280" s="81">
        <v>200</v>
      </c>
      <c r="Q280" s="47"/>
      <c r="R280" s="81"/>
      <c r="S280" s="81"/>
      <c r="T280" s="7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3"/>
      <c r="AH280" s="58"/>
      <c r="AI280" s="59"/>
      <c r="AJ280" s="57"/>
    </row>
    <row x14ac:dyDescent="0.25" r="281" customHeight="1" ht="18">
      <c r="A281" s="45">
        <v>275</v>
      </c>
      <c r="B281" s="46" t="s">
        <v>47</v>
      </c>
      <c r="C281" s="46" t="s">
        <v>48</v>
      </c>
      <c r="D281" s="47" t="s">
        <v>49</v>
      </c>
      <c r="E281" s="47" t="s">
        <v>1464</v>
      </c>
      <c r="F281" s="47" t="s">
        <v>1464</v>
      </c>
      <c r="G281" s="130" t="s">
        <v>761</v>
      </c>
      <c r="H281" s="57"/>
      <c r="I281" s="59"/>
      <c r="J281" s="57"/>
      <c r="K281" s="81" t="s">
        <v>2259</v>
      </c>
      <c r="L281" s="47" t="s">
        <v>2260</v>
      </c>
      <c r="M281" s="47" t="s">
        <v>2261</v>
      </c>
      <c r="N281" s="134">
        <v>23.050013</v>
      </c>
      <c r="O281" s="134">
        <v>91.831694</v>
      </c>
      <c r="P281" s="81">
        <v>130</v>
      </c>
      <c r="Q281" s="47"/>
      <c r="R281" s="81"/>
      <c r="S281" s="81"/>
      <c r="T281" s="7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3"/>
      <c r="AH281" s="58"/>
      <c r="AI281" s="59"/>
      <c r="AJ281" s="57"/>
    </row>
    <row x14ac:dyDescent="0.25" r="282" customHeight="1" ht="18">
      <c r="A282" s="45">
        <v>276</v>
      </c>
      <c r="B282" s="46" t="s">
        <v>47</v>
      </c>
      <c r="C282" s="46" t="s">
        <v>48</v>
      </c>
      <c r="D282" s="47" t="s">
        <v>49</v>
      </c>
      <c r="E282" s="47" t="s">
        <v>1464</v>
      </c>
      <c r="F282" s="47" t="s">
        <v>1464</v>
      </c>
      <c r="G282" s="130" t="s">
        <v>761</v>
      </c>
      <c r="H282" s="57"/>
      <c r="I282" s="59"/>
      <c r="J282" s="57"/>
      <c r="K282" s="81" t="s">
        <v>2262</v>
      </c>
      <c r="L282" s="47" t="s">
        <v>2263</v>
      </c>
      <c r="M282" s="47" t="s">
        <v>2264</v>
      </c>
      <c r="N282" s="134">
        <v>23.052766</v>
      </c>
      <c r="O282" s="134">
        <v>91.831706</v>
      </c>
      <c r="P282" s="81">
        <v>145</v>
      </c>
      <c r="Q282" s="47"/>
      <c r="R282" s="81"/>
      <c r="S282" s="81"/>
      <c r="T282" s="135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3"/>
      <c r="AH282" s="58"/>
      <c r="AI282" s="59"/>
      <c r="AJ282" s="57"/>
    </row>
    <row x14ac:dyDescent="0.25" r="283" customHeight="1" ht="18">
      <c r="A283" s="45">
        <v>277</v>
      </c>
      <c r="B283" s="46" t="s">
        <v>47</v>
      </c>
      <c r="C283" s="46" t="s">
        <v>48</v>
      </c>
      <c r="D283" s="47" t="s">
        <v>49</v>
      </c>
      <c r="E283" s="47" t="s">
        <v>1464</v>
      </c>
      <c r="F283" s="47" t="s">
        <v>1464</v>
      </c>
      <c r="G283" s="130" t="s">
        <v>761</v>
      </c>
      <c r="H283" s="57"/>
      <c r="I283" s="59"/>
      <c r="J283" s="57"/>
      <c r="K283" s="81" t="s">
        <v>2265</v>
      </c>
      <c r="L283" s="47" t="s">
        <v>2266</v>
      </c>
      <c r="M283" s="47" t="s">
        <v>2267</v>
      </c>
      <c r="N283" s="134">
        <v>23.045357</v>
      </c>
      <c r="O283" s="134">
        <v>91.831481</v>
      </c>
      <c r="P283" s="81">
        <v>105</v>
      </c>
      <c r="Q283" s="47"/>
      <c r="R283" s="81"/>
      <c r="S283" s="81"/>
      <c r="T283" s="7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3"/>
      <c r="AH283" s="58"/>
      <c r="AI283" s="59"/>
      <c r="AJ283" s="57"/>
    </row>
    <row x14ac:dyDescent="0.25" r="284" customHeight="1" ht="18">
      <c r="A284" s="45">
        <v>278</v>
      </c>
      <c r="B284" s="46" t="s">
        <v>47</v>
      </c>
      <c r="C284" s="46" t="s">
        <v>48</v>
      </c>
      <c r="D284" s="47" t="s">
        <v>49</v>
      </c>
      <c r="E284" s="47" t="s">
        <v>1464</v>
      </c>
      <c r="F284" s="47" t="s">
        <v>1464</v>
      </c>
      <c r="G284" s="130" t="s">
        <v>761</v>
      </c>
      <c r="H284" s="57"/>
      <c r="I284" s="59"/>
      <c r="J284" s="57"/>
      <c r="K284" s="81" t="s">
        <v>2268</v>
      </c>
      <c r="L284" s="47" t="s">
        <v>2269</v>
      </c>
      <c r="M284" s="47" t="s">
        <v>2270</v>
      </c>
      <c r="N284" s="134">
        <v>23.0363</v>
      </c>
      <c r="O284" s="134">
        <v>91.826981</v>
      </c>
      <c r="P284" s="81">
        <v>250</v>
      </c>
      <c r="Q284" s="47"/>
      <c r="R284" s="81"/>
      <c r="S284" s="81"/>
      <c r="T284" s="7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3"/>
      <c r="AH284" s="58"/>
      <c r="AI284" s="59"/>
      <c r="AJ284" s="57"/>
    </row>
    <row x14ac:dyDescent="0.25" r="285" customHeight="1" ht="18">
      <c r="A285" s="45">
        <v>279</v>
      </c>
      <c r="B285" s="46" t="s">
        <v>47</v>
      </c>
      <c r="C285" s="46" t="s">
        <v>48</v>
      </c>
      <c r="D285" s="47" t="s">
        <v>49</v>
      </c>
      <c r="E285" s="47" t="s">
        <v>1464</v>
      </c>
      <c r="F285" s="47" t="s">
        <v>1464</v>
      </c>
      <c r="G285" s="130" t="s">
        <v>761</v>
      </c>
      <c r="H285" s="57"/>
      <c r="I285" s="59"/>
      <c r="J285" s="57"/>
      <c r="K285" s="81" t="s">
        <v>2271</v>
      </c>
      <c r="L285" s="47" t="s">
        <v>2272</v>
      </c>
      <c r="M285" s="47" t="s">
        <v>2273</v>
      </c>
      <c r="N285" s="134">
        <v>23.034005</v>
      </c>
      <c r="O285" s="134">
        <v>91.835547</v>
      </c>
      <c r="P285" s="81">
        <v>300</v>
      </c>
      <c r="Q285" s="47"/>
      <c r="R285" s="81"/>
      <c r="S285" s="81"/>
      <c r="T285" s="135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3"/>
      <c r="AH285" s="58"/>
      <c r="AI285" s="59"/>
      <c r="AJ285" s="57"/>
    </row>
    <row x14ac:dyDescent="0.25" r="286" customHeight="1" ht="18">
      <c r="A286" s="45">
        <v>280</v>
      </c>
      <c r="B286" s="46" t="s">
        <v>47</v>
      </c>
      <c r="C286" s="46" t="s">
        <v>48</v>
      </c>
      <c r="D286" s="47" t="s">
        <v>49</v>
      </c>
      <c r="E286" s="47" t="s">
        <v>1464</v>
      </c>
      <c r="F286" s="47" t="s">
        <v>1464</v>
      </c>
      <c r="G286" s="130" t="s">
        <v>761</v>
      </c>
      <c r="H286" s="57"/>
      <c r="I286" s="59"/>
      <c r="J286" s="57"/>
      <c r="K286" s="81" t="s">
        <v>2274</v>
      </c>
      <c r="L286" s="47" t="s">
        <v>2275</v>
      </c>
      <c r="M286" s="47" t="s">
        <v>2276</v>
      </c>
      <c r="N286" s="134">
        <v>23.029153</v>
      </c>
      <c r="O286" s="134">
        <v>91.845823</v>
      </c>
      <c r="P286" s="81">
        <v>200</v>
      </c>
      <c r="Q286" s="47"/>
      <c r="R286" s="81"/>
      <c r="S286" s="81"/>
      <c r="T286" s="135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3"/>
      <c r="AH286" s="58"/>
      <c r="AI286" s="59"/>
      <c r="AJ286" s="57"/>
    </row>
    <row x14ac:dyDescent="0.25" r="287" customHeight="1" ht="18">
      <c r="A287" s="45">
        <v>281</v>
      </c>
      <c r="B287" s="46" t="s">
        <v>47</v>
      </c>
      <c r="C287" s="46" t="s">
        <v>48</v>
      </c>
      <c r="D287" s="47" t="s">
        <v>49</v>
      </c>
      <c r="E287" s="47" t="s">
        <v>1464</v>
      </c>
      <c r="F287" s="47" t="s">
        <v>1464</v>
      </c>
      <c r="G287" s="130" t="s">
        <v>761</v>
      </c>
      <c r="H287" s="57"/>
      <c r="I287" s="59"/>
      <c r="J287" s="57"/>
      <c r="K287" s="81" t="s">
        <v>2277</v>
      </c>
      <c r="L287" s="47" t="s">
        <v>2278</v>
      </c>
      <c r="M287" s="47" t="s">
        <v>2279</v>
      </c>
      <c r="N287" s="134">
        <v>23.02847</v>
      </c>
      <c r="O287" s="134">
        <v>91.834506</v>
      </c>
      <c r="P287" s="81">
        <v>125</v>
      </c>
      <c r="Q287" s="47"/>
      <c r="R287" s="81"/>
      <c r="S287" s="81"/>
      <c r="T287" s="135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3"/>
      <c r="AH287" s="58"/>
      <c r="AI287" s="59"/>
      <c r="AJ287" s="57"/>
    </row>
    <row x14ac:dyDescent="0.25" r="288" customHeight="1" ht="18">
      <c r="A288" s="45">
        <v>282</v>
      </c>
      <c r="B288" s="46" t="s">
        <v>47</v>
      </c>
      <c r="C288" s="46" t="s">
        <v>48</v>
      </c>
      <c r="D288" s="47" t="s">
        <v>49</v>
      </c>
      <c r="E288" s="47" t="s">
        <v>1464</v>
      </c>
      <c r="F288" s="47" t="s">
        <v>1464</v>
      </c>
      <c r="G288" s="130" t="s">
        <v>761</v>
      </c>
      <c r="H288" s="57"/>
      <c r="I288" s="59"/>
      <c r="J288" s="57"/>
      <c r="K288" s="81" t="s">
        <v>2280</v>
      </c>
      <c r="L288" s="47" t="s">
        <v>2281</v>
      </c>
      <c r="M288" s="47" t="s">
        <v>2282</v>
      </c>
      <c r="N288" s="134">
        <v>23.018704</v>
      </c>
      <c r="O288" s="134">
        <v>91.83728</v>
      </c>
      <c r="P288" s="81">
        <v>105</v>
      </c>
      <c r="Q288" s="47"/>
      <c r="R288" s="81"/>
      <c r="S288" s="81"/>
      <c r="T288" s="135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3"/>
      <c r="AH288" s="58"/>
      <c r="AI288" s="59"/>
      <c r="AJ288" s="57"/>
    </row>
    <row x14ac:dyDescent="0.25" r="289" customHeight="1" ht="18">
      <c r="A289" s="45">
        <v>283</v>
      </c>
      <c r="B289" s="46" t="s">
        <v>47</v>
      </c>
      <c r="C289" s="46" t="s">
        <v>48</v>
      </c>
      <c r="D289" s="47" t="s">
        <v>49</v>
      </c>
      <c r="E289" s="47" t="s">
        <v>1464</v>
      </c>
      <c r="F289" s="47" t="s">
        <v>1464</v>
      </c>
      <c r="G289" s="130" t="s">
        <v>761</v>
      </c>
      <c r="H289" s="57"/>
      <c r="I289" s="59"/>
      <c r="J289" s="57"/>
      <c r="K289" s="81" t="s">
        <v>2283</v>
      </c>
      <c r="L289" s="47" t="s">
        <v>2284</v>
      </c>
      <c r="M289" s="47" t="s">
        <v>2285</v>
      </c>
      <c r="N289" s="134">
        <v>23.011027</v>
      </c>
      <c r="O289" s="134">
        <v>91.83927</v>
      </c>
      <c r="P289" s="81">
        <v>210</v>
      </c>
      <c r="Q289" s="47"/>
      <c r="R289" s="81"/>
      <c r="S289" s="81"/>
      <c r="T289" s="135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3"/>
      <c r="AH289" s="58"/>
      <c r="AI289" s="59"/>
      <c r="AJ289" s="57"/>
    </row>
    <row x14ac:dyDescent="0.25" r="290" customHeight="1" ht="18">
      <c r="A290" s="45">
        <v>284</v>
      </c>
      <c r="B290" s="46" t="s">
        <v>47</v>
      </c>
      <c r="C290" s="46" t="s">
        <v>48</v>
      </c>
      <c r="D290" s="47" t="s">
        <v>49</v>
      </c>
      <c r="E290" s="47" t="s">
        <v>1464</v>
      </c>
      <c r="F290" s="47" t="s">
        <v>1464</v>
      </c>
      <c r="G290" s="130" t="s">
        <v>761</v>
      </c>
      <c r="H290" s="57"/>
      <c r="I290" s="59"/>
      <c r="J290" s="57"/>
      <c r="K290" s="81" t="s">
        <v>2286</v>
      </c>
      <c r="L290" s="47" t="s">
        <v>2287</v>
      </c>
      <c r="M290" s="47" t="s">
        <v>2288</v>
      </c>
      <c r="N290" s="134">
        <v>23.054975</v>
      </c>
      <c r="O290" s="134">
        <v>91.824706</v>
      </c>
      <c r="P290" s="81">
        <v>45</v>
      </c>
      <c r="Q290" s="47"/>
      <c r="R290" s="81"/>
      <c r="S290" s="81"/>
      <c r="T290" s="135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3"/>
      <c r="AH290" s="58"/>
      <c r="AI290" s="59"/>
      <c r="AJ290" s="57"/>
    </row>
    <row x14ac:dyDescent="0.25" r="291" customHeight="1" ht="18">
      <c r="A291" s="45">
        <v>285</v>
      </c>
      <c r="B291" s="46" t="s">
        <v>47</v>
      </c>
      <c r="C291" s="46" t="s">
        <v>48</v>
      </c>
      <c r="D291" s="47" t="s">
        <v>49</v>
      </c>
      <c r="E291" s="47" t="s">
        <v>1464</v>
      </c>
      <c r="F291" s="47" t="s">
        <v>1464</v>
      </c>
      <c r="G291" s="130" t="s">
        <v>781</v>
      </c>
      <c r="H291" s="57"/>
      <c r="I291" s="59"/>
      <c r="J291" s="57"/>
      <c r="K291" s="81" t="s">
        <v>2289</v>
      </c>
      <c r="L291" s="47" t="s">
        <v>2290</v>
      </c>
      <c r="M291" s="47" t="s">
        <v>2291</v>
      </c>
      <c r="N291" s="134">
        <v>23.033304</v>
      </c>
      <c r="O291" s="134">
        <v>91.783664</v>
      </c>
      <c r="P291" s="81">
        <v>250</v>
      </c>
      <c r="Q291" s="47"/>
      <c r="R291" s="81"/>
      <c r="S291" s="81"/>
      <c r="T291" s="7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3"/>
      <c r="AH291" s="58"/>
      <c r="AI291" s="59"/>
      <c r="AJ291" s="57"/>
    </row>
    <row x14ac:dyDescent="0.25" r="292" customHeight="1" ht="18">
      <c r="A292" s="45">
        <v>286</v>
      </c>
      <c r="B292" s="46" t="s">
        <v>47</v>
      </c>
      <c r="C292" s="46" t="s">
        <v>48</v>
      </c>
      <c r="D292" s="47" t="s">
        <v>49</v>
      </c>
      <c r="E292" s="47" t="s">
        <v>1464</v>
      </c>
      <c r="F292" s="47" t="s">
        <v>1464</v>
      </c>
      <c r="G292" s="130" t="s">
        <v>781</v>
      </c>
      <c r="H292" s="57"/>
      <c r="I292" s="59"/>
      <c r="J292" s="57"/>
      <c r="K292" s="81" t="s">
        <v>2292</v>
      </c>
      <c r="L292" s="47" t="s">
        <v>2293</v>
      </c>
      <c r="M292" s="47" t="s">
        <v>2294</v>
      </c>
      <c r="N292" s="134">
        <v>23.027192</v>
      </c>
      <c r="O292" s="134">
        <v>91.787422</v>
      </c>
      <c r="P292" s="81">
        <v>240</v>
      </c>
      <c r="Q292" s="47"/>
      <c r="R292" s="81"/>
      <c r="S292" s="81"/>
      <c r="T292" s="7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3"/>
      <c r="AH292" s="58"/>
      <c r="AI292" s="59"/>
      <c r="AJ292" s="57"/>
    </row>
    <row x14ac:dyDescent="0.25" r="293" customHeight="1" ht="18">
      <c r="A293" s="45">
        <v>287</v>
      </c>
      <c r="B293" s="46" t="s">
        <v>47</v>
      </c>
      <c r="C293" s="46" t="s">
        <v>48</v>
      </c>
      <c r="D293" s="47" t="s">
        <v>49</v>
      </c>
      <c r="E293" s="47" t="s">
        <v>1464</v>
      </c>
      <c r="F293" s="47" t="s">
        <v>1464</v>
      </c>
      <c r="G293" s="130" t="s">
        <v>781</v>
      </c>
      <c r="H293" s="57"/>
      <c r="I293" s="59"/>
      <c r="J293" s="57"/>
      <c r="K293" s="81" t="s">
        <v>2295</v>
      </c>
      <c r="L293" s="47" t="s">
        <v>2296</v>
      </c>
      <c r="M293" s="47" t="s">
        <v>2297</v>
      </c>
      <c r="N293" s="134">
        <v>23.024193</v>
      </c>
      <c r="O293" s="134">
        <v>91.790389</v>
      </c>
      <c r="P293" s="81">
        <v>125</v>
      </c>
      <c r="Q293" s="47"/>
      <c r="R293" s="81"/>
      <c r="S293" s="81"/>
      <c r="T293" s="7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3"/>
      <c r="AH293" s="58"/>
      <c r="AI293" s="59"/>
      <c r="AJ293" s="57"/>
    </row>
    <row x14ac:dyDescent="0.25" r="294" customHeight="1" ht="18">
      <c r="A294" s="45">
        <v>288</v>
      </c>
      <c r="B294" s="46" t="s">
        <v>47</v>
      </c>
      <c r="C294" s="46" t="s">
        <v>48</v>
      </c>
      <c r="D294" s="47" t="s">
        <v>49</v>
      </c>
      <c r="E294" s="47" t="s">
        <v>1464</v>
      </c>
      <c r="F294" s="47" t="s">
        <v>1464</v>
      </c>
      <c r="G294" s="130" t="s">
        <v>781</v>
      </c>
      <c r="H294" s="57"/>
      <c r="I294" s="59"/>
      <c r="J294" s="57"/>
      <c r="K294" s="81" t="s">
        <v>2298</v>
      </c>
      <c r="L294" s="47" t="s">
        <v>2299</v>
      </c>
      <c r="M294" s="47" t="s">
        <v>2300</v>
      </c>
      <c r="N294" s="134">
        <v>23.045512</v>
      </c>
      <c r="O294" s="134">
        <v>91.787404</v>
      </c>
      <c r="P294" s="81">
        <v>200</v>
      </c>
      <c r="Q294" s="47"/>
      <c r="R294" s="81"/>
      <c r="S294" s="81"/>
      <c r="T294" s="135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3"/>
      <c r="AH294" s="58"/>
      <c r="AI294" s="59"/>
      <c r="AJ294" s="57"/>
    </row>
    <row x14ac:dyDescent="0.25" r="295" customHeight="1" ht="18">
      <c r="A295" s="45">
        <v>289</v>
      </c>
      <c r="B295" s="46" t="s">
        <v>47</v>
      </c>
      <c r="C295" s="46" t="s">
        <v>48</v>
      </c>
      <c r="D295" s="47" t="s">
        <v>49</v>
      </c>
      <c r="E295" s="47" t="s">
        <v>1464</v>
      </c>
      <c r="F295" s="47" t="s">
        <v>1464</v>
      </c>
      <c r="G295" s="130" t="s">
        <v>781</v>
      </c>
      <c r="H295" s="57"/>
      <c r="I295" s="59"/>
      <c r="J295" s="57"/>
      <c r="K295" s="81" t="s">
        <v>1616</v>
      </c>
      <c r="L295" s="47" t="s">
        <v>1617</v>
      </c>
      <c r="M295" s="47" t="s">
        <v>2301</v>
      </c>
      <c r="N295" s="134">
        <v>23.049265</v>
      </c>
      <c r="O295" s="134">
        <v>91.784863</v>
      </c>
      <c r="P295" s="81">
        <v>190</v>
      </c>
      <c r="Q295" s="47"/>
      <c r="R295" s="81"/>
      <c r="S295" s="81"/>
      <c r="T295" s="7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3"/>
      <c r="AH295" s="58"/>
      <c r="AI295" s="59"/>
      <c r="AJ295" s="57"/>
    </row>
    <row x14ac:dyDescent="0.25" r="296" customHeight="1" ht="18">
      <c r="A296" s="45">
        <v>290</v>
      </c>
      <c r="B296" s="46" t="s">
        <v>47</v>
      </c>
      <c r="C296" s="46" t="s">
        <v>48</v>
      </c>
      <c r="D296" s="47" t="s">
        <v>49</v>
      </c>
      <c r="E296" s="47" t="s">
        <v>1464</v>
      </c>
      <c r="F296" s="47" t="s">
        <v>1464</v>
      </c>
      <c r="G296" s="130" t="s">
        <v>781</v>
      </c>
      <c r="H296" s="57"/>
      <c r="I296" s="59"/>
      <c r="J296" s="57"/>
      <c r="K296" s="81" t="s">
        <v>2302</v>
      </c>
      <c r="L296" s="47" t="s">
        <v>2303</v>
      </c>
      <c r="M296" s="47" t="s">
        <v>2304</v>
      </c>
      <c r="N296" s="134">
        <v>23.060026</v>
      </c>
      <c r="O296" s="134">
        <v>91.782444</v>
      </c>
      <c r="P296" s="81">
        <v>190</v>
      </c>
      <c r="Q296" s="47"/>
      <c r="R296" s="81"/>
      <c r="S296" s="81"/>
      <c r="T296" s="7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3"/>
      <c r="AH296" s="58"/>
      <c r="AI296" s="59"/>
      <c r="AJ296" s="57"/>
    </row>
    <row x14ac:dyDescent="0.25" r="297" customHeight="1" ht="18">
      <c r="A297" s="45">
        <v>291</v>
      </c>
      <c r="B297" s="46" t="s">
        <v>47</v>
      </c>
      <c r="C297" s="46" t="s">
        <v>48</v>
      </c>
      <c r="D297" s="47" t="s">
        <v>49</v>
      </c>
      <c r="E297" s="47" t="s">
        <v>1464</v>
      </c>
      <c r="F297" s="47" t="s">
        <v>1464</v>
      </c>
      <c r="G297" s="130" t="s">
        <v>781</v>
      </c>
      <c r="H297" s="57"/>
      <c r="I297" s="59"/>
      <c r="J297" s="57"/>
      <c r="K297" s="81" t="s">
        <v>2305</v>
      </c>
      <c r="L297" s="47" t="s">
        <v>2306</v>
      </c>
      <c r="M297" s="47" t="s">
        <v>2307</v>
      </c>
      <c r="N297" s="134">
        <v>23.061661</v>
      </c>
      <c r="O297" s="134">
        <v>91.797552</v>
      </c>
      <c r="P297" s="81">
        <v>130</v>
      </c>
      <c r="Q297" s="47"/>
      <c r="R297" s="81"/>
      <c r="S297" s="81"/>
      <c r="T297" s="135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3"/>
      <c r="AH297" s="58"/>
      <c r="AI297" s="59"/>
      <c r="AJ297" s="57"/>
    </row>
    <row x14ac:dyDescent="0.25" r="298" customHeight="1" ht="18">
      <c r="A298" s="45">
        <v>292</v>
      </c>
      <c r="B298" s="46" t="s">
        <v>47</v>
      </c>
      <c r="C298" s="46" t="s">
        <v>48</v>
      </c>
      <c r="D298" s="47" t="s">
        <v>49</v>
      </c>
      <c r="E298" s="47" t="s">
        <v>1464</v>
      </c>
      <c r="F298" s="47" t="s">
        <v>1464</v>
      </c>
      <c r="G298" s="130" t="s">
        <v>781</v>
      </c>
      <c r="H298" s="57"/>
      <c r="I298" s="59"/>
      <c r="J298" s="57"/>
      <c r="K298" s="81" t="s">
        <v>2308</v>
      </c>
      <c r="L298" s="47" t="s">
        <v>2309</v>
      </c>
      <c r="M298" s="47" t="s">
        <v>2310</v>
      </c>
      <c r="N298" s="134">
        <v>23.040503</v>
      </c>
      <c r="O298" s="134">
        <v>91.784636</v>
      </c>
      <c r="P298" s="81">
        <v>26</v>
      </c>
      <c r="Q298" s="47"/>
      <c r="R298" s="81"/>
      <c r="S298" s="81"/>
      <c r="T298" s="135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3"/>
      <c r="AH298" s="58"/>
      <c r="AI298" s="59"/>
      <c r="AJ298" s="57"/>
    </row>
    <row x14ac:dyDescent="0.25" r="299" customHeight="1" ht="18">
      <c r="A299" s="45">
        <v>293</v>
      </c>
      <c r="B299" s="46" t="s">
        <v>47</v>
      </c>
      <c r="C299" s="46" t="s">
        <v>48</v>
      </c>
      <c r="D299" s="47" t="s">
        <v>49</v>
      </c>
      <c r="E299" s="47" t="s">
        <v>1464</v>
      </c>
      <c r="F299" s="47" t="s">
        <v>1464</v>
      </c>
      <c r="G299" s="130" t="s">
        <v>781</v>
      </c>
      <c r="H299" s="57"/>
      <c r="I299" s="59"/>
      <c r="J299" s="57"/>
      <c r="K299" s="81" t="s">
        <v>2311</v>
      </c>
      <c r="L299" s="47" t="s">
        <v>2312</v>
      </c>
      <c r="M299" s="47" t="s">
        <v>2313</v>
      </c>
      <c r="N299" s="134">
        <v>23.062222</v>
      </c>
      <c r="O299" s="134">
        <v>91.779707</v>
      </c>
      <c r="P299" s="81">
        <v>25</v>
      </c>
      <c r="Q299" s="47"/>
      <c r="R299" s="81"/>
      <c r="S299" s="81"/>
      <c r="T299" s="7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3"/>
      <c r="AH299" s="58"/>
      <c r="AI299" s="59"/>
      <c r="AJ299" s="57"/>
    </row>
    <row x14ac:dyDescent="0.25" r="300" customHeight="1" ht="18">
      <c r="A300" s="45">
        <v>294</v>
      </c>
      <c r="B300" s="46" t="s">
        <v>47</v>
      </c>
      <c r="C300" s="46" t="s">
        <v>48</v>
      </c>
      <c r="D300" s="47" t="s">
        <v>49</v>
      </c>
      <c r="E300" s="47" t="s">
        <v>1464</v>
      </c>
      <c r="F300" s="47" t="s">
        <v>1464</v>
      </c>
      <c r="G300" s="130" t="s">
        <v>781</v>
      </c>
      <c r="H300" s="57"/>
      <c r="I300" s="59"/>
      <c r="J300" s="57"/>
      <c r="K300" s="81" t="s">
        <v>2314</v>
      </c>
      <c r="L300" s="47" t="s">
        <v>2315</v>
      </c>
      <c r="M300" s="47" t="s">
        <v>2316</v>
      </c>
      <c r="N300" s="134">
        <v>23.060849</v>
      </c>
      <c r="O300" s="134">
        <v>91.796265</v>
      </c>
      <c r="P300" s="81">
        <v>26</v>
      </c>
      <c r="Q300" s="47"/>
      <c r="R300" s="81"/>
      <c r="S300" s="81"/>
      <c r="T300" s="135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3"/>
      <c r="AH300" s="58"/>
      <c r="AI300" s="59"/>
      <c r="AJ300" s="57"/>
    </row>
    <row x14ac:dyDescent="0.25" r="301" customHeight="1" ht="18">
      <c r="A301" s="45">
        <v>295</v>
      </c>
      <c r="B301" s="46" t="s">
        <v>47</v>
      </c>
      <c r="C301" s="46" t="s">
        <v>48</v>
      </c>
      <c r="D301" s="47" t="s">
        <v>49</v>
      </c>
      <c r="E301" s="47" t="s">
        <v>1464</v>
      </c>
      <c r="F301" s="47" t="s">
        <v>1464</v>
      </c>
      <c r="G301" s="130" t="s">
        <v>797</v>
      </c>
      <c r="H301" s="57"/>
      <c r="I301" s="59"/>
      <c r="J301" s="57"/>
      <c r="K301" s="81" t="s">
        <v>2317</v>
      </c>
      <c r="L301" s="47" t="s">
        <v>2318</v>
      </c>
      <c r="M301" s="47" t="s">
        <v>2319</v>
      </c>
      <c r="N301" s="134">
        <v>22.999703</v>
      </c>
      <c r="O301" s="134">
        <v>91.837466</v>
      </c>
      <c r="P301" s="81">
        <v>270</v>
      </c>
      <c r="Q301" s="47"/>
      <c r="R301" s="81"/>
      <c r="S301" s="81"/>
      <c r="T301" s="135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3"/>
      <c r="AH301" s="58"/>
      <c r="AI301" s="59"/>
      <c r="AJ301" s="57"/>
    </row>
    <row x14ac:dyDescent="0.25" r="302" customHeight="1" ht="18">
      <c r="A302" s="45">
        <v>296</v>
      </c>
      <c r="B302" s="46" t="s">
        <v>47</v>
      </c>
      <c r="C302" s="46" t="s">
        <v>48</v>
      </c>
      <c r="D302" s="47" t="s">
        <v>49</v>
      </c>
      <c r="E302" s="47" t="s">
        <v>1464</v>
      </c>
      <c r="F302" s="47" t="s">
        <v>1464</v>
      </c>
      <c r="G302" s="130" t="s">
        <v>797</v>
      </c>
      <c r="H302" s="57"/>
      <c r="I302" s="59"/>
      <c r="J302" s="57"/>
      <c r="K302" s="81" t="s">
        <v>2320</v>
      </c>
      <c r="L302" s="47" t="s">
        <v>2321</v>
      </c>
      <c r="M302" s="47" t="s">
        <v>2322</v>
      </c>
      <c r="N302" s="134">
        <v>22.999185</v>
      </c>
      <c r="O302" s="134">
        <v>91.82638</v>
      </c>
      <c r="P302" s="81">
        <v>85</v>
      </c>
      <c r="Q302" s="47"/>
      <c r="R302" s="81"/>
      <c r="S302" s="81"/>
      <c r="T302" s="135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3"/>
      <c r="AH302" s="58"/>
      <c r="AI302" s="59"/>
      <c r="AJ302" s="57"/>
    </row>
    <row x14ac:dyDescent="0.25" r="303" customHeight="1" ht="18">
      <c r="A303" s="45">
        <v>297</v>
      </c>
      <c r="B303" s="46" t="s">
        <v>47</v>
      </c>
      <c r="C303" s="46" t="s">
        <v>48</v>
      </c>
      <c r="D303" s="47" t="s">
        <v>49</v>
      </c>
      <c r="E303" s="47" t="s">
        <v>1464</v>
      </c>
      <c r="F303" s="47" t="s">
        <v>1464</v>
      </c>
      <c r="G303" s="130" t="s">
        <v>797</v>
      </c>
      <c r="H303" s="57"/>
      <c r="I303" s="59"/>
      <c r="J303" s="57"/>
      <c r="K303" s="81" t="s">
        <v>2323</v>
      </c>
      <c r="L303" s="47" t="s">
        <v>2324</v>
      </c>
      <c r="M303" s="47" t="s">
        <v>2325</v>
      </c>
      <c r="N303" s="134">
        <v>23.003419</v>
      </c>
      <c r="O303" s="134">
        <v>91.821707</v>
      </c>
      <c r="P303" s="81">
        <v>150</v>
      </c>
      <c r="Q303" s="47"/>
      <c r="R303" s="81"/>
      <c r="S303" s="81"/>
      <c r="T303" s="135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3"/>
      <c r="AH303" s="58"/>
      <c r="AI303" s="59"/>
      <c r="AJ303" s="57"/>
    </row>
    <row x14ac:dyDescent="0.25" r="304" customHeight="1" ht="18">
      <c r="A304" s="45">
        <v>298</v>
      </c>
      <c r="B304" s="46" t="s">
        <v>47</v>
      </c>
      <c r="C304" s="46" t="s">
        <v>48</v>
      </c>
      <c r="D304" s="47" t="s">
        <v>49</v>
      </c>
      <c r="E304" s="47" t="s">
        <v>1464</v>
      </c>
      <c r="F304" s="47" t="s">
        <v>1464</v>
      </c>
      <c r="G304" s="130" t="s">
        <v>797</v>
      </c>
      <c r="H304" s="57"/>
      <c r="I304" s="59"/>
      <c r="J304" s="57"/>
      <c r="K304" s="81" t="s">
        <v>2326</v>
      </c>
      <c r="L304" s="47" t="s">
        <v>2327</v>
      </c>
      <c r="M304" s="47" t="s">
        <v>2328</v>
      </c>
      <c r="N304" s="134">
        <v>22.986177</v>
      </c>
      <c r="O304" s="134">
        <v>91.823498</v>
      </c>
      <c r="P304" s="81">
        <v>85</v>
      </c>
      <c r="Q304" s="47"/>
      <c r="R304" s="81"/>
      <c r="S304" s="81"/>
      <c r="T304" s="135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3"/>
      <c r="AH304" s="58"/>
      <c r="AI304" s="59"/>
      <c r="AJ304" s="57"/>
    </row>
    <row x14ac:dyDescent="0.25" r="305" customHeight="1" ht="18">
      <c r="A305" s="45">
        <v>299</v>
      </c>
      <c r="B305" s="46" t="s">
        <v>47</v>
      </c>
      <c r="C305" s="46" t="s">
        <v>48</v>
      </c>
      <c r="D305" s="47" t="s">
        <v>49</v>
      </c>
      <c r="E305" s="47" t="s">
        <v>1464</v>
      </c>
      <c r="F305" s="47" t="s">
        <v>1464</v>
      </c>
      <c r="G305" s="130" t="s">
        <v>797</v>
      </c>
      <c r="H305" s="57"/>
      <c r="I305" s="59"/>
      <c r="J305" s="57"/>
      <c r="K305" s="81" t="s">
        <v>2329</v>
      </c>
      <c r="L305" s="47" t="s">
        <v>2330</v>
      </c>
      <c r="M305" s="47" t="s">
        <v>2331</v>
      </c>
      <c r="N305" s="134">
        <v>22.988826</v>
      </c>
      <c r="O305" s="134">
        <v>91.814098</v>
      </c>
      <c r="P305" s="81">
        <v>180</v>
      </c>
      <c r="Q305" s="47"/>
      <c r="R305" s="81"/>
      <c r="S305" s="81"/>
      <c r="T305" s="135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3"/>
      <c r="AH305" s="58"/>
      <c r="AI305" s="59"/>
      <c r="AJ305" s="57"/>
    </row>
    <row x14ac:dyDescent="0.25" r="306" customHeight="1" ht="18">
      <c r="A306" s="45">
        <v>300</v>
      </c>
      <c r="B306" s="46" t="s">
        <v>47</v>
      </c>
      <c r="C306" s="46" t="s">
        <v>48</v>
      </c>
      <c r="D306" s="47" t="s">
        <v>49</v>
      </c>
      <c r="E306" s="47" t="s">
        <v>1464</v>
      </c>
      <c r="F306" s="47" t="s">
        <v>1464</v>
      </c>
      <c r="G306" s="130" t="s">
        <v>797</v>
      </c>
      <c r="H306" s="57"/>
      <c r="I306" s="59"/>
      <c r="J306" s="57"/>
      <c r="K306" s="81" t="s">
        <v>2332</v>
      </c>
      <c r="L306" s="47" t="s">
        <v>2333</v>
      </c>
      <c r="M306" s="47" t="s">
        <v>2334</v>
      </c>
      <c r="N306" s="134">
        <v>22.987893</v>
      </c>
      <c r="O306" s="134">
        <v>91.805248</v>
      </c>
      <c r="P306" s="81">
        <v>220</v>
      </c>
      <c r="Q306" s="47"/>
      <c r="R306" s="81"/>
      <c r="S306" s="81"/>
      <c r="T306" s="135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3"/>
      <c r="AH306" s="58"/>
      <c r="AI306" s="59"/>
      <c r="AJ306" s="57"/>
    </row>
    <row x14ac:dyDescent="0.25" r="307" customHeight="1" ht="18">
      <c r="A307" s="45">
        <v>301</v>
      </c>
      <c r="B307" s="46" t="s">
        <v>47</v>
      </c>
      <c r="C307" s="46" t="s">
        <v>48</v>
      </c>
      <c r="D307" s="47" t="s">
        <v>49</v>
      </c>
      <c r="E307" s="47" t="s">
        <v>1464</v>
      </c>
      <c r="F307" s="47" t="s">
        <v>1464</v>
      </c>
      <c r="G307" s="130" t="s">
        <v>797</v>
      </c>
      <c r="H307" s="57"/>
      <c r="I307" s="59"/>
      <c r="J307" s="57"/>
      <c r="K307" s="81" t="s">
        <v>2335</v>
      </c>
      <c r="L307" s="47" t="s">
        <v>2336</v>
      </c>
      <c r="M307" s="47" t="s">
        <v>2337</v>
      </c>
      <c r="N307" s="134">
        <v>23.014876</v>
      </c>
      <c r="O307" s="134">
        <v>91.789559</v>
      </c>
      <c r="P307" s="81">
        <v>50</v>
      </c>
      <c r="Q307" s="47"/>
      <c r="R307" s="81"/>
      <c r="S307" s="81"/>
      <c r="T307" s="135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3"/>
      <c r="AH307" s="58"/>
      <c r="AI307" s="59"/>
      <c r="AJ307" s="57"/>
    </row>
    <row x14ac:dyDescent="0.25" r="308" customHeight="1" ht="18">
      <c r="A308" s="45">
        <v>302</v>
      </c>
      <c r="B308" s="46" t="s">
        <v>47</v>
      </c>
      <c r="C308" s="46" t="s">
        <v>48</v>
      </c>
      <c r="D308" s="47" t="s">
        <v>49</v>
      </c>
      <c r="E308" s="47" t="s">
        <v>1464</v>
      </c>
      <c r="F308" s="47" t="s">
        <v>1464</v>
      </c>
      <c r="G308" s="130" t="s">
        <v>797</v>
      </c>
      <c r="H308" s="57"/>
      <c r="I308" s="59"/>
      <c r="J308" s="57"/>
      <c r="K308" s="81" t="s">
        <v>2338</v>
      </c>
      <c r="L308" s="47" t="s">
        <v>2339</v>
      </c>
      <c r="M308" s="47" t="s">
        <v>2340</v>
      </c>
      <c r="N308" s="134">
        <v>22.995366</v>
      </c>
      <c r="O308" s="134">
        <v>91.806092</v>
      </c>
      <c r="P308" s="81">
        <v>65</v>
      </c>
      <c r="Q308" s="47"/>
      <c r="R308" s="81"/>
      <c r="S308" s="81"/>
      <c r="T308" s="135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3"/>
      <c r="AH308" s="58"/>
      <c r="AI308" s="59"/>
      <c r="AJ308" s="57"/>
    </row>
    <row x14ac:dyDescent="0.25" r="309" customHeight="1" ht="18">
      <c r="A309" s="45">
        <v>303</v>
      </c>
      <c r="B309" s="46" t="s">
        <v>47</v>
      </c>
      <c r="C309" s="46" t="s">
        <v>48</v>
      </c>
      <c r="D309" s="47" t="s">
        <v>49</v>
      </c>
      <c r="E309" s="47" t="s">
        <v>1464</v>
      </c>
      <c r="F309" s="47" t="s">
        <v>1464</v>
      </c>
      <c r="G309" s="130" t="s">
        <v>797</v>
      </c>
      <c r="H309" s="57"/>
      <c r="I309" s="59"/>
      <c r="J309" s="57"/>
      <c r="K309" s="81" t="s">
        <v>2341</v>
      </c>
      <c r="L309" s="47" t="s">
        <v>2342</v>
      </c>
      <c r="M309" s="47" t="s">
        <v>2343</v>
      </c>
      <c r="N309" s="134">
        <v>23.021117</v>
      </c>
      <c r="O309" s="134">
        <v>91.790557</v>
      </c>
      <c r="P309" s="81">
        <v>55</v>
      </c>
      <c r="Q309" s="47"/>
      <c r="R309" s="81"/>
      <c r="S309" s="81"/>
      <c r="T309" s="135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3"/>
      <c r="AH309" s="58"/>
      <c r="AI309" s="59"/>
      <c r="AJ309" s="57"/>
    </row>
    <row x14ac:dyDescent="0.25" r="310" customHeight="1" ht="18">
      <c r="A310" s="45">
        <v>304</v>
      </c>
      <c r="B310" s="46" t="s">
        <v>47</v>
      </c>
      <c r="C310" s="46" t="s">
        <v>48</v>
      </c>
      <c r="D310" s="47" t="s">
        <v>49</v>
      </c>
      <c r="E310" s="47" t="s">
        <v>1464</v>
      </c>
      <c r="F310" s="47" t="s">
        <v>1464</v>
      </c>
      <c r="G310" s="130" t="s">
        <v>797</v>
      </c>
      <c r="H310" s="57"/>
      <c r="I310" s="59"/>
      <c r="J310" s="57"/>
      <c r="K310" s="81" t="s">
        <v>2344</v>
      </c>
      <c r="L310" s="47" t="s">
        <v>2345</v>
      </c>
      <c r="M310" s="47" t="s">
        <v>2346</v>
      </c>
      <c r="N310" s="134">
        <v>23.008683</v>
      </c>
      <c r="O310" s="134">
        <v>91.799558</v>
      </c>
      <c r="P310" s="81">
        <v>200</v>
      </c>
      <c r="Q310" s="47"/>
      <c r="R310" s="81"/>
      <c r="S310" s="81"/>
      <c r="T310" s="135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3"/>
      <c r="AH310" s="58"/>
      <c r="AI310" s="59"/>
      <c r="AJ310" s="57"/>
    </row>
    <row x14ac:dyDescent="0.25" r="311" customHeight="1" ht="18">
      <c r="A311" s="45">
        <v>305</v>
      </c>
      <c r="B311" s="46" t="s">
        <v>47</v>
      </c>
      <c r="C311" s="46" t="s">
        <v>48</v>
      </c>
      <c r="D311" s="47" t="s">
        <v>49</v>
      </c>
      <c r="E311" s="47" t="s">
        <v>1464</v>
      </c>
      <c r="F311" s="47" t="s">
        <v>1464</v>
      </c>
      <c r="G311" s="130" t="s">
        <v>797</v>
      </c>
      <c r="H311" s="57"/>
      <c r="I311" s="59"/>
      <c r="J311" s="57"/>
      <c r="K311" s="81" t="s">
        <v>1730</v>
      </c>
      <c r="L311" s="47" t="s">
        <v>2347</v>
      </c>
      <c r="M311" s="47" t="s">
        <v>2348</v>
      </c>
      <c r="N311" s="134">
        <v>23.023865</v>
      </c>
      <c r="O311" s="134">
        <v>91.78278</v>
      </c>
      <c r="P311" s="81">
        <v>60</v>
      </c>
      <c r="Q311" s="47"/>
      <c r="R311" s="81"/>
      <c r="S311" s="81"/>
      <c r="T311" s="135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3"/>
      <c r="AH311" s="58"/>
      <c r="AI311" s="59"/>
      <c r="AJ311" s="57"/>
    </row>
    <row x14ac:dyDescent="0.25" r="312" customHeight="1" ht="18">
      <c r="A312" s="45">
        <v>306</v>
      </c>
      <c r="B312" s="46" t="s">
        <v>47</v>
      </c>
      <c r="C312" s="46" t="s">
        <v>48</v>
      </c>
      <c r="D312" s="47" t="s">
        <v>49</v>
      </c>
      <c r="E312" s="47" t="s">
        <v>1464</v>
      </c>
      <c r="F312" s="47" t="s">
        <v>1464</v>
      </c>
      <c r="G312" s="130" t="s">
        <v>797</v>
      </c>
      <c r="H312" s="57"/>
      <c r="I312" s="59"/>
      <c r="J312" s="57"/>
      <c r="K312" s="81" t="s">
        <v>2349</v>
      </c>
      <c r="L312" s="47" t="s">
        <v>2350</v>
      </c>
      <c r="M312" s="47" t="s">
        <v>2351</v>
      </c>
      <c r="N312" s="134">
        <v>23.01931</v>
      </c>
      <c r="O312" s="134">
        <v>91.823939</v>
      </c>
      <c r="P312" s="81">
        <v>80</v>
      </c>
      <c r="Q312" s="47"/>
      <c r="R312" s="81"/>
      <c r="S312" s="81"/>
      <c r="T312" s="135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8"/>
      <c r="AI312" s="59"/>
      <c r="AJ312" s="57"/>
    </row>
    <row x14ac:dyDescent="0.25" r="313" customHeight="1" ht="18">
      <c r="A313" s="45">
        <v>307</v>
      </c>
      <c r="B313" s="46" t="s">
        <v>47</v>
      </c>
      <c r="C313" s="46" t="s">
        <v>48</v>
      </c>
      <c r="D313" s="47" t="s">
        <v>49</v>
      </c>
      <c r="E313" s="47" t="s">
        <v>1464</v>
      </c>
      <c r="F313" s="47" t="s">
        <v>1464</v>
      </c>
      <c r="G313" s="130" t="s">
        <v>797</v>
      </c>
      <c r="H313" s="57"/>
      <c r="I313" s="59"/>
      <c r="J313" s="57"/>
      <c r="K313" s="81" t="s">
        <v>2352</v>
      </c>
      <c r="L313" s="47" t="s">
        <v>2353</v>
      </c>
      <c r="M313" s="47" t="s">
        <v>2354</v>
      </c>
      <c r="N313" s="134">
        <v>22.993373</v>
      </c>
      <c r="O313" s="134">
        <v>91.836913</v>
      </c>
      <c r="P313" s="81">
        <v>40</v>
      </c>
      <c r="Q313" s="47"/>
      <c r="R313" s="81"/>
      <c r="S313" s="81"/>
      <c r="T313" s="7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3"/>
      <c r="AH313" s="58"/>
      <c r="AI313" s="59"/>
      <c r="AJ313" s="57"/>
    </row>
    <row x14ac:dyDescent="0.25" r="314" customHeight="1" ht="18">
      <c r="A314" s="45">
        <v>308</v>
      </c>
      <c r="B314" s="46" t="s">
        <v>47</v>
      </c>
      <c r="C314" s="46" t="s">
        <v>48</v>
      </c>
      <c r="D314" s="47" t="s">
        <v>49</v>
      </c>
      <c r="E314" s="47" t="s">
        <v>1464</v>
      </c>
      <c r="F314" s="47" t="s">
        <v>1464</v>
      </c>
      <c r="G314" s="130" t="s">
        <v>797</v>
      </c>
      <c r="H314" s="57"/>
      <c r="I314" s="59"/>
      <c r="J314" s="57"/>
      <c r="K314" s="81" t="s">
        <v>2355</v>
      </c>
      <c r="L314" s="47" t="s">
        <v>2356</v>
      </c>
      <c r="M314" s="47" t="s">
        <v>2357</v>
      </c>
      <c r="N314" s="134">
        <v>22.997616</v>
      </c>
      <c r="O314" s="134">
        <v>91.844449</v>
      </c>
      <c r="P314" s="81">
        <v>40</v>
      </c>
      <c r="Q314" s="47"/>
      <c r="R314" s="81"/>
      <c r="S314" s="81"/>
      <c r="T314" s="135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3"/>
      <c r="AH314" s="58"/>
      <c r="AI314" s="59"/>
      <c r="AJ314" s="57"/>
    </row>
    <row x14ac:dyDescent="0.25" r="315" customHeight="1" ht="18">
      <c r="A315" s="45">
        <v>309</v>
      </c>
      <c r="B315" s="46" t="s">
        <v>47</v>
      </c>
      <c r="C315" s="46" t="s">
        <v>48</v>
      </c>
      <c r="D315" s="47" t="s">
        <v>49</v>
      </c>
      <c r="E315" s="47" t="s">
        <v>1464</v>
      </c>
      <c r="F315" s="47" t="s">
        <v>2358</v>
      </c>
      <c r="G315" s="130" t="s">
        <v>677</v>
      </c>
      <c r="H315" s="57"/>
      <c r="I315" s="59"/>
      <c r="J315" s="57"/>
      <c r="K315" s="81" t="s">
        <v>2359</v>
      </c>
      <c r="L315" s="47" t="s">
        <v>2360</v>
      </c>
      <c r="M315" s="47" t="s">
        <v>2361</v>
      </c>
      <c r="N315" s="134">
        <v>23.06353</v>
      </c>
      <c r="O315" s="134">
        <v>91.89643</v>
      </c>
      <c r="P315" s="81">
        <v>444</v>
      </c>
      <c r="Q315" s="47"/>
      <c r="R315" s="81"/>
      <c r="S315" s="81"/>
      <c r="T315" s="135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3"/>
      <c r="AH315" s="58"/>
      <c r="AI315" s="59"/>
      <c r="AJ315" s="57"/>
    </row>
    <row x14ac:dyDescent="0.25" r="316" customHeight="1" ht="18">
      <c r="A316" s="45">
        <v>310</v>
      </c>
      <c r="B316" s="46" t="s">
        <v>47</v>
      </c>
      <c r="C316" s="46" t="s">
        <v>48</v>
      </c>
      <c r="D316" s="47" t="s">
        <v>49</v>
      </c>
      <c r="E316" s="47" t="s">
        <v>1464</v>
      </c>
      <c r="F316" s="47" t="s">
        <v>2358</v>
      </c>
      <c r="G316" s="130" t="s">
        <v>677</v>
      </c>
      <c r="H316" s="57"/>
      <c r="I316" s="59"/>
      <c r="J316" s="57"/>
      <c r="K316" s="81" t="s">
        <v>2362</v>
      </c>
      <c r="L316" s="47" t="s">
        <v>2363</v>
      </c>
      <c r="M316" s="47" t="s">
        <v>2364</v>
      </c>
      <c r="N316" s="134">
        <v>23.068987</v>
      </c>
      <c r="O316" s="134">
        <v>91.892019</v>
      </c>
      <c r="P316" s="81">
        <v>96</v>
      </c>
      <c r="Q316" s="47"/>
      <c r="R316" s="81"/>
      <c r="S316" s="81"/>
      <c r="T316" s="7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3"/>
      <c r="AH316" s="58"/>
      <c r="AI316" s="59"/>
      <c r="AJ316" s="57"/>
    </row>
    <row x14ac:dyDescent="0.25" r="317" customHeight="1" ht="18">
      <c r="A317" s="45">
        <v>311</v>
      </c>
      <c r="B317" s="46" t="s">
        <v>47</v>
      </c>
      <c r="C317" s="46" t="s">
        <v>48</v>
      </c>
      <c r="D317" s="47" t="s">
        <v>49</v>
      </c>
      <c r="E317" s="47" t="s">
        <v>1464</v>
      </c>
      <c r="F317" s="47" t="s">
        <v>2358</v>
      </c>
      <c r="G317" s="130" t="s">
        <v>677</v>
      </c>
      <c r="H317" s="57"/>
      <c r="I317" s="59"/>
      <c r="J317" s="57"/>
      <c r="K317" s="81" t="s">
        <v>2365</v>
      </c>
      <c r="L317" s="47" t="s">
        <v>2366</v>
      </c>
      <c r="M317" s="47" t="s">
        <v>2367</v>
      </c>
      <c r="N317" s="134">
        <v>23.07559</v>
      </c>
      <c r="O317" s="134">
        <v>91.883919</v>
      </c>
      <c r="P317" s="81">
        <v>556</v>
      </c>
      <c r="Q317" s="47"/>
      <c r="R317" s="81"/>
      <c r="S317" s="81"/>
      <c r="T317" s="7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3"/>
      <c r="AH317" s="58"/>
      <c r="AI317" s="59"/>
      <c r="AJ317" s="57"/>
    </row>
    <row x14ac:dyDescent="0.25" r="318" customHeight="1" ht="18">
      <c r="A318" s="45">
        <v>312</v>
      </c>
      <c r="B318" s="46" t="s">
        <v>47</v>
      </c>
      <c r="C318" s="46" t="s">
        <v>48</v>
      </c>
      <c r="D318" s="47" t="s">
        <v>49</v>
      </c>
      <c r="E318" s="47" t="s">
        <v>1464</v>
      </c>
      <c r="F318" s="47" t="s">
        <v>2358</v>
      </c>
      <c r="G318" s="130" t="s">
        <v>677</v>
      </c>
      <c r="H318" s="57"/>
      <c r="I318" s="59"/>
      <c r="J318" s="57"/>
      <c r="K318" s="81" t="s">
        <v>2277</v>
      </c>
      <c r="L318" s="47" t="s">
        <v>2368</v>
      </c>
      <c r="M318" s="47" t="s">
        <v>2369</v>
      </c>
      <c r="N318" s="134">
        <v>23.076169</v>
      </c>
      <c r="O318" s="134">
        <v>91.881057</v>
      </c>
      <c r="P318" s="81">
        <v>264</v>
      </c>
      <c r="Q318" s="47"/>
      <c r="R318" s="81"/>
      <c r="S318" s="81"/>
      <c r="T318" s="135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3"/>
      <c r="AH318" s="58"/>
      <c r="AI318" s="59"/>
      <c r="AJ318" s="57"/>
    </row>
    <row x14ac:dyDescent="0.25" r="319" customHeight="1" ht="18">
      <c r="A319" s="45">
        <v>313</v>
      </c>
      <c r="B319" s="46" t="s">
        <v>47</v>
      </c>
      <c r="C319" s="46" t="s">
        <v>48</v>
      </c>
      <c r="D319" s="47" t="s">
        <v>49</v>
      </c>
      <c r="E319" s="47" t="s">
        <v>1464</v>
      </c>
      <c r="F319" s="47" t="s">
        <v>2358</v>
      </c>
      <c r="G319" s="130" t="s">
        <v>677</v>
      </c>
      <c r="H319" s="57"/>
      <c r="I319" s="59"/>
      <c r="J319" s="57"/>
      <c r="K319" s="81" t="s">
        <v>2370</v>
      </c>
      <c r="L319" s="47" t="s">
        <v>2371</v>
      </c>
      <c r="M319" s="47" t="s">
        <v>2372</v>
      </c>
      <c r="N319" s="134">
        <v>23.078226</v>
      </c>
      <c r="O319" s="134">
        <v>91.87807</v>
      </c>
      <c r="P319" s="81">
        <v>384</v>
      </c>
      <c r="Q319" s="47"/>
      <c r="R319" s="81"/>
      <c r="S319" s="81"/>
      <c r="T319" s="135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3"/>
      <c r="AH319" s="58"/>
      <c r="AI319" s="59"/>
      <c r="AJ319" s="57"/>
    </row>
    <row x14ac:dyDescent="0.25" r="320" customHeight="1" ht="18">
      <c r="A320" s="45">
        <v>314</v>
      </c>
      <c r="B320" s="46" t="s">
        <v>47</v>
      </c>
      <c r="C320" s="46" t="s">
        <v>48</v>
      </c>
      <c r="D320" s="47" t="s">
        <v>49</v>
      </c>
      <c r="E320" s="47" t="s">
        <v>1464</v>
      </c>
      <c r="F320" s="47" t="s">
        <v>2358</v>
      </c>
      <c r="G320" s="130" t="s">
        <v>677</v>
      </c>
      <c r="H320" s="57"/>
      <c r="I320" s="59"/>
      <c r="J320" s="57"/>
      <c r="K320" s="81" t="s">
        <v>2373</v>
      </c>
      <c r="L320" s="47" t="s">
        <v>2374</v>
      </c>
      <c r="M320" s="47" t="s">
        <v>2375</v>
      </c>
      <c r="N320" s="134">
        <v>23.074072</v>
      </c>
      <c r="O320" s="134">
        <v>91.875852</v>
      </c>
      <c r="P320" s="81">
        <v>436</v>
      </c>
      <c r="Q320" s="47"/>
      <c r="R320" s="81"/>
      <c r="S320" s="81"/>
      <c r="T320" s="135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3"/>
      <c r="AH320" s="58"/>
      <c r="AI320" s="59"/>
      <c r="AJ320" s="57"/>
    </row>
    <row x14ac:dyDescent="0.25" r="321" customHeight="1" ht="18">
      <c r="A321" s="45">
        <v>315</v>
      </c>
      <c r="B321" s="46" t="s">
        <v>47</v>
      </c>
      <c r="C321" s="46" t="s">
        <v>48</v>
      </c>
      <c r="D321" s="47" t="s">
        <v>49</v>
      </c>
      <c r="E321" s="47" t="s">
        <v>1464</v>
      </c>
      <c r="F321" s="47" t="s">
        <v>2358</v>
      </c>
      <c r="G321" s="130" t="s">
        <v>677</v>
      </c>
      <c r="H321" s="57"/>
      <c r="I321" s="59"/>
      <c r="J321" s="57"/>
      <c r="K321" s="81" t="s">
        <v>2376</v>
      </c>
      <c r="L321" s="47" t="s">
        <v>2377</v>
      </c>
      <c r="M321" s="47" t="s">
        <v>2378</v>
      </c>
      <c r="N321" s="134">
        <v>23.06558</v>
      </c>
      <c r="O321" s="134">
        <v>91.902989</v>
      </c>
      <c r="P321" s="81">
        <v>100</v>
      </c>
      <c r="Q321" s="47"/>
      <c r="R321" s="81"/>
      <c r="S321" s="81"/>
      <c r="T321" s="135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3"/>
      <c r="AH321" s="58"/>
      <c r="AI321" s="59"/>
      <c r="AJ321" s="57"/>
    </row>
    <row x14ac:dyDescent="0.25" r="322" customHeight="1" ht="18">
      <c r="A322" s="45">
        <v>316</v>
      </c>
      <c r="B322" s="46" t="s">
        <v>47</v>
      </c>
      <c r="C322" s="46" t="s">
        <v>48</v>
      </c>
      <c r="D322" s="47" t="s">
        <v>49</v>
      </c>
      <c r="E322" s="47" t="s">
        <v>1464</v>
      </c>
      <c r="F322" s="47" t="s">
        <v>2358</v>
      </c>
      <c r="G322" s="130" t="s">
        <v>677</v>
      </c>
      <c r="H322" s="57"/>
      <c r="I322" s="59"/>
      <c r="J322" s="57"/>
      <c r="K322" s="81" t="s">
        <v>2379</v>
      </c>
      <c r="L322" s="47" t="s">
        <v>2380</v>
      </c>
      <c r="M322" s="47" t="s">
        <v>2381</v>
      </c>
      <c r="N322" s="134">
        <v>23.079206</v>
      </c>
      <c r="O322" s="134">
        <v>91.87592</v>
      </c>
      <c r="P322" s="81">
        <v>116</v>
      </c>
      <c r="Q322" s="47"/>
      <c r="R322" s="81"/>
      <c r="S322" s="81"/>
      <c r="T322" s="135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3"/>
      <c r="AH322" s="58"/>
      <c r="AI322" s="59"/>
      <c r="AJ322" s="57"/>
    </row>
    <row x14ac:dyDescent="0.25" r="323" customHeight="1" ht="18">
      <c r="A323" s="45">
        <v>317</v>
      </c>
      <c r="B323" s="46" t="s">
        <v>47</v>
      </c>
      <c r="C323" s="46" t="s">
        <v>48</v>
      </c>
      <c r="D323" s="47" t="s">
        <v>49</v>
      </c>
      <c r="E323" s="47" t="s">
        <v>1464</v>
      </c>
      <c r="F323" s="47" t="s">
        <v>2358</v>
      </c>
      <c r="G323" s="130" t="s">
        <v>677</v>
      </c>
      <c r="H323" s="57"/>
      <c r="I323" s="59"/>
      <c r="J323" s="57"/>
      <c r="K323" s="81" t="s">
        <v>2382</v>
      </c>
      <c r="L323" s="47" t="s">
        <v>2383</v>
      </c>
      <c r="M323" s="47" t="s">
        <v>2384</v>
      </c>
      <c r="N323" s="134">
        <v>23.057121</v>
      </c>
      <c r="O323" s="134">
        <v>91.896626</v>
      </c>
      <c r="P323" s="81">
        <v>60</v>
      </c>
      <c r="Q323" s="47"/>
      <c r="R323" s="81"/>
      <c r="S323" s="81"/>
      <c r="T323" s="7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3"/>
      <c r="AH323" s="58"/>
      <c r="AI323" s="59"/>
      <c r="AJ323" s="57"/>
    </row>
    <row x14ac:dyDescent="0.25" r="324" customHeight="1" ht="18">
      <c r="A324" s="45">
        <v>318</v>
      </c>
      <c r="B324" s="46" t="s">
        <v>47</v>
      </c>
      <c r="C324" s="46" t="s">
        <v>48</v>
      </c>
      <c r="D324" s="47" t="s">
        <v>49</v>
      </c>
      <c r="E324" s="47" t="s">
        <v>1464</v>
      </c>
      <c r="F324" s="47" t="s">
        <v>2358</v>
      </c>
      <c r="G324" s="130" t="s">
        <v>684</v>
      </c>
      <c r="H324" s="57"/>
      <c r="I324" s="59"/>
      <c r="J324" s="57"/>
      <c r="K324" s="81" t="s">
        <v>88</v>
      </c>
      <c r="L324" s="47" t="s">
        <v>2385</v>
      </c>
      <c r="M324" s="47" t="s">
        <v>2386</v>
      </c>
      <c r="N324" s="134">
        <v>23.048315</v>
      </c>
      <c r="O324" s="134">
        <v>91.885258</v>
      </c>
      <c r="P324" s="81">
        <v>2664</v>
      </c>
      <c r="Q324" s="47"/>
      <c r="R324" s="81"/>
      <c r="S324" s="81"/>
      <c r="T324" s="135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3"/>
      <c r="AH324" s="58"/>
      <c r="AI324" s="59"/>
      <c r="AJ324" s="57"/>
    </row>
    <row x14ac:dyDescent="0.25" r="325" customHeight="1" ht="18">
      <c r="A325" s="45">
        <v>319</v>
      </c>
      <c r="B325" s="46" t="s">
        <v>47</v>
      </c>
      <c r="C325" s="46" t="s">
        <v>48</v>
      </c>
      <c r="D325" s="47" t="s">
        <v>49</v>
      </c>
      <c r="E325" s="47" t="s">
        <v>1464</v>
      </c>
      <c r="F325" s="47" t="s">
        <v>2358</v>
      </c>
      <c r="G325" s="130" t="s">
        <v>684</v>
      </c>
      <c r="H325" s="57"/>
      <c r="I325" s="59"/>
      <c r="J325" s="57"/>
      <c r="K325" s="81" t="s">
        <v>629</v>
      </c>
      <c r="L325" s="47" t="s">
        <v>2387</v>
      </c>
      <c r="M325" s="47" t="s">
        <v>2388</v>
      </c>
      <c r="N325" s="134">
        <v>23.046742</v>
      </c>
      <c r="O325" s="134">
        <v>91.889288</v>
      </c>
      <c r="P325" s="81">
        <v>180</v>
      </c>
      <c r="Q325" s="47"/>
      <c r="R325" s="81"/>
      <c r="S325" s="81"/>
      <c r="T325" s="135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3"/>
      <c r="AH325" s="58"/>
      <c r="AI325" s="59"/>
      <c r="AJ325" s="57"/>
    </row>
    <row x14ac:dyDescent="0.25" r="326" customHeight="1" ht="18">
      <c r="A326" s="45">
        <v>320</v>
      </c>
      <c r="B326" s="46" t="s">
        <v>47</v>
      </c>
      <c r="C326" s="46" t="s">
        <v>48</v>
      </c>
      <c r="D326" s="47" t="s">
        <v>49</v>
      </c>
      <c r="E326" s="47" t="s">
        <v>1464</v>
      </c>
      <c r="F326" s="47" t="s">
        <v>2358</v>
      </c>
      <c r="G326" s="130" t="s">
        <v>684</v>
      </c>
      <c r="H326" s="57"/>
      <c r="I326" s="59"/>
      <c r="J326" s="57"/>
      <c r="K326" s="81" t="s">
        <v>2389</v>
      </c>
      <c r="L326" s="47" t="s">
        <v>2390</v>
      </c>
      <c r="M326" s="47" t="s">
        <v>2391</v>
      </c>
      <c r="N326" s="134">
        <v>23.041719</v>
      </c>
      <c r="O326" s="134">
        <v>91.887628</v>
      </c>
      <c r="P326" s="81">
        <v>320</v>
      </c>
      <c r="Q326" s="47"/>
      <c r="R326" s="81"/>
      <c r="S326" s="81"/>
      <c r="T326" s="135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8"/>
      <c r="AI326" s="59"/>
      <c r="AJ326" s="57"/>
    </row>
    <row x14ac:dyDescent="0.25" r="327" customHeight="1" ht="18">
      <c r="A327" s="45">
        <v>321</v>
      </c>
      <c r="B327" s="46" t="s">
        <v>47</v>
      </c>
      <c r="C327" s="46" t="s">
        <v>48</v>
      </c>
      <c r="D327" s="47" t="s">
        <v>49</v>
      </c>
      <c r="E327" s="47" t="s">
        <v>1464</v>
      </c>
      <c r="F327" s="47" t="s">
        <v>2358</v>
      </c>
      <c r="G327" s="130" t="s">
        <v>684</v>
      </c>
      <c r="H327" s="57"/>
      <c r="I327" s="59"/>
      <c r="J327" s="57"/>
      <c r="K327" s="81" t="s">
        <v>2392</v>
      </c>
      <c r="L327" s="47" t="s">
        <v>2393</v>
      </c>
      <c r="M327" s="47" t="s">
        <v>2394</v>
      </c>
      <c r="N327" s="134">
        <v>23.055178</v>
      </c>
      <c r="O327" s="134">
        <v>91.892092</v>
      </c>
      <c r="P327" s="81">
        <v>480</v>
      </c>
      <c r="Q327" s="47"/>
      <c r="R327" s="81"/>
      <c r="S327" s="81"/>
      <c r="T327" s="135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3"/>
      <c r="AH327" s="58"/>
      <c r="AI327" s="59"/>
      <c r="AJ327" s="57"/>
    </row>
    <row x14ac:dyDescent="0.25" r="328" customHeight="1" ht="18">
      <c r="A328" s="45">
        <v>322</v>
      </c>
      <c r="B328" s="46" t="s">
        <v>47</v>
      </c>
      <c r="C328" s="46" t="s">
        <v>48</v>
      </c>
      <c r="D328" s="47" t="s">
        <v>49</v>
      </c>
      <c r="E328" s="47" t="s">
        <v>1464</v>
      </c>
      <c r="F328" s="47" t="s">
        <v>2358</v>
      </c>
      <c r="G328" s="130" t="s">
        <v>684</v>
      </c>
      <c r="H328" s="57"/>
      <c r="I328" s="59"/>
      <c r="J328" s="57"/>
      <c r="K328" s="81" t="s">
        <v>2395</v>
      </c>
      <c r="L328" s="47" t="s">
        <v>2396</v>
      </c>
      <c r="M328" s="47" t="s">
        <v>2397</v>
      </c>
      <c r="N328" s="134">
        <v>23.049054</v>
      </c>
      <c r="O328" s="134">
        <v>91.878126</v>
      </c>
      <c r="P328" s="81">
        <v>880</v>
      </c>
      <c r="Q328" s="47"/>
      <c r="R328" s="81"/>
      <c r="S328" s="81"/>
      <c r="T328" s="135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3"/>
      <c r="AH328" s="58"/>
      <c r="AI328" s="59"/>
      <c r="AJ328" s="57"/>
    </row>
    <row x14ac:dyDescent="0.25" r="329" customHeight="1" ht="18">
      <c r="A329" s="45">
        <v>323</v>
      </c>
      <c r="B329" s="46" t="s">
        <v>47</v>
      </c>
      <c r="C329" s="46" t="s">
        <v>48</v>
      </c>
      <c r="D329" s="47" t="s">
        <v>49</v>
      </c>
      <c r="E329" s="47" t="s">
        <v>1464</v>
      </c>
      <c r="F329" s="47" t="s">
        <v>2358</v>
      </c>
      <c r="G329" s="130" t="s">
        <v>684</v>
      </c>
      <c r="H329" s="57"/>
      <c r="I329" s="59"/>
      <c r="J329" s="57"/>
      <c r="K329" s="81" t="s">
        <v>2398</v>
      </c>
      <c r="L329" s="47" t="s">
        <v>2399</v>
      </c>
      <c r="M329" s="47" t="s">
        <v>2400</v>
      </c>
      <c r="N329" s="134">
        <v>23.050635</v>
      </c>
      <c r="O329" s="134">
        <v>91.8898</v>
      </c>
      <c r="P329" s="81">
        <v>40</v>
      </c>
      <c r="Q329" s="47"/>
      <c r="R329" s="81"/>
      <c r="S329" s="81"/>
      <c r="T329" s="135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3"/>
      <c r="AH329" s="58"/>
      <c r="AI329" s="59"/>
      <c r="AJ329" s="57"/>
    </row>
    <row x14ac:dyDescent="0.25" r="330" customHeight="1" ht="18">
      <c r="A330" s="45">
        <v>324</v>
      </c>
      <c r="B330" s="46" t="s">
        <v>47</v>
      </c>
      <c r="C330" s="46" t="s">
        <v>48</v>
      </c>
      <c r="D330" s="47" t="s">
        <v>49</v>
      </c>
      <c r="E330" s="47" t="s">
        <v>1464</v>
      </c>
      <c r="F330" s="47" t="s">
        <v>2358</v>
      </c>
      <c r="G330" s="130" t="s">
        <v>697</v>
      </c>
      <c r="H330" s="57"/>
      <c r="I330" s="59"/>
      <c r="J330" s="57"/>
      <c r="K330" s="81" t="s">
        <v>2401</v>
      </c>
      <c r="L330" s="47" t="s">
        <v>2402</v>
      </c>
      <c r="M330" s="47" t="s">
        <v>2403</v>
      </c>
      <c r="N330" s="134">
        <v>23.05171</v>
      </c>
      <c r="O330" s="134">
        <v>91.871396</v>
      </c>
      <c r="P330" s="81">
        <v>1040</v>
      </c>
      <c r="Q330" s="47"/>
      <c r="R330" s="81"/>
      <c r="S330" s="81"/>
      <c r="T330" s="135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3"/>
      <c r="AH330" s="58"/>
      <c r="AI330" s="59"/>
      <c r="AJ330" s="57"/>
    </row>
    <row x14ac:dyDescent="0.25" r="331" customHeight="1" ht="18">
      <c r="A331" s="45">
        <v>325</v>
      </c>
      <c r="B331" s="46" t="s">
        <v>47</v>
      </c>
      <c r="C331" s="46" t="s">
        <v>48</v>
      </c>
      <c r="D331" s="47" t="s">
        <v>49</v>
      </c>
      <c r="E331" s="47" t="s">
        <v>1464</v>
      </c>
      <c r="F331" s="47" t="s">
        <v>2358</v>
      </c>
      <c r="G331" s="130" t="s">
        <v>697</v>
      </c>
      <c r="H331" s="57"/>
      <c r="I331" s="59"/>
      <c r="J331" s="57"/>
      <c r="K331" s="81" t="s">
        <v>2404</v>
      </c>
      <c r="L331" s="47" t="s">
        <v>2405</v>
      </c>
      <c r="M331" s="47" t="s">
        <v>2406</v>
      </c>
      <c r="N331" s="134">
        <v>23.052509</v>
      </c>
      <c r="O331" s="134">
        <v>91.875844</v>
      </c>
      <c r="P331" s="81">
        <v>240</v>
      </c>
      <c r="Q331" s="47"/>
      <c r="R331" s="81"/>
      <c r="S331" s="81"/>
      <c r="T331" s="135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3"/>
      <c r="AH331" s="58"/>
      <c r="AI331" s="59"/>
      <c r="AJ331" s="57"/>
    </row>
    <row x14ac:dyDescent="0.25" r="332" customHeight="1" ht="18">
      <c r="A332" s="45">
        <v>326</v>
      </c>
      <c r="B332" s="46" t="s">
        <v>47</v>
      </c>
      <c r="C332" s="46" t="s">
        <v>48</v>
      </c>
      <c r="D332" s="47" t="s">
        <v>49</v>
      </c>
      <c r="E332" s="47" t="s">
        <v>1464</v>
      </c>
      <c r="F332" s="47" t="s">
        <v>2358</v>
      </c>
      <c r="G332" s="130" t="s">
        <v>697</v>
      </c>
      <c r="H332" s="57"/>
      <c r="I332" s="59"/>
      <c r="J332" s="57"/>
      <c r="K332" s="81" t="s">
        <v>2407</v>
      </c>
      <c r="L332" s="47" t="s">
        <v>2408</v>
      </c>
      <c r="M332" s="47" t="s">
        <v>2409</v>
      </c>
      <c r="N332" s="134">
        <v>23.0566</v>
      </c>
      <c r="O332" s="134">
        <v>91.879444</v>
      </c>
      <c r="P332" s="81">
        <v>160</v>
      </c>
      <c r="Q332" s="47"/>
      <c r="R332" s="81"/>
      <c r="S332" s="81"/>
      <c r="T332" s="7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3"/>
      <c r="AH332" s="58"/>
      <c r="AI332" s="59"/>
      <c r="AJ332" s="57"/>
    </row>
    <row x14ac:dyDescent="0.25" r="333" customHeight="1" ht="18">
      <c r="A333" s="45">
        <v>327</v>
      </c>
      <c r="B333" s="46" t="s">
        <v>47</v>
      </c>
      <c r="C333" s="46" t="s">
        <v>48</v>
      </c>
      <c r="D333" s="47" t="s">
        <v>49</v>
      </c>
      <c r="E333" s="47" t="s">
        <v>1464</v>
      </c>
      <c r="F333" s="47" t="s">
        <v>2358</v>
      </c>
      <c r="G333" s="130" t="s">
        <v>697</v>
      </c>
      <c r="H333" s="57"/>
      <c r="I333" s="59"/>
      <c r="J333" s="57"/>
      <c r="K333" s="81" t="s">
        <v>2395</v>
      </c>
      <c r="L333" s="47" t="s">
        <v>2396</v>
      </c>
      <c r="M333" s="47" t="s">
        <v>2410</v>
      </c>
      <c r="N333" s="134">
        <v>23.048389</v>
      </c>
      <c r="O333" s="134">
        <v>91.875423</v>
      </c>
      <c r="P333" s="81">
        <v>120</v>
      </c>
      <c r="Q333" s="47"/>
      <c r="R333" s="81"/>
      <c r="S333" s="81"/>
      <c r="T333" s="7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3"/>
      <c r="AH333" s="58"/>
      <c r="AI333" s="59"/>
      <c r="AJ333" s="57"/>
    </row>
    <row x14ac:dyDescent="0.25" r="334" customHeight="1" ht="18">
      <c r="A334" s="45">
        <v>328</v>
      </c>
      <c r="B334" s="46" t="s">
        <v>47</v>
      </c>
      <c r="C334" s="46" t="s">
        <v>48</v>
      </c>
      <c r="D334" s="47" t="s">
        <v>49</v>
      </c>
      <c r="E334" s="47" t="s">
        <v>1464</v>
      </c>
      <c r="F334" s="47" t="s">
        <v>2358</v>
      </c>
      <c r="G334" s="130" t="s">
        <v>697</v>
      </c>
      <c r="H334" s="57"/>
      <c r="I334" s="59"/>
      <c r="J334" s="57"/>
      <c r="K334" s="81" t="s">
        <v>2411</v>
      </c>
      <c r="L334" s="47" t="s">
        <v>2412</v>
      </c>
      <c r="M334" s="47" t="s">
        <v>2413</v>
      </c>
      <c r="N334" s="134">
        <v>23.065416</v>
      </c>
      <c r="O334" s="134">
        <v>91.875631</v>
      </c>
      <c r="P334" s="81">
        <v>708</v>
      </c>
      <c r="Q334" s="47"/>
      <c r="R334" s="81"/>
      <c r="S334" s="81"/>
      <c r="T334" s="7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3"/>
      <c r="AH334" s="58"/>
      <c r="AI334" s="59"/>
      <c r="AJ334" s="57"/>
    </row>
    <row x14ac:dyDescent="0.25" r="335" customHeight="1" ht="18">
      <c r="A335" s="45">
        <v>329</v>
      </c>
      <c r="B335" s="46" t="s">
        <v>47</v>
      </c>
      <c r="C335" s="46" t="s">
        <v>48</v>
      </c>
      <c r="D335" s="47" t="s">
        <v>49</v>
      </c>
      <c r="E335" s="47" t="s">
        <v>1464</v>
      </c>
      <c r="F335" s="47" t="s">
        <v>2358</v>
      </c>
      <c r="G335" s="130" t="s">
        <v>697</v>
      </c>
      <c r="H335" s="57"/>
      <c r="I335" s="59"/>
      <c r="J335" s="57"/>
      <c r="K335" s="81" t="s">
        <v>2414</v>
      </c>
      <c r="L335" s="47" t="s">
        <v>2415</v>
      </c>
      <c r="M335" s="47" t="s">
        <v>2416</v>
      </c>
      <c r="N335" s="134">
        <v>23.057522</v>
      </c>
      <c r="O335" s="134">
        <v>91.875135</v>
      </c>
      <c r="P335" s="81">
        <v>300</v>
      </c>
      <c r="Q335" s="47"/>
      <c r="R335" s="81"/>
      <c r="S335" s="81"/>
      <c r="T335" s="135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3"/>
      <c r="AH335" s="58"/>
      <c r="AI335" s="59"/>
      <c r="AJ335" s="57"/>
    </row>
    <row x14ac:dyDescent="0.25" r="336" customHeight="1" ht="18">
      <c r="A336" s="45">
        <v>330</v>
      </c>
      <c r="B336" s="46" t="s">
        <v>47</v>
      </c>
      <c r="C336" s="46" t="s">
        <v>48</v>
      </c>
      <c r="D336" s="47" t="s">
        <v>49</v>
      </c>
      <c r="E336" s="47" t="s">
        <v>1464</v>
      </c>
      <c r="F336" s="47" t="s">
        <v>2358</v>
      </c>
      <c r="G336" s="130" t="s">
        <v>707</v>
      </c>
      <c r="H336" s="57"/>
      <c r="I336" s="59"/>
      <c r="J336" s="57"/>
      <c r="K336" s="81" t="s">
        <v>2417</v>
      </c>
      <c r="L336" s="47" t="s">
        <v>2418</v>
      </c>
      <c r="M336" s="47" t="s">
        <v>2419</v>
      </c>
      <c r="N336" s="134">
        <v>23.056004</v>
      </c>
      <c r="O336" s="134">
        <v>91.847867</v>
      </c>
      <c r="P336" s="81">
        <v>660</v>
      </c>
      <c r="Q336" s="47"/>
      <c r="R336" s="81"/>
      <c r="S336" s="81"/>
      <c r="T336" s="135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3"/>
      <c r="AH336" s="58"/>
      <c r="AI336" s="59"/>
      <c r="AJ336" s="57"/>
    </row>
    <row x14ac:dyDescent="0.25" r="337" customHeight="1" ht="18">
      <c r="A337" s="45">
        <v>331</v>
      </c>
      <c r="B337" s="46" t="s">
        <v>47</v>
      </c>
      <c r="C337" s="46" t="s">
        <v>48</v>
      </c>
      <c r="D337" s="47" t="s">
        <v>49</v>
      </c>
      <c r="E337" s="47" t="s">
        <v>1464</v>
      </c>
      <c r="F337" s="47" t="s">
        <v>2358</v>
      </c>
      <c r="G337" s="130" t="s">
        <v>707</v>
      </c>
      <c r="H337" s="57"/>
      <c r="I337" s="59"/>
      <c r="J337" s="57"/>
      <c r="K337" s="81" t="s">
        <v>2420</v>
      </c>
      <c r="L337" s="47" t="s">
        <v>2421</v>
      </c>
      <c r="M337" s="47" t="s">
        <v>2422</v>
      </c>
      <c r="N337" s="134">
        <v>23.049842</v>
      </c>
      <c r="O337" s="134">
        <v>91.853479</v>
      </c>
      <c r="P337" s="81">
        <v>670</v>
      </c>
      <c r="Q337" s="47"/>
      <c r="R337" s="81"/>
      <c r="S337" s="81"/>
      <c r="T337" s="135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3"/>
      <c r="AH337" s="58"/>
      <c r="AI337" s="59"/>
      <c r="AJ337" s="57"/>
    </row>
    <row x14ac:dyDescent="0.25" r="338" customHeight="1" ht="18">
      <c r="A338" s="45">
        <v>332</v>
      </c>
      <c r="B338" s="46" t="s">
        <v>47</v>
      </c>
      <c r="C338" s="46" t="s">
        <v>48</v>
      </c>
      <c r="D338" s="47" t="s">
        <v>49</v>
      </c>
      <c r="E338" s="47" t="s">
        <v>1464</v>
      </c>
      <c r="F338" s="47" t="s">
        <v>2358</v>
      </c>
      <c r="G338" s="130" t="s">
        <v>707</v>
      </c>
      <c r="H338" s="57"/>
      <c r="I338" s="59"/>
      <c r="J338" s="57"/>
      <c r="K338" s="81" t="s">
        <v>2423</v>
      </c>
      <c r="L338" s="47" t="s">
        <v>2424</v>
      </c>
      <c r="M338" s="47" t="s">
        <v>2425</v>
      </c>
      <c r="N338" s="134">
        <v>23.047624</v>
      </c>
      <c r="O338" s="134">
        <v>91.862532</v>
      </c>
      <c r="P338" s="81">
        <v>520</v>
      </c>
      <c r="Q338" s="47"/>
      <c r="R338" s="81"/>
      <c r="S338" s="81"/>
      <c r="T338" s="135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3"/>
      <c r="AH338" s="58"/>
      <c r="AI338" s="59"/>
      <c r="AJ338" s="57"/>
    </row>
    <row x14ac:dyDescent="0.25" r="339" customHeight="1" ht="18">
      <c r="A339" s="45">
        <v>333</v>
      </c>
      <c r="B339" s="46" t="s">
        <v>47</v>
      </c>
      <c r="C339" s="46" t="s">
        <v>48</v>
      </c>
      <c r="D339" s="47" t="s">
        <v>49</v>
      </c>
      <c r="E339" s="47" t="s">
        <v>1464</v>
      </c>
      <c r="F339" s="47" t="s">
        <v>2358</v>
      </c>
      <c r="G339" s="130" t="s">
        <v>707</v>
      </c>
      <c r="H339" s="57"/>
      <c r="I339" s="59"/>
      <c r="J339" s="57"/>
      <c r="K339" s="81" t="s">
        <v>2426</v>
      </c>
      <c r="L339" s="47" t="s">
        <v>2427</v>
      </c>
      <c r="M339" s="47" t="s">
        <v>2428</v>
      </c>
      <c r="N339" s="134">
        <v>23.048427</v>
      </c>
      <c r="O339" s="134">
        <v>91.866344</v>
      </c>
      <c r="P339" s="81">
        <v>380</v>
      </c>
      <c r="Q339" s="47"/>
      <c r="R339" s="81"/>
      <c r="S339" s="81"/>
      <c r="T339" s="135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3"/>
      <c r="AH339" s="58"/>
      <c r="AI339" s="59"/>
      <c r="AJ339" s="57"/>
    </row>
    <row x14ac:dyDescent="0.25" r="340" customHeight="1" ht="18">
      <c r="A340" s="45">
        <v>334</v>
      </c>
      <c r="B340" s="46" t="s">
        <v>47</v>
      </c>
      <c r="C340" s="46" t="s">
        <v>48</v>
      </c>
      <c r="D340" s="47" t="s">
        <v>49</v>
      </c>
      <c r="E340" s="47" t="s">
        <v>1464</v>
      </c>
      <c r="F340" s="47" t="s">
        <v>2358</v>
      </c>
      <c r="G340" s="130" t="s">
        <v>707</v>
      </c>
      <c r="H340" s="57"/>
      <c r="I340" s="59"/>
      <c r="J340" s="57"/>
      <c r="K340" s="81" t="s">
        <v>2429</v>
      </c>
      <c r="L340" s="47" t="s">
        <v>2430</v>
      </c>
      <c r="M340" s="47" t="s">
        <v>2431</v>
      </c>
      <c r="N340" s="134">
        <v>23.056805</v>
      </c>
      <c r="O340" s="134">
        <v>91.866673</v>
      </c>
      <c r="P340" s="81">
        <v>400</v>
      </c>
      <c r="Q340" s="47"/>
      <c r="R340" s="81"/>
      <c r="S340" s="81"/>
      <c r="T340" s="7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3"/>
      <c r="AH340" s="58"/>
      <c r="AI340" s="59"/>
      <c r="AJ340" s="57"/>
    </row>
    <row x14ac:dyDescent="0.25" r="341" customHeight="1" ht="18">
      <c r="A341" s="45">
        <v>335</v>
      </c>
      <c r="B341" s="46" t="s">
        <v>47</v>
      </c>
      <c r="C341" s="46" t="s">
        <v>48</v>
      </c>
      <c r="D341" s="47" t="s">
        <v>49</v>
      </c>
      <c r="E341" s="47" t="s">
        <v>1464</v>
      </c>
      <c r="F341" s="47" t="s">
        <v>2358</v>
      </c>
      <c r="G341" s="130" t="s">
        <v>707</v>
      </c>
      <c r="H341" s="57"/>
      <c r="I341" s="59"/>
      <c r="J341" s="57"/>
      <c r="K341" s="81" t="s">
        <v>2432</v>
      </c>
      <c r="L341" s="47" t="s">
        <v>2433</v>
      </c>
      <c r="M341" s="47" t="s">
        <v>2434</v>
      </c>
      <c r="N341" s="134">
        <v>23.051896</v>
      </c>
      <c r="O341" s="134">
        <v>91.86418</v>
      </c>
      <c r="P341" s="81">
        <v>680</v>
      </c>
      <c r="Q341" s="47"/>
      <c r="R341" s="81"/>
      <c r="S341" s="81"/>
      <c r="T341" s="135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3"/>
      <c r="AH341" s="58"/>
      <c r="AI341" s="59"/>
      <c r="AJ341" s="57"/>
    </row>
    <row x14ac:dyDescent="0.25" r="342" customHeight="1" ht="18">
      <c r="A342" s="45">
        <v>336</v>
      </c>
      <c r="B342" s="46" t="s">
        <v>47</v>
      </c>
      <c r="C342" s="46" t="s">
        <v>48</v>
      </c>
      <c r="D342" s="47" t="s">
        <v>49</v>
      </c>
      <c r="E342" s="47" t="s">
        <v>1464</v>
      </c>
      <c r="F342" s="47" t="s">
        <v>2358</v>
      </c>
      <c r="G342" s="130" t="s">
        <v>707</v>
      </c>
      <c r="H342" s="57"/>
      <c r="I342" s="59"/>
      <c r="J342" s="57"/>
      <c r="K342" s="81" t="s">
        <v>2435</v>
      </c>
      <c r="L342" s="47" t="s">
        <v>2436</v>
      </c>
      <c r="M342" s="47" t="s">
        <v>2437</v>
      </c>
      <c r="N342" s="134">
        <v>23.055668</v>
      </c>
      <c r="O342" s="134">
        <v>91.855116</v>
      </c>
      <c r="P342" s="81">
        <v>200</v>
      </c>
      <c r="Q342" s="47"/>
      <c r="R342" s="81"/>
      <c r="S342" s="81"/>
      <c r="T342" s="135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3"/>
      <c r="AH342" s="58"/>
      <c r="AI342" s="59"/>
      <c r="AJ342" s="57"/>
    </row>
    <row x14ac:dyDescent="0.25" r="343" customHeight="1" ht="18">
      <c r="A343" s="45">
        <v>337</v>
      </c>
      <c r="B343" s="46" t="s">
        <v>47</v>
      </c>
      <c r="C343" s="46" t="s">
        <v>48</v>
      </c>
      <c r="D343" s="47" t="s">
        <v>49</v>
      </c>
      <c r="E343" s="47" t="s">
        <v>1464</v>
      </c>
      <c r="F343" s="47" t="s">
        <v>2358</v>
      </c>
      <c r="G343" s="130" t="s">
        <v>707</v>
      </c>
      <c r="H343" s="57"/>
      <c r="I343" s="59"/>
      <c r="J343" s="57"/>
      <c r="K343" s="81" t="s">
        <v>2438</v>
      </c>
      <c r="L343" s="47" t="s">
        <v>2439</v>
      </c>
      <c r="M343" s="47" t="s">
        <v>2440</v>
      </c>
      <c r="N343" s="134">
        <v>23.064936</v>
      </c>
      <c r="O343" s="134">
        <v>91.861532</v>
      </c>
      <c r="P343" s="81">
        <v>1200</v>
      </c>
      <c r="Q343" s="47"/>
      <c r="R343" s="81"/>
      <c r="S343" s="81"/>
      <c r="T343" s="135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3"/>
      <c r="AH343" s="58"/>
      <c r="AI343" s="59"/>
      <c r="AJ343" s="57"/>
    </row>
    <row x14ac:dyDescent="0.25" r="344" customHeight="1" ht="18">
      <c r="A344" s="45">
        <v>338</v>
      </c>
      <c r="B344" s="46" t="s">
        <v>47</v>
      </c>
      <c r="C344" s="46" t="s">
        <v>48</v>
      </c>
      <c r="D344" s="47" t="s">
        <v>49</v>
      </c>
      <c r="E344" s="47" t="s">
        <v>1464</v>
      </c>
      <c r="F344" s="47" t="s">
        <v>2358</v>
      </c>
      <c r="G344" s="130" t="s">
        <v>707</v>
      </c>
      <c r="H344" s="57"/>
      <c r="I344" s="59"/>
      <c r="J344" s="57"/>
      <c r="K344" s="81" t="s">
        <v>2441</v>
      </c>
      <c r="L344" s="47" t="s">
        <v>2442</v>
      </c>
      <c r="M344" s="47" t="s">
        <v>2443</v>
      </c>
      <c r="N344" s="134">
        <v>23.070538</v>
      </c>
      <c r="O344" s="134">
        <v>91.857995</v>
      </c>
      <c r="P344" s="81">
        <v>160</v>
      </c>
      <c r="Q344" s="47"/>
      <c r="R344" s="81"/>
      <c r="S344" s="81"/>
      <c r="T344" s="135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3"/>
      <c r="AH344" s="58"/>
      <c r="AI344" s="59"/>
      <c r="AJ344" s="57"/>
    </row>
    <row x14ac:dyDescent="0.25" r="345" customHeight="1" ht="18">
      <c r="A345" s="45">
        <v>339</v>
      </c>
      <c r="B345" s="46" t="s">
        <v>47</v>
      </c>
      <c r="C345" s="46" t="s">
        <v>48</v>
      </c>
      <c r="D345" s="47" t="s">
        <v>49</v>
      </c>
      <c r="E345" s="47" t="s">
        <v>1464</v>
      </c>
      <c r="F345" s="47" t="s">
        <v>2358</v>
      </c>
      <c r="G345" s="130" t="s">
        <v>726</v>
      </c>
      <c r="H345" s="57"/>
      <c r="I345" s="59"/>
      <c r="J345" s="57"/>
      <c r="K345" s="81" t="s">
        <v>2444</v>
      </c>
      <c r="L345" s="47" t="s">
        <v>2445</v>
      </c>
      <c r="M345" s="47" t="s">
        <v>2446</v>
      </c>
      <c r="N345" s="134">
        <v>23.038666</v>
      </c>
      <c r="O345" s="134">
        <v>91.872188</v>
      </c>
      <c r="P345" s="81">
        <v>312</v>
      </c>
      <c r="Q345" s="47"/>
      <c r="R345" s="81"/>
      <c r="S345" s="81"/>
      <c r="T345" s="135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3"/>
      <c r="AH345" s="58"/>
      <c r="AI345" s="59"/>
      <c r="AJ345" s="57"/>
    </row>
    <row x14ac:dyDescent="0.25" r="346" customHeight="1" ht="18">
      <c r="A346" s="45">
        <v>340</v>
      </c>
      <c r="B346" s="46" t="s">
        <v>47</v>
      </c>
      <c r="C346" s="46" t="s">
        <v>48</v>
      </c>
      <c r="D346" s="47" t="s">
        <v>49</v>
      </c>
      <c r="E346" s="47" t="s">
        <v>1464</v>
      </c>
      <c r="F346" s="47" t="s">
        <v>2358</v>
      </c>
      <c r="G346" s="130" t="s">
        <v>726</v>
      </c>
      <c r="H346" s="57"/>
      <c r="I346" s="59"/>
      <c r="J346" s="57"/>
      <c r="K346" s="81" t="s">
        <v>949</v>
      </c>
      <c r="L346" s="47" t="s">
        <v>2447</v>
      </c>
      <c r="M346" s="47" t="s">
        <v>2448</v>
      </c>
      <c r="N346" s="134">
        <v>23.040442</v>
      </c>
      <c r="O346" s="134">
        <v>91.871249</v>
      </c>
      <c r="P346" s="81">
        <v>220</v>
      </c>
      <c r="Q346" s="47"/>
      <c r="R346" s="81"/>
      <c r="S346" s="81"/>
      <c r="T346" s="135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3"/>
      <c r="AH346" s="58"/>
      <c r="AI346" s="59"/>
      <c r="AJ346" s="57"/>
    </row>
    <row x14ac:dyDescent="0.25" r="347" customHeight="1" ht="18">
      <c r="A347" s="45">
        <v>341</v>
      </c>
      <c r="B347" s="46" t="s">
        <v>47</v>
      </c>
      <c r="C347" s="46" t="s">
        <v>48</v>
      </c>
      <c r="D347" s="47" t="s">
        <v>49</v>
      </c>
      <c r="E347" s="47" t="s">
        <v>1464</v>
      </c>
      <c r="F347" s="47" t="s">
        <v>2358</v>
      </c>
      <c r="G347" s="130" t="s">
        <v>726</v>
      </c>
      <c r="H347" s="57"/>
      <c r="I347" s="59"/>
      <c r="J347" s="57"/>
      <c r="K347" s="81" t="s">
        <v>346</v>
      </c>
      <c r="L347" s="47" t="s">
        <v>1692</v>
      </c>
      <c r="M347" s="47" t="s">
        <v>2449</v>
      </c>
      <c r="N347" s="134">
        <v>23.039046</v>
      </c>
      <c r="O347" s="134">
        <v>91.86848</v>
      </c>
      <c r="P347" s="81">
        <v>556</v>
      </c>
      <c r="Q347" s="47"/>
      <c r="R347" s="81"/>
      <c r="S347" s="81"/>
      <c r="T347" s="135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3"/>
      <c r="AH347" s="58"/>
      <c r="AI347" s="59"/>
      <c r="AJ347" s="57"/>
    </row>
    <row x14ac:dyDescent="0.25" r="348" customHeight="1" ht="18">
      <c r="A348" s="45">
        <v>342</v>
      </c>
      <c r="B348" s="46" t="s">
        <v>47</v>
      </c>
      <c r="C348" s="46" t="s">
        <v>48</v>
      </c>
      <c r="D348" s="47" t="s">
        <v>49</v>
      </c>
      <c r="E348" s="47" t="s">
        <v>1464</v>
      </c>
      <c r="F348" s="47" t="s">
        <v>2358</v>
      </c>
      <c r="G348" s="130" t="s">
        <v>726</v>
      </c>
      <c r="H348" s="57"/>
      <c r="I348" s="59"/>
      <c r="J348" s="57"/>
      <c r="K348" s="81" t="s">
        <v>2450</v>
      </c>
      <c r="L348" s="47" t="s">
        <v>2451</v>
      </c>
      <c r="M348" s="47" t="s">
        <v>2452</v>
      </c>
      <c r="N348" s="134">
        <v>23.039217</v>
      </c>
      <c r="O348" s="134">
        <v>91.872228</v>
      </c>
      <c r="P348" s="81">
        <v>120</v>
      </c>
      <c r="Q348" s="47"/>
      <c r="R348" s="81"/>
      <c r="S348" s="81"/>
      <c r="T348" s="77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53"/>
      <c r="AH348" s="58"/>
      <c r="AI348" s="59"/>
      <c r="AJ348" s="57"/>
    </row>
    <row x14ac:dyDescent="0.25" r="349" customHeight="1" ht="18">
      <c r="A349" s="45">
        <v>343</v>
      </c>
      <c r="B349" s="46" t="s">
        <v>47</v>
      </c>
      <c r="C349" s="46" t="s">
        <v>48</v>
      </c>
      <c r="D349" s="47" t="s">
        <v>49</v>
      </c>
      <c r="E349" s="47" t="s">
        <v>1464</v>
      </c>
      <c r="F349" s="47" t="s">
        <v>2358</v>
      </c>
      <c r="G349" s="130" t="s">
        <v>726</v>
      </c>
      <c r="H349" s="57"/>
      <c r="I349" s="59"/>
      <c r="J349" s="57"/>
      <c r="K349" s="81" t="s">
        <v>2453</v>
      </c>
      <c r="L349" s="47" t="s">
        <v>2454</v>
      </c>
      <c r="M349" s="47" t="s">
        <v>2455</v>
      </c>
      <c r="N349" s="134">
        <v>23.040805</v>
      </c>
      <c r="O349" s="134">
        <v>91.867353</v>
      </c>
      <c r="P349" s="81">
        <v>144</v>
      </c>
      <c r="Q349" s="47"/>
      <c r="R349" s="81"/>
      <c r="S349" s="81"/>
      <c r="T349" s="77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53"/>
      <c r="AH349" s="58"/>
      <c r="AI349" s="59"/>
      <c r="AJ349" s="57"/>
    </row>
    <row x14ac:dyDescent="0.25" r="350" customHeight="1" ht="18">
      <c r="A350" s="45">
        <v>344</v>
      </c>
      <c r="B350" s="46" t="s">
        <v>47</v>
      </c>
      <c r="C350" s="46" t="s">
        <v>48</v>
      </c>
      <c r="D350" s="47" t="s">
        <v>49</v>
      </c>
      <c r="E350" s="47" t="s">
        <v>1464</v>
      </c>
      <c r="F350" s="47" t="s">
        <v>2358</v>
      </c>
      <c r="G350" s="130" t="s">
        <v>726</v>
      </c>
      <c r="H350" s="57"/>
      <c r="I350" s="59"/>
      <c r="J350" s="57"/>
      <c r="K350" s="81" t="s">
        <v>1641</v>
      </c>
      <c r="L350" s="47" t="s">
        <v>1642</v>
      </c>
      <c r="M350" s="47" t="s">
        <v>2456</v>
      </c>
      <c r="N350" s="134">
        <v>23.042578</v>
      </c>
      <c r="O350" s="134">
        <v>91.865359</v>
      </c>
      <c r="P350" s="81">
        <v>308</v>
      </c>
      <c r="Q350" s="47"/>
      <c r="R350" s="81"/>
      <c r="S350" s="81"/>
      <c r="T350" s="135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53"/>
      <c r="AH350" s="58"/>
      <c r="AI350" s="59"/>
      <c r="AJ350" s="57"/>
    </row>
    <row x14ac:dyDescent="0.25" r="351" customHeight="1" ht="18">
      <c r="A351" s="45">
        <v>345</v>
      </c>
      <c r="B351" s="46" t="s">
        <v>47</v>
      </c>
      <c r="C351" s="46" t="s">
        <v>48</v>
      </c>
      <c r="D351" s="47" t="s">
        <v>49</v>
      </c>
      <c r="E351" s="47" t="s">
        <v>1464</v>
      </c>
      <c r="F351" s="47" t="s">
        <v>2358</v>
      </c>
      <c r="G351" s="130" t="s">
        <v>726</v>
      </c>
      <c r="H351" s="57"/>
      <c r="I351" s="59"/>
      <c r="J351" s="57"/>
      <c r="K351" s="81" t="s">
        <v>2457</v>
      </c>
      <c r="L351" s="47" t="s">
        <v>2458</v>
      </c>
      <c r="M351" s="47" t="s">
        <v>2459</v>
      </c>
      <c r="N351" s="134">
        <v>23.036416</v>
      </c>
      <c r="O351" s="134">
        <v>91.862352</v>
      </c>
      <c r="P351" s="81">
        <v>360</v>
      </c>
      <c r="Q351" s="47"/>
      <c r="R351" s="81"/>
      <c r="S351" s="81"/>
      <c r="T351" s="77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53"/>
      <c r="AH351" s="145"/>
      <c r="AI351" s="146"/>
      <c r="AJ351" s="147"/>
    </row>
    <row x14ac:dyDescent="0.25" r="352" customHeight="1" ht="18">
      <c r="A352" s="45">
        <v>346</v>
      </c>
      <c r="B352" s="46" t="s">
        <v>47</v>
      </c>
      <c r="C352" s="46" t="s">
        <v>48</v>
      </c>
      <c r="D352" s="47" t="s">
        <v>49</v>
      </c>
      <c r="E352" s="47" t="s">
        <v>1464</v>
      </c>
      <c r="F352" s="47" t="s">
        <v>2358</v>
      </c>
      <c r="G352" s="130" t="s">
        <v>726</v>
      </c>
      <c r="H352" s="57"/>
      <c r="I352" s="59"/>
      <c r="J352" s="57"/>
      <c r="K352" s="81" t="s">
        <v>2460</v>
      </c>
      <c r="L352" s="47" t="s">
        <v>2461</v>
      </c>
      <c r="M352" s="47" t="s">
        <v>2462</v>
      </c>
      <c r="N352" s="134">
        <v>23.041917</v>
      </c>
      <c r="O352" s="134">
        <v>91.861153</v>
      </c>
      <c r="P352" s="81">
        <v>292</v>
      </c>
      <c r="Q352" s="47"/>
      <c r="R352" s="81"/>
      <c r="S352" s="81"/>
      <c r="T352" s="77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53"/>
      <c r="AH352" s="145"/>
      <c r="AI352" s="146"/>
      <c r="AJ352" s="147"/>
    </row>
    <row x14ac:dyDescent="0.25" r="353" customHeight="1" ht="18">
      <c r="A353" s="45">
        <v>347</v>
      </c>
      <c r="B353" s="46" t="s">
        <v>47</v>
      </c>
      <c r="C353" s="46" t="s">
        <v>48</v>
      </c>
      <c r="D353" s="47" t="s">
        <v>49</v>
      </c>
      <c r="E353" s="47" t="s">
        <v>1464</v>
      </c>
      <c r="F353" s="47" t="s">
        <v>2358</v>
      </c>
      <c r="G353" s="130" t="s">
        <v>742</v>
      </c>
      <c r="H353" s="131"/>
      <c r="I353" s="59"/>
      <c r="J353" s="57"/>
      <c r="K353" s="81" t="s">
        <v>2463</v>
      </c>
      <c r="L353" s="47" t="s">
        <v>2464</v>
      </c>
      <c r="M353" s="47" t="s">
        <v>2465</v>
      </c>
      <c r="N353" s="134">
        <v>23.042768</v>
      </c>
      <c r="O353" s="134">
        <v>91.873206</v>
      </c>
      <c r="P353" s="81">
        <v>300</v>
      </c>
      <c r="Q353" s="47"/>
      <c r="R353" s="81"/>
      <c r="S353" s="81"/>
      <c r="T353" s="77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53"/>
      <c r="AH353" s="59"/>
      <c r="AI353" s="146"/>
      <c r="AJ353" s="147"/>
    </row>
    <row x14ac:dyDescent="0.25" r="354" customHeight="1" ht="18">
      <c r="A354" s="45">
        <v>348</v>
      </c>
      <c r="B354" s="46" t="s">
        <v>47</v>
      </c>
      <c r="C354" s="46" t="s">
        <v>48</v>
      </c>
      <c r="D354" s="47" t="s">
        <v>49</v>
      </c>
      <c r="E354" s="47" t="s">
        <v>1464</v>
      </c>
      <c r="F354" s="47" t="s">
        <v>2358</v>
      </c>
      <c r="G354" s="130" t="s">
        <v>742</v>
      </c>
      <c r="H354" s="131"/>
      <c r="I354" s="59"/>
      <c r="J354" s="57"/>
      <c r="K354" s="81" t="s">
        <v>2450</v>
      </c>
      <c r="L354" s="47" t="s">
        <v>2451</v>
      </c>
      <c r="M354" s="47" t="s">
        <v>2466</v>
      </c>
      <c r="N354" s="134">
        <v>23.045196</v>
      </c>
      <c r="O354" s="134">
        <v>91.874038</v>
      </c>
      <c r="P354" s="81">
        <v>48</v>
      </c>
      <c r="Q354" s="47"/>
      <c r="R354" s="81"/>
      <c r="S354" s="81"/>
      <c r="T354" s="77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53"/>
      <c r="AH354" s="59"/>
      <c r="AI354" s="146"/>
      <c r="AJ354" s="147"/>
    </row>
    <row x14ac:dyDescent="0.25" r="355" customHeight="1" ht="18">
      <c r="A355" s="45">
        <v>349</v>
      </c>
      <c r="B355" s="46" t="s">
        <v>47</v>
      </c>
      <c r="C355" s="46" t="s">
        <v>48</v>
      </c>
      <c r="D355" s="47" t="s">
        <v>49</v>
      </c>
      <c r="E355" s="47" t="s">
        <v>1464</v>
      </c>
      <c r="F355" s="47" t="s">
        <v>2358</v>
      </c>
      <c r="G355" s="130" t="s">
        <v>742</v>
      </c>
      <c r="H355" s="131"/>
      <c r="I355" s="59"/>
      <c r="J355" s="57"/>
      <c r="K355" s="81" t="s">
        <v>2467</v>
      </c>
      <c r="L355" s="47" t="s">
        <v>2468</v>
      </c>
      <c r="M355" s="47" t="s">
        <v>2469</v>
      </c>
      <c r="N355" s="134">
        <v>23.045827</v>
      </c>
      <c r="O355" s="134">
        <v>91.876059</v>
      </c>
      <c r="P355" s="81">
        <v>380</v>
      </c>
      <c r="Q355" s="47"/>
      <c r="R355" s="81"/>
      <c r="S355" s="81"/>
      <c r="T355" s="77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53"/>
      <c r="AH355" s="59"/>
      <c r="AI355" s="146"/>
      <c r="AJ355" s="147"/>
    </row>
    <row x14ac:dyDescent="0.25" r="356" customHeight="1" ht="18">
      <c r="A356" s="45">
        <v>350</v>
      </c>
      <c r="B356" s="46" t="s">
        <v>47</v>
      </c>
      <c r="C356" s="46" t="s">
        <v>48</v>
      </c>
      <c r="D356" s="47" t="s">
        <v>49</v>
      </c>
      <c r="E356" s="47" t="s">
        <v>1464</v>
      </c>
      <c r="F356" s="47" t="s">
        <v>2358</v>
      </c>
      <c r="G356" s="130" t="s">
        <v>742</v>
      </c>
      <c r="H356" s="131"/>
      <c r="I356" s="59"/>
      <c r="J356" s="57"/>
      <c r="K356" s="81" t="s">
        <v>2470</v>
      </c>
      <c r="L356" s="47" t="s">
        <v>2471</v>
      </c>
      <c r="M356" s="47" t="s">
        <v>2472</v>
      </c>
      <c r="N356" s="134">
        <v>23.044281</v>
      </c>
      <c r="O356" s="134">
        <v>91.872558</v>
      </c>
      <c r="P356" s="81">
        <v>200</v>
      </c>
      <c r="Q356" s="47"/>
      <c r="R356" s="81"/>
      <c r="S356" s="81"/>
      <c r="T356" s="77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53"/>
      <c r="AH356" s="59"/>
      <c r="AI356" s="146"/>
      <c r="AJ356" s="147"/>
    </row>
    <row x14ac:dyDescent="0.25" r="357" customHeight="1" ht="18">
      <c r="A357" s="45">
        <v>351</v>
      </c>
      <c r="B357" s="46" t="s">
        <v>47</v>
      </c>
      <c r="C357" s="46" t="s">
        <v>48</v>
      </c>
      <c r="D357" s="47" t="s">
        <v>49</v>
      </c>
      <c r="E357" s="47" t="s">
        <v>1464</v>
      </c>
      <c r="F357" s="47" t="s">
        <v>2358</v>
      </c>
      <c r="G357" s="130" t="s">
        <v>742</v>
      </c>
      <c r="H357" s="131"/>
      <c r="I357" s="59"/>
      <c r="J357" s="76"/>
      <c r="K357" s="81" t="s">
        <v>2473</v>
      </c>
      <c r="L357" s="47" t="s">
        <v>2474</v>
      </c>
      <c r="M357" s="47" t="s">
        <v>2475</v>
      </c>
      <c r="N357" s="134">
        <v>23.047357</v>
      </c>
      <c r="O357" s="134">
        <v>91.871597</v>
      </c>
      <c r="P357" s="81">
        <v>240</v>
      </c>
      <c r="Q357" s="47"/>
      <c r="R357" s="81"/>
      <c r="S357" s="81"/>
      <c r="T357" s="77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53"/>
      <c r="AH357" s="145"/>
      <c r="AI357" s="146"/>
      <c r="AJ357" s="147"/>
    </row>
    <row x14ac:dyDescent="0.25" r="358" customHeight="1" ht="18">
      <c r="A358" s="45">
        <v>352</v>
      </c>
      <c r="B358" s="46" t="s">
        <v>47</v>
      </c>
      <c r="C358" s="46" t="s">
        <v>48</v>
      </c>
      <c r="D358" s="47" t="s">
        <v>49</v>
      </c>
      <c r="E358" s="47" t="s">
        <v>1464</v>
      </c>
      <c r="F358" s="47" t="s">
        <v>2358</v>
      </c>
      <c r="G358" s="130" t="s">
        <v>742</v>
      </c>
      <c r="H358" s="57"/>
      <c r="I358" s="59"/>
      <c r="J358" s="57"/>
      <c r="K358" s="81" t="s">
        <v>2476</v>
      </c>
      <c r="L358" s="47" t="s">
        <v>2477</v>
      </c>
      <c r="M358" s="47" t="s">
        <v>2478</v>
      </c>
      <c r="N358" s="134">
        <v>23.045111</v>
      </c>
      <c r="O358" s="134">
        <v>91.870213</v>
      </c>
      <c r="P358" s="81">
        <v>180</v>
      </c>
      <c r="Q358" s="47"/>
      <c r="R358" s="81"/>
      <c r="S358" s="81"/>
      <c r="T358" s="77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53"/>
      <c r="AH358" s="145"/>
      <c r="AI358" s="146"/>
      <c r="AJ358" s="147"/>
    </row>
    <row x14ac:dyDescent="0.25" r="359" customHeight="1" ht="18">
      <c r="A359" s="45">
        <v>353</v>
      </c>
      <c r="B359" s="46" t="s">
        <v>47</v>
      </c>
      <c r="C359" s="46" t="s">
        <v>48</v>
      </c>
      <c r="D359" s="47" t="s">
        <v>49</v>
      </c>
      <c r="E359" s="47" t="s">
        <v>1464</v>
      </c>
      <c r="F359" s="47" t="s">
        <v>2358</v>
      </c>
      <c r="G359" s="130" t="s">
        <v>761</v>
      </c>
      <c r="H359" s="57"/>
      <c r="I359" s="59"/>
      <c r="J359" s="57"/>
      <c r="K359" s="81" t="s">
        <v>404</v>
      </c>
      <c r="L359" s="47" t="s">
        <v>1438</v>
      </c>
      <c r="M359" s="47" t="s">
        <v>2479</v>
      </c>
      <c r="N359" s="134">
        <v>23.041921</v>
      </c>
      <c r="O359" s="134">
        <v>91.875263</v>
      </c>
      <c r="P359" s="81">
        <v>1206</v>
      </c>
      <c r="Q359" s="47"/>
      <c r="R359" s="81"/>
      <c r="S359" s="81"/>
      <c r="T359" s="77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53"/>
      <c r="AH359" s="145"/>
      <c r="AI359" s="146"/>
      <c r="AJ359" s="147"/>
    </row>
    <row x14ac:dyDescent="0.25" r="360" customHeight="1" ht="18">
      <c r="A360" s="45">
        <v>354</v>
      </c>
      <c r="B360" s="46" t="s">
        <v>47</v>
      </c>
      <c r="C360" s="46" t="s">
        <v>48</v>
      </c>
      <c r="D360" s="47" t="s">
        <v>49</v>
      </c>
      <c r="E360" s="47" t="s">
        <v>1464</v>
      </c>
      <c r="F360" s="47" t="s">
        <v>2358</v>
      </c>
      <c r="G360" s="130" t="s">
        <v>761</v>
      </c>
      <c r="H360" s="57"/>
      <c r="I360" s="59"/>
      <c r="J360" s="57"/>
      <c r="K360" s="81" t="s">
        <v>2480</v>
      </c>
      <c r="L360" s="47" t="s">
        <v>2481</v>
      </c>
      <c r="M360" s="47" t="s">
        <v>2482</v>
      </c>
      <c r="N360" s="134">
        <v>23.040846</v>
      </c>
      <c r="O360" s="134">
        <v>91.87693</v>
      </c>
      <c r="P360" s="81">
        <v>222</v>
      </c>
      <c r="Q360" s="47"/>
      <c r="R360" s="81"/>
      <c r="S360" s="81"/>
      <c r="T360" s="77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53"/>
      <c r="AH360" s="145"/>
      <c r="AI360" s="146"/>
      <c r="AJ360" s="147"/>
    </row>
    <row x14ac:dyDescent="0.25" r="361" customHeight="1" ht="18">
      <c r="A361" s="45">
        <v>355</v>
      </c>
      <c r="B361" s="46" t="s">
        <v>47</v>
      </c>
      <c r="C361" s="46" t="s">
        <v>48</v>
      </c>
      <c r="D361" s="47" t="s">
        <v>49</v>
      </c>
      <c r="E361" s="47" t="s">
        <v>1464</v>
      </c>
      <c r="F361" s="47" t="s">
        <v>2358</v>
      </c>
      <c r="G361" s="130" t="s">
        <v>761</v>
      </c>
      <c r="H361" s="57"/>
      <c r="I361" s="59"/>
      <c r="J361" s="57"/>
      <c r="K361" s="81" t="s">
        <v>2483</v>
      </c>
      <c r="L361" s="47" t="s">
        <v>2484</v>
      </c>
      <c r="M361" s="47" t="s">
        <v>2485</v>
      </c>
      <c r="N361" s="134">
        <v>23.039392</v>
      </c>
      <c r="O361" s="134">
        <v>91.875154</v>
      </c>
      <c r="P361" s="81">
        <v>128</v>
      </c>
      <c r="Q361" s="47"/>
      <c r="R361" s="81"/>
      <c r="S361" s="81"/>
      <c r="T361" s="77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53"/>
      <c r="AH361" s="145"/>
      <c r="AI361" s="146"/>
      <c r="AJ361" s="147"/>
    </row>
    <row x14ac:dyDescent="0.25" r="362" customHeight="1" ht="18">
      <c r="A362" s="45">
        <v>356</v>
      </c>
      <c r="B362" s="46" t="s">
        <v>47</v>
      </c>
      <c r="C362" s="46" t="s">
        <v>48</v>
      </c>
      <c r="D362" s="47" t="s">
        <v>49</v>
      </c>
      <c r="E362" s="47" t="s">
        <v>1464</v>
      </c>
      <c r="F362" s="47" t="s">
        <v>2358</v>
      </c>
      <c r="G362" s="130" t="s">
        <v>761</v>
      </c>
      <c r="H362" s="131"/>
      <c r="I362" s="132"/>
      <c r="J362" s="57"/>
      <c r="K362" s="81" t="s">
        <v>2486</v>
      </c>
      <c r="L362" s="47" t="s">
        <v>2487</v>
      </c>
      <c r="M362" s="47" t="s">
        <v>2488</v>
      </c>
      <c r="N362" s="134">
        <v>23.039995</v>
      </c>
      <c r="O362" s="134">
        <v>91.880426</v>
      </c>
      <c r="P362" s="81">
        <v>474</v>
      </c>
      <c r="Q362" s="47"/>
      <c r="R362" s="81"/>
      <c r="S362" s="81"/>
      <c r="T362" s="77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53"/>
      <c r="AH362" s="145"/>
      <c r="AI362" s="146"/>
      <c r="AJ362" s="147"/>
    </row>
    <row x14ac:dyDescent="0.25" r="363" customHeight="1" ht="18">
      <c r="A363" s="45">
        <v>357</v>
      </c>
      <c r="B363" s="46" t="s">
        <v>47</v>
      </c>
      <c r="C363" s="46" t="s">
        <v>48</v>
      </c>
      <c r="D363" s="47" t="s">
        <v>49</v>
      </c>
      <c r="E363" s="47" t="s">
        <v>1464</v>
      </c>
      <c r="F363" s="47" t="s">
        <v>2358</v>
      </c>
      <c r="G363" s="130" t="s">
        <v>761</v>
      </c>
      <c r="H363" s="57"/>
      <c r="I363" s="132"/>
      <c r="J363" s="57"/>
      <c r="K363" s="81" t="s">
        <v>599</v>
      </c>
      <c r="L363" s="47" t="s">
        <v>2489</v>
      </c>
      <c r="M363" s="47" t="s">
        <v>2490</v>
      </c>
      <c r="N363" s="134">
        <v>23.037872</v>
      </c>
      <c r="O363" s="134">
        <v>91.878322</v>
      </c>
      <c r="P363" s="81">
        <v>486</v>
      </c>
      <c r="Q363" s="47"/>
      <c r="R363" s="81"/>
      <c r="S363" s="81"/>
      <c r="T363" s="77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148"/>
      <c r="AE363" s="148"/>
      <c r="AF363" s="148"/>
      <c r="AG363" s="53"/>
      <c r="AH363" s="145"/>
      <c r="AI363" s="146"/>
      <c r="AJ363" s="147"/>
    </row>
    <row x14ac:dyDescent="0.25" r="364" customHeight="1" ht="18">
      <c r="A364" s="45">
        <v>358</v>
      </c>
      <c r="B364" s="46" t="s">
        <v>47</v>
      </c>
      <c r="C364" s="46" t="s">
        <v>48</v>
      </c>
      <c r="D364" s="47" t="s">
        <v>49</v>
      </c>
      <c r="E364" s="47" t="s">
        <v>1464</v>
      </c>
      <c r="F364" s="47" t="s">
        <v>2358</v>
      </c>
      <c r="G364" s="130" t="s">
        <v>781</v>
      </c>
      <c r="H364" s="133"/>
      <c r="I364" s="149"/>
      <c r="J364" s="133"/>
      <c r="K364" s="81" t="s">
        <v>2491</v>
      </c>
      <c r="L364" s="47" t="s">
        <v>2492</v>
      </c>
      <c r="M364" s="47" t="s">
        <v>2493</v>
      </c>
      <c r="N364" s="134">
        <v>23.036345</v>
      </c>
      <c r="O364" s="134">
        <v>91.870989</v>
      </c>
      <c r="P364" s="81">
        <v>440</v>
      </c>
      <c r="Q364" s="47"/>
      <c r="R364" s="81"/>
      <c r="S364" s="81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58"/>
      <c r="AI364" s="146"/>
      <c r="AJ364" s="147"/>
    </row>
    <row x14ac:dyDescent="0.25" r="365" customHeight="1" ht="18">
      <c r="A365" s="45">
        <v>359</v>
      </c>
      <c r="B365" s="46" t="s">
        <v>47</v>
      </c>
      <c r="C365" s="46" t="s">
        <v>48</v>
      </c>
      <c r="D365" s="47" t="s">
        <v>49</v>
      </c>
      <c r="E365" s="47" t="s">
        <v>1464</v>
      </c>
      <c r="F365" s="47" t="s">
        <v>2358</v>
      </c>
      <c r="G365" s="130" t="s">
        <v>781</v>
      </c>
      <c r="H365" s="133"/>
      <c r="I365" s="149"/>
      <c r="J365" s="133"/>
      <c r="K365" s="81" t="s">
        <v>2247</v>
      </c>
      <c r="L365" s="47" t="s">
        <v>2248</v>
      </c>
      <c r="M365" s="47" t="s">
        <v>2494</v>
      </c>
      <c r="N365" s="134">
        <v>23.034772</v>
      </c>
      <c r="O365" s="134">
        <v>91.869146</v>
      </c>
      <c r="P365" s="81">
        <v>520</v>
      </c>
      <c r="Q365" s="47"/>
      <c r="R365" s="81"/>
      <c r="S365" s="81"/>
      <c r="T365" s="77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77"/>
      <c r="AH365" s="145"/>
      <c r="AI365" s="146"/>
      <c r="AJ365" s="147"/>
    </row>
    <row x14ac:dyDescent="0.25" r="366" customHeight="1" ht="18">
      <c r="A366" s="45">
        <v>360</v>
      </c>
      <c r="B366" s="46" t="s">
        <v>47</v>
      </c>
      <c r="C366" s="46" t="s">
        <v>48</v>
      </c>
      <c r="D366" s="47" t="s">
        <v>49</v>
      </c>
      <c r="E366" s="47" t="s">
        <v>1464</v>
      </c>
      <c r="F366" s="47" t="s">
        <v>2358</v>
      </c>
      <c r="G366" s="130" t="s">
        <v>781</v>
      </c>
      <c r="H366" s="133"/>
      <c r="I366" s="149"/>
      <c r="J366" s="133"/>
      <c r="K366" s="81" t="s">
        <v>2495</v>
      </c>
      <c r="L366" s="47" t="s">
        <v>2496</v>
      </c>
      <c r="M366" s="47" t="s">
        <v>2497</v>
      </c>
      <c r="N366" s="134">
        <v>23.037175</v>
      </c>
      <c r="O366" s="134">
        <v>91.875384</v>
      </c>
      <c r="P366" s="81">
        <v>660</v>
      </c>
      <c r="Q366" s="47"/>
      <c r="R366" s="81"/>
      <c r="S366" s="81"/>
      <c r="T366" s="77"/>
      <c r="U366" s="150"/>
      <c r="V366" s="150"/>
      <c r="W366" s="150"/>
      <c r="X366" s="150"/>
      <c r="Y366" s="150"/>
      <c r="Z366" s="150"/>
      <c r="AA366" s="150"/>
      <c r="AB366" s="150"/>
      <c r="AC366" s="150"/>
      <c r="AD366" s="150"/>
      <c r="AE366" s="150"/>
      <c r="AF366" s="150"/>
      <c r="AG366" s="77"/>
      <c r="AH366" s="145"/>
      <c r="AI366" s="146"/>
      <c r="AJ366" s="147"/>
    </row>
    <row x14ac:dyDescent="0.25" r="367" customHeight="1" ht="18">
      <c r="A367" s="45">
        <v>361</v>
      </c>
      <c r="B367" s="46" t="s">
        <v>47</v>
      </c>
      <c r="C367" s="46" t="s">
        <v>48</v>
      </c>
      <c r="D367" s="47" t="s">
        <v>49</v>
      </c>
      <c r="E367" s="47" t="s">
        <v>1464</v>
      </c>
      <c r="F367" s="47" t="s">
        <v>2358</v>
      </c>
      <c r="G367" s="130" t="s">
        <v>781</v>
      </c>
      <c r="H367" s="133"/>
      <c r="I367" s="149"/>
      <c r="J367" s="133"/>
      <c r="K367" s="81" t="s">
        <v>1027</v>
      </c>
      <c r="L367" s="47" t="s">
        <v>1028</v>
      </c>
      <c r="M367" s="47" t="s">
        <v>2498</v>
      </c>
      <c r="N367" s="134">
        <v>23.035185</v>
      </c>
      <c r="O367" s="134">
        <v>91.876504</v>
      </c>
      <c r="P367" s="81">
        <v>260</v>
      </c>
      <c r="Q367" s="47"/>
      <c r="R367" s="81"/>
      <c r="S367" s="81"/>
      <c r="T367" s="77"/>
      <c r="U367" s="150"/>
      <c r="V367" s="150"/>
      <c r="W367" s="150"/>
      <c r="X367" s="150"/>
      <c r="Y367" s="150"/>
      <c r="Z367" s="150"/>
      <c r="AA367" s="150"/>
      <c r="AB367" s="150"/>
      <c r="AC367" s="150"/>
      <c r="AD367" s="150"/>
      <c r="AE367" s="150"/>
      <c r="AF367" s="150"/>
      <c r="AG367" s="77"/>
      <c r="AH367" s="145"/>
      <c r="AI367" s="146"/>
      <c r="AJ367" s="147"/>
    </row>
    <row x14ac:dyDescent="0.25" r="368" customHeight="1" ht="18">
      <c r="A368" s="45">
        <v>362</v>
      </c>
      <c r="B368" s="46" t="s">
        <v>47</v>
      </c>
      <c r="C368" s="46" t="s">
        <v>48</v>
      </c>
      <c r="D368" s="47" t="s">
        <v>49</v>
      </c>
      <c r="E368" s="47" t="s">
        <v>1464</v>
      </c>
      <c r="F368" s="47" t="s">
        <v>2358</v>
      </c>
      <c r="G368" s="130" t="s">
        <v>781</v>
      </c>
      <c r="H368" s="133"/>
      <c r="I368" s="149"/>
      <c r="J368" s="133"/>
      <c r="K368" s="81" t="s">
        <v>364</v>
      </c>
      <c r="L368" s="47" t="s">
        <v>1084</v>
      </c>
      <c r="M368" s="47" t="s">
        <v>2499</v>
      </c>
      <c r="N368" s="134">
        <v>23.031408</v>
      </c>
      <c r="O368" s="134">
        <v>91.873539</v>
      </c>
      <c r="P368" s="81">
        <v>720</v>
      </c>
      <c r="Q368" s="47"/>
      <c r="R368" s="81"/>
      <c r="S368" s="81"/>
      <c r="T368" s="77"/>
      <c r="U368" s="150"/>
      <c r="V368" s="150"/>
      <c r="W368" s="150"/>
      <c r="X368" s="150"/>
      <c r="Y368" s="150"/>
      <c r="Z368" s="150"/>
      <c r="AA368" s="150"/>
      <c r="AB368" s="150"/>
      <c r="AC368" s="150"/>
      <c r="AD368" s="150"/>
      <c r="AE368" s="150"/>
      <c r="AF368" s="150"/>
      <c r="AG368" s="77"/>
      <c r="AH368" s="145"/>
      <c r="AI368" s="146"/>
      <c r="AJ368" s="147"/>
    </row>
    <row x14ac:dyDescent="0.25" r="369" customHeight="1" ht="18">
      <c r="A369" s="45">
        <v>363</v>
      </c>
      <c r="B369" s="46" t="s">
        <v>47</v>
      </c>
      <c r="C369" s="46" t="s">
        <v>48</v>
      </c>
      <c r="D369" s="47" t="s">
        <v>49</v>
      </c>
      <c r="E369" s="47" t="s">
        <v>1464</v>
      </c>
      <c r="F369" s="47" t="s">
        <v>2358</v>
      </c>
      <c r="G369" s="130" t="s">
        <v>781</v>
      </c>
      <c r="H369" s="133"/>
      <c r="I369" s="149"/>
      <c r="J369" s="133"/>
      <c r="K369" s="81" t="s">
        <v>2500</v>
      </c>
      <c r="L369" s="47" t="s">
        <v>2501</v>
      </c>
      <c r="M369" s="47" t="s">
        <v>2502</v>
      </c>
      <c r="N369" s="134">
        <v>23.031979</v>
      </c>
      <c r="O369" s="134">
        <v>91.86729</v>
      </c>
      <c r="P369" s="81">
        <v>640</v>
      </c>
      <c r="Q369" s="47"/>
      <c r="R369" s="81"/>
      <c r="S369" s="81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133"/>
      <c r="AH369" s="145"/>
      <c r="AI369" s="146"/>
      <c r="AJ369" s="147"/>
    </row>
    <row x14ac:dyDescent="0.25" r="370" customHeight="1" ht="18">
      <c r="A370" s="45">
        <v>364</v>
      </c>
      <c r="B370" s="46" t="s">
        <v>47</v>
      </c>
      <c r="C370" s="46" t="s">
        <v>48</v>
      </c>
      <c r="D370" s="47" t="s">
        <v>49</v>
      </c>
      <c r="E370" s="47" t="s">
        <v>1464</v>
      </c>
      <c r="F370" s="47" t="s">
        <v>2358</v>
      </c>
      <c r="G370" s="130" t="s">
        <v>781</v>
      </c>
      <c r="H370" s="133"/>
      <c r="I370" s="149"/>
      <c r="J370" s="133"/>
      <c r="K370" s="81" t="s">
        <v>2503</v>
      </c>
      <c r="L370" s="47" t="s">
        <v>2504</v>
      </c>
      <c r="M370" s="47" t="s">
        <v>2505</v>
      </c>
      <c r="N370" s="134">
        <v>23.033878</v>
      </c>
      <c r="O370" s="134">
        <v>91.87088</v>
      </c>
      <c r="P370" s="81"/>
      <c r="Q370" s="81"/>
      <c r="R370" s="81"/>
      <c r="S370" s="81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133"/>
      <c r="AH370" s="145"/>
      <c r="AI370" s="146"/>
      <c r="AJ370" s="147"/>
    </row>
    <row x14ac:dyDescent="0.25" r="371" customHeight="1" ht="18">
      <c r="A371" s="45">
        <v>365</v>
      </c>
      <c r="B371" s="46" t="s">
        <v>47</v>
      </c>
      <c r="C371" s="46" t="s">
        <v>48</v>
      </c>
      <c r="D371" s="47" t="s">
        <v>49</v>
      </c>
      <c r="E371" s="47" t="s">
        <v>1464</v>
      </c>
      <c r="F371" s="47" t="s">
        <v>2358</v>
      </c>
      <c r="G371" s="130" t="s">
        <v>797</v>
      </c>
      <c r="H371" s="133"/>
      <c r="I371" s="149"/>
      <c r="J371" s="133"/>
      <c r="K371" s="81" t="s">
        <v>2506</v>
      </c>
      <c r="L371" s="47" t="s">
        <v>2507</v>
      </c>
      <c r="M371" s="47" t="s">
        <v>2508</v>
      </c>
      <c r="N371" s="134">
        <v>23.02817</v>
      </c>
      <c r="O371" s="134">
        <v>91.875145</v>
      </c>
      <c r="P371" s="81">
        <v>880</v>
      </c>
      <c r="Q371" s="47"/>
      <c r="R371" s="81"/>
      <c r="S371" s="81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133"/>
      <c r="AH371" s="145"/>
      <c r="AI371" s="146"/>
      <c r="AJ371" s="147"/>
    </row>
    <row x14ac:dyDescent="0.25" r="372" customHeight="1" ht="18">
      <c r="A372" s="45">
        <v>366</v>
      </c>
      <c r="B372" s="46" t="s">
        <v>47</v>
      </c>
      <c r="C372" s="46" t="s">
        <v>48</v>
      </c>
      <c r="D372" s="47" t="s">
        <v>49</v>
      </c>
      <c r="E372" s="47" t="s">
        <v>1464</v>
      </c>
      <c r="F372" s="47" t="s">
        <v>2358</v>
      </c>
      <c r="G372" s="130" t="s">
        <v>797</v>
      </c>
      <c r="H372" s="133"/>
      <c r="I372" s="149"/>
      <c r="J372" s="133"/>
      <c r="K372" s="81" t="s">
        <v>2509</v>
      </c>
      <c r="L372" s="47" t="s">
        <v>2510</v>
      </c>
      <c r="M372" s="47" t="s">
        <v>2511</v>
      </c>
      <c r="N372" s="134">
        <v>23.024853</v>
      </c>
      <c r="O372" s="134">
        <v>91.869239</v>
      </c>
      <c r="P372" s="81">
        <v>840</v>
      </c>
      <c r="Q372" s="47"/>
      <c r="R372" s="81"/>
      <c r="S372" s="81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133"/>
      <c r="AH372" s="145"/>
      <c r="AI372" s="146"/>
      <c r="AJ372" s="147"/>
    </row>
    <row x14ac:dyDescent="0.25" r="373" customHeight="1" ht="18">
      <c r="A373" s="45">
        <v>367</v>
      </c>
      <c r="B373" s="46" t="s">
        <v>47</v>
      </c>
      <c r="C373" s="46" t="s">
        <v>48</v>
      </c>
      <c r="D373" s="47" t="s">
        <v>49</v>
      </c>
      <c r="E373" s="47" t="s">
        <v>1464</v>
      </c>
      <c r="F373" s="47" t="s">
        <v>2358</v>
      </c>
      <c r="G373" s="130" t="s">
        <v>797</v>
      </c>
      <c r="H373" s="133"/>
      <c r="I373" s="149"/>
      <c r="J373" s="133"/>
      <c r="K373" s="81" t="s">
        <v>416</v>
      </c>
      <c r="L373" s="47" t="s">
        <v>2512</v>
      </c>
      <c r="M373" s="47" t="s">
        <v>2513</v>
      </c>
      <c r="N373" s="134">
        <v>23.029637</v>
      </c>
      <c r="O373" s="134">
        <v>91.879857</v>
      </c>
      <c r="P373" s="81">
        <v>400</v>
      </c>
      <c r="Q373" s="47"/>
      <c r="R373" s="81"/>
      <c r="S373" s="81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133"/>
      <c r="AH373" s="145"/>
      <c r="AI373" s="146"/>
      <c r="AJ373" s="147"/>
    </row>
    <row x14ac:dyDescent="0.25" r="374" customHeight="1" ht="18">
      <c r="A374" s="45">
        <v>368</v>
      </c>
      <c r="B374" s="46" t="s">
        <v>47</v>
      </c>
      <c r="C374" s="46" t="s">
        <v>48</v>
      </c>
      <c r="D374" s="47" t="s">
        <v>49</v>
      </c>
      <c r="E374" s="47" t="s">
        <v>1464</v>
      </c>
      <c r="F374" s="47" t="s">
        <v>2358</v>
      </c>
      <c r="G374" s="130" t="s">
        <v>797</v>
      </c>
      <c r="H374" s="133"/>
      <c r="I374" s="149"/>
      <c r="J374" s="133"/>
      <c r="K374" s="81" t="s">
        <v>1408</v>
      </c>
      <c r="L374" s="47" t="s">
        <v>1409</v>
      </c>
      <c r="M374" s="47" t="s">
        <v>2514</v>
      </c>
      <c r="N374" s="134">
        <v>23.027512</v>
      </c>
      <c r="O374" s="134">
        <v>91.886617</v>
      </c>
      <c r="P374" s="81">
        <v>4192</v>
      </c>
      <c r="Q374" s="47"/>
      <c r="R374" s="81"/>
      <c r="S374" s="81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133"/>
      <c r="AH374" s="145"/>
      <c r="AI374" s="146"/>
      <c r="AJ374" s="147"/>
    </row>
    <row x14ac:dyDescent="0.25" r="375" customHeight="1" ht="18">
      <c r="A375" s="45">
        <v>369</v>
      </c>
      <c r="B375" s="46" t="s">
        <v>47</v>
      </c>
      <c r="C375" s="46" t="s">
        <v>48</v>
      </c>
      <c r="D375" s="47" t="s">
        <v>49</v>
      </c>
      <c r="E375" s="47" t="s">
        <v>1464</v>
      </c>
      <c r="F375" s="47" t="s">
        <v>2358</v>
      </c>
      <c r="G375" s="130" t="s">
        <v>797</v>
      </c>
      <c r="H375" s="133"/>
      <c r="I375" s="149"/>
      <c r="J375" s="133"/>
      <c r="K375" s="81" t="s">
        <v>2515</v>
      </c>
      <c r="L375" s="47" t="s">
        <v>2516</v>
      </c>
      <c r="M375" s="47" t="s">
        <v>2517</v>
      </c>
      <c r="N375" s="134">
        <v>23.023491</v>
      </c>
      <c r="O375" s="134">
        <v>91.881373</v>
      </c>
      <c r="P375" s="81">
        <v>320</v>
      </c>
      <c r="Q375" s="47"/>
      <c r="R375" s="81"/>
      <c r="S375" s="81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133"/>
      <c r="AH375" s="145"/>
      <c r="AI375" s="146"/>
      <c r="AJ375" s="147"/>
    </row>
    <row x14ac:dyDescent="0.25" r="376" customHeight="1" ht="18">
      <c r="A376" s="45">
        <v>370</v>
      </c>
      <c r="B376" s="46" t="s">
        <v>47</v>
      </c>
      <c r="C376" s="46" t="s">
        <v>48</v>
      </c>
      <c r="D376" s="47" t="s">
        <v>49</v>
      </c>
      <c r="E376" s="47" t="s">
        <v>1464</v>
      </c>
      <c r="F376" s="47" t="s">
        <v>2358</v>
      </c>
      <c r="G376" s="130" t="s">
        <v>797</v>
      </c>
      <c r="H376" s="133"/>
      <c r="I376" s="149"/>
      <c r="J376" s="133"/>
      <c r="K376" s="81" t="s">
        <v>2518</v>
      </c>
      <c r="L376" s="47" t="s">
        <v>2519</v>
      </c>
      <c r="M376" s="47" t="s">
        <v>2520</v>
      </c>
      <c r="N376" s="134">
        <v>23.015398</v>
      </c>
      <c r="O376" s="134">
        <v>91.877926</v>
      </c>
      <c r="P376" s="81">
        <v>720</v>
      </c>
      <c r="Q376" s="47"/>
      <c r="R376" s="81"/>
      <c r="S376" s="81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133"/>
      <c r="AH376" s="145"/>
      <c r="AI376" s="146"/>
      <c r="AJ376" s="147"/>
    </row>
    <row x14ac:dyDescent="0.25" r="377" customHeight="1" ht="18">
      <c r="A377" s="45">
        <v>371</v>
      </c>
      <c r="B377" s="46" t="s">
        <v>47</v>
      </c>
      <c r="C377" s="46" t="s">
        <v>48</v>
      </c>
      <c r="D377" s="47" t="s">
        <v>49</v>
      </c>
      <c r="E377" s="47" t="s">
        <v>1464</v>
      </c>
      <c r="F377" s="47" t="s">
        <v>2521</v>
      </c>
      <c r="G377" s="130" t="s">
        <v>677</v>
      </c>
      <c r="H377" s="133"/>
      <c r="I377" s="149"/>
      <c r="J377" s="133"/>
      <c r="K377" s="81" t="s">
        <v>652</v>
      </c>
      <c r="L377" s="47" t="s">
        <v>2522</v>
      </c>
      <c r="M377" s="47" t="s">
        <v>2523</v>
      </c>
      <c r="N377" s="134">
        <v>23.27345</v>
      </c>
      <c r="O377" s="134">
        <v>91.780214</v>
      </c>
      <c r="P377" s="81">
        <v>700</v>
      </c>
      <c r="Q377" s="47"/>
      <c r="R377" s="81"/>
      <c r="S377" s="81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133"/>
      <c r="AH377" s="145"/>
      <c r="AI377" s="146"/>
      <c r="AJ377" s="147"/>
    </row>
    <row x14ac:dyDescent="0.25" r="378" customHeight="1" ht="18">
      <c r="A378" s="45">
        <v>372</v>
      </c>
      <c r="B378" s="46" t="s">
        <v>47</v>
      </c>
      <c r="C378" s="46" t="s">
        <v>48</v>
      </c>
      <c r="D378" s="47" t="s">
        <v>49</v>
      </c>
      <c r="E378" s="47" t="s">
        <v>1464</v>
      </c>
      <c r="F378" s="47" t="s">
        <v>2521</v>
      </c>
      <c r="G378" s="130" t="s">
        <v>677</v>
      </c>
      <c r="H378" s="133"/>
      <c r="I378" s="149"/>
      <c r="J378" s="133"/>
      <c r="K378" s="81" t="s">
        <v>2524</v>
      </c>
      <c r="L378" s="47" t="s">
        <v>2525</v>
      </c>
      <c r="M378" s="47" t="s">
        <v>2526</v>
      </c>
      <c r="N378" s="134">
        <v>23.276454</v>
      </c>
      <c r="O378" s="134">
        <v>91.785044</v>
      </c>
      <c r="P378" s="81">
        <v>200</v>
      </c>
      <c r="Q378" s="47"/>
      <c r="R378" s="81"/>
      <c r="S378" s="81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133"/>
      <c r="AH378" s="145"/>
      <c r="AI378" s="146"/>
      <c r="AJ378" s="147"/>
    </row>
    <row x14ac:dyDescent="0.25" r="379" customHeight="1" ht="18">
      <c r="A379" s="45">
        <v>373</v>
      </c>
      <c r="B379" s="46" t="s">
        <v>47</v>
      </c>
      <c r="C379" s="46" t="s">
        <v>48</v>
      </c>
      <c r="D379" s="47" t="s">
        <v>49</v>
      </c>
      <c r="E379" s="47" t="s">
        <v>1464</v>
      </c>
      <c r="F379" s="47" t="s">
        <v>2521</v>
      </c>
      <c r="G379" s="130" t="s">
        <v>677</v>
      </c>
      <c r="H379" s="133"/>
      <c r="I379" s="149"/>
      <c r="J379" s="133"/>
      <c r="K379" s="81" t="s">
        <v>2527</v>
      </c>
      <c r="L379" s="47" t="s">
        <v>2528</v>
      </c>
      <c r="M379" s="47" t="s">
        <v>2529</v>
      </c>
      <c r="N379" s="134">
        <v>23.280936</v>
      </c>
      <c r="O379" s="134">
        <v>91.791289</v>
      </c>
      <c r="P379" s="81">
        <v>1900</v>
      </c>
      <c r="Q379" s="47"/>
      <c r="R379" s="81"/>
      <c r="S379" s="81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133"/>
      <c r="AH379" s="145"/>
      <c r="AI379" s="146"/>
      <c r="AJ379" s="147"/>
    </row>
    <row x14ac:dyDescent="0.25" r="380" customHeight="1" ht="18">
      <c r="A380" s="45">
        <v>374</v>
      </c>
      <c r="B380" s="46" t="s">
        <v>47</v>
      </c>
      <c r="C380" s="46" t="s">
        <v>48</v>
      </c>
      <c r="D380" s="47" t="s">
        <v>49</v>
      </c>
      <c r="E380" s="47" t="s">
        <v>1464</v>
      </c>
      <c r="F380" s="47" t="s">
        <v>2521</v>
      </c>
      <c r="G380" s="130" t="s">
        <v>677</v>
      </c>
      <c r="H380" s="133"/>
      <c r="I380" s="149"/>
      <c r="J380" s="133"/>
      <c r="K380" s="81" t="s">
        <v>2530</v>
      </c>
      <c r="L380" s="47" t="s">
        <v>2531</v>
      </c>
      <c r="M380" s="47" t="s">
        <v>2532</v>
      </c>
      <c r="N380" s="134">
        <v>23.273555</v>
      </c>
      <c r="O380" s="134">
        <v>91.785044</v>
      </c>
      <c r="P380" s="81">
        <v>650</v>
      </c>
      <c r="Q380" s="47"/>
      <c r="R380" s="81"/>
      <c r="S380" s="81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133"/>
      <c r="AH380" s="145"/>
      <c r="AI380" s="146"/>
      <c r="AJ380" s="147"/>
    </row>
    <row x14ac:dyDescent="0.25" r="381" customHeight="1" ht="18">
      <c r="A381" s="45">
        <v>375</v>
      </c>
      <c r="B381" s="46" t="s">
        <v>47</v>
      </c>
      <c r="C381" s="46" t="s">
        <v>48</v>
      </c>
      <c r="D381" s="47" t="s">
        <v>49</v>
      </c>
      <c r="E381" s="47" t="s">
        <v>1464</v>
      </c>
      <c r="F381" s="47" t="s">
        <v>2521</v>
      </c>
      <c r="G381" s="130" t="s">
        <v>677</v>
      </c>
      <c r="H381" s="133"/>
      <c r="I381" s="149"/>
      <c r="J381" s="133"/>
      <c r="K381" s="81" t="s">
        <v>2533</v>
      </c>
      <c r="L381" s="47" t="s">
        <v>2534</v>
      </c>
      <c r="M381" s="47" t="s">
        <v>2535</v>
      </c>
      <c r="N381" s="134">
        <v>23.270702</v>
      </c>
      <c r="O381" s="134">
        <v>91.788586</v>
      </c>
      <c r="P381" s="81">
        <v>1950</v>
      </c>
      <c r="Q381" s="47"/>
      <c r="R381" s="81"/>
      <c r="S381" s="81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133"/>
      <c r="AH381" s="145"/>
      <c r="AI381" s="146"/>
      <c r="AJ381" s="147"/>
    </row>
    <row x14ac:dyDescent="0.25" r="382" customHeight="1" ht="18">
      <c r="A382" s="45">
        <v>376</v>
      </c>
      <c r="B382" s="46" t="s">
        <v>47</v>
      </c>
      <c r="C382" s="46" t="s">
        <v>48</v>
      </c>
      <c r="D382" s="47" t="s">
        <v>49</v>
      </c>
      <c r="E382" s="47" t="s">
        <v>1464</v>
      </c>
      <c r="F382" s="47" t="s">
        <v>2521</v>
      </c>
      <c r="G382" s="130" t="s">
        <v>677</v>
      </c>
      <c r="H382" s="133"/>
      <c r="I382" s="149"/>
      <c r="J382" s="133"/>
      <c r="K382" s="81" t="s">
        <v>2536</v>
      </c>
      <c r="L382" s="47" t="s">
        <v>2537</v>
      </c>
      <c r="M382" s="47" t="s">
        <v>2538</v>
      </c>
      <c r="N382" s="134">
        <v>23.268362</v>
      </c>
      <c r="O382" s="134">
        <v>91.794835</v>
      </c>
      <c r="P382" s="81">
        <v>350</v>
      </c>
      <c r="Q382" s="47"/>
      <c r="R382" s="81"/>
      <c r="S382" s="81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133"/>
      <c r="AH382" s="145"/>
      <c r="AI382" s="146"/>
      <c r="AJ382" s="147"/>
    </row>
    <row x14ac:dyDescent="0.25" r="383" customHeight="1" ht="18">
      <c r="A383" s="45">
        <v>377</v>
      </c>
      <c r="B383" s="46" t="s">
        <v>47</v>
      </c>
      <c r="C383" s="46" t="s">
        <v>48</v>
      </c>
      <c r="D383" s="47" t="s">
        <v>49</v>
      </c>
      <c r="E383" s="47" t="s">
        <v>1464</v>
      </c>
      <c r="F383" s="47" t="s">
        <v>2521</v>
      </c>
      <c r="G383" s="130" t="s">
        <v>684</v>
      </c>
      <c r="H383" s="133"/>
      <c r="I383" s="149"/>
      <c r="J383" s="133"/>
      <c r="K383" s="81" t="s">
        <v>2539</v>
      </c>
      <c r="L383" s="47" t="s">
        <v>2540</v>
      </c>
      <c r="M383" s="47" t="s">
        <v>2541</v>
      </c>
      <c r="N383" s="134">
        <v>23.279421</v>
      </c>
      <c r="O383" s="134">
        <v>91.796221</v>
      </c>
      <c r="P383" s="81">
        <v>530</v>
      </c>
      <c r="Q383" s="47"/>
      <c r="R383" s="81"/>
      <c r="S383" s="81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133"/>
      <c r="AH383" s="145"/>
      <c r="AI383" s="146"/>
      <c r="AJ383" s="147"/>
    </row>
    <row x14ac:dyDescent="0.25" r="384" customHeight="1" ht="18">
      <c r="A384" s="45">
        <v>378</v>
      </c>
      <c r="B384" s="46" t="s">
        <v>47</v>
      </c>
      <c r="C384" s="46" t="s">
        <v>48</v>
      </c>
      <c r="D384" s="47" t="s">
        <v>49</v>
      </c>
      <c r="E384" s="47" t="s">
        <v>1464</v>
      </c>
      <c r="F384" s="47" t="s">
        <v>2521</v>
      </c>
      <c r="G384" s="130" t="s">
        <v>684</v>
      </c>
      <c r="H384" s="133"/>
      <c r="I384" s="149"/>
      <c r="J384" s="133"/>
      <c r="K384" s="81" t="s">
        <v>601</v>
      </c>
      <c r="L384" s="47" t="s">
        <v>1602</v>
      </c>
      <c r="M384" s="47" t="s">
        <v>2542</v>
      </c>
      <c r="N384" s="134">
        <v>23.278916</v>
      </c>
      <c r="O384" s="134">
        <v>91.802868</v>
      </c>
      <c r="P384" s="81">
        <v>650</v>
      </c>
      <c r="Q384" s="47"/>
      <c r="R384" s="81"/>
      <c r="S384" s="81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133"/>
      <c r="AH384" s="145"/>
      <c r="AI384" s="146"/>
      <c r="AJ384" s="147"/>
    </row>
    <row x14ac:dyDescent="0.25" r="385" customHeight="1" ht="18">
      <c r="A385" s="45">
        <v>379</v>
      </c>
      <c r="B385" s="46" t="s">
        <v>47</v>
      </c>
      <c r="C385" s="46" t="s">
        <v>48</v>
      </c>
      <c r="D385" s="47" t="s">
        <v>49</v>
      </c>
      <c r="E385" s="47" t="s">
        <v>1464</v>
      </c>
      <c r="F385" s="47" t="s">
        <v>2521</v>
      </c>
      <c r="G385" s="130" t="s">
        <v>684</v>
      </c>
      <c r="H385" s="133"/>
      <c r="I385" s="149"/>
      <c r="J385" s="133"/>
      <c r="K385" s="81" t="s">
        <v>2543</v>
      </c>
      <c r="L385" s="47" t="s">
        <v>2544</v>
      </c>
      <c r="M385" s="47" t="s">
        <v>2545</v>
      </c>
      <c r="N385" s="134">
        <v>23.278277</v>
      </c>
      <c r="O385" s="134">
        <v>91.813832</v>
      </c>
      <c r="P385" s="81">
        <v>750</v>
      </c>
      <c r="Q385" s="47"/>
      <c r="R385" s="81"/>
      <c r="S385" s="81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133"/>
      <c r="AH385" s="145"/>
      <c r="AI385" s="146"/>
      <c r="AJ385" s="147"/>
    </row>
    <row x14ac:dyDescent="0.25" r="386" customHeight="1" ht="18">
      <c r="A386" s="45">
        <v>380</v>
      </c>
      <c r="B386" s="46" t="s">
        <v>47</v>
      </c>
      <c r="C386" s="46" t="s">
        <v>48</v>
      </c>
      <c r="D386" s="47" t="s">
        <v>49</v>
      </c>
      <c r="E386" s="47" t="s">
        <v>1464</v>
      </c>
      <c r="F386" s="47" t="s">
        <v>2521</v>
      </c>
      <c r="G386" s="130" t="s">
        <v>684</v>
      </c>
      <c r="H386" s="133"/>
      <c r="I386" s="149"/>
      <c r="J386" s="133"/>
      <c r="K386" s="81" t="s">
        <v>2546</v>
      </c>
      <c r="L386" s="47" t="s">
        <v>2547</v>
      </c>
      <c r="M386" s="47" t="s">
        <v>2548</v>
      </c>
      <c r="N386" s="134">
        <v>23.272884</v>
      </c>
      <c r="O386" s="134">
        <v>91.800249</v>
      </c>
      <c r="P386" s="81">
        <v>1500</v>
      </c>
      <c r="Q386" s="47"/>
      <c r="R386" s="81"/>
      <c r="S386" s="81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133"/>
      <c r="AH386" s="145"/>
      <c r="AI386" s="146"/>
      <c r="AJ386" s="147"/>
    </row>
    <row x14ac:dyDescent="0.25" r="387" customHeight="1" ht="18">
      <c r="A387" s="45">
        <v>381</v>
      </c>
      <c r="B387" s="46" t="s">
        <v>47</v>
      </c>
      <c r="C387" s="46" t="s">
        <v>48</v>
      </c>
      <c r="D387" s="47" t="s">
        <v>49</v>
      </c>
      <c r="E387" s="47" t="s">
        <v>1464</v>
      </c>
      <c r="F387" s="47" t="s">
        <v>2521</v>
      </c>
      <c r="G387" s="130" t="s">
        <v>684</v>
      </c>
      <c r="H387" s="133"/>
      <c r="I387" s="149"/>
      <c r="J387" s="133"/>
      <c r="K387" s="81" t="s">
        <v>643</v>
      </c>
      <c r="L387" s="47" t="s">
        <v>2549</v>
      </c>
      <c r="M387" s="47" t="s">
        <v>2550</v>
      </c>
      <c r="N387" s="134">
        <v>23.267053</v>
      </c>
      <c r="O387" s="134">
        <v>91.804348</v>
      </c>
      <c r="P387" s="81">
        <v>850</v>
      </c>
      <c r="Q387" s="47"/>
      <c r="R387" s="81"/>
      <c r="S387" s="81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133"/>
      <c r="AH387" s="145"/>
      <c r="AI387" s="146"/>
      <c r="AJ387" s="147"/>
    </row>
    <row x14ac:dyDescent="0.25" r="388" customHeight="1" ht="18">
      <c r="A388" s="45">
        <v>382</v>
      </c>
      <c r="B388" s="46" t="s">
        <v>47</v>
      </c>
      <c r="C388" s="46" t="s">
        <v>48</v>
      </c>
      <c r="D388" s="47" t="s">
        <v>49</v>
      </c>
      <c r="E388" s="47" t="s">
        <v>1464</v>
      </c>
      <c r="F388" s="47" t="s">
        <v>2521</v>
      </c>
      <c r="G388" s="130" t="s">
        <v>684</v>
      </c>
      <c r="H388" s="133"/>
      <c r="I388" s="149"/>
      <c r="J388" s="133"/>
      <c r="K388" s="81" t="s">
        <v>599</v>
      </c>
      <c r="L388" s="47" t="s">
        <v>2489</v>
      </c>
      <c r="M388" s="47" t="s">
        <v>2551</v>
      </c>
      <c r="N388" s="134">
        <v>23.262323</v>
      </c>
      <c r="O388" s="134">
        <v>91.800407</v>
      </c>
      <c r="P388" s="81">
        <v>300</v>
      </c>
      <c r="Q388" s="47"/>
      <c r="R388" s="81"/>
      <c r="S388" s="81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133"/>
      <c r="AH388" s="145"/>
      <c r="AI388" s="146"/>
      <c r="AJ388" s="147"/>
    </row>
    <row x14ac:dyDescent="0.25" r="389" customHeight="1" ht="18">
      <c r="A389" s="45">
        <v>383</v>
      </c>
      <c r="B389" s="46" t="s">
        <v>47</v>
      </c>
      <c r="C389" s="46" t="s">
        <v>48</v>
      </c>
      <c r="D389" s="47" t="s">
        <v>49</v>
      </c>
      <c r="E389" s="47" t="s">
        <v>1464</v>
      </c>
      <c r="F389" s="47" t="s">
        <v>2521</v>
      </c>
      <c r="G389" s="130" t="s">
        <v>697</v>
      </c>
      <c r="H389" s="133"/>
      <c r="I389" s="149"/>
      <c r="J389" s="133"/>
      <c r="K389" s="81" t="s">
        <v>2552</v>
      </c>
      <c r="L389" s="47" t="s">
        <v>2553</v>
      </c>
      <c r="M389" s="47" t="s">
        <v>2554</v>
      </c>
      <c r="N389" s="134">
        <v>23.258947</v>
      </c>
      <c r="O389" s="134">
        <v>91.808622</v>
      </c>
      <c r="P389" s="81">
        <v>600</v>
      </c>
      <c r="Q389" s="47"/>
      <c r="R389" s="81"/>
      <c r="S389" s="81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133"/>
      <c r="AH389" s="145"/>
      <c r="AI389" s="146"/>
      <c r="AJ389" s="147"/>
    </row>
    <row x14ac:dyDescent="0.25" r="390" customHeight="1" ht="18">
      <c r="A390" s="45">
        <v>384</v>
      </c>
      <c r="B390" s="46" t="s">
        <v>47</v>
      </c>
      <c r="C390" s="46" t="s">
        <v>48</v>
      </c>
      <c r="D390" s="47" t="s">
        <v>49</v>
      </c>
      <c r="E390" s="47" t="s">
        <v>1464</v>
      </c>
      <c r="F390" s="47" t="s">
        <v>2521</v>
      </c>
      <c r="G390" s="130" t="s">
        <v>697</v>
      </c>
      <c r="H390" s="133"/>
      <c r="I390" s="149"/>
      <c r="J390" s="133"/>
      <c r="K390" s="81" t="s">
        <v>2555</v>
      </c>
      <c r="L390" s="47" t="s">
        <v>2556</v>
      </c>
      <c r="M390" s="47" t="s">
        <v>2557</v>
      </c>
      <c r="N390" s="134">
        <v>23.26285</v>
      </c>
      <c r="O390" s="134">
        <v>91.810003</v>
      </c>
      <c r="P390" s="81">
        <v>360</v>
      </c>
      <c r="Q390" s="47"/>
      <c r="R390" s="81"/>
      <c r="S390" s="81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133"/>
      <c r="AH390" s="145"/>
      <c r="AI390" s="146"/>
      <c r="AJ390" s="147"/>
    </row>
    <row x14ac:dyDescent="0.25" r="391" customHeight="1" ht="18">
      <c r="A391" s="45">
        <v>385</v>
      </c>
      <c r="B391" s="46" t="s">
        <v>47</v>
      </c>
      <c r="C391" s="46" t="s">
        <v>48</v>
      </c>
      <c r="D391" s="47" t="s">
        <v>49</v>
      </c>
      <c r="E391" s="47" t="s">
        <v>1464</v>
      </c>
      <c r="F391" s="47" t="s">
        <v>2521</v>
      </c>
      <c r="G391" s="130" t="s">
        <v>697</v>
      </c>
      <c r="H391" s="133"/>
      <c r="I391" s="149"/>
      <c r="J391" s="133"/>
      <c r="K391" s="81" t="s">
        <v>599</v>
      </c>
      <c r="L391" s="47" t="s">
        <v>2489</v>
      </c>
      <c r="M391" s="47" t="s">
        <v>2558</v>
      </c>
      <c r="N391" s="134">
        <v>23.261002</v>
      </c>
      <c r="O391" s="134">
        <v>91.815561</v>
      </c>
      <c r="P391" s="81">
        <v>240</v>
      </c>
      <c r="Q391" s="47"/>
      <c r="R391" s="81"/>
      <c r="S391" s="81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133"/>
      <c r="AH391" s="145"/>
      <c r="AI391" s="146"/>
      <c r="AJ391" s="147"/>
    </row>
    <row x14ac:dyDescent="0.25" r="392" customHeight="1" ht="18">
      <c r="A392" s="45">
        <v>386</v>
      </c>
      <c r="B392" s="46" t="s">
        <v>47</v>
      </c>
      <c r="C392" s="46" t="s">
        <v>48</v>
      </c>
      <c r="D392" s="47" t="s">
        <v>49</v>
      </c>
      <c r="E392" s="47" t="s">
        <v>1464</v>
      </c>
      <c r="F392" s="47" t="s">
        <v>2521</v>
      </c>
      <c r="G392" s="130" t="s">
        <v>697</v>
      </c>
      <c r="H392" s="133"/>
      <c r="I392" s="149"/>
      <c r="J392" s="133"/>
      <c r="K392" s="81" t="s">
        <v>1718</v>
      </c>
      <c r="L392" s="47" t="s">
        <v>1719</v>
      </c>
      <c r="M392" s="47" t="s">
        <v>2559</v>
      </c>
      <c r="N392" s="134">
        <v>23.25876</v>
      </c>
      <c r="O392" s="134">
        <v>91.813562</v>
      </c>
      <c r="P392" s="81">
        <v>360</v>
      </c>
      <c r="Q392" s="47"/>
      <c r="R392" s="81"/>
      <c r="S392" s="81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133"/>
      <c r="AH392" s="145"/>
      <c r="AI392" s="146"/>
      <c r="AJ392" s="147"/>
    </row>
    <row x14ac:dyDescent="0.25" r="393" customHeight="1" ht="18">
      <c r="A393" s="45">
        <v>387</v>
      </c>
      <c r="B393" s="46" t="s">
        <v>47</v>
      </c>
      <c r="C393" s="46" t="s">
        <v>48</v>
      </c>
      <c r="D393" s="47" t="s">
        <v>49</v>
      </c>
      <c r="E393" s="47" t="s">
        <v>1464</v>
      </c>
      <c r="F393" s="47" t="s">
        <v>2521</v>
      </c>
      <c r="G393" s="130" t="s">
        <v>707</v>
      </c>
      <c r="H393" s="133"/>
      <c r="I393" s="149"/>
      <c r="J393" s="133"/>
      <c r="K393" s="81" t="s">
        <v>2560</v>
      </c>
      <c r="L393" s="47" t="s">
        <v>2561</v>
      </c>
      <c r="M393" s="47" t="s">
        <v>2562</v>
      </c>
      <c r="N393" s="134">
        <v>23.246812</v>
      </c>
      <c r="O393" s="134">
        <v>91.808903</v>
      </c>
      <c r="P393" s="81">
        <v>630</v>
      </c>
      <c r="Q393" s="47"/>
      <c r="R393" s="81"/>
      <c r="S393" s="81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133"/>
      <c r="AH393" s="145"/>
      <c r="AI393" s="146"/>
      <c r="AJ393" s="147"/>
    </row>
    <row x14ac:dyDescent="0.25" r="394" customHeight="1" ht="18">
      <c r="A394" s="45">
        <v>388</v>
      </c>
      <c r="B394" s="46" t="s">
        <v>47</v>
      </c>
      <c r="C394" s="46" t="s">
        <v>48</v>
      </c>
      <c r="D394" s="47" t="s">
        <v>49</v>
      </c>
      <c r="E394" s="47" t="s">
        <v>1464</v>
      </c>
      <c r="F394" s="47" t="s">
        <v>2521</v>
      </c>
      <c r="G394" s="130" t="s">
        <v>707</v>
      </c>
      <c r="H394" s="133"/>
      <c r="I394" s="149"/>
      <c r="J394" s="133"/>
      <c r="K394" s="81" t="s">
        <v>2563</v>
      </c>
      <c r="L394" s="47" t="s">
        <v>2564</v>
      </c>
      <c r="M394" s="47" t="s">
        <v>2565</v>
      </c>
      <c r="N394" s="134">
        <v>23.249013</v>
      </c>
      <c r="O394" s="134">
        <v>91.812882</v>
      </c>
      <c r="P394" s="81">
        <v>400</v>
      </c>
      <c r="Q394" s="47"/>
      <c r="R394" s="81"/>
      <c r="S394" s="81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133"/>
      <c r="AH394" s="145"/>
      <c r="AI394" s="146"/>
      <c r="AJ394" s="147"/>
    </row>
    <row x14ac:dyDescent="0.25" r="395" customHeight="1" ht="18">
      <c r="A395" s="45">
        <v>389</v>
      </c>
      <c r="B395" s="46" t="s">
        <v>47</v>
      </c>
      <c r="C395" s="46" t="s">
        <v>48</v>
      </c>
      <c r="D395" s="47" t="s">
        <v>49</v>
      </c>
      <c r="E395" s="47" t="s">
        <v>1464</v>
      </c>
      <c r="F395" s="47" t="s">
        <v>2521</v>
      </c>
      <c r="G395" s="130" t="s">
        <v>707</v>
      </c>
      <c r="H395" s="133"/>
      <c r="I395" s="149"/>
      <c r="J395" s="133"/>
      <c r="K395" s="81" t="s">
        <v>2566</v>
      </c>
      <c r="L395" s="47" t="s">
        <v>2567</v>
      </c>
      <c r="M395" s="47" t="s">
        <v>2568</v>
      </c>
      <c r="N395" s="134">
        <v>23.249306</v>
      </c>
      <c r="O395" s="134">
        <v>91.808497</v>
      </c>
      <c r="P395" s="81">
        <v>585</v>
      </c>
      <c r="Q395" s="47"/>
      <c r="R395" s="81"/>
      <c r="S395" s="81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133"/>
      <c r="AH395" s="145"/>
      <c r="AI395" s="146"/>
      <c r="AJ395" s="147"/>
    </row>
    <row x14ac:dyDescent="0.25" r="396" customHeight="1" ht="18">
      <c r="A396" s="45">
        <v>390</v>
      </c>
      <c r="B396" s="46" t="s">
        <v>47</v>
      </c>
      <c r="C396" s="46" t="s">
        <v>48</v>
      </c>
      <c r="D396" s="47" t="s">
        <v>49</v>
      </c>
      <c r="E396" s="47" t="s">
        <v>1464</v>
      </c>
      <c r="F396" s="47" t="s">
        <v>2521</v>
      </c>
      <c r="G396" s="130" t="s">
        <v>707</v>
      </c>
      <c r="H396" s="133"/>
      <c r="I396" s="149"/>
      <c r="J396" s="133"/>
      <c r="K396" s="81" t="s">
        <v>2569</v>
      </c>
      <c r="L396" s="47" t="s">
        <v>2570</v>
      </c>
      <c r="M396" s="47" t="s">
        <v>2571</v>
      </c>
      <c r="N396" s="134">
        <v>23.25145</v>
      </c>
      <c r="O396" s="134">
        <v>91.810936</v>
      </c>
      <c r="P396" s="81">
        <v>180</v>
      </c>
      <c r="Q396" s="47"/>
      <c r="R396" s="81"/>
      <c r="S396" s="81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133"/>
      <c r="AH396" s="145"/>
      <c r="AI396" s="146"/>
      <c r="AJ396" s="147"/>
    </row>
    <row x14ac:dyDescent="0.25" r="397" customHeight="1" ht="18">
      <c r="A397" s="45">
        <v>391</v>
      </c>
      <c r="B397" s="46" t="s">
        <v>47</v>
      </c>
      <c r="C397" s="46" t="s">
        <v>48</v>
      </c>
      <c r="D397" s="47" t="s">
        <v>49</v>
      </c>
      <c r="E397" s="47" t="s">
        <v>1464</v>
      </c>
      <c r="F397" s="47" t="s">
        <v>2521</v>
      </c>
      <c r="G397" s="130" t="s">
        <v>707</v>
      </c>
      <c r="H397" s="133"/>
      <c r="I397" s="149"/>
      <c r="J397" s="133"/>
      <c r="K397" s="81" t="s">
        <v>2572</v>
      </c>
      <c r="L397" s="47" t="s">
        <v>2573</v>
      </c>
      <c r="M397" s="47" t="s">
        <v>2574</v>
      </c>
      <c r="N397" s="134">
        <v>23.253497</v>
      </c>
      <c r="O397" s="134">
        <v>91.81288</v>
      </c>
      <c r="P397" s="81">
        <v>765</v>
      </c>
      <c r="Q397" s="47"/>
      <c r="R397" s="81"/>
      <c r="S397" s="81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133"/>
      <c r="AH397" s="145"/>
      <c r="AI397" s="146"/>
      <c r="AJ397" s="147"/>
    </row>
    <row x14ac:dyDescent="0.25" r="398" customHeight="1" ht="18">
      <c r="A398" s="45">
        <v>392</v>
      </c>
      <c r="B398" s="46" t="s">
        <v>47</v>
      </c>
      <c r="C398" s="46" t="s">
        <v>48</v>
      </c>
      <c r="D398" s="47" t="s">
        <v>49</v>
      </c>
      <c r="E398" s="47" t="s">
        <v>1464</v>
      </c>
      <c r="F398" s="47" t="s">
        <v>2521</v>
      </c>
      <c r="G398" s="130" t="s">
        <v>707</v>
      </c>
      <c r="H398" s="133"/>
      <c r="I398" s="149"/>
      <c r="J398" s="133"/>
      <c r="K398" s="81" t="s">
        <v>2575</v>
      </c>
      <c r="L398" s="47" t="s">
        <v>2576</v>
      </c>
      <c r="M398" s="47" t="s">
        <v>2577</v>
      </c>
      <c r="N398" s="134">
        <v>23.255932</v>
      </c>
      <c r="O398" s="134">
        <v>91.818132</v>
      </c>
      <c r="P398" s="81">
        <v>380</v>
      </c>
      <c r="Q398" s="47"/>
      <c r="R398" s="81"/>
      <c r="S398" s="81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133"/>
      <c r="AH398" s="145"/>
      <c r="AI398" s="146"/>
      <c r="AJ398" s="147"/>
    </row>
    <row x14ac:dyDescent="0.25" r="399" customHeight="1" ht="18">
      <c r="A399" s="45">
        <v>393</v>
      </c>
      <c r="B399" s="46" t="s">
        <v>47</v>
      </c>
      <c r="C399" s="46" t="s">
        <v>48</v>
      </c>
      <c r="D399" s="47" t="s">
        <v>49</v>
      </c>
      <c r="E399" s="47" t="s">
        <v>1464</v>
      </c>
      <c r="F399" s="47" t="s">
        <v>2521</v>
      </c>
      <c r="G399" s="130" t="s">
        <v>726</v>
      </c>
      <c r="H399" s="133"/>
      <c r="I399" s="149"/>
      <c r="J399" s="133"/>
      <c r="K399" s="81" t="s">
        <v>2578</v>
      </c>
      <c r="L399" s="47" t="s">
        <v>2579</v>
      </c>
      <c r="M399" s="47" t="s">
        <v>2580</v>
      </c>
      <c r="N399" s="134">
        <v>23.239084</v>
      </c>
      <c r="O399" s="134">
        <v>91.800408</v>
      </c>
      <c r="P399" s="81">
        <v>440</v>
      </c>
      <c r="Q399" s="47"/>
      <c r="R399" s="81"/>
      <c r="S399" s="81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133"/>
      <c r="AH399" s="145"/>
      <c r="AI399" s="146"/>
      <c r="AJ399" s="147"/>
    </row>
    <row x14ac:dyDescent="0.25" r="400" customHeight="1" ht="18">
      <c r="A400" s="45">
        <v>394</v>
      </c>
      <c r="B400" s="46" t="s">
        <v>47</v>
      </c>
      <c r="C400" s="46" t="s">
        <v>48</v>
      </c>
      <c r="D400" s="47" t="s">
        <v>49</v>
      </c>
      <c r="E400" s="47" t="s">
        <v>1464</v>
      </c>
      <c r="F400" s="47" t="s">
        <v>2521</v>
      </c>
      <c r="G400" s="130" t="s">
        <v>726</v>
      </c>
      <c r="H400" s="133"/>
      <c r="I400" s="149"/>
      <c r="J400" s="133"/>
      <c r="K400" s="81" t="s">
        <v>2581</v>
      </c>
      <c r="L400" s="47" t="s">
        <v>2582</v>
      </c>
      <c r="M400" s="47" t="s">
        <v>2583</v>
      </c>
      <c r="N400" s="134">
        <v>23.241381</v>
      </c>
      <c r="O400" s="134">
        <v>91.803859</v>
      </c>
      <c r="P400" s="81">
        <v>580</v>
      </c>
      <c r="Q400" s="47"/>
      <c r="R400" s="81"/>
      <c r="S400" s="81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133"/>
      <c r="AH400" s="145"/>
      <c r="AI400" s="146"/>
      <c r="AJ400" s="147"/>
    </row>
    <row x14ac:dyDescent="0.25" r="401" customHeight="1" ht="18">
      <c r="A401" s="45">
        <v>395</v>
      </c>
      <c r="B401" s="46" t="s">
        <v>47</v>
      </c>
      <c r="C401" s="46" t="s">
        <v>48</v>
      </c>
      <c r="D401" s="47" t="s">
        <v>49</v>
      </c>
      <c r="E401" s="47" t="s">
        <v>1464</v>
      </c>
      <c r="F401" s="47" t="s">
        <v>2521</v>
      </c>
      <c r="G401" s="130" t="s">
        <v>726</v>
      </c>
      <c r="H401" s="133"/>
      <c r="I401" s="149"/>
      <c r="J401" s="133"/>
      <c r="K401" s="81" t="s">
        <v>2584</v>
      </c>
      <c r="L401" s="47" t="s">
        <v>2585</v>
      </c>
      <c r="M401" s="47" t="s">
        <v>2586</v>
      </c>
      <c r="N401" s="134">
        <v>23.237747</v>
      </c>
      <c r="O401" s="134">
        <v>91.809333</v>
      </c>
      <c r="P401" s="81">
        <v>760</v>
      </c>
      <c r="Q401" s="47"/>
      <c r="R401" s="81"/>
      <c r="S401" s="81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133"/>
      <c r="AH401" s="145"/>
      <c r="AI401" s="146"/>
      <c r="AJ401" s="147"/>
    </row>
    <row x14ac:dyDescent="0.25" r="402" customHeight="1" ht="18">
      <c r="A402" s="45">
        <v>396</v>
      </c>
      <c r="B402" s="46" t="s">
        <v>47</v>
      </c>
      <c r="C402" s="46" t="s">
        <v>48</v>
      </c>
      <c r="D402" s="47" t="s">
        <v>49</v>
      </c>
      <c r="E402" s="47" t="s">
        <v>1464</v>
      </c>
      <c r="F402" s="47" t="s">
        <v>2521</v>
      </c>
      <c r="G402" s="130" t="s">
        <v>726</v>
      </c>
      <c r="H402" s="133"/>
      <c r="I402" s="149"/>
      <c r="J402" s="133"/>
      <c r="K402" s="81" t="s">
        <v>2587</v>
      </c>
      <c r="L402" s="47" t="s">
        <v>2588</v>
      </c>
      <c r="M402" s="47" t="s">
        <v>2589</v>
      </c>
      <c r="N402" s="134">
        <v>23.243433</v>
      </c>
      <c r="O402" s="134">
        <v>91.810336</v>
      </c>
      <c r="P402" s="81">
        <v>328</v>
      </c>
      <c r="Q402" s="47"/>
      <c r="R402" s="81"/>
      <c r="S402" s="81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133"/>
      <c r="AH402" s="145"/>
      <c r="AI402" s="146"/>
      <c r="AJ402" s="147"/>
    </row>
    <row x14ac:dyDescent="0.25" r="403" customHeight="1" ht="18">
      <c r="A403" s="45">
        <v>397</v>
      </c>
      <c r="B403" s="46" t="s">
        <v>47</v>
      </c>
      <c r="C403" s="46" t="s">
        <v>48</v>
      </c>
      <c r="D403" s="47" t="s">
        <v>49</v>
      </c>
      <c r="E403" s="47" t="s">
        <v>1464</v>
      </c>
      <c r="F403" s="47" t="s">
        <v>2521</v>
      </c>
      <c r="G403" s="130" t="s">
        <v>726</v>
      </c>
      <c r="H403" s="133"/>
      <c r="I403" s="149"/>
      <c r="J403" s="133"/>
      <c r="K403" s="81" t="s">
        <v>446</v>
      </c>
      <c r="L403" s="47" t="s">
        <v>2590</v>
      </c>
      <c r="M403" s="47" t="s">
        <v>2591</v>
      </c>
      <c r="N403" s="134">
        <v>23.240746</v>
      </c>
      <c r="O403" s="134">
        <v>91.818285</v>
      </c>
      <c r="P403" s="81">
        <v>408</v>
      </c>
      <c r="Q403" s="47"/>
      <c r="R403" s="81"/>
      <c r="S403" s="81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133"/>
      <c r="AH403" s="145"/>
      <c r="AI403" s="146"/>
      <c r="AJ403" s="147"/>
    </row>
    <row x14ac:dyDescent="0.25" r="404" customHeight="1" ht="18">
      <c r="A404" s="45">
        <v>398</v>
      </c>
      <c r="B404" s="46" t="s">
        <v>47</v>
      </c>
      <c r="C404" s="46" t="s">
        <v>48</v>
      </c>
      <c r="D404" s="47" t="s">
        <v>49</v>
      </c>
      <c r="E404" s="47" t="s">
        <v>1464</v>
      </c>
      <c r="F404" s="47" t="s">
        <v>2521</v>
      </c>
      <c r="G404" s="130" t="s">
        <v>726</v>
      </c>
      <c r="H404" s="133"/>
      <c r="I404" s="149"/>
      <c r="J404" s="133"/>
      <c r="K404" s="81" t="s">
        <v>1213</v>
      </c>
      <c r="L404" s="47" t="s">
        <v>2592</v>
      </c>
      <c r="M404" s="47" t="s">
        <v>2593</v>
      </c>
      <c r="N404" s="134">
        <v>23.238699</v>
      </c>
      <c r="O404" s="134">
        <v>91.793024</v>
      </c>
      <c r="P404" s="81">
        <v>280</v>
      </c>
      <c r="Q404" s="47"/>
      <c r="R404" s="81"/>
      <c r="S404" s="81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133"/>
      <c r="AH404" s="145"/>
      <c r="AI404" s="146"/>
      <c r="AJ404" s="147"/>
    </row>
    <row x14ac:dyDescent="0.25" r="405" customHeight="1" ht="18">
      <c r="A405" s="45">
        <v>399</v>
      </c>
      <c r="B405" s="46" t="s">
        <v>47</v>
      </c>
      <c r="C405" s="46" t="s">
        <v>48</v>
      </c>
      <c r="D405" s="47" t="s">
        <v>49</v>
      </c>
      <c r="E405" s="47" t="s">
        <v>1464</v>
      </c>
      <c r="F405" s="47" t="s">
        <v>2521</v>
      </c>
      <c r="G405" s="130" t="s">
        <v>726</v>
      </c>
      <c r="H405" s="133"/>
      <c r="I405" s="149"/>
      <c r="J405" s="133"/>
      <c r="K405" s="81" t="s">
        <v>2594</v>
      </c>
      <c r="L405" s="47" t="s">
        <v>2595</v>
      </c>
      <c r="M405" s="47" t="s">
        <v>2596</v>
      </c>
      <c r="N405" s="134">
        <v>23.243197</v>
      </c>
      <c r="O405" s="134">
        <v>91.799748</v>
      </c>
      <c r="P405" s="81">
        <v>520</v>
      </c>
      <c r="Q405" s="47"/>
      <c r="R405" s="81"/>
      <c r="S405" s="81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133"/>
      <c r="AH405" s="145"/>
      <c r="AI405" s="146"/>
      <c r="AJ405" s="147"/>
    </row>
    <row x14ac:dyDescent="0.25" r="406" customHeight="1" ht="18">
      <c r="A406" s="45">
        <v>400</v>
      </c>
      <c r="B406" s="46" t="s">
        <v>47</v>
      </c>
      <c r="C406" s="46" t="s">
        <v>48</v>
      </c>
      <c r="D406" s="47" t="s">
        <v>49</v>
      </c>
      <c r="E406" s="47" t="s">
        <v>1464</v>
      </c>
      <c r="F406" s="47" t="s">
        <v>2521</v>
      </c>
      <c r="G406" s="130" t="s">
        <v>726</v>
      </c>
      <c r="H406" s="133"/>
      <c r="I406" s="149"/>
      <c r="J406" s="133"/>
      <c r="K406" s="81" t="s">
        <v>2597</v>
      </c>
      <c r="L406" s="47" t="s">
        <v>2598</v>
      </c>
      <c r="M406" s="47" t="s">
        <v>2599</v>
      </c>
      <c r="N406" s="134">
        <v>23.237117</v>
      </c>
      <c r="O406" s="134">
        <v>91.81062</v>
      </c>
      <c r="P406" s="81">
        <v>35</v>
      </c>
      <c r="Q406" s="47"/>
      <c r="R406" s="81"/>
      <c r="S406" s="81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133"/>
      <c r="AH406" s="145"/>
      <c r="AI406" s="146"/>
      <c r="AJ406" s="147"/>
    </row>
    <row x14ac:dyDescent="0.25" r="407" customHeight="1" ht="18">
      <c r="A407" s="45">
        <v>401</v>
      </c>
      <c r="B407" s="46" t="s">
        <v>47</v>
      </c>
      <c r="C407" s="46" t="s">
        <v>48</v>
      </c>
      <c r="D407" s="47" t="s">
        <v>49</v>
      </c>
      <c r="E407" s="47" t="s">
        <v>1464</v>
      </c>
      <c r="F407" s="47" t="s">
        <v>2521</v>
      </c>
      <c r="G407" s="130" t="s">
        <v>742</v>
      </c>
      <c r="H407" s="133"/>
      <c r="I407" s="149"/>
      <c r="J407" s="133"/>
      <c r="K407" s="81" t="s">
        <v>2600</v>
      </c>
      <c r="L407" s="47" t="s">
        <v>2601</v>
      </c>
      <c r="M407" s="47" t="s">
        <v>2602</v>
      </c>
      <c r="N407" s="134">
        <v>23.236162</v>
      </c>
      <c r="O407" s="134">
        <v>91.796086</v>
      </c>
      <c r="P407" s="81">
        <v>775</v>
      </c>
      <c r="Q407" s="47"/>
      <c r="R407" s="81"/>
      <c r="S407" s="81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133"/>
      <c r="AH407" s="145"/>
      <c r="AI407" s="146"/>
      <c r="AJ407" s="147"/>
    </row>
    <row x14ac:dyDescent="0.25" r="408" customHeight="1" ht="18">
      <c r="A408" s="45">
        <v>402</v>
      </c>
      <c r="B408" s="46" t="s">
        <v>47</v>
      </c>
      <c r="C408" s="46" t="s">
        <v>48</v>
      </c>
      <c r="D408" s="47" t="s">
        <v>49</v>
      </c>
      <c r="E408" s="47" t="s">
        <v>1464</v>
      </c>
      <c r="F408" s="47" t="s">
        <v>2521</v>
      </c>
      <c r="G408" s="130" t="s">
        <v>742</v>
      </c>
      <c r="H408" s="133"/>
      <c r="I408" s="149"/>
      <c r="J408" s="133"/>
      <c r="K408" s="81" t="s">
        <v>2603</v>
      </c>
      <c r="L408" s="47" t="s">
        <v>2604</v>
      </c>
      <c r="M408" s="47" t="s">
        <v>2605</v>
      </c>
      <c r="N408" s="134">
        <v>23.252339</v>
      </c>
      <c r="O408" s="134">
        <v>91.798917</v>
      </c>
      <c r="P408" s="81">
        <v>1630</v>
      </c>
      <c r="Q408" s="47"/>
      <c r="R408" s="81"/>
      <c r="S408" s="81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133"/>
      <c r="AH408" s="145"/>
      <c r="AI408" s="146"/>
      <c r="AJ408" s="147"/>
    </row>
    <row x14ac:dyDescent="0.25" r="409" customHeight="1" ht="18">
      <c r="A409" s="45">
        <v>403</v>
      </c>
      <c r="B409" s="46" t="s">
        <v>47</v>
      </c>
      <c r="C409" s="46" t="s">
        <v>48</v>
      </c>
      <c r="D409" s="47" t="s">
        <v>49</v>
      </c>
      <c r="E409" s="47" t="s">
        <v>1464</v>
      </c>
      <c r="F409" s="47" t="s">
        <v>2521</v>
      </c>
      <c r="G409" s="130" t="s">
        <v>742</v>
      </c>
      <c r="H409" s="133"/>
      <c r="I409" s="149"/>
      <c r="J409" s="133"/>
      <c r="K409" s="81" t="s">
        <v>2606</v>
      </c>
      <c r="L409" s="47" t="s">
        <v>2607</v>
      </c>
      <c r="M409" s="47" t="s">
        <v>2608</v>
      </c>
      <c r="N409" s="134">
        <v>23.244185</v>
      </c>
      <c r="O409" s="134">
        <v>91.789917</v>
      </c>
      <c r="P409" s="81">
        <v>1020</v>
      </c>
      <c r="Q409" s="47"/>
      <c r="R409" s="81"/>
      <c r="S409" s="81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133"/>
      <c r="AH409" s="145"/>
      <c r="AI409" s="146"/>
      <c r="AJ409" s="147"/>
    </row>
    <row x14ac:dyDescent="0.25" r="410" customHeight="1" ht="18">
      <c r="A410" s="45">
        <v>404</v>
      </c>
      <c r="B410" s="46" t="s">
        <v>47</v>
      </c>
      <c r="C410" s="46" t="s">
        <v>48</v>
      </c>
      <c r="D410" s="47" t="s">
        <v>49</v>
      </c>
      <c r="E410" s="47" t="s">
        <v>1464</v>
      </c>
      <c r="F410" s="47" t="s">
        <v>2521</v>
      </c>
      <c r="G410" s="130" t="s">
        <v>742</v>
      </c>
      <c r="H410" s="133"/>
      <c r="I410" s="149"/>
      <c r="J410" s="133"/>
      <c r="K410" s="81" t="s">
        <v>2609</v>
      </c>
      <c r="L410" s="47" t="s">
        <v>2610</v>
      </c>
      <c r="M410" s="47" t="s">
        <v>2611</v>
      </c>
      <c r="N410" s="134">
        <v>23.25082</v>
      </c>
      <c r="O410" s="134">
        <v>91.782907</v>
      </c>
      <c r="P410" s="81">
        <v>517</v>
      </c>
      <c r="Q410" s="47"/>
      <c r="R410" s="81"/>
      <c r="S410" s="81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133"/>
      <c r="AH410" s="145"/>
      <c r="AI410" s="146"/>
      <c r="AJ410" s="147"/>
    </row>
    <row x14ac:dyDescent="0.25" r="411" customHeight="1" ht="18">
      <c r="A411" s="45">
        <v>405</v>
      </c>
      <c r="B411" s="46" t="s">
        <v>47</v>
      </c>
      <c r="C411" s="46" t="s">
        <v>48</v>
      </c>
      <c r="D411" s="47" t="s">
        <v>49</v>
      </c>
      <c r="E411" s="47" t="s">
        <v>1464</v>
      </c>
      <c r="F411" s="47" t="s">
        <v>2521</v>
      </c>
      <c r="G411" s="130" t="s">
        <v>742</v>
      </c>
      <c r="H411" s="133"/>
      <c r="I411" s="149"/>
      <c r="J411" s="133"/>
      <c r="K411" s="81" t="s">
        <v>2612</v>
      </c>
      <c r="L411" s="47" t="s">
        <v>2613</v>
      </c>
      <c r="M411" s="47" t="s">
        <v>2614</v>
      </c>
      <c r="N411" s="134">
        <v>23.255262</v>
      </c>
      <c r="O411" s="134">
        <v>91.783451</v>
      </c>
      <c r="P411" s="81">
        <v>20</v>
      </c>
      <c r="Q411" s="47"/>
      <c r="R411" s="81"/>
      <c r="S411" s="81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133"/>
      <c r="AH411" s="145"/>
      <c r="AI411" s="146"/>
      <c r="AJ411" s="147"/>
    </row>
    <row x14ac:dyDescent="0.25" r="412" customHeight="1" ht="18">
      <c r="A412" s="45">
        <v>406</v>
      </c>
      <c r="B412" s="46" t="s">
        <v>47</v>
      </c>
      <c r="C412" s="46" t="s">
        <v>48</v>
      </c>
      <c r="D412" s="47" t="s">
        <v>49</v>
      </c>
      <c r="E412" s="47" t="s">
        <v>1464</v>
      </c>
      <c r="F412" s="47" t="s">
        <v>2521</v>
      </c>
      <c r="G412" s="130" t="s">
        <v>761</v>
      </c>
      <c r="H412" s="133"/>
      <c r="I412" s="149"/>
      <c r="J412" s="133"/>
      <c r="K412" s="81" t="s">
        <v>2555</v>
      </c>
      <c r="L412" s="47" t="s">
        <v>2615</v>
      </c>
      <c r="M412" s="47" t="s">
        <v>2616</v>
      </c>
      <c r="N412" s="134">
        <v>23.234718</v>
      </c>
      <c r="O412" s="134">
        <v>91.801829</v>
      </c>
      <c r="P412" s="81">
        <v>325</v>
      </c>
      <c r="Q412" s="47"/>
      <c r="R412" s="81"/>
      <c r="S412" s="81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133"/>
      <c r="AH412" s="145"/>
      <c r="AI412" s="146"/>
      <c r="AJ412" s="147"/>
    </row>
    <row x14ac:dyDescent="0.25" r="413" customHeight="1" ht="18">
      <c r="A413" s="45">
        <v>407</v>
      </c>
      <c r="B413" s="46" t="s">
        <v>47</v>
      </c>
      <c r="C413" s="46" t="s">
        <v>48</v>
      </c>
      <c r="D413" s="47" t="s">
        <v>49</v>
      </c>
      <c r="E413" s="47" t="s">
        <v>1464</v>
      </c>
      <c r="F413" s="47" t="s">
        <v>2521</v>
      </c>
      <c r="G413" s="130" t="s">
        <v>761</v>
      </c>
      <c r="H413" s="133"/>
      <c r="I413" s="149"/>
      <c r="J413" s="133"/>
      <c r="K413" s="81" t="s">
        <v>2491</v>
      </c>
      <c r="L413" s="47" t="s">
        <v>2492</v>
      </c>
      <c r="M413" s="47" t="s">
        <v>2617</v>
      </c>
      <c r="N413" s="134">
        <v>23.234233</v>
      </c>
      <c r="O413" s="134">
        <v>91.806722</v>
      </c>
      <c r="P413" s="81">
        <v>450</v>
      </c>
      <c r="Q413" s="47"/>
      <c r="R413" s="81"/>
      <c r="S413" s="81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133"/>
      <c r="AH413" s="145"/>
      <c r="AI413" s="146"/>
      <c r="AJ413" s="147"/>
    </row>
    <row x14ac:dyDescent="0.25" r="414" customHeight="1" ht="18">
      <c r="A414" s="45">
        <v>408</v>
      </c>
      <c r="B414" s="46" t="s">
        <v>47</v>
      </c>
      <c r="C414" s="46" t="s">
        <v>48</v>
      </c>
      <c r="D414" s="47" t="s">
        <v>49</v>
      </c>
      <c r="E414" s="47" t="s">
        <v>1464</v>
      </c>
      <c r="F414" s="47" t="s">
        <v>2521</v>
      </c>
      <c r="G414" s="130" t="s">
        <v>781</v>
      </c>
      <c r="H414" s="133"/>
      <c r="I414" s="149"/>
      <c r="J414" s="133"/>
      <c r="K414" s="81" t="s">
        <v>2618</v>
      </c>
      <c r="L414" s="47" t="s">
        <v>2619</v>
      </c>
      <c r="M414" s="47" t="s">
        <v>2620</v>
      </c>
      <c r="N414" s="134">
        <v>23.236147</v>
      </c>
      <c r="O414" s="134">
        <v>91.800166</v>
      </c>
      <c r="P414" s="81">
        <v>140</v>
      </c>
      <c r="Q414" s="47"/>
      <c r="R414" s="81"/>
      <c r="S414" s="81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133"/>
      <c r="AH414" s="145"/>
      <c r="AI414" s="146"/>
      <c r="AJ414" s="147"/>
    </row>
    <row x14ac:dyDescent="0.25" r="415" customHeight="1" ht="18">
      <c r="A415" s="45">
        <v>409</v>
      </c>
      <c r="B415" s="46" t="s">
        <v>47</v>
      </c>
      <c r="C415" s="46" t="s">
        <v>48</v>
      </c>
      <c r="D415" s="47" t="s">
        <v>49</v>
      </c>
      <c r="E415" s="47" t="s">
        <v>1464</v>
      </c>
      <c r="F415" s="47" t="s">
        <v>2521</v>
      </c>
      <c r="G415" s="130" t="s">
        <v>781</v>
      </c>
      <c r="H415" s="133"/>
      <c r="I415" s="149"/>
      <c r="J415" s="133"/>
      <c r="K415" s="81" t="s">
        <v>404</v>
      </c>
      <c r="L415" s="47" t="s">
        <v>1438</v>
      </c>
      <c r="M415" s="47" t="s">
        <v>2621</v>
      </c>
      <c r="N415" s="134">
        <v>23.233373</v>
      </c>
      <c r="O415" s="134">
        <v>91.798653</v>
      </c>
      <c r="P415" s="81">
        <v>22</v>
      </c>
      <c r="Q415" s="47"/>
      <c r="R415" s="81"/>
      <c r="S415" s="81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133"/>
      <c r="AH415" s="145"/>
      <c r="AI415" s="146"/>
      <c r="AJ415" s="147"/>
    </row>
    <row x14ac:dyDescent="0.25" r="416" customHeight="1" ht="18">
      <c r="A416" s="45">
        <v>410</v>
      </c>
      <c r="B416" s="46" t="s">
        <v>47</v>
      </c>
      <c r="C416" s="46" t="s">
        <v>48</v>
      </c>
      <c r="D416" s="47" t="s">
        <v>49</v>
      </c>
      <c r="E416" s="47" t="s">
        <v>1464</v>
      </c>
      <c r="F416" s="47" t="s">
        <v>2521</v>
      </c>
      <c r="G416" s="130" t="s">
        <v>781</v>
      </c>
      <c r="H416" s="133"/>
      <c r="I416" s="149"/>
      <c r="J416" s="133"/>
      <c r="K416" s="81" t="s">
        <v>1683</v>
      </c>
      <c r="L416" s="47" t="s">
        <v>1684</v>
      </c>
      <c r="M416" s="47" t="s">
        <v>2622</v>
      </c>
      <c r="N416" s="134">
        <v>23.231768</v>
      </c>
      <c r="O416" s="134">
        <v>91.799161</v>
      </c>
      <c r="P416" s="81">
        <v>124</v>
      </c>
      <c r="Q416" s="47"/>
      <c r="R416" s="81"/>
      <c r="S416" s="81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133"/>
      <c r="AH416" s="145"/>
      <c r="AI416" s="146"/>
      <c r="AJ416" s="147"/>
    </row>
    <row x14ac:dyDescent="0.25" r="417" customHeight="1" ht="18">
      <c r="A417" s="45">
        <v>411</v>
      </c>
      <c r="B417" s="46" t="s">
        <v>47</v>
      </c>
      <c r="C417" s="46" t="s">
        <v>48</v>
      </c>
      <c r="D417" s="47" t="s">
        <v>49</v>
      </c>
      <c r="E417" s="47" t="s">
        <v>1464</v>
      </c>
      <c r="F417" s="47" t="s">
        <v>2521</v>
      </c>
      <c r="G417" s="130" t="s">
        <v>781</v>
      </c>
      <c r="H417" s="133"/>
      <c r="I417" s="149"/>
      <c r="J417" s="133"/>
      <c r="K417" s="81" t="s">
        <v>2483</v>
      </c>
      <c r="L417" s="47" t="s">
        <v>2623</v>
      </c>
      <c r="M417" s="47" t="s">
        <v>2624</v>
      </c>
      <c r="N417" s="134">
        <v>23.226385</v>
      </c>
      <c r="O417" s="134">
        <v>91.795841</v>
      </c>
      <c r="P417" s="81">
        <v>592</v>
      </c>
      <c r="Q417" s="47"/>
      <c r="R417" s="81"/>
      <c r="S417" s="81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133"/>
      <c r="AH417" s="145"/>
      <c r="AI417" s="146"/>
      <c r="AJ417" s="147"/>
    </row>
    <row x14ac:dyDescent="0.25" r="418" customHeight="1" ht="18">
      <c r="A418" s="45">
        <v>412</v>
      </c>
      <c r="B418" s="46" t="s">
        <v>47</v>
      </c>
      <c r="C418" s="46" t="s">
        <v>48</v>
      </c>
      <c r="D418" s="47" t="s">
        <v>49</v>
      </c>
      <c r="E418" s="47" t="s">
        <v>1464</v>
      </c>
      <c r="F418" s="47" t="s">
        <v>2521</v>
      </c>
      <c r="G418" s="130" t="s">
        <v>781</v>
      </c>
      <c r="H418" s="133"/>
      <c r="I418" s="149"/>
      <c r="J418" s="133"/>
      <c r="K418" s="81" t="s">
        <v>2625</v>
      </c>
      <c r="L418" s="47" t="s">
        <v>2626</v>
      </c>
      <c r="M418" s="47" t="s">
        <v>2627</v>
      </c>
      <c r="N418" s="134">
        <v>23.216364</v>
      </c>
      <c r="O418" s="134">
        <v>91.797699</v>
      </c>
      <c r="P418" s="81">
        <v>240</v>
      </c>
      <c r="Q418" s="47"/>
      <c r="R418" s="81"/>
      <c r="S418" s="81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133"/>
      <c r="AH418" s="145"/>
      <c r="AI418" s="146"/>
      <c r="AJ418" s="147"/>
    </row>
    <row x14ac:dyDescent="0.25" r="419" customHeight="1" ht="18">
      <c r="A419" s="45">
        <v>413</v>
      </c>
      <c r="B419" s="46" t="s">
        <v>47</v>
      </c>
      <c r="C419" s="46" t="s">
        <v>48</v>
      </c>
      <c r="D419" s="47" t="s">
        <v>49</v>
      </c>
      <c r="E419" s="47" t="s">
        <v>1464</v>
      </c>
      <c r="F419" s="47" t="s">
        <v>2521</v>
      </c>
      <c r="G419" s="130" t="s">
        <v>781</v>
      </c>
      <c r="H419" s="133"/>
      <c r="I419" s="149"/>
      <c r="J419" s="133"/>
      <c r="K419" s="81" t="s">
        <v>346</v>
      </c>
      <c r="L419" s="47" t="s">
        <v>1692</v>
      </c>
      <c r="M419" s="47" t="s">
        <v>2628</v>
      </c>
      <c r="N419" s="134">
        <v>23.218477</v>
      </c>
      <c r="O419" s="134">
        <v>91.794695</v>
      </c>
      <c r="P419" s="81">
        <v>185</v>
      </c>
      <c r="Q419" s="47"/>
      <c r="R419" s="81"/>
      <c r="S419" s="81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133"/>
      <c r="AH419" s="145"/>
      <c r="AI419" s="146"/>
      <c r="AJ419" s="147"/>
    </row>
    <row x14ac:dyDescent="0.25" r="420" customHeight="1" ht="18">
      <c r="A420" s="45">
        <v>414</v>
      </c>
      <c r="B420" s="46" t="s">
        <v>47</v>
      </c>
      <c r="C420" s="46" t="s">
        <v>48</v>
      </c>
      <c r="D420" s="47" t="s">
        <v>49</v>
      </c>
      <c r="E420" s="47" t="s">
        <v>1464</v>
      </c>
      <c r="F420" s="47" t="s">
        <v>2521</v>
      </c>
      <c r="G420" s="130" t="s">
        <v>781</v>
      </c>
      <c r="H420" s="133"/>
      <c r="I420" s="149"/>
      <c r="J420" s="133"/>
      <c r="K420" s="81" t="s">
        <v>2629</v>
      </c>
      <c r="L420" s="47" t="s">
        <v>2630</v>
      </c>
      <c r="M420" s="47" t="s">
        <v>2631</v>
      </c>
      <c r="N420" s="134">
        <v>23.222132</v>
      </c>
      <c r="O420" s="134">
        <v>91.792504</v>
      </c>
      <c r="P420" s="81">
        <v>40</v>
      </c>
      <c r="Q420" s="47"/>
      <c r="R420" s="81"/>
      <c r="S420" s="81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133"/>
      <c r="AH420" s="145"/>
      <c r="AI420" s="146"/>
      <c r="AJ420" s="147"/>
    </row>
    <row x14ac:dyDescent="0.25" r="421" customHeight="1" ht="18">
      <c r="A421" s="45">
        <v>415</v>
      </c>
      <c r="B421" s="46" t="s">
        <v>47</v>
      </c>
      <c r="C421" s="46" t="s">
        <v>48</v>
      </c>
      <c r="D421" s="47" t="s">
        <v>49</v>
      </c>
      <c r="E421" s="47" t="s">
        <v>1464</v>
      </c>
      <c r="F421" s="47" t="s">
        <v>2521</v>
      </c>
      <c r="G421" s="130" t="s">
        <v>797</v>
      </c>
      <c r="H421" s="133"/>
      <c r="I421" s="149"/>
      <c r="J421" s="133"/>
      <c r="K421" s="81" t="s">
        <v>2632</v>
      </c>
      <c r="L421" s="47" t="s">
        <v>2633</v>
      </c>
      <c r="M421" s="47" t="s">
        <v>2634</v>
      </c>
      <c r="N421" s="134">
        <v>23.232517</v>
      </c>
      <c r="O421" s="134">
        <v>91.812661</v>
      </c>
      <c r="P421" s="81">
        <v>340</v>
      </c>
      <c r="Q421" s="47"/>
      <c r="R421" s="81"/>
      <c r="S421" s="81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133"/>
      <c r="AH421" s="145"/>
      <c r="AI421" s="146"/>
      <c r="AJ421" s="147"/>
    </row>
    <row x14ac:dyDescent="0.25" r="422" customHeight="1" ht="18">
      <c r="A422" s="45">
        <v>416</v>
      </c>
      <c r="B422" s="46" t="s">
        <v>47</v>
      </c>
      <c r="C422" s="46" t="s">
        <v>48</v>
      </c>
      <c r="D422" s="47" t="s">
        <v>49</v>
      </c>
      <c r="E422" s="47" t="s">
        <v>1464</v>
      </c>
      <c r="F422" s="47" t="s">
        <v>2521</v>
      </c>
      <c r="G422" s="130" t="s">
        <v>797</v>
      </c>
      <c r="H422" s="133"/>
      <c r="I422" s="149"/>
      <c r="J422" s="133"/>
      <c r="K422" s="81" t="s">
        <v>2635</v>
      </c>
      <c r="L422" s="47" t="s">
        <v>2636</v>
      </c>
      <c r="M422" s="47" t="s">
        <v>2637</v>
      </c>
      <c r="N422" s="134">
        <v>23.226884</v>
      </c>
      <c r="O422" s="134">
        <v>91.805112</v>
      </c>
      <c r="P422" s="81">
        <v>720</v>
      </c>
      <c r="Q422" s="47"/>
      <c r="R422" s="81"/>
      <c r="S422" s="81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133"/>
      <c r="AH422" s="145"/>
      <c r="AI422" s="151"/>
      <c r="AJ422" s="77"/>
    </row>
    <row x14ac:dyDescent="0.25" r="423" customHeight="1" ht="18">
      <c r="A423" s="45">
        <v>417</v>
      </c>
      <c r="B423" s="46" t="s">
        <v>47</v>
      </c>
      <c r="C423" s="46" t="s">
        <v>48</v>
      </c>
      <c r="D423" s="47" t="s">
        <v>49</v>
      </c>
      <c r="E423" s="47" t="s">
        <v>1464</v>
      </c>
      <c r="F423" s="47" t="s">
        <v>2638</v>
      </c>
      <c r="G423" s="130" t="s">
        <v>677</v>
      </c>
      <c r="H423" s="133"/>
      <c r="I423" s="149"/>
      <c r="J423" s="133"/>
      <c r="K423" s="81" t="s">
        <v>2639</v>
      </c>
      <c r="L423" s="47" t="s">
        <v>2640</v>
      </c>
      <c r="M423" s="47" t="s">
        <v>2641</v>
      </c>
      <c r="N423" s="134">
        <v>23.322436</v>
      </c>
      <c r="O423" s="134">
        <v>91.79591</v>
      </c>
      <c r="P423" s="81">
        <v>530</v>
      </c>
      <c r="Q423" s="47"/>
      <c r="R423" s="81"/>
      <c r="S423" s="81"/>
      <c r="T423" s="77"/>
      <c r="U423" s="94"/>
      <c r="V423" s="94"/>
      <c r="W423" s="150"/>
      <c r="X423" s="150"/>
      <c r="Y423" s="150"/>
      <c r="Z423" s="150"/>
      <c r="AA423" s="150"/>
      <c r="AB423" s="150"/>
      <c r="AC423" s="77"/>
      <c r="AD423" s="77"/>
      <c r="AE423" s="77"/>
      <c r="AF423" s="77"/>
      <c r="AG423" s="133"/>
      <c r="AH423" s="149"/>
      <c r="AI423" s="151"/>
      <c r="AJ423" s="77"/>
    </row>
    <row x14ac:dyDescent="0.25" r="424" customHeight="1" ht="18">
      <c r="A424" s="45">
        <v>418</v>
      </c>
      <c r="B424" s="46" t="s">
        <v>47</v>
      </c>
      <c r="C424" s="46" t="s">
        <v>48</v>
      </c>
      <c r="D424" s="47" t="s">
        <v>49</v>
      </c>
      <c r="E424" s="47" t="s">
        <v>1464</v>
      </c>
      <c r="F424" s="47" t="s">
        <v>2638</v>
      </c>
      <c r="G424" s="130" t="s">
        <v>677</v>
      </c>
      <c r="H424" s="133"/>
      <c r="I424" s="149"/>
      <c r="J424" s="133"/>
      <c r="K424" s="81" t="s">
        <v>2642</v>
      </c>
      <c r="L424" s="47" t="s">
        <v>2643</v>
      </c>
      <c r="M424" s="47" t="s">
        <v>2644</v>
      </c>
      <c r="N424" s="134">
        <v>23.316473</v>
      </c>
      <c r="O424" s="134">
        <v>91.786184</v>
      </c>
      <c r="P424" s="81">
        <v>280</v>
      </c>
      <c r="Q424" s="47"/>
      <c r="R424" s="81"/>
      <c r="S424" s="81"/>
      <c r="T424" s="77"/>
      <c r="U424" s="150"/>
      <c r="V424" s="150"/>
      <c r="W424" s="150"/>
      <c r="X424" s="150"/>
      <c r="Y424" s="150"/>
      <c r="Z424" s="150"/>
      <c r="AA424" s="150"/>
      <c r="AB424" s="150"/>
      <c r="AC424" s="77"/>
      <c r="AD424" s="77"/>
      <c r="AE424" s="77"/>
      <c r="AF424" s="77"/>
      <c r="AG424" s="133"/>
      <c r="AH424" s="149"/>
      <c r="AI424" s="151"/>
      <c r="AJ424" s="77"/>
    </row>
    <row x14ac:dyDescent="0.25" r="425" customHeight="1" ht="18">
      <c r="A425" s="45">
        <v>419</v>
      </c>
      <c r="B425" s="46" t="s">
        <v>47</v>
      </c>
      <c r="C425" s="46" t="s">
        <v>48</v>
      </c>
      <c r="D425" s="47" t="s">
        <v>49</v>
      </c>
      <c r="E425" s="47" t="s">
        <v>1464</v>
      </c>
      <c r="F425" s="47" t="s">
        <v>2638</v>
      </c>
      <c r="G425" s="130" t="s">
        <v>677</v>
      </c>
      <c r="H425" s="133"/>
      <c r="I425" s="149"/>
      <c r="J425" s="133"/>
      <c r="K425" s="81" t="s">
        <v>2645</v>
      </c>
      <c r="L425" s="47" t="s">
        <v>2646</v>
      </c>
      <c r="M425" s="47" t="s">
        <v>2647</v>
      </c>
      <c r="N425" s="134">
        <v>23.311046</v>
      </c>
      <c r="O425" s="134">
        <v>91.778348</v>
      </c>
      <c r="P425" s="81">
        <v>260</v>
      </c>
      <c r="Q425" s="47"/>
      <c r="R425" s="81"/>
      <c r="S425" s="81"/>
      <c r="T425" s="77"/>
      <c r="U425" s="150"/>
      <c r="V425" s="150"/>
      <c r="W425" s="150"/>
      <c r="X425" s="150"/>
      <c r="Y425" s="150"/>
      <c r="Z425" s="150"/>
      <c r="AA425" s="150"/>
      <c r="AB425" s="150"/>
      <c r="AC425" s="77"/>
      <c r="AD425" s="77"/>
      <c r="AE425" s="77"/>
      <c r="AF425" s="77"/>
      <c r="AG425" s="133"/>
      <c r="AH425" s="149"/>
      <c r="AI425" s="151"/>
      <c r="AJ425" s="77"/>
    </row>
    <row x14ac:dyDescent="0.25" r="426" customHeight="1" ht="18">
      <c r="A426" s="45">
        <v>420</v>
      </c>
      <c r="B426" s="46" t="s">
        <v>47</v>
      </c>
      <c r="C426" s="46" t="s">
        <v>48</v>
      </c>
      <c r="D426" s="47" t="s">
        <v>49</v>
      </c>
      <c r="E426" s="47" t="s">
        <v>1464</v>
      </c>
      <c r="F426" s="47" t="s">
        <v>2638</v>
      </c>
      <c r="G426" s="130" t="s">
        <v>677</v>
      </c>
      <c r="H426" s="133"/>
      <c r="I426" s="149"/>
      <c r="J426" s="133"/>
      <c r="K426" s="81" t="s">
        <v>2648</v>
      </c>
      <c r="L426" s="47" t="s">
        <v>2649</v>
      </c>
      <c r="M426" s="47" t="s">
        <v>2650</v>
      </c>
      <c r="N426" s="134">
        <v>23.302433</v>
      </c>
      <c r="O426" s="134">
        <v>91.774344</v>
      </c>
      <c r="P426" s="81">
        <v>260</v>
      </c>
      <c r="Q426" s="47"/>
      <c r="R426" s="81"/>
      <c r="S426" s="81"/>
      <c r="T426" s="77"/>
      <c r="U426" s="150"/>
      <c r="V426" s="150"/>
      <c r="W426" s="150"/>
      <c r="X426" s="150"/>
      <c r="Y426" s="150"/>
      <c r="Z426" s="150"/>
      <c r="AA426" s="150"/>
      <c r="AB426" s="150"/>
      <c r="AC426" s="150"/>
      <c r="AD426" s="150"/>
      <c r="AE426" s="150"/>
      <c r="AF426" s="150"/>
      <c r="AG426" s="133"/>
      <c r="AH426" s="149"/>
      <c r="AI426" s="151"/>
      <c r="AJ426" s="77"/>
    </row>
    <row x14ac:dyDescent="0.25" r="427" customHeight="1" ht="18">
      <c r="A427" s="45">
        <v>421</v>
      </c>
      <c r="B427" s="46" t="s">
        <v>47</v>
      </c>
      <c r="C427" s="46" t="s">
        <v>48</v>
      </c>
      <c r="D427" s="47" t="s">
        <v>49</v>
      </c>
      <c r="E427" s="47" t="s">
        <v>1464</v>
      </c>
      <c r="F427" s="47" t="s">
        <v>2638</v>
      </c>
      <c r="G427" s="130" t="s">
        <v>677</v>
      </c>
      <c r="H427" s="133"/>
      <c r="I427" s="149"/>
      <c r="J427" s="133"/>
      <c r="K427" s="81" t="s">
        <v>2651</v>
      </c>
      <c r="L427" s="47" t="s">
        <v>2652</v>
      </c>
      <c r="M427" s="47" t="s">
        <v>2653</v>
      </c>
      <c r="N427" s="134">
        <v>23.301925</v>
      </c>
      <c r="O427" s="134">
        <v>91.780041</v>
      </c>
      <c r="P427" s="81">
        <v>520</v>
      </c>
      <c r="Q427" s="47"/>
      <c r="R427" s="81"/>
      <c r="S427" s="81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49"/>
      <c r="AI427" s="149"/>
      <c r="AJ427" s="133"/>
    </row>
    <row x14ac:dyDescent="0.25" r="428" customHeight="1" ht="18">
      <c r="A428" s="45">
        <v>422</v>
      </c>
      <c r="B428" s="46" t="s">
        <v>47</v>
      </c>
      <c r="C428" s="46" t="s">
        <v>48</v>
      </c>
      <c r="D428" s="47" t="s">
        <v>49</v>
      </c>
      <c r="E428" s="47" t="s">
        <v>1464</v>
      </c>
      <c r="F428" s="47" t="s">
        <v>2638</v>
      </c>
      <c r="G428" s="130" t="s">
        <v>677</v>
      </c>
      <c r="H428" s="133"/>
      <c r="I428" s="149"/>
      <c r="J428" s="133"/>
      <c r="K428" s="81" t="s">
        <v>2654</v>
      </c>
      <c r="L428" s="47" t="s">
        <v>2655</v>
      </c>
      <c r="M428" s="47" t="s">
        <v>2656</v>
      </c>
      <c r="N428" s="134">
        <v>23.293939</v>
      </c>
      <c r="O428" s="134">
        <v>91.776224</v>
      </c>
      <c r="P428" s="81">
        <v>750</v>
      </c>
      <c r="Q428" s="47"/>
      <c r="R428" s="81"/>
      <c r="S428" s="81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49"/>
      <c r="AI428" s="149"/>
      <c r="AJ428" s="133"/>
    </row>
    <row x14ac:dyDescent="0.25" r="429" customHeight="1" ht="18">
      <c r="A429" s="45">
        <v>423</v>
      </c>
      <c r="B429" s="46" t="s">
        <v>47</v>
      </c>
      <c r="C429" s="46" t="s">
        <v>48</v>
      </c>
      <c r="D429" s="47" t="s">
        <v>49</v>
      </c>
      <c r="E429" s="47" t="s">
        <v>1464</v>
      </c>
      <c r="F429" s="47" t="s">
        <v>2638</v>
      </c>
      <c r="G429" s="130" t="s">
        <v>677</v>
      </c>
      <c r="H429" s="133"/>
      <c r="I429" s="149"/>
      <c r="J429" s="133"/>
      <c r="K429" s="81" t="s">
        <v>2657</v>
      </c>
      <c r="L429" s="47" t="s">
        <v>2658</v>
      </c>
      <c r="M429" s="47" t="s">
        <v>2659</v>
      </c>
      <c r="N429" s="134">
        <v>23.324272</v>
      </c>
      <c r="O429" s="134">
        <v>91.79055</v>
      </c>
      <c r="P429" s="81"/>
      <c r="Q429" s="47"/>
      <c r="R429" s="81"/>
      <c r="S429" s="81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49"/>
      <c r="AI429" s="149"/>
      <c r="AJ429" s="133"/>
    </row>
    <row x14ac:dyDescent="0.25" r="430" customHeight="1" ht="18">
      <c r="A430" s="45">
        <v>424</v>
      </c>
      <c r="B430" s="46" t="s">
        <v>47</v>
      </c>
      <c r="C430" s="46" t="s">
        <v>48</v>
      </c>
      <c r="D430" s="47" t="s">
        <v>49</v>
      </c>
      <c r="E430" s="47" t="s">
        <v>1464</v>
      </c>
      <c r="F430" s="47" t="s">
        <v>2638</v>
      </c>
      <c r="G430" s="130" t="s">
        <v>677</v>
      </c>
      <c r="H430" s="133"/>
      <c r="I430" s="149"/>
      <c r="J430" s="133"/>
      <c r="K430" s="81" t="s">
        <v>2660</v>
      </c>
      <c r="L430" s="47" t="s">
        <v>2661</v>
      </c>
      <c r="M430" s="47" t="s">
        <v>2662</v>
      </c>
      <c r="N430" s="134">
        <v>23.300364</v>
      </c>
      <c r="O430" s="134">
        <v>91.781427</v>
      </c>
      <c r="P430" s="81"/>
      <c r="Q430" s="47"/>
      <c r="R430" s="81"/>
      <c r="S430" s="81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49"/>
      <c r="AI430" s="149"/>
      <c r="AJ430" s="133"/>
    </row>
    <row x14ac:dyDescent="0.25" r="431" customHeight="1" ht="18">
      <c r="A431" s="45">
        <v>425</v>
      </c>
      <c r="B431" s="46" t="s">
        <v>47</v>
      </c>
      <c r="C431" s="46" t="s">
        <v>48</v>
      </c>
      <c r="D431" s="47" t="s">
        <v>49</v>
      </c>
      <c r="E431" s="47" t="s">
        <v>1464</v>
      </c>
      <c r="F431" s="47" t="s">
        <v>2638</v>
      </c>
      <c r="G431" s="130" t="s">
        <v>677</v>
      </c>
      <c r="H431" s="133"/>
      <c r="I431" s="149"/>
      <c r="J431" s="133"/>
      <c r="K431" s="81" t="s">
        <v>2663</v>
      </c>
      <c r="L431" s="47" t="s">
        <v>2664</v>
      </c>
      <c r="M431" s="47" t="s">
        <v>2665</v>
      </c>
      <c r="N431" s="134">
        <v>23.308018</v>
      </c>
      <c r="O431" s="134">
        <v>91.767436</v>
      </c>
      <c r="P431" s="81"/>
      <c r="Q431" s="47"/>
      <c r="R431" s="81"/>
      <c r="S431" s="81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49"/>
      <c r="AI431" s="149"/>
      <c r="AJ431" s="133"/>
    </row>
    <row x14ac:dyDescent="0.25" r="432" customHeight="1" ht="18">
      <c r="A432" s="45">
        <v>426</v>
      </c>
      <c r="B432" s="46" t="s">
        <v>47</v>
      </c>
      <c r="C432" s="46" t="s">
        <v>48</v>
      </c>
      <c r="D432" s="47" t="s">
        <v>49</v>
      </c>
      <c r="E432" s="47" t="s">
        <v>1464</v>
      </c>
      <c r="F432" s="47" t="s">
        <v>2638</v>
      </c>
      <c r="G432" s="130" t="s">
        <v>684</v>
      </c>
      <c r="H432" s="133"/>
      <c r="I432" s="149"/>
      <c r="J432" s="133"/>
      <c r="K432" s="81" t="s">
        <v>1686</v>
      </c>
      <c r="L432" s="47" t="s">
        <v>1687</v>
      </c>
      <c r="M432" s="47" t="s">
        <v>2666</v>
      </c>
      <c r="N432" s="134">
        <v>23.286961</v>
      </c>
      <c r="O432" s="134">
        <v>91.775558</v>
      </c>
      <c r="P432" s="81">
        <v>520</v>
      </c>
      <c r="Q432" s="47"/>
      <c r="R432" s="81"/>
      <c r="S432" s="81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49"/>
      <c r="AI432" s="149"/>
      <c r="AJ432" s="133"/>
    </row>
    <row x14ac:dyDescent="0.25" r="433" customHeight="1" ht="18">
      <c r="A433" s="45">
        <v>427</v>
      </c>
      <c r="B433" s="46" t="s">
        <v>47</v>
      </c>
      <c r="C433" s="46" t="s">
        <v>48</v>
      </c>
      <c r="D433" s="47" t="s">
        <v>49</v>
      </c>
      <c r="E433" s="47" t="s">
        <v>1464</v>
      </c>
      <c r="F433" s="47" t="s">
        <v>2638</v>
      </c>
      <c r="G433" s="130" t="s">
        <v>684</v>
      </c>
      <c r="H433" s="133"/>
      <c r="I433" s="149"/>
      <c r="J433" s="133"/>
      <c r="K433" s="81" t="s">
        <v>2667</v>
      </c>
      <c r="L433" s="47" t="s">
        <v>2668</v>
      </c>
      <c r="M433" s="47" t="s">
        <v>2669</v>
      </c>
      <c r="N433" s="134">
        <v>23.289809</v>
      </c>
      <c r="O433" s="134">
        <v>91.769819</v>
      </c>
      <c r="P433" s="81">
        <v>300</v>
      </c>
      <c r="Q433" s="47"/>
      <c r="R433" s="81"/>
      <c r="S433" s="81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49"/>
      <c r="AI433" s="149"/>
      <c r="AJ433" s="133"/>
    </row>
    <row x14ac:dyDescent="0.25" r="434" customHeight="1" ht="18">
      <c r="A434" s="45">
        <v>428</v>
      </c>
      <c r="B434" s="46" t="s">
        <v>47</v>
      </c>
      <c r="C434" s="46" t="s">
        <v>48</v>
      </c>
      <c r="D434" s="47" t="s">
        <v>49</v>
      </c>
      <c r="E434" s="47" t="s">
        <v>1464</v>
      </c>
      <c r="F434" s="47" t="s">
        <v>2638</v>
      </c>
      <c r="G434" s="130" t="s">
        <v>684</v>
      </c>
      <c r="H434" s="133"/>
      <c r="I434" s="149"/>
      <c r="J434" s="133"/>
      <c r="K434" s="81" t="s">
        <v>2670</v>
      </c>
      <c r="L434" s="47" t="s">
        <v>2671</v>
      </c>
      <c r="M434" s="47" t="s">
        <v>2672</v>
      </c>
      <c r="N434" s="134">
        <v>23.28836</v>
      </c>
      <c r="O434" s="134">
        <v>91.76537</v>
      </c>
      <c r="P434" s="81">
        <v>520</v>
      </c>
      <c r="Q434" s="47"/>
      <c r="R434" s="81"/>
      <c r="S434" s="81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49"/>
      <c r="AI434" s="149"/>
      <c r="AJ434" s="133"/>
    </row>
    <row x14ac:dyDescent="0.25" r="435" customHeight="1" ht="18">
      <c r="A435" s="45">
        <v>429</v>
      </c>
      <c r="B435" s="46" t="s">
        <v>47</v>
      </c>
      <c r="C435" s="46" t="s">
        <v>48</v>
      </c>
      <c r="D435" s="47" t="s">
        <v>49</v>
      </c>
      <c r="E435" s="47" t="s">
        <v>1464</v>
      </c>
      <c r="F435" s="47" t="s">
        <v>2638</v>
      </c>
      <c r="G435" s="130" t="s">
        <v>684</v>
      </c>
      <c r="H435" s="133"/>
      <c r="I435" s="149"/>
      <c r="J435" s="133"/>
      <c r="K435" s="81" t="s">
        <v>2673</v>
      </c>
      <c r="L435" s="47" t="s">
        <v>2674</v>
      </c>
      <c r="M435" s="47" t="s">
        <v>2675</v>
      </c>
      <c r="N435" s="134">
        <v>23.290124</v>
      </c>
      <c r="O435" s="134">
        <v>91.766773</v>
      </c>
      <c r="P435" s="81">
        <v>120</v>
      </c>
      <c r="Q435" s="47"/>
      <c r="R435" s="81"/>
      <c r="S435" s="81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49"/>
      <c r="AI435" s="149"/>
      <c r="AJ435" s="133"/>
    </row>
    <row x14ac:dyDescent="0.25" r="436" customHeight="1" ht="18">
      <c r="A436" s="45">
        <v>430</v>
      </c>
      <c r="B436" s="46" t="s">
        <v>47</v>
      </c>
      <c r="C436" s="46" t="s">
        <v>48</v>
      </c>
      <c r="D436" s="47" t="s">
        <v>49</v>
      </c>
      <c r="E436" s="47" t="s">
        <v>1464</v>
      </c>
      <c r="F436" s="47" t="s">
        <v>2638</v>
      </c>
      <c r="G436" s="130" t="s">
        <v>697</v>
      </c>
      <c r="H436" s="133"/>
      <c r="I436" s="149"/>
      <c r="J436" s="133"/>
      <c r="K436" s="81" t="s">
        <v>2676</v>
      </c>
      <c r="L436" s="47" t="s">
        <v>2677</v>
      </c>
      <c r="M436" s="47" t="s">
        <v>2678</v>
      </c>
      <c r="N436" s="134">
        <v>23.282258</v>
      </c>
      <c r="O436" s="134">
        <v>91.763284</v>
      </c>
      <c r="P436" s="81">
        <v>60</v>
      </c>
      <c r="Q436" s="47"/>
      <c r="R436" s="81"/>
      <c r="S436" s="81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49"/>
      <c r="AI436" s="149"/>
      <c r="AJ436" s="133"/>
    </row>
    <row x14ac:dyDescent="0.25" r="437" customHeight="1" ht="18">
      <c r="A437" s="45">
        <v>431</v>
      </c>
      <c r="B437" s="46" t="s">
        <v>47</v>
      </c>
      <c r="C437" s="46" t="s">
        <v>48</v>
      </c>
      <c r="D437" s="47" t="s">
        <v>49</v>
      </c>
      <c r="E437" s="47" t="s">
        <v>1464</v>
      </c>
      <c r="F437" s="47" t="s">
        <v>2638</v>
      </c>
      <c r="G437" s="130" t="s">
        <v>697</v>
      </c>
      <c r="H437" s="133"/>
      <c r="I437" s="149"/>
      <c r="J437" s="133"/>
      <c r="K437" s="81" t="s">
        <v>2679</v>
      </c>
      <c r="L437" s="47" t="s">
        <v>2680</v>
      </c>
      <c r="M437" s="47" t="s">
        <v>2681</v>
      </c>
      <c r="N437" s="134">
        <v>23.281502</v>
      </c>
      <c r="O437" s="134">
        <v>91.766111</v>
      </c>
      <c r="P437" s="81">
        <v>704</v>
      </c>
      <c r="Q437" s="47"/>
      <c r="R437" s="81"/>
      <c r="S437" s="81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49"/>
      <c r="AI437" s="149"/>
      <c r="AJ437" s="133"/>
    </row>
    <row x14ac:dyDescent="0.25" r="438" customHeight="1" ht="18">
      <c r="A438" s="45">
        <v>432</v>
      </c>
      <c r="B438" s="46" t="s">
        <v>47</v>
      </c>
      <c r="C438" s="46" t="s">
        <v>48</v>
      </c>
      <c r="D438" s="47" t="s">
        <v>49</v>
      </c>
      <c r="E438" s="47" t="s">
        <v>1464</v>
      </c>
      <c r="F438" s="47" t="s">
        <v>2638</v>
      </c>
      <c r="G438" s="130" t="s">
        <v>697</v>
      </c>
      <c r="H438" s="133"/>
      <c r="I438" s="149"/>
      <c r="J438" s="133"/>
      <c r="K438" s="81" t="s">
        <v>2682</v>
      </c>
      <c r="L438" s="47" t="s">
        <v>2683</v>
      </c>
      <c r="M438" s="47" t="s">
        <v>2684</v>
      </c>
      <c r="N438" s="134">
        <v>23.282399</v>
      </c>
      <c r="O438" s="134">
        <v>91.77383</v>
      </c>
      <c r="P438" s="81">
        <v>428</v>
      </c>
      <c r="Q438" s="47"/>
      <c r="R438" s="81"/>
      <c r="S438" s="81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49"/>
      <c r="AI438" s="149"/>
      <c r="AJ438" s="133"/>
    </row>
    <row x14ac:dyDescent="0.25" r="439" customHeight="1" ht="18">
      <c r="A439" s="45">
        <v>433</v>
      </c>
      <c r="B439" s="46" t="s">
        <v>47</v>
      </c>
      <c r="C439" s="46" t="s">
        <v>48</v>
      </c>
      <c r="D439" s="47" t="s">
        <v>49</v>
      </c>
      <c r="E439" s="47" t="s">
        <v>1464</v>
      </c>
      <c r="F439" s="47" t="s">
        <v>2638</v>
      </c>
      <c r="G439" s="130" t="s">
        <v>697</v>
      </c>
      <c r="H439" s="133"/>
      <c r="I439" s="149"/>
      <c r="J439" s="133"/>
      <c r="K439" s="81" t="s">
        <v>2685</v>
      </c>
      <c r="L439" s="47" t="s">
        <v>2686</v>
      </c>
      <c r="M439" s="47" t="s">
        <v>2687</v>
      </c>
      <c r="N439" s="134">
        <v>23.276959</v>
      </c>
      <c r="O439" s="134">
        <v>91.771724</v>
      </c>
      <c r="P439" s="81">
        <v>420</v>
      </c>
      <c r="Q439" s="47"/>
      <c r="R439" s="81"/>
      <c r="S439" s="81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49"/>
      <c r="AI439" s="149"/>
      <c r="AJ439" s="133"/>
    </row>
    <row x14ac:dyDescent="0.25" r="440" customHeight="1" ht="18">
      <c r="A440" s="45">
        <v>434</v>
      </c>
      <c r="B440" s="46" t="s">
        <v>47</v>
      </c>
      <c r="C440" s="46" t="s">
        <v>48</v>
      </c>
      <c r="D440" s="47" t="s">
        <v>49</v>
      </c>
      <c r="E440" s="47" t="s">
        <v>1464</v>
      </c>
      <c r="F440" s="47" t="s">
        <v>2638</v>
      </c>
      <c r="G440" s="130" t="s">
        <v>697</v>
      </c>
      <c r="H440" s="133"/>
      <c r="I440" s="149"/>
      <c r="J440" s="133"/>
      <c r="K440" s="81" t="s">
        <v>2688</v>
      </c>
      <c r="L440" s="47" t="s">
        <v>2689</v>
      </c>
      <c r="M440" s="47" t="s">
        <v>2690</v>
      </c>
      <c r="N440" s="134">
        <v>23.276096</v>
      </c>
      <c r="O440" s="134">
        <v>91.777266</v>
      </c>
      <c r="P440" s="81">
        <v>180</v>
      </c>
      <c r="Q440" s="81"/>
      <c r="R440" s="81"/>
      <c r="S440" s="81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49"/>
      <c r="AI440" s="149"/>
      <c r="AJ440" s="133"/>
    </row>
    <row x14ac:dyDescent="0.25" r="441" customHeight="1" ht="18">
      <c r="A441" s="45">
        <v>435</v>
      </c>
      <c r="B441" s="46" t="s">
        <v>47</v>
      </c>
      <c r="C441" s="46" t="s">
        <v>48</v>
      </c>
      <c r="D441" s="47" t="s">
        <v>49</v>
      </c>
      <c r="E441" s="47" t="s">
        <v>1464</v>
      </c>
      <c r="F441" s="47" t="s">
        <v>2638</v>
      </c>
      <c r="G441" s="130" t="s">
        <v>697</v>
      </c>
      <c r="H441" s="133"/>
      <c r="I441" s="149"/>
      <c r="J441" s="133"/>
      <c r="K441" s="81" t="s">
        <v>2691</v>
      </c>
      <c r="L441" s="47" t="s">
        <v>2692</v>
      </c>
      <c r="M441" s="47" t="s">
        <v>2693</v>
      </c>
      <c r="N441" s="134">
        <v>23.283537</v>
      </c>
      <c r="O441" s="134">
        <v>91.762782</v>
      </c>
      <c r="P441" s="81"/>
      <c r="Q441" s="47"/>
      <c r="R441" s="81"/>
      <c r="S441" s="81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49"/>
      <c r="AI441" s="149"/>
      <c r="AJ441" s="133"/>
    </row>
    <row x14ac:dyDescent="0.25" r="442" customHeight="1" ht="18">
      <c r="A442" s="45">
        <v>436</v>
      </c>
      <c r="B442" s="46" t="s">
        <v>47</v>
      </c>
      <c r="C442" s="46" t="s">
        <v>48</v>
      </c>
      <c r="D442" s="47" t="s">
        <v>49</v>
      </c>
      <c r="E442" s="47" t="s">
        <v>1464</v>
      </c>
      <c r="F442" s="47" t="s">
        <v>2638</v>
      </c>
      <c r="G442" s="130" t="s">
        <v>707</v>
      </c>
      <c r="H442" s="133"/>
      <c r="I442" s="149"/>
      <c r="J442" s="133"/>
      <c r="K442" s="81" t="s">
        <v>2694</v>
      </c>
      <c r="L442" s="47" t="s">
        <v>2695</v>
      </c>
      <c r="M442" s="47" t="s">
        <v>2696</v>
      </c>
      <c r="N442" s="134">
        <v>23.313605</v>
      </c>
      <c r="O442" s="134">
        <v>91.793901</v>
      </c>
      <c r="P442" s="81">
        <v>600</v>
      </c>
      <c r="Q442" s="47"/>
      <c r="R442" s="81"/>
      <c r="S442" s="81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49"/>
      <c r="AI442" s="149"/>
      <c r="AJ442" s="133"/>
    </row>
    <row x14ac:dyDescent="0.25" r="443" customHeight="1" ht="18">
      <c r="A443" s="45">
        <v>437</v>
      </c>
      <c r="B443" s="46" t="s">
        <v>47</v>
      </c>
      <c r="C443" s="46" t="s">
        <v>48</v>
      </c>
      <c r="D443" s="47" t="s">
        <v>49</v>
      </c>
      <c r="E443" s="47" t="s">
        <v>1464</v>
      </c>
      <c r="F443" s="47" t="s">
        <v>2638</v>
      </c>
      <c r="G443" s="130" t="s">
        <v>707</v>
      </c>
      <c r="H443" s="133"/>
      <c r="I443" s="149"/>
      <c r="J443" s="133"/>
      <c r="K443" s="81" t="s">
        <v>2697</v>
      </c>
      <c r="L443" s="47" t="s">
        <v>2698</v>
      </c>
      <c r="M443" s="47" t="s">
        <v>2699</v>
      </c>
      <c r="N443" s="134">
        <v>23.302715</v>
      </c>
      <c r="O443" s="134">
        <v>91.786411</v>
      </c>
      <c r="P443" s="81">
        <v>964</v>
      </c>
      <c r="Q443" s="47"/>
      <c r="R443" s="81"/>
      <c r="S443" s="81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49"/>
      <c r="AI443" s="149"/>
      <c r="AJ443" s="133"/>
    </row>
    <row x14ac:dyDescent="0.25" r="444" customHeight="1" ht="18">
      <c r="A444" s="45">
        <v>438</v>
      </c>
      <c r="B444" s="46" t="s">
        <v>47</v>
      </c>
      <c r="C444" s="46" t="s">
        <v>48</v>
      </c>
      <c r="D444" s="47" t="s">
        <v>49</v>
      </c>
      <c r="E444" s="47" t="s">
        <v>1464</v>
      </c>
      <c r="F444" s="47" t="s">
        <v>2638</v>
      </c>
      <c r="G444" s="130" t="s">
        <v>707</v>
      </c>
      <c r="H444" s="133"/>
      <c r="I444" s="149"/>
      <c r="J444" s="133"/>
      <c r="K444" s="81" t="s">
        <v>2700</v>
      </c>
      <c r="L444" s="47" t="s">
        <v>2701</v>
      </c>
      <c r="M444" s="47" t="s">
        <v>2702</v>
      </c>
      <c r="N444" s="134">
        <v>23.308132</v>
      </c>
      <c r="O444" s="134">
        <v>91.791284</v>
      </c>
      <c r="P444" s="81">
        <v>1044</v>
      </c>
      <c r="Q444" s="47"/>
      <c r="R444" s="81"/>
      <c r="S444" s="81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49"/>
      <c r="AI444" s="149"/>
      <c r="AJ444" s="133"/>
    </row>
    <row x14ac:dyDescent="0.25" r="445" customHeight="1" ht="18">
      <c r="A445" s="45">
        <v>439</v>
      </c>
      <c r="B445" s="46" t="s">
        <v>47</v>
      </c>
      <c r="C445" s="46" t="s">
        <v>48</v>
      </c>
      <c r="D445" s="47" t="s">
        <v>49</v>
      </c>
      <c r="E445" s="47" t="s">
        <v>1464</v>
      </c>
      <c r="F445" s="47" t="s">
        <v>2638</v>
      </c>
      <c r="G445" s="130" t="s">
        <v>707</v>
      </c>
      <c r="H445" s="133"/>
      <c r="I445" s="149"/>
      <c r="J445" s="133"/>
      <c r="K445" s="81" t="s">
        <v>2703</v>
      </c>
      <c r="L445" s="47" t="s">
        <v>2704</v>
      </c>
      <c r="M445" s="47" t="s">
        <v>2705</v>
      </c>
      <c r="N445" s="134">
        <v>23.315523</v>
      </c>
      <c r="O445" s="134">
        <v>91.798531</v>
      </c>
      <c r="P445" s="81"/>
      <c r="Q445" s="47"/>
      <c r="R445" s="81"/>
      <c r="S445" s="81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49"/>
      <c r="AI445" s="149"/>
      <c r="AJ445" s="133"/>
    </row>
    <row x14ac:dyDescent="0.25" r="446" customHeight="1" ht="18">
      <c r="A446" s="45">
        <v>440</v>
      </c>
      <c r="B446" s="46" t="s">
        <v>47</v>
      </c>
      <c r="C446" s="46" t="s">
        <v>48</v>
      </c>
      <c r="D446" s="47" t="s">
        <v>49</v>
      </c>
      <c r="E446" s="47" t="s">
        <v>1464</v>
      </c>
      <c r="F446" s="47" t="s">
        <v>2638</v>
      </c>
      <c r="G446" s="130" t="s">
        <v>726</v>
      </c>
      <c r="H446" s="133"/>
      <c r="I446" s="149"/>
      <c r="J446" s="133"/>
      <c r="K446" s="81" t="s">
        <v>328</v>
      </c>
      <c r="L446" s="47" t="s">
        <v>1074</v>
      </c>
      <c r="M446" s="47" t="s">
        <v>2706</v>
      </c>
      <c r="N446" s="134">
        <v>23.3077</v>
      </c>
      <c r="O446" s="134">
        <v>91.807844</v>
      </c>
      <c r="P446" s="81">
        <v>720</v>
      </c>
      <c r="Q446" s="47"/>
      <c r="R446" s="81"/>
      <c r="S446" s="81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49"/>
      <c r="AI446" s="149"/>
      <c r="AJ446" s="133"/>
    </row>
    <row x14ac:dyDescent="0.25" r="447" customHeight="1" ht="18">
      <c r="A447" s="45">
        <v>441</v>
      </c>
      <c r="B447" s="46" t="s">
        <v>47</v>
      </c>
      <c r="C447" s="46" t="s">
        <v>48</v>
      </c>
      <c r="D447" s="47" t="s">
        <v>49</v>
      </c>
      <c r="E447" s="47" t="s">
        <v>1464</v>
      </c>
      <c r="F447" s="47" t="s">
        <v>2638</v>
      </c>
      <c r="G447" s="130" t="s">
        <v>726</v>
      </c>
      <c r="H447" s="133"/>
      <c r="I447" s="149"/>
      <c r="J447" s="133"/>
      <c r="K447" s="81" t="s">
        <v>2707</v>
      </c>
      <c r="L447" s="47" t="s">
        <v>2708</v>
      </c>
      <c r="M447" s="47" t="s">
        <v>2709</v>
      </c>
      <c r="N447" s="134">
        <v>23.322631</v>
      </c>
      <c r="O447" s="134">
        <v>91.835323</v>
      </c>
      <c r="P447" s="81">
        <v>120</v>
      </c>
      <c r="Q447" s="47"/>
      <c r="R447" s="81"/>
      <c r="S447" s="81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49"/>
      <c r="AI447" s="149"/>
      <c r="AJ447" s="133"/>
    </row>
    <row x14ac:dyDescent="0.25" r="448" customHeight="1" ht="18">
      <c r="A448" s="45">
        <v>442</v>
      </c>
      <c r="B448" s="46" t="s">
        <v>47</v>
      </c>
      <c r="C448" s="46" t="s">
        <v>48</v>
      </c>
      <c r="D448" s="47" t="s">
        <v>49</v>
      </c>
      <c r="E448" s="47" t="s">
        <v>1464</v>
      </c>
      <c r="F448" s="47" t="s">
        <v>2638</v>
      </c>
      <c r="G448" s="130" t="s">
        <v>726</v>
      </c>
      <c r="H448" s="133"/>
      <c r="I448" s="149"/>
      <c r="J448" s="133"/>
      <c r="K448" s="81" t="s">
        <v>2710</v>
      </c>
      <c r="L448" s="47" t="s">
        <v>2711</v>
      </c>
      <c r="M448" s="47" t="s">
        <v>2712</v>
      </c>
      <c r="N448" s="134">
        <v>23.336165</v>
      </c>
      <c r="O448" s="134">
        <v>91.814577</v>
      </c>
      <c r="P448" s="81">
        <v>340</v>
      </c>
      <c r="Q448" s="47"/>
      <c r="R448" s="81"/>
      <c r="S448" s="81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49"/>
      <c r="AI448" s="149"/>
      <c r="AJ448" s="133"/>
    </row>
    <row x14ac:dyDescent="0.25" r="449" customHeight="1" ht="18">
      <c r="A449" s="45">
        <v>443</v>
      </c>
      <c r="B449" s="46" t="s">
        <v>47</v>
      </c>
      <c r="C449" s="46" t="s">
        <v>48</v>
      </c>
      <c r="D449" s="47" t="s">
        <v>49</v>
      </c>
      <c r="E449" s="47" t="s">
        <v>1464</v>
      </c>
      <c r="F449" s="47" t="s">
        <v>2638</v>
      </c>
      <c r="G449" s="130" t="s">
        <v>726</v>
      </c>
      <c r="H449" s="133"/>
      <c r="I449" s="149"/>
      <c r="J449" s="133"/>
      <c r="K449" s="81" t="s">
        <v>2713</v>
      </c>
      <c r="L449" s="47" t="s">
        <v>2714</v>
      </c>
      <c r="M449" s="47" t="s">
        <v>2715</v>
      </c>
      <c r="N449" s="134">
        <v>23.301243</v>
      </c>
      <c r="O449" s="134">
        <v>91.798245</v>
      </c>
      <c r="P449" s="81">
        <v>260</v>
      </c>
      <c r="Q449" s="47"/>
      <c r="R449" s="81"/>
      <c r="S449" s="81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49"/>
      <c r="AI449" s="149"/>
      <c r="AJ449" s="133"/>
    </row>
    <row x14ac:dyDescent="0.25" r="450" customHeight="1" ht="18">
      <c r="A450" s="45">
        <v>444</v>
      </c>
      <c r="B450" s="46" t="s">
        <v>47</v>
      </c>
      <c r="C450" s="46" t="s">
        <v>48</v>
      </c>
      <c r="D450" s="47" t="s">
        <v>49</v>
      </c>
      <c r="E450" s="47" t="s">
        <v>1464</v>
      </c>
      <c r="F450" s="47" t="s">
        <v>2638</v>
      </c>
      <c r="G450" s="130" t="s">
        <v>726</v>
      </c>
      <c r="H450" s="133"/>
      <c r="I450" s="149"/>
      <c r="J450" s="133"/>
      <c r="K450" s="81" t="s">
        <v>2716</v>
      </c>
      <c r="L450" s="47" t="s">
        <v>2717</v>
      </c>
      <c r="M450" s="47" t="s">
        <v>2718</v>
      </c>
      <c r="N450" s="134">
        <v>23.340017</v>
      </c>
      <c r="O450" s="134">
        <v>91.81384</v>
      </c>
      <c r="P450" s="81"/>
      <c r="Q450" s="47"/>
      <c r="R450" s="81"/>
      <c r="S450" s="81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49"/>
      <c r="AI450" s="149"/>
      <c r="AJ450" s="133"/>
    </row>
    <row x14ac:dyDescent="0.25" r="451" customHeight="1" ht="18">
      <c r="A451" s="45">
        <v>445</v>
      </c>
      <c r="B451" s="46" t="s">
        <v>47</v>
      </c>
      <c r="C451" s="46" t="s">
        <v>48</v>
      </c>
      <c r="D451" s="47" t="s">
        <v>49</v>
      </c>
      <c r="E451" s="47" t="s">
        <v>1464</v>
      </c>
      <c r="F451" s="47" t="s">
        <v>2638</v>
      </c>
      <c r="G451" s="130" t="s">
        <v>726</v>
      </c>
      <c r="H451" s="133"/>
      <c r="I451" s="149"/>
      <c r="J451" s="133"/>
      <c r="K451" s="81" t="s">
        <v>2719</v>
      </c>
      <c r="L451" s="47" t="s">
        <v>2720</v>
      </c>
      <c r="M451" s="47" t="s">
        <v>2721</v>
      </c>
      <c r="N451" s="134">
        <v>23.348797</v>
      </c>
      <c r="O451" s="134">
        <v>91.825593</v>
      </c>
      <c r="P451" s="81"/>
      <c r="Q451" s="81"/>
      <c r="R451" s="81"/>
      <c r="S451" s="81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49"/>
      <c r="AI451" s="149"/>
      <c r="AJ451" s="133"/>
    </row>
    <row x14ac:dyDescent="0.25" r="452" customHeight="1" ht="18">
      <c r="A452" s="45">
        <v>446</v>
      </c>
      <c r="B452" s="46" t="s">
        <v>47</v>
      </c>
      <c r="C452" s="46" t="s">
        <v>48</v>
      </c>
      <c r="D452" s="47" t="s">
        <v>49</v>
      </c>
      <c r="E452" s="47" t="s">
        <v>1464</v>
      </c>
      <c r="F452" s="47" t="s">
        <v>2638</v>
      </c>
      <c r="G452" s="130" t="s">
        <v>742</v>
      </c>
      <c r="H452" s="133"/>
      <c r="I452" s="149"/>
      <c r="J452" s="133"/>
      <c r="K452" s="81" t="s">
        <v>2536</v>
      </c>
      <c r="L452" s="47" t="s">
        <v>2537</v>
      </c>
      <c r="M452" s="47" t="s">
        <v>2722</v>
      </c>
      <c r="N452" s="134">
        <v>23.292047</v>
      </c>
      <c r="O452" s="134">
        <v>91.795008</v>
      </c>
      <c r="P452" s="81">
        <v>2800</v>
      </c>
      <c r="Q452" s="47"/>
      <c r="R452" s="81"/>
      <c r="S452" s="81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49"/>
      <c r="AI452" s="149"/>
      <c r="AJ452" s="133"/>
    </row>
    <row x14ac:dyDescent="0.25" r="453" customHeight="1" ht="18">
      <c r="A453" s="45">
        <v>447</v>
      </c>
      <c r="B453" s="46" t="s">
        <v>47</v>
      </c>
      <c r="C453" s="46" t="s">
        <v>48</v>
      </c>
      <c r="D453" s="47" t="s">
        <v>49</v>
      </c>
      <c r="E453" s="47" t="s">
        <v>1464</v>
      </c>
      <c r="F453" s="47" t="s">
        <v>2638</v>
      </c>
      <c r="G453" s="130" t="s">
        <v>761</v>
      </c>
      <c r="H453" s="133"/>
      <c r="I453" s="149"/>
      <c r="J453" s="133"/>
      <c r="K453" s="81" t="s">
        <v>2723</v>
      </c>
      <c r="L453" s="47" t="s">
        <v>2724</v>
      </c>
      <c r="M453" s="47" t="s">
        <v>2725</v>
      </c>
      <c r="N453" s="134">
        <v>23.297875</v>
      </c>
      <c r="O453" s="134">
        <v>91.791757</v>
      </c>
      <c r="P453" s="81">
        <v>400</v>
      </c>
      <c r="Q453" s="47"/>
      <c r="R453" s="81"/>
      <c r="S453" s="81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49"/>
      <c r="AI453" s="149"/>
      <c r="AJ453" s="133"/>
    </row>
    <row x14ac:dyDescent="0.25" r="454" customHeight="1" ht="18">
      <c r="A454" s="45">
        <v>448</v>
      </c>
      <c r="B454" s="46" t="s">
        <v>47</v>
      </c>
      <c r="C454" s="46" t="s">
        <v>48</v>
      </c>
      <c r="D454" s="47" t="s">
        <v>49</v>
      </c>
      <c r="E454" s="47" t="s">
        <v>1464</v>
      </c>
      <c r="F454" s="47" t="s">
        <v>2638</v>
      </c>
      <c r="G454" s="130" t="s">
        <v>761</v>
      </c>
      <c r="H454" s="133"/>
      <c r="I454" s="149"/>
      <c r="J454" s="133"/>
      <c r="K454" s="81" t="s">
        <v>2726</v>
      </c>
      <c r="L454" s="47" t="s">
        <v>2727</v>
      </c>
      <c r="M454" s="47" t="s">
        <v>2728</v>
      </c>
      <c r="N454" s="134">
        <v>23.295506</v>
      </c>
      <c r="O454" s="134">
        <v>91.787617</v>
      </c>
      <c r="P454" s="81">
        <v>80</v>
      </c>
      <c r="Q454" s="47"/>
      <c r="R454" s="81"/>
      <c r="S454" s="81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49"/>
      <c r="AI454" s="149"/>
      <c r="AJ454" s="133"/>
    </row>
    <row x14ac:dyDescent="0.25" r="455" customHeight="1" ht="18">
      <c r="A455" s="45">
        <v>449</v>
      </c>
      <c r="B455" s="46" t="s">
        <v>47</v>
      </c>
      <c r="C455" s="46" t="s">
        <v>48</v>
      </c>
      <c r="D455" s="47" t="s">
        <v>49</v>
      </c>
      <c r="E455" s="47" t="s">
        <v>1464</v>
      </c>
      <c r="F455" s="47" t="s">
        <v>2638</v>
      </c>
      <c r="G455" s="130" t="s">
        <v>761</v>
      </c>
      <c r="H455" s="133"/>
      <c r="I455" s="149"/>
      <c r="J455" s="133"/>
      <c r="K455" s="81" t="s">
        <v>2729</v>
      </c>
      <c r="L455" s="47" t="s">
        <v>2730</v>
      </c>
      <c r="M455" s="47" t="s">
        <v>2731</v>
      </c>
      <c r="N455" s="134">
        <v>23.290903</v>
      </c>
      <c r="O455" s="134">
        <v>91.788363</v>
      </c>
      <c r="P455" s="81">
        <v>520</v>
      </c>
      <c r="Q455" s="47"/>
      <c r="R455" s="81"/>
      <c r="S455" s="81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49"/>
      <c r="AI455" s="149"/>
      <c r="AJ455" s="133"/>
    </row>
    <row x14ac:dyDescent="0.25" r="456" customHeight="1" ht="18">
      <c r="A456" s="45">
        <v>450</v>
      </c>
      <c r="B456" s="46" t="s">
        <v>47</v>
      </c>
      <c r="C456" s="46" t="s">
        <v>48</v>
      </c>
      <c r="D456" s="47" t="s">
        <v>49</v>
      </c>
      <c r="E456" s="47" t="s">
        <v>1464</v>
      </c>
      <c r="F456" s="47" t="s">
        <v>2638</v>
      </c>
      <c r="G456" s="130" t="s">
        <v>761</v>
      </c>
      <c r="H456" s="133"/>
      <c r="I456" s="149"/>
      <c r="J456" s="133"/>
      <c r="K456" s="81" t="s">
        <v>2732</v>
      </c>
      <c r="L456" s="47" t="s">
        <v>2733</v>
      </c>
      <c r="M456" s="47" t="s">
        <v>2734</v>
      </c>
      <c r="N456" s="134">
        <v>23.291566</v>
      </c>
      <c r="O456" s="134">
        <v>91.784744</v>
      </c>
      <c r="P456" s="81">
        <v>680</v>
      </c>
      <c r="Q456" s="47"/>
      <c r="R456" s="81"/>
      <c r="S456" s="81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49"/>
      <c r="AI456" s="149"/>
      <c r="AJ456" s="133"/>
    </row>
    <row x14ac:dyDescent="0.25" r="457" customHeight="1" ht="18">
      <c r="A457" s="45">
        <v>451</v>
      </c>
      <c r="B457" s="46" t="s">
        <v>47</v>
      </c>
      <c r="C457" s="46" t="s">
        <v>48</v>
      </c>
      <c r="D457" s="47" t="s">
        <v>49</v>
      </c>
      <c r="E457" s="47" t="s">
        <v>1464</v>
      </c>
      <c r="F457" s="47" t="s">
        <v>2638</v>
      </c>
      <c r="G457" s="130" t="s">
        <v>781</v>
      </c>
      <c r="H457" s="133"/>
      <c r="I457" s="149"/>
      <c r="J457" s="133"/>
      <c r="K457" s="81" t="s">
        <v>2735</v>
      </c>
      <c r="L457" s="47" t="s">
        <v>2736</v>
      </c>
      <c r="M457" s="47" t="s">
        <v>2737</v>
      </c>
      <c r="N457" s="134">
        <v>23.281149</v>
      </c>
      <c r="O457" s="134">
        <v>91.782357</v>
      </c>
      <c r="P457" s="81">
        <v>480</v>
      </c>
      <c r="Q457" s="47"/>
      <c r="R457" s="81"/>
      <c r="S457" s="81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49"/>
      <c r="AI457" s="149"/>
      <c r="AJ457" s="133"/>
    </row>
    <row x14ac:dyDescent="0.25" r="458" customHeight="1" ht="18">
      <c r="A458" s="45">
        <v>452</v>
      </c>
      <c r="B458" s="46" t="s">
        <v>47</v>
      </c>
      <c r="C458" s="46" t="s">
        <v>48</v>
      </c>
      <c r="D458" s="47" t="s">
        <v>49</v>
      </c>
      <c r="E458" s="47" t="s">
        <v>1464</v>
      </c>
      <c r="F458" s="47" t="s">
        <v>2638</v>
      </c>
      <c r="G458" s="130" t="s">
        <v>781</v>
      </c>
      <c r="H458" s="133"/>
      <c r="I458" s="149"/>
      <c r="J458" s="133"/>
      <c r="K458" s="81" t="s">
        <v>2738</v>
      </c>
      <c r="L458" s="47" t="s">
        <v>2739</v>
      </c>
      <c r="M458" s="47" t="s">
        <v>2740</v>
      </c>
      <c r="N458" s="134">
        <v>23.283327</v>
      </c>
      <c r="O458" s="134">
        <v>91.784763</v>
      </c>
      <c r="P458" s="81">
        <v>400</v>
      </c>
      <c r="Q458" s="47"/>
      <c r="R458" s="81"/>
      <c r="S458" s="81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49"/>
      <c r="AI458" s="149"/>
      <c r="AJ458" s="133"/>
    </row>
    <row x14ac:dyDescent="0.25" r="459" customHeight="1" ht="18">
      <c r="A459" s="45">
        <v>453</v>
      </c>
      <c r="B459" s="46" t="s">
        <v>47</v>
      </c>
      <c r="C459" s="46" t="s">
        <v>48</v>
      </c>
      <c r="D459" s="47" t="s">
        <v>49</v>
      </c>
      <c r="E459" s="47" t="s">
        <v>1464</v>
      </c>
      <c r="F459" s="47" t="s">
        <v>2638</v>
      </c>
      <c r="G459" s="130" t="s">
        <v>781</v>
      </c>
      <c r="H459" s="133"/>
      <c r="I459" s="149"/>
      <c r="J459" s="133"/>
      <c r="K459" s="81" t="s">
        <v>2741</v>
      </c>
      <c r="L459" s="47" t="s">
        <v>2742</v>
      </c>
      <c r="M459" s="47" t="s">
        <v>2743</v>
      </c>
      <c r="N459" s="134">
        <v>23.284048</v>
      </c>
      <c r="O459" s="134">
        <v>91.788436</v>
      </c>
      <c r="P459" s="81">
        <v>320</v>
      </c>
      <c r="Q459" s="47"/>
      <c r="R459" s="81"/>
      <c r="S459" s="81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49"/>
      <c r="AI459" s="149"/>
      <c r="AJ459" s="133"/>
    </row>
    <row x14ac:dyDescent="0.25" r="460" customHeight="1" ht="18">
      <c r="A460" s="45">
        <v>454</v>
      </c>
      <c r="B460" s="46" t="s">
        <v>47</v>
      </c>
      <c r="C460" s="46" t="s">
        <v>48</v>
      </c>
      <c r="D460" s="47" t="s">
        <v>49</v>
      </c>
      <c r="E460" s="47" t="s">
        <v>1464</v>
      </c>
      <c r="F460" s="47" t="s">
        <v>2638</v>
      </c>
      <c r="G460" s="130" t="s">
        <v>781</v>
      </c>
      <c r="H460" s="133"/>
      <c r="I460" s="149"/>
      <c r="J460" s="133"/>
      <c r="K460" s="81" t="s">
        <v>2744</v>
      </c>
      <c r="L460" s="47" t="s">
        <v>2745</v>
      </c>
      <c r="M460" s="47" t="s">
        <v>2746</v>
      </c>
      <c r="N460" s="134">
        <v>23.273918</v>
      </c>
      <c r="O460" s="134">
        <v>91.778329</v>
      </c>
      <c r="P460" s="81">
        <v>260</v>
      </c>
      <c r="Q460" s="47"/>
      <c r="R460" s="81"/>
      <c r="S460" s="81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49"/>
      <c r="AI460" s="149"/>
      <c r="AJ460" s="133"/>
    </row>
    <row x14ac:dyDescent="0.25" r="461" customHeight="1" ht="18">
      <c r="A461" s="45">
        <v>455</v>
      </c>
      <c r="B461" s="46" t="s">
        <v>47</v>
      </c>
      <c r="C461" s="46" t="s">
        <v>48</v>
      </c>
      <c r="D461" s="47" t="s">
        <v>49</v>
      </c>
      <c r="E461" s="47" t="s">
        <v>1464</v>
      </c>
      <c r="F461" s="47" t="s">
        <v>2638</v>
      </c>
      <c r="G461" s="130" t="s">
        <v>781</v>
      </c>
      <c r="H461" s="133"/>
      <c r="I461" s="149"/>
      <c r="J461" s="133"/>
      <c r="K461" s="81" t="s">
        <v>2747</v>
      </c>
      <c r="L461" s="47" t="s">
        <v>2748</v>
      </c>
      <c r="M461" s="47" t="s">
        <v>2749</v>
      </c>
      <c r="N461" s="134">
        <v>23.278724</v>
      </c>
      <c r="O461" s="134">
        <v>91.780217</v>
      </c>
      <c r="P461" s="81">
        <v>25</v>
      </c>
      <c r="Q461" s="47"/>
      <c r="R461" s="81"/>
      <c r="S461" s="81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49"/>
      <c r="AI461" s="149"/>
      <c r="AJ461" s="133"/>
    </row>
    <row x14ac:dyDescent="0.25" r="462" customHeight="1" ht="18">
      <c r="A462" s="45">
        <v>456</v>
      </c>
      <c r="B462" s="46" t="s">
        <v>47</v>
      </c>
      <c r="C462" s="46" t="s">
        <v>48</v>
      </c>
      <c r="D462" s="47" t="s">
        <v>49</v>
      </c>
      <c r="E462" s="47" t="s">
        <v>1464</v>
      </c>
      <c r="F462" s="47" t="s">
        <v>2638</v>
      </c>
      <c r="G462" s="130" t="s">
        <v>781</v>
      </c>
      <c r="H462" s="133"/>
      <c r="I462" s="149"/>
      <c r="J462" s="133"/>
      <c r="K462" s="81" t="s">
        <v>2750</v>
      </c>
      <c r="L462" s="47" t="s">
        <v>2751</v>
      </c>
      <c r="M462" s="47" t="s">
        <v>2752</v>
      </c>
      <c r="N462" s="134">
        <v>23.280836</v>
      </c>
      <c r="O462" s="134">
        <v>91.782379</v>
      </c>
      <c r="P462" s="81">
        <v>15</v>
      </c>
      <c r="Q462" s="47"/>
      <c r="R462" s="81"/>
      <c r="S462" s="81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49"/>
      <c r="AI462" s="149"/>
      <c r="AJ462" s="133"/>
    </row>
    <row x14ac:dyDescent="0.25" r="463" customHeight="1" ht="18">
      <c r="A463" s="45">
        <v>457</v>
      </c>
      <c r="B463" s="46" t="s">
        <v>47</v>
      </c>
      <c r="C463" s="46" t="s">
        <v>48</v>
      </c>
      <c r="D463" s="47" t="s">
        <v>49</v>
      </c>
      <c r="E463" s="47" t="s">
        <v>1464</v>
      </c>
      <c r="F463" s="47" t="s">
        <v>2638</v>
      </c>
      <c r="G463" s="130" t="s">
        <v>797</v>
      </c>
      <c r="H463" s="133"/>
      <c r="I463" s="149"/>
      <c r="J463" s="133"/>
      <c r="K463" s="81" t="s">
        <v>364</v>
      </c>
      <c r="L463" s="47" t="s">
        <v>1084</v>
      </c>
      <c r="M463" s="47" t="s">
        <v>2753</v>
      </c>
      <c r="N463" s="134">
        <v>23.286518</v>
      </c>
      <c r="O463" s="134">
        <v>91.801312</v>
      </c>
      <c r="P463" s="81">
        <v>740</v>
      </c>
      <c r="Q463" s="47"/>
      <c r="R463" s="81"/>
      <c r="S463" s="81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49"/>
      <c r="AI463" s="149"/>
      <c r="AJ463" s="133"/>
    </row>
    <row x14ac:dyDescent="0.25" r="464" customHeight="1" ht="18">
      <c r="A464" s="45">
        <v>458</v>
      </c>
      <c r="B464" s="46" t="s">
        <v>47</v>
      </c>
      <c r="C464" s="46" t="s">
        <v>48</v>
      </c>
      <c r="D464" s="47" t="s">
        <v>49</v>
      </c>
      <c r="E464" s="47" t="s">
        <v>1464</v>
      </c>
      <c r="F464" s="47" t="s">
        <v>2638</v>
      </c>
      <c r="G464" s="130" t="s">
        <v>797</v>
      </c>
      <c r="H464" s="133"/>
      <c r="I464" s="149"/>
      <c r="J464" s="133"/>
      <c r="K464" s="81" t="s">
        <v>2754</v>
      </c>
      <c r="L464" s="47" t="s">
        <v>2755</v>
      </c>
      <c r="M464" s="47" t="s">
        <v>2756</v>
      </c>
      <c r="N464" s="134">
        <v>23.296425</v>
      </c>
      <c r="O464" s="134">
        <v>91.829146</v>
      </c>
      <c r="P464" s="81">
        <v>240</v>
      </c>
      <c r="Q464" s="47"/>
      <c r="R464" s="81"/>
      <c r="S464" s="81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49"/>
      <c r="AI464" s="149"/>
      <c r="AJ464" s="133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74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2.290714285714287" customWidth="1" bestFit="1"/>
    <col min="3" max="3" style="85" width="13.576428571428572" customWidth="1" bestFit="1"/>
    <col min="4" max="4" style="86" width="9.576428571428572" customWidth="1" bestFit="1"/>
    <col min="5" max="5" style="85" width="11.005" customWidth="1" bestFit="1"/>
    <col min="6" max="6" style="85" width="13.290714285714287" customWidth="1" bestFit="1"/>
    <col min="7" max="7" style="140" width="6.862142857142857" customWidth="1" bestFit="1"/>
    <col min="8" max="8" style="91" width="19.719285714285714" customWidth="1" bestFit="1"/>
    <col min="9" max="9" style="92" width="7.2907142857142855" customWidth="1" bestFit="1"/>
    <col min="10" max="10" style="91" width="15.719285714285713" customWidth="1" bestFit="1"/>
    <col min="11" max="11" style="88" width="22.005" customWidth="1" bestFit="1"/>
    <col min="12" max="12" style="85" width="19.290714285714284" customWidth="1" bestFit="1"/>
    <col min="13" max="13" style="86" width="8.290714285714287" customWidth="1" bestFit="1"/>
    <col min="14" max="14" style="141" width="9.719285714285713" customWidth="1" bestFit="1"/>
    <col min="15" max="15" style="141" width="10.43357142857143" customWidth="1" bestFit="1"/>
    <col min="16" max="16" style="88" width="8.719285714285713" customWidth="1" bestFit="1"/>
    <col min="17" max="17" style="85" width="8.719285714285713" customWidth="1" bestFit="1"/>
    <col min="18" max="18" style="85" width="7.2907142857142855" customWidth="1" bestFit="1"/>
    <col min="19" max="19" style="85" width="7.433571428571429" customWidth="1" bestFit="1"/>
    <col min="20" max="20" style="89" width="7.2907142857142855" customWidth="1" bestFit="1"/>
    <col min="21" max="21" style="91" width="4.719285714285714" customWidth="1" bestFit="1"/>
    <col min="22" max="22" style="91" width="4.719285714285714" customWidth="1" bestFit="1"/>
    <col min="23" max="23" style="91" width="4.719285714285714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86" width="15.005" customWidth="1" bestFit="1"/>
    <col min="34" max="34" style="92" width="13.005" customWidth="1" bestFit="1"/>
    <col min="35" max="35" style="92" width="13.005" customWidth="1" bestFit="1"/>
    <col min="36" max="36" style="91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19" t="s">
        <v>0</v>
      </c>
      <c r="H1" s="4" t="s">
        <v>1</v>
      </c>
      <c r="I1" s="5">
        <f>COUNTIF(I7:I407,"SK(H)")</f>
      </c>
      <c r="J1" s="4" t="s">
        <v>2</v>
      </c>
      <c r="K1" s="6">
        <f>COUNTA(J7:J423)</f>
      </c>
      <c r="L1" s="7"/>
      <c r="M1" s="7"/>
      <c r="N1" s="120"/>
      <c r="O1" s="120"/>
      <c r="P1" s="121"/>
      <c r="Q1" s="122"/>
      <c r="R1" s="122"/>
      <c r="S1" s="122"/>
      <c r="T1" s="9"/>
      <c r="U1" s="11"/>
      <c r="V1" s="11"/>
      <c r="W1" s="11"/>
      <c r="X1" s="11"/>
      <c r="Y1" s="11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23"/>
      <c r="H2" s="4" t="s">
        <v>4</v>
      </c>
      <c r="I2" s="5">
        <f>COUNTIF(I7:I408,"SHW(H)")</f>
      </c>
      <c r="J2" s="4" t="s">
        <v>5</v>
      </c>
      <c r="K2" s="6">
        <f>COUNTA(K7:K274)</f>
      </c>
      <c r="L2" s="7"/>
      <c r="M2" s="7"/>
      <c r="N2" s="120"/>
      <c r="O2" s="120"/>
      <c r="P2" s="121"/>
      <c r="Q2" s="122"/>
      <c r="R2" s="122"/>
      <c r="S2" s="122"/>
      <c r="T2" s="9"/>
      <c r="U2" s="11"/>
      <c r="V2" s="11"/>
      <c r="W2" s="11"/>
      <c r="X2" s="11"/>
      <c r="Y2" s="11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23"/>
      <c r="H3" s="7"/>
      <c r="I3" s="17"/>
      <c r="J3" s="7"/>
      <c r="K3" s="18"/>
      <c r="L3" s="7"/>
      <c r="M3" s="7"/>
      <c r="N3" s="120"/>
      <c r="O3" s="120"/>
      <c r="P3" s="121"/>
      <c r="Q3" s="122"/>
      <c r="R3" s="122"/>
      <c r="S3" s="122"/>
      <c r="T3" s="9"/>
      <c r="U3" s="11"/>
      <c r="V3" s="11"/>
      <c r="W3" s="11"/>
      <c r="X3" s="11"/>
      <c r="Y3" s="11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24"/>
      <c r="H4" s="2"/>
      <c r="I4" s="14"/>
      <c r="J4" s="11"/>
      <c r="K4" s="20"/>
      <c r="L4" s="12"/>
      <c r="M4" s="12"/>
      <c r="N4" s="125"/>
      <c r="O4" s="125"/>
      <c r="P4" s="121"/>
      <c r="Q4" s="122"/>
      <c r="R4" s="122"/>
      <c r="S4" s="122"/>
      <c r="T4" s="9"/>
      <c r="U4" s="11"/>
      <c r="V4" s="11"/>
      <c r="W4" s="11"/>
      <c r="X4" s="11"/>
      <c r="Y4" s="11"/>
      <c r="Z4" s="12"/>
      <c r="AA4" s="2"/>
      <c r="AB4" s="2"/>
      <c r="AC4" s="2"/>
      <c r="AD4" s="12"/>
      <c r="AE4" s="12"/>
      <c r="AF4" s="11"/>
      <c r="AG4" s="12"/>
      <c r="AH4" s="13"/>
      <c r="AI4" s="21"/>
      <c r="AJ4" s="11"/>
    </row>
    <row x14ac:dyDescent="0.25" r="5" customHeight="1" ht="19.8">
      <c r="A5" s="22" t="s">
        <v>8</v>
      </c>
      <c r="B5" s="23"/>
      <c r="C5" s="23"/>
      <c r="D5" s="23"/>
      <c r="E5" s="23" t="s">
        <v>675</v>
      </c>
      <c r="F5" s="23"/>
      <c r="G5" s="126"/>
      <c r="H5" s="12"/>
      <c r="I5" s="14"/>
      <c r="J5" s="2"/>
      <c r="K5" s="24"/>
      <c r="L5" s="25"/>
      <c r="M5" s="25"/>
      <c r="N5" s="127"/>
      <c r="O5" s="127"/>
      <c r="P5" s="26"/>
      <c r="Q5" s="27"/>
      <c r="R5" s="27"/>
      <c r="S5" s="27"/>
      <c r="T5" s="2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128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129" t="s">
        <v>24</v>
      </c>
      <c r="O6" s="129" t="s">
        <v>25</v>
      </c>
      <c r="P6" s="39" t="s">
        <v>26</v>
      </c>
      <c r="Q6" s="34" t="s">
        <v>27</v>
      </c>
      <c r="R6" s="34" t="s">
        <v>28</v>
      </c>
      <c r="S6" s="34" t="s">
        <v>29</v>
      </c>
      <c r="T6" s="34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7" t="s">
        <v>675</v>
      </c>
      <c r="F7" s="47" t="s">
        <v>676</v>
      </c>
      <c r="G7" s="130" t="s">
        <v>677</v>
      </c>
      <c r="H7" s="131"/>
      <c r="I7" s="132"/>
      <c r="J7" s="76"/>
      <c r="K7" s="81" t="s">
        <v>678</v>
      </c>
      <c r="L7" s="47" t="s">
        <v>679</v>
      </c>
      <c r="M7" s="133" t="s">
        <v>680</v>
      </c>
      <c r="N7" s="134">
        <v>23.330325</v>
      </c>
      <c r="O7" s="134">
        <v>92.037638</v>
      </c>
      <c r="P7" s="81">
        <v>950</v>
      </c>
      <c r="Q7" s="47"/>
      <c r="R7" s="81"/>
      <c r="S7" s="81"/>
      <c r="T7" s="7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7" t="s">
        <v>675</v>
      </c>
      <c r="F8" s="47" t="s">
        <v>676</v>
      </c>
      <c r="G8" s="130" t="s">
        <v>677</v>
      </c>
      <c r="H8" s="131"/>
      <c r="I8" s="132"/>
      <c r="J8" s="76"/>
      <c r="K8" s="81" t="s">
        <v>681</v>
      </c>
      <c r="L8" s="47" t="s">
        <v>682</v>
      </c>
      <c r="M8" s="133" t="s">
        <v>683</v>
      </c>
      <c r="N8" s="134">
        <v>23.337163</v>
      </c>
      <c r="O8" s="134">
        <v>92.035917</v>
      </c>
      <c r="P8" s="81">
        <v>1150</v>
      </c>
      <c r="Q8" s="47"/>
      <c r="R8" s="81"/>
      <c r="S8" s="81"/>
      <c r="T8" s="7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7" t="s">
        <v>675</v>
      </c>
      <c r="F9" s="47" t="s">
        <v>676</v>
      </c>
      <c r="G9" s="130" t="s">
        <v>684</v>
      </c>
      <c r="H9" s="131"/>
      <c r="I9" s="132"/>
      <c r="J9" s="76"/>
      <c r="K9" s="81" t="s">
        <v>685</v>
      </c>
      <c r="L9" s="47" t="s">
        <v>686</v>
      </c>
      <c r="M9" s="133" t="s">
        <v>687</v>
      </c>
      <c r="N9" s="134">
        <v>23.343573</v>
      </c>
      <c r="O9" s="134">
        <v>92.035029</v>
      </c>
      <c r="P9" s="81">
        <v>750</v>
      </c>
      <c r="Q9" s="47"/>
      <c r="R9" s="81"/>
      <c r="S9" s="81"/>
      <c r="T9" s="7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7" t="s">
        <v>675</v>
      </c>
      <c r="F10" s="47" t="s">
        <v>676</v>
      </c>
      <c r="G10" s="130" t="s">
        <v>684</v>
      </c>
      <c r="H10" s="131"/>
      <c r="I10" s="132"/>
      <c r="J10" s="76"/>
      <c r="K10" s="81" t="s">
        <v>688</v>
      </c>
      <c r="L10" s="47" t="s">
        <v>689</v>
      </c>
      <c r="M10" s="133" t="s">
        <v>690</v>
      </c>
      <c r="N10" s="134">
        <v>23.352687</v>
      </c>
      <c r="O10" s="134">
        <v>92.031294</v>
      </c>
      <c r="P10" s="81">
        <v>500</v>
      </c>
      <c r="Q10" s="47"/>
      <c r="R10" s="81"/>
      <c r="S10" s="81"/>
      <c r="T10" s="7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7" t="s">
        <v>675</v>
      </c>
      <c r="F11" s="47" t="s">
        <v>676</v>
      </c>
      <c r="G11" s="130" t="s">
        <v>684</v>
      </c>
      <c r="H11" s="131"/>
      <c r="I11" s="132"/>
      <c r="J11" s="76"/>
      <c r="K11" s="81" t="s">
        <v>691</v>
      </c>
      <c r="L11" s="47" t="s">
        <v>692</v>
      </c>
      <c r="M11" s="133" t="s">
        <v>693</v>
      </c>
      <c r="N11" s="134">
        <v>23.357357</v>
      </c>
      <c r="O11" s="134">
        <v>92.033806</v>
      </c>
      <c r="P11" s="81">
        <v>650</v>
      </c>
      <c r="Q11" s="47"/>
      <c r="R11" s="81"/>
      <c r="S11" s="81"/>
      <c r="T11" s="7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7" t="s">
        <v>675</v>
      </c>
      <c r="F12" s="47" t="s">
        <v>676</v>
      </c>
      <c r="G12" s="130" t="s">
        <v>684</v>
      </c>
      <c r="H12" s="131"/>
      <c r="I12" s="132"/>
      <c r="J12" s="76"/>
      <c r="K12" s="81" t="s">
        <v>694</v>
      </c>
      <c r="L12" s="47" t="s">
        <v>695</v>
      </c>
      <c r="M12" s="133" t="s">
        <v>696</v>
      </c>
      <c r="N12" s="134">
        <v>23.363766</v>
      </c>
      <c r="O12" s="134">
        <v>92.03811</v>
      </c>
      <c r="P12" s="81">
        <v>300</v>
      </c>
      <c r="Q12" s="47"/>
      <c r="R12" s="81"/>
      <c r="S12" s="81"/>
      <c r="T12" s="7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7" t="s">
        <v>675</v>
      </c>
      <c r="F13" s="47" t="s">
        <v>676</v>
      </c>
      <c r="G13" s="130" t="s">
        <v>697</v>
      </c>
      <c r="H13" s="131"/>
      <c r="I13" s="132"/>
      <c r="J13" s="76"/>
      <c r="K13" s="81" t="s">
        <v>698</v>
      </c>
      <c r="L13" s="47" t="s">
        <v>699</v>
      </c>
      <c r="M13" s="133" t="s">
        <v>700</v>
      </c>
      <c r="N13" s="134">
        <v>23.3642</v>
      </c>
      <c r="O13" s="134">
        <v>92.028344</v>
      </c>
      <c r="P13" s="81">
        <v>400</v>
      </c>
      <c r="Q13" s="47"/>
      <c r="R13" s="81"/>
      <c r="S13" s="81"/>
      <c r="T13" s="7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7" t="s">
        <v>675</v>
      </c>
      <c r="F14" s="47" t="s">
        <v>676</v>
      </c>
      <c r="G14" s="130" t="s">
        <v>697</v>
      </c>
      <c r="H14" s="76"/>
      <c r="I14" s="132"/>
      <c r="J14" s="76"/>
      <c r="K14" s="81" t="s">
        <v>701</v>
      </c>
      <c r="L14" s="47" t="s">
        <v>702</v>
      </c>
      <c r="M14" s="133" t="s">
        <v>703</v>
      </c>
      <c r="N14" s="134">
        <v>23.383899</v>
      </c>
      <c r="O14" s="134">
        <v>92.034815</v>
      </c>
      <c r="P14" s="81">
        <v>250</v>
      </c>
      <c r="Q14" s="47"/>
      <c r="R14" s="81"/>
      <c r="S14" s="81"/>
      <c r="T14" s="135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7" t="s">
        <v>675</v>
      </c>
      <c r="F15" s="47" t="s">
        <v>676</v>
      </c>
      <c r="G15" s="130" t="s">
        <v>697</v>
      </c>
      <c r="H15" s="76"/>
      <c r="I15" s="132"/>
      <c r="J15" s="76"/>
      <c r="K15" s="81" t="s">
        <v>704</v>
      </c>
      <c r="L15" s="47" t="s">
        <v>705</v>
      </c>
      <c r="M15" s="133" t="s">
        <v>706</v>
      </c>
      <c r="N15" s="134">
        <v>23.382502</v>
      </c>
      <c r="O15" s="134">
        <v>92.023296</v>
      </c>
      <c r="P15" s="81">
        <v>646</v>
      </c>
      <c r="Q15" s="47"/>
      <c r="R15" s="81"/>
      <c r="S15" s="81"/>
      <c r="T15" s="135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7" t="s">
        <v>675</v>
      </c>
      <c r="F16" s="47" t="s">
        <v>676</v>
      </c>
      <c r="G16" s="130" t="s">
        <v>707</v>
      </c>
      <c r="H16" s="76"/>
      <c r="I16" s="132"/>
      <c r="J16" s="76"/>
      <c r="K16" s="81" t="s">
        <v>708</v>
      </c>
      <c r="L16" s="47" t="s">
        <v>709</v>
      </c>
      <c r="M16" s="133" t="s">
        <v>710</v>
      </c>
      <c r="N16" s="134">
        <v>23.330321</v>
      </c>
      <c r="O16" s="134">
        <v>92.006932</v>
      </c>
      <c r="P16" s="81">
        <v>210</v>
      </c>
      <c r="Q16" s="47"/>
      <c r="R16" s="81"/>
      <c r="S16" s="81"/>
      <c r="T16" s="135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7" t="s">
        <v>675</v>
      </c>
      <c r="F17" s="47" t="s">
        <v>676</v>
      </c>
      <c r="G17" s="130" t="s">
        <v>707</v>
      </c>
      <c r="H17" s="76"/>
      <c r="I17" s="132"/>
      <c r="J17" s="136"/>
      <c r="K17" s="81" t="s">
        <v>711</v>
      </c>
      <c r="L17" s="47" t="s">
        <v>712</v>
      </c>
      <c r="M17" s="133" t="s">
        <v>713</v>
      </c>
      <c r="N17" s="134">
        <v>23.340529</v>
      </c>
      <c r="O17" s="134">
        <v>92.007042</v>
      </c>
      <c r="P17" s="81">
        <v>40</v>
      </c>
      <c r="Q17" s="47"/>
      <c r="R17" s="81"/>
      <c r="S17" s="81"/>
      <c r="T17" s="135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7" t="s">
        <v>675</v>
      </c>
      <c r="F18" s="47" t="s">
        <v>676</v>
      </c>
      <c r="G18" s="130" t="s">
        <v>707</v>
      </c>
      <c r="H18" s="76"/>
      <c r="I18" s="132"/>
      <c r="J18" s="76"/>
      <c r="K18" s="81" t="s">
        <v>714</v>
      </c>
      <c r="L18" s="47" t="s">
        <v>715</v>
      </c>
      <c r="M18" s="133" t="s">
        <v>716</v>
      </c>
      <c r="N18" s="134">
        <v>23.324688</v>
      </c>
      <c r="O18" s="134">
        <v>92.008781</v>
      </c>
      <c r="P18" s="81">
        <v>15</v>
      </c>
      <c r="Q18" s="47"/>
      <c r="R18" s="81"/>
      <c r="S18" s="81"/>
      <c r="T18" s="135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7" t="s">
        <v>675</v>
      </c>
      <c r="F19" s="47" t="s">
        <v>676</v>
      </c>
      <c r="G19" s="130" t="s">
        <v>707</v>
      </c>
      <c r="H19" s="76"/>
      <c r="I19" s="132"/>
      <c r="J19" s="76"/>
      <c r="K19" s="81" t="s">
        <v>717</v>
      </c>
      <c r="L19" s="47" t="s">
        <v>718</v>
      </c>
      <c r="M19" s="133" t="s">
        <v>719</v>
      </c>
      <c r="N19" s="134">
        <v>23.344548</v>
      </c>
      <c r="O19" s="134">
        <v>92.031802</v>
      </c>
      <c r="P19" s="81">
        <v>260</v>
      </c>
      <c r="Q19" s="47"/>
      <c r="R19" s="81"/>
      <c r="S19" s="81"/>
      <c r="T19" s="135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7" t="s">
        <v>675</v>
      </c>
      <c r="F20" s="47" t="s">
        <v>676</v>
      </c>
      <c r="G20" s="130" t="s">
        <v>707</v>
      </c>
      <c r="H20" s="76"/>
      <c r="I20" s="132"/>
      <c r="J20" s="76"/>
      <c r="K20" s="81" t="s">
        <v>720</v>
      </c>
      <c r="L20" s="47" t="s">
        <v>721</v>
      </c>
      <c r="M20" s="133" t="s">
        <v>722</v>
      </c>
      <c r="N20" s="134">
        <v>23.326712</v>
      </c>
      <c r="O20" s="134">
        <v>92.028874</v>
      </c>
      <c r="P20" s="81">
        <v>520</v>
      </c>
      <c r="Q20" s="47"/>
      <c r="R20" s="81"/>
      <c r="S20" s="81"/>
      <c r="T20" s="135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7" t="s">
        <v>675</v>
      </c>
      <c r="F21" s="47" t="s">
        <v>676</v>
      </c>
      <c r="G21" s="130" t="s">
        <v>707</v>
      </c>
      <c r="H21" s="76"/>
      <c r="I21" s="132"/>
      <c r="J21" s="76"/>
      <c r="K21" s="81" t="s">
        <v>723</v>
      </c>
      <c r="L21" s="47" t="s">
        <v>724</v>
      </c>
      <c r="M21" s="133" t="s">
        <v>725</v>
      </c>
      <c r="N21" s="134">
        <v>23.3386</v>
      </c>
      <c r="O21" s="134">
        <v>92.02851</v>
      </c>
      <c r="P21" s="81">
        <v>445</v>
      </c>
      <c r="Q21" s="47"/>
      <c r="R21" s="81"/>
      <c r="S21" s="81"/>
      <c r="T21" s="7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7" t="s">
        <v>675</v>
      </c>
      <c r="F22" s="47" t="s">
        <v>676</v>
      </c>
      <c r="G22" s="130" t="s">
        <v>726</v>
      </c>
      <c r="H22" s="76"/>
      <c r="I22" s="132"/>
      <c r="J22" s="76"/>
      <c r="K22" s="81" t="s">
        <v>727</v>
      </c>
      <c r="L22" s="47" t="s">
        <v>728</v>
      </c>
      <c r="M22" s="133" t="s">
        <v>729</v>
      </c>
      <c r="N22" s="134">
        <v>23.345201</v>
      </c>
      <c r="O22" s="134">
        <v>92.027419</v>
      </c>
      <c r="P22" s="81">
        <v>285</v>
      </c>
      <c r="Q22" s="47"/>
      <c r="R22" s="81"/>
      <c r="S22" s="81"/>
      <c r="T22" s="135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7" t="s">
        <v>675</v>
      </c>
      <c r="F23" s="47" t="s">
        <v>676</v>
      </c>
      <c r="G23" s="130" t="s">
        <v>726</v>
      </c>
      <c r="H23" s="131"/>
      <c r="I23" s="132"/>
      <c r="J23" s="76"/>
      <c r="K23" s="81" t="s">
        <v>730</v>
      </c>
      <c r="L23" s="47" t="s">
        <v>731</v>
      </c>
      <c r="M23" s="133" t="s">
        <v>732</v>
      </c>
      <c r="N23" s="134">
        <v>23.350012</v>
      </c>
      <c r="O23" s="134">
        <v>92.023066</v>
      </c>
      <c r="P23" s="81">
        <v>405</v>
      </c>
      <c r="Q23" s="47"/>
      <c r="R23" s="81"/>
      <c r="S23" s="81"/>
      <c r="T23" s="135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7" t="s">
        <v>675</v>
      </c>
      <c r="F24" s="47" t="s">
        <v>676</v>
      </c>
      <c r="G24" s="130" t="s">
        <v>726</v>
      </c>
      <c r="H24" s="131"/>
      <c r="I24" s="132"/>
      <c r="J24" s="76"/>
      <c r="K24" s="81" t="s">
        <v>733</v>
      </c>
      <c r="L24" s="47" t="s">
        <v>734</v>
      </c>
      <c r="M24" s="133" t="s">
        <v>735</v>
      </c>
      <c r="N24" s="134">
        <v>23.356685</v>
      </c>
      <c r="O24" s="134">
        <v>92.02498</v>
      </c>
      <c r="P24" s="81">
        <v>220</v>
      </c>
      <c r="Q24" s="47"/>
      <c r="R24" s="81"/>
      <c r="S24" s="81"/>
      <c r="T24" s="135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7" t="s">
        <v>675</v>
      </c>
      <c r="F25" s="47" t="s">
        <v>676</v>
      </c>
      <c r="G25" s="130" t="s">
        <v>726</v>
      </c>
      <c r="H25" s="131"/>
      <c r="I25" s="132"/>
      <c r="J25" s="76"/>
      <c r="K25" s="81" t="s">
        <v>736</v>
      </c>
      <c r="L25" s="47" t="s">
        <v>737</v>
      </c>
      <c r="M25" s="133" t="s">
        <v>738</v>
      </c>
      <c r="N25" s="134">
        <v>23.365345</v>
      </c>
      <c r="O25" s="134">
        <v>92.016378</v>
      </c>
      <c r="P25" s="81">
        <v>84</v>
      </c>
      <c r="Q25" s="47"/>
      <c r="R25" s="81"/>
      <c r="S25" s="81"/>
      <c r="T25" s="135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7" t="s">
        <v>675</v>
      </c>
      <c r="F26" s="47" t="s">
        <v>676</v>
      </c>
      <c r="G26" s="130" t="s">
        <v>726</v>
      </c>
      <c r="H26" s="131"/>
      <c r="I26" s="132"/>
      <c r="J26" s="76"/>
      <c r="K26" s="81" t="s">
        <v>739</v>
      </c>
      <c r="L26" s="47" t="s">
        <v>740</v>
      </c>
      <c r="M26" s="133" t="s">
        <v>741</v>
      </c>
      <c r="N26" s="134">
        <v>23.364732</v>
      </c>
      <c r="O26" s="134">
        <v>92.009121</v>
      </c>
      <c r="P26" s="81">
        <v>280</v>
      </c>
      <c r="Q26" s="47"/>
      <c r="R26" s="81"/>
      <c r="S26" s="81"/>
      <c r="T26" s="135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7" t="s">
        <v>675</v>
      </c>
      <c r="F27" s="47" t="s">
        <v>676</v>
      </c>
      <c r="G27" s="130" t="s">
        <v>742</v>
      </c>
      <c r="H27" s="131"/>
      <c r="I27" s="132"/>
      <c r="J27" s="76"/>
      <c r="K27" s="81" t="s">
        <v>743</v>
      </c>
      <c r="L27" s="47" t="s">
        <v>744</v>
      </c>
      <c r="M27" s="133" t="s">
        <v>745</v>
      </c>
      <c r="N27" s="134">
        <v>23.377713</v>
      </c>
      <c r="O27" s="134">
        <v>91.999218</v>
      </c>
      <c r="P27" s="81">
        <v>13</v>
      </c>
      <c r="Q27" s="47"/>
      <c r="R27" s="81"/>
      <c r="S27" s="81"/>
      <c r="T27" s="7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7" t="s">
        <v>675</v>
      </c>
      <c r="F28" s="47" t="s">
        <v>676</v>
      </c>
      <c r="G28" s="130" t="s">
        <v>742</v>
      </c>
      <c r="H28" s="131"/>
      <c r="I28" s="132"/>
      <c r="J28" s="76"/>
      <c r="K28" s="81" t="s">
        <v>746</v>
      </c>
      <c r="L28" s="47" t="s">
        <v>747</v>
      </c>
      <c r="M28" s="133" t="s">
        <v>748</v>
      </c>
      <c r="N28" s="134">
        <v>23.375697</v>
      </c>
      <c r="O28" s="134">
        <v>91.997651</v>
      </c>
      <c r="P28" s="81">
        <v>70</v>
      </c>
      <c r="Q28" s="47"/>
      <c r="R28" s="81"/>
      <c r="S28" s="81"/>
      <c r="T28" s="135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7" t="s">
        <v>675</v>
      </c>
      <c r="F29" s="47" t="s">
        <v>676</v>
      </c>
      <c r="G29" s="130" t="s">
        <v>742</v>
      </c>
      <c r="H29" s="131"/>
      <c r="I29" s="132"/>
      <c r="J29" s="76"/>
      <c r="K29" s="81" t="s">
        <v>749</v>
      </c>
      <c r="L29" s="47" t="s">
        <v>750</v>
      </c>
      <c r="M29" s="133" t="s">
        <v>751</v>
      </c>
      <c r="N29" s="134">
        <v>23.372353</v>
      </c>
      <c r="O29" s="134">
        <v>92.007035</v>
      </c>
      <c r="P29" s="81">
        <v>135</v>
      </c>
      <c r="Q29" s="47"/>
      <c r="R29" s="81"/>
      <c r="S29" s="81"/>
      <c r="T29" s="135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7" t="s">
        <v>675</v>
      </c>
      <c r="F30" s="47" t="s">
        <v>676</v>
      </c>
      <c r="G30" s="130" t="s">
        <v>742</v>
      </c>
      <c r="H30" s="131"/>
      <c r="I30" s="132"/>
      <c r="J30" s="76"/>
      <c r="K30" s="81" t="s">
        <v>752</v>
      </c>
      <c r="L30" s="47" t="s">
        <v>753</v>
      </c>
      <c r="M30" s="133" t="s">
        <v>754</v>
      </c>
      <c r="N30" s="134">
        <v>23.386563</v>
      </c>
      <c r="O30" s="134">
        <v>92.014459</v>
      </c>
      <c r="P30" s="81">
        <v>125</v>
      </c>
      <c r="Q30" s="47"/>
      <c r="R30" s="81"/>
      <c r="S30" s="81"/>
      <c r="T30" s="135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7" t="s">
        <v>675</v>
      </c>
      <c r="F31" s="47" t="s">
        <v>676</v>
      </c>
      <c r="G31" s="130" t="s">
        <v>742</v>
      </c>
      <c r="H31" s="131"/>
      <c r="I31" s="132"/>
      <c r="J31" s="76"/>
      <c r="K31" s="81" t="s">
        <v>755</v>
      </c>
      <c r="L31" s="47" t="s">
        <v>756</v>
      </c>
      <c r="M31" s="133" t="s">
        <v>757</v>
      </c>
      <c r="N31" s="134">
        <v>23.378688</v>
      </c>
      <c r="O31" s="134">
        <v>92.01292</v>
      </c>
      <c r="P31" s="81">
        <v>140</v>
      </c>
      <c r="Q31" s="47"/>
      <c r="R31" s="81"/>
      <c r="S31" s="81"/>
      <c r="T31" s="135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7" t="s">
        <v>675</v>
      </c>
      <c r="F32" s="47" t="s">
        <v>676</v>
      </c>
      <c r="G32" s="130" t="s">
        <v>742</v>
      </c>
      <c r="H32" s="131"/>
      <c r="I32" s="132"/>
      <c r="J32" s="76"/>
      <c r="K32" s="81" t="s">
        <v>758</v>
      </c>
      <c r="L32" s="47" t="s">
        <v>759</v>
      </c>
      <c r="M32" s="133" t="s">
        <v>760</v>
      </c>
      <c r="N32" s="134">
        <v>23.395647</v>
      </c>
      <c r="O32" s="134">
        <v>92.018377</v>
      </c>
      <c r="P32" s="81">
        <v>150</v>
      </c>
      <c r="Q32" s="47"/>
      <c r="R32" s="81"/>
      <c r="S32" s="81"/>
      <c r="T32" s="135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7" t="s">
        <v>675</v>
      </c>
      <c r="F33" s="47" t="s">
        <v>676</v>
      </c>
      <c r="G33" s="130" t="s">
        <v>761</v>
      </c>
      <c r="H33" s="131"/>
      <c r="I33" s="132"/>
      <c r="J33" s="76"/>
      <c r="K33" s="81" t="s">
        <v>762</v>
      </c>
      <c r="L33" s="47" t="s">
        <v>763</v>
      </c>
      <c r="M33" s="133" t="s">
        <v>764</v>
      </c>
      <c r="N33" s="134">
        <v>23.405706</v>
      </c>
      <c r="O33" s="134">
        <v>92.004454</v>
      </c>
      <c r="P33" s="81">
        <v>330</v>
      </c>
      <c r="Q33" s="47"/>
      <c r="R33" s="81"/>
      <c r="S33" s="81"/>
      <c r="T33" s="135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7" t="s">
        <v>675</v>
      </c>
      <c r="F34" s="47" t="s">
        <v>676</v>
      </c>
      <c r="G34" s="130" t="s">
        <v>761</v>
      </c>
      <c r="H34" s="131"/>
      <c r="I34" s="59"/>
      <c r="J34" s="76"/>
      <c r="K34" s="81" t="s">
        <v>765</v>
      </c>
      <c r="L34" s="47" t="s">
        <v>766</v>
      </c>
      <c r="M34" s="133" t="s">
        <v>767</v>
      </c>
      <c r="N34" s="134">
        <v>23.424757</v>
      </c>
      <c r="O34" s="134">
        <v>92.003296</v>
      </c>
      <c r="P34" s="81">
        <v>60</v>
      </c>
      <c r="Q34" s="47"/>
      <c r="R34" s="81"/>
      <c r="S34" s="81"/>
      <c r="T34" s="135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7" t="s">
        <v>675</v>
      </c>
      <c r="F35" s="47" t="s">
        <v>676</v>
      </c>
      <c r="G35" s="130" t="s">
        <v>761</v>
      </c>
      <c r="H35" s="131"/>
      <c r="I35" s="59"/>
      <c r="J35" s="76"/>
      <c r="K35" s="81" t="s">
        <v>736</v>
      </c>
      <c r="L35" s="47" t="s">
        <v>737</v>
      </c>
      <c r="M35" s="133" t="s">
        <v>768</v>
      </c>
      <c r="N35" s="134">
        <v>23.426988</v>
      </c>
      <c r="O35" s="134">
        <v>91.999746</v>
      </c>
      <c r="P35" s="81">
        <v>50</v>
      </c>
      <c r="Q35" s="47"/>
      <c r="R35" s="81"/>
      <c r="S35" s="81"/>
      <c r="T35" s="135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7" t="s">
        <v>675</v>
      </c>
      <c r="F36" s="47" t="s">
        <v>676</v>
      </c>
      <c r="G36" s="130" t="s">
        <v>761</v>
      </c>
      <c r="H36" s="131"/>
      <c r="I36" s="59"/>
      <c r="J36" s="76"/>
      <c r="K36" s="81" t="s">
        <v>769</v>
      </c>
      <c r="L36" s="47" t="s">
        <v>770</v>
      </c>
      <c r="M36" s="133" t="s">
        <v>771</v>
      </c>
      <c r="N36" s="134">
        <v>23.386422</v>
      </c>
      <c r="O36" s="134">
        <v>91.992418</v>
      </c>
      <c r="P36" s="81">
        <v>75</v>
      </c>
      <c r="Q36" s="47"/>
      <c r="R36" s="81"/>
      <c r="S36" s="81"/>
      <c r="T36" s="135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7" t="s">
        <v>675</v>
      </c>
      <c r="F37" s="47" t="s">
        <v>676</v>
      </c>
      <c r="G37" s="130" t="s">
        <v>761</v>
      </c>
      <c r="H37" s="131"/>
      <c r="I37" s="59"/>
      <c r="J37" s="76"/>
      <c r="K37" s="81" t="s">
        <v>772</v>
      </c>
      <c r="L37" s="47" t="s">
        <v>773</v>
      </c>
      <c r="M37" s="133" t="s">
        <v>774</v>
      </c>
      <c r="N37" s="134">
        <v>23.451854</v>
      </c>
      <c r="O37" s="134">
        <v>91.999464</v>
      </c>
      <c r="P37" s="81">
        <v>260</v>
      </c>
      <c r="Q37" s="47"/>
      <c r="R37" s="81"/>
      <c r="S37" s="81"/>
      <c r="T37" s="135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7" t="s">
        <v>675</v>
      </c>
      <c r="F38" s="47" t="s">
        <v>676</v>
      </c>
      <c r="G38" s="130" t="s">
        <v>761</v>
      </c>
      <c r="H38" s="131"/>
      <c r="I38" s="59"/>
      <c r="J38" s="76"/>
      <c r="K38" s="81" t="s">
        <v>775</v>
      </c>
      <c r="L38" s="47" t="s">
        <v>776</v>
      </c>
      <c r="M38" s="133" t="s">
        <v>777</v>
      </c>
      <c r="N38" s="134">
        <v>23.434997</v>
      </c>
      <c r="O38" s="134">
        <v>92.005984</v>
      </c>
      <c r="P38" s="81">
        <v>180</v>
      </c>
      <c r="Q38" s="47"/>
      <c r="R38" s="81"/>
      <c r="S38" s="81"/>
      <c r="T38" s="7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7" t="s">
        <v>675</v>
      </c>
      <c r="F39" s="47" t="s">
        <v>676</v>
      </c>
      <c r="G39" s="130" t="s">
        <v>761</v>
      </c>
      <c r="H39" s="131"/>
      <c r="I39" s="59"/>
      <c r="J39" s="76"/>
      <c r="K39" s="81" t="s">
        <v>778</v>
      </c>
      <c r="L39" s="47" t="s">
        <v>779</v>
      </c>
      <c r="M39" s="133" t="s">
        <v>780</v>
      </c>
      <c r="N39" s="134">
        <v>23.418142</v>
      </c>
      <c r="O39" s="134">
        <v>92.004078</v>
      </c>
      <c r="P39" s="81">
        <v>240</v>
      </c>
      <c r="Q39" s="47"/>
      <c r="R39" s="81"/>
      <c r="S39" s="81"/>
      <c r="T39" s="7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7" t="s">
        <v>675</v>
      </c>
      <c r="F40" s="47" t="s">
        <v>676</v>
      </c>
      <c r="G40" s="130" t="s">
        <v>781</v>
      </c>
      <c r="H40" s="131"/>
      <c r="I40" s="59"/>
      <c r="J40" s="76"/>
      <c r="K40" s="81" t="s">
        <v>782</v>
      </c>
      <c r="L40" s="47" t="s">
        <v>783</v>
      </c>
      <c r="M40" s="133" t="s">
        <v>784</v>
      </c>
      <c r="N40" s="134">
        <v>23.45571</v>
      </c>
      <c r="O40" s="134">
        <v>91.998664</v>
      </c>
      <c r="P40" s="81">
        <v>130</v>
      </c>
      <c r="Q40" s="47"/>
      <c r="R40" s="137"/>
      <c r="S40" s="137"/>
      <c r="T40" s="7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7" t="s">
        <v>675</v>
      </c>
      <c r="F41" s="47" t="s">
        <v>676</v>
      </c>
      <c r="G41" s="130" t="s">
        <v>781</v>
      </c>
      <c r="H41" s="131"/>
      <c r="I41" s="59"/>
      <c r="J41" s="76"/>
      <c r="K41" s="81" t="s">
        <v>785</v>
      </c>
      <c r="L41" s="47" t="s">
        <v>786</v>
      </c>
      <c r="M41" s="133" t="s">
        <v>787</v>
      </c>
      <c r="N41" s="134">
        <v>23.470982</v>
      </c>
      <c r="O41" s="134">
        <v>91.997052</v>
      </c>
      <c r="P41" s="81">
        <v>335</v>
      </c>
      <c r="Q41" s="47"/>
      <c r="R41" s="81"/>
      <c r="S41" s="81"/>
      <c r="T41" s="7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7" t="s">
        <v>675</v>
      </c>
      <c r="F42" s="47" t="s">
        <v>676</v>
      </c>
      <c r="G42" s="130" t="s">
        <v>781</v>
      </c>
      <c r="H42" s="131"/>
      <c r="I42" s="59"/>
      <c r="J42" s="76"/>
      <c r="K42" s="81" t="s">
        <v>788</v>
      </c>
      <c r="L42" s="47" t="s">
        <v>789</v>
      </c>
      <c r="M42" s="133" t="s">
        <v>790</v>
      </c>
      <c r="N42" s="134">
        <v>23.473645</v>
      </c>
      <c r="O42" s="134">
        <v>91.986875</v>
      </c>
      <c r="P42" s="81">
        <v>140</v>
      </c>
      <c r="Q42" s="47"/>
      <c r="R42" s="81"/>
      <c r="S42" s="81"/>
      <c r="T42" s="7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7" t="s">
        <v>675</v>
      </c>
      <c r="F43" s="47" t="s">
        <v>676</v>
      </c>
      <c r="G43" s="130" t="s">
        <v>781</v>
      </c>
      <c r="H43" s="131"/>
      <c r="I43" s="59"/>
      <c r="J43" s="131"/>
      <c r="K43" s="81" t="s">
        <v>791</v>
      </c>
      <c r="L43" s="47" t="s">
        <v>792</v>
      </c>
      <c r="M43" s="133" t="s">
        <v>793</v>
      </c>
      <c r="N43" s="134">
        <v>23.444542</v>
      </c>
      <c r="O43" s="134">
        <v>91.990275</v>
      </c>
      <c r="P43" s="81">
        <v>332</v>
      </c>
      <c r="Q43" s="47"/>
      <c r="R43" s="81"/>
      <c r="S43" s="81"/>
      <c r="T43" s="7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7" t="s">
        <v>675</v>
      </c>
      <c r="F44" s="47" t="s">
        <v>676</v>
      </c>
      <c r="G44" s="130" t="s">
        <v>781</v>
      </c>
      <c r="H44" s="131"/>
      <c r="I44" s="59"/>
      <c r="J44" s="76"/>
      <c r="K44" s="81" t="s">
        <v>794</v>
      </c>
      <c r="L44" s="47" t="s">
        <v>795</v>
      </c>
      <c r="M44" s="133" t="s">
        <v>796</v>
      </c>
      <c r="N44" s="134">
        <v>23.411799</v>
      </c>
      <c r="O44" s="134">
        <v>91.996829</v>
      </c>
      <c r="P44" s="81">
        <v>168</v>
      </c>
      <c r="Q44" s="47"/>
      <c r="R44" s="81"/>
      <c r="S44" s="81"/>
      <c r="T44" s="7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7" t="s">
        <v>675</v>
      </c>
      <c r="F45" s="47" t="s">
        <v>676</v>
      </c>
      <c r="G45" s="130" t="s">
        <v>797</v>
      </c>
      <c r="H45" s="131"/>
      <c r="I45" s="59"/>
      <c r="J45" s="76"/>
      <c r="K45" s="81" t="s">
        <v>798</v>
      </c>
      <c r="L45" s="47" t="s">
        <v>799</v>
      </c>
      <c r="M45" s="133" t="s">
        <v>800</v>
      </c>
      <c r="N45" s="134">
        <v>23.496484</v>
      </c>
      <c r="O45" s="134">
        <v>91.992363</v>
      </c>
      <c r="P45" s="81">
        <v>375</v>
      </c>
      <c r="Q45" s="47"/>
      <c r="R45" s="81"/>
      <c r="S45" s="81"/>
      <c r="T45" s="7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7" t="s">
        <v>675</v>
      </c>
      <c r="F46" s="47" t="s">
        <v>676</v>
      </c>
      <c r="G46" s="130" t="s">
        <v>797</v>
      </c>
      <c r="H46" s="131"/>
      <c r="I46" s="59"/>
      <c r="J46" s="76"/>
      <c r="K46" s="81" t="s">
        <v>801</v>
      </c>
      <c r="L46" s="47" t="s">
        <v>802</v>
      </c>
      <c r="M46" s="133" t="s">
        <v>803</v>
      </c>
      <c r="N46" s="134">
        <v>23.485984</v>
      </c>
      <c r="O46" s="134">
        <v>91.992581</v>
      </c>
      <c r="P46" s="81">
        <v>321</v>
      </c>
      <c r="Q46" s="47"/>
      <c r="R46" s="81"/>
      <c r="S46" s="81"/>
      <c r="T46" s="7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7" t="s">
        <v>675</v>
      </c>
      <c r="F47" s="47" t="s">
        <v>676</v>
      </c>
      <c r="G47" s="130" t="s">
        <v>797</v>
      </c>
      <c r="H47" s="131"/>
      <c r="I47" s="59"/>
      <c r="J47" s="76"/>
      <c r="K47" s="81" t="s">
        <v>57</v>
      </c>
      <c r="L47" s="47" t="s">
        <v>804</v>
      </c>
      <c r="M47" s="133" t="s">
        <v>805</v>
      </c>
      <c r="N47" s="134">
        <v>23.520961</v>
      </c>
      <c r="O47" s="134">
        <v>91.986756</v>
      </c>
      <c r="P47" s="81">
        <v>315</v>
      </c>
      <c r="Q47" s="47"/>
      <c r="R47" s="81"/>
      <c r="S47" s="81"/>
      <c r="T47" s="7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7" t="s">
        <v>675</v>
      </c>
      <c r="F48" s="47" t="s">
        <v>676</v>
      </c>
      <c r="G48" s="130" t="s">
        <v>797</v>
      </c>
      <c r="H48" s="131"/>
      <c r="I48" s="59"/>
      <c r="J48" s="76"/>
      <c r="K48" s="81" t="s">
        <v>806</v>
      </c>
      <c r="L48" s="47" t="s">
        <v>807</v>
      </c>
      <c r="M48" s="133" t="s">
        <v>808</v>
      </c>
      <c r="N48" s="134">
        <v>23.547389</v>
      </c>
      <c r="O48" s="134">
        <v>91.978643</v>
      </c>
      <c r="P48" s="81">
        <v>300</v>
      </c>
      <c r="Q48" s="47"/>
      <c r="R48" s="81"/>
      <c r="S48" s="81"/>
      <c r="T48" s="7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7" t="s">
        <v>675</v>
      </c>
      <c r="F49" s="47" t="s">
        <v>676</v>
      </c>
      <c r="G49" s="130" t="s">
        <v>797</v>
      </c>
      <c r="H49" s="131"/>
      <c r="I49" s="59"/>
      <c r="J49" s="76"/>
      <c r="K49" s="81" t="s">
        <v>809</v>
      </c>
      <c r="L49" s="47" t="s">
        <v>810</v>
      </c>
      <c r="M49" s="133" t="s">
        <v>811</v>
      </c>
      <c r="N49" s="134">
        <v>23.509286</v>
      </c>
      <c r="O49" s="134">
        <v>91.991151</v>
      </c>
      <c r="P49" s="81">
        <v>270</v>
      </c>
      <c r="Q49" s="47"/>
      <c r="R49" s="81"/>
      <c r="S49" s="81"/>
      <c r="T49" s="135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7" t="s">
        <v>675</v>
      </c>
      <c r="F50" s="47" t="s">
        <v>676</v>
      </c>
      <c r="G50" s="130" t="s">
        <v>797</v>
      </c>
      <c r="H50" s="131"/>
      <c r="I50" s="59"/>
      <c r="J50" s="76"/>
      <c r="K50" s="81" t="s">
        <v>812</v>
      </c>
      <c r="L50" s="47" t="s">
        <v>813</v>
      </c>
      <c r="M50" s="133" t="s">
        <v>814</v>
      </c>
      <c r="N50" s="134">
        <v>23.577887</v>
      </c>
      <c r="O50" s="134">
        <v>91.967528</v>
      </c>
      <c r="P50" s="81"/>
      <c r="Q50" s="81"/>
      <c r="R50" s="81"/>
      <c r="S50" s="81"/>
      <c r="T50" s="135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7" t="s">
        <v>675</v>
      </c>
      <c r="F51" s="47" t="s">
        <v>676</v>
      </c>
      <c r="G51" s="130" t="s">
        <v>797</v>
      </c>
      <c r="H51" s="131"/>
      <c r="I51" s="59"/>
      <c r="J51" s="76"/>
      <c r="K51" s="81" t="s">
        <v>815</v>
      </c>
      <c r="L51" s="47" t="s">
        <v>816</v>
      </c>
      <c r="M51" s="133" t="s">
        <v>817</v>
      </c>
      <c r="N51" s="134">
        <v>23.722878</v>
      </c>
      <c r="O51" s="134">
        <v>91.958411</v>
      </c>
      <c r="P51" s="81"/>
      <c r="Q51" s="81"/>
      <c r="R51" s="81"/>
      <c r="S51" s="81"/>
      <c r="T51" s="135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7" t="s">
        <v>675</v>
      </c>
      <c r="F52" s="47" t="s">
        <v>676</v>
      </c>
      <c r="G52" s="130" t="s">
        <v>797</v>
      </c>
      <c r="H52" s="131"/>
      <c r="I52" s="59"/>
      <c r="J52" s="76"/>
      <c r="K52" s="81" t="s">
        <v>818</v>
      </c>
      <c r="L52" s="47" t="s">
        <v>819</v>
      </c>
      <c r="M52" s="133" t="s">
        <v>820</v>
      </c>
      <c r="N52" s="134">
        <v>23.70027</v>
      </c>
      <c r="O52" s="134">
        <v>91.961848</v>
      </c>
      <c r="P52" s="81"/>
      <c r="Q52" s="81"/>
      <c r="R52" s="81"/>
      <c r="S52" s="81"/>
      <c r="T52" s="135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7" t="s">
        <v>675</v>
      </c>
      <c r="F53" s="47" t="s">
        <v>676</v>
      </c>
      <c r="G53" s="130" t="s">
        <v>797</v>
      </c>
      <c r="H53" s="131"/>
      <c r="I53" s="59"/>
      <c r="J53" s="76"/>
      <c r="K53" s="81" t="s">
        <v>818</v>
      </c>
      <c r="L53" s="47" t="s">
        <v>819</v>
      </c>
      <c r="M53" s="133" t="s">
        <v>821</v>
      </c>
      <c r="N53" s="134">
        <v>23.627889</v>
      </c>
      <c r="O53" s="134">
        <v>91.962069</v>
      </c>
      <c r="P53" s="81"/>
      <c r="Q53" s="81"/>
      <c r="R53" s="81"/>
      <c r="S53" s="81"/>
      <c r="T53" s="135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7" t="s">
        <v>675</v>
      </c>
      <c r="F54" s="47" t="s">
        <v>676</v>
      </c>
      <c r="G54" s="130" t="s">
        <v>797</v>
      </c>
      <c r="H54" s="138"/>
      <c r="I54" s="132"/>
      <c r="J54" s="76"/>
      <c r="K54" s="81" t="s">
        <v>822</v>
      </c>
      <c r="L54" s="47" t="s">
        <v>823</v>
      </c>
      <c r="M54" s="133" t="s">
        <v>824</v>
      </c>
      <c r="N54" s="134">
        <v>23.619043</v>
      </c>
      <c r="O54" s="134">
        <v>91.960829</v>
      </c>
      <c r="P54" s="81">
        <v>200</v>
      </c>
      <c r="Q54" s="47"/>
      <c r="R54" s="81"/>
      <c r="S54" s="81"/>
      <c r="T54" s="7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7" t="s">
        <v>675</v>
      </c>
      <c r="F55" s="47" t="s">
        <v>676</v>
      </c>
      <c r="G55" s="130" t="s">
        <v>797</v>
      </c>
      <c r="H55" s="131"/>
      <c r="I55" s="132"/>
      <c r="J55" s="76"/>
      <c r="K55" s="81" t="s">
        <v>825</v>
      </c>
      <c r="L55" s="47" t="s">
        <v>826</v>
      </c>
      <c r="M55" s="133" t="s">
        <v>827</v>
      </c>
      <c r="N55" s="134">
        <v>23.497887</v>
      </c>
      <c r="O55" s="134">
        <v>92.059523</v>
      </c>
      <c r="P55" s="81">
        <v>300</v>
      </c>
      <c r="Q55" s="47"/>
      <c r="R55" s="81"/>
      <c r="S55" s="81"/>
      <c r="T55" s="7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7" t="s">
        <v>675</v>
      </c>
      <c r="F56" s="47" t="s">
        <v>676</v>
      </c>
      <c r="G56" s="130" t="s">
        <v>797</v>
      </c>
      <c r="H56" s="131"/>
      <c r="I56" s="132"/>
      <c r="J56" s="76"/>
      <c r="K56" s="81" t="s">
        <v>828</v>
      </c>
      <c r="L56" s="47" t="s">
        <v>829</v>
      </c>
      <c r="M56" s="133" t="s">
        <v>830</v>
      </c>
      <c r="N56" s="134">
        <v>23.639813</v>
      </c>
      <c r="O56" s="134">
        <v>92.055506</v>
      </c>
      <c r="P56" s="81"/>
      <c r="Q56" s="81"/>
      <c r="R56" s="81"/>
      <c r="S56" s="81"/>
      <c r="T56" s="7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7" t="s">
        <v>675</v>
      </c>
      <c r="F57" s="47" t="s">
        <v>676</v>
      </c>
      <c r="G57" s="130" t="s">
        <v>797</v>
      </c>
      <c r="H57" s="131"/>
      <c r="I57" s="132"/>
      <c r="J57" s="76"/>
      <c r="K57" s="81" t="s">
        <v>828</v>
      </c>
      <c r="L57" s="47" t="s">
        <v>829</v>
      </c>
      <c r="M57" s="133" t="s">
        <v>831</v>
      </c>
      <c r="N57" s="134">
        <v>23.705297</v>
      </c>
      <c r="O57" s="134">
        <v>91.984046</v>
      </c>
      <c r="P57" s="81"/>
      <c r="Q57" s="81"/>
      <c r="R57" s="81"/>
      <c r="S57" s="81"/>
      <c r="T57" s="7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7" t="s">
        <v>675</v>
      </c>
      <c r="F58" s="47" t="s">
        <v>676</v>
      </c>
      <c r="G58" s="130" t="s">
        <v>797</v>
      </c>
      <c r="H58" s="131"/>
      <c r="I58" s="132"/>
      <c r="J58" s="76"/>
      <c r="K58" s="81" t="s">
        <v>828</v>
      </c>
      <c r="L58" s="47" t="s">
        <v>829</v>
      </c>
      <c r="M58" s="133" t="s">
        <v>832</v>
      </c>
      <c r="N58" s="134">
        <v>23.656933</v>
      </c>
      <c r="O58" s="134">
        <v>92.010392</v>
      </c>
      <c r="P58" s="81"/>
      <c r="Q58" s="81"/>
      <c r="R58" s="81"/>
      <c r="S58" s="81"/>
      <c r="T58" s="7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7" t="s">
        <v>675</v>
      </c>
      <c r="F59" s="47" t="s">
        <v>676</v>
      </c>
      <c r="G59" s="130" t="s">
        <v>797</v>
      </c>
      <c r="H59" s="131"/>
      <c r="I59" s="132"/>
      <c r="J59" s="76"/>
      <c r="K59" s="81" t="s">
        <v>828</v>
      </c>
      <c r="L59" s="47" t="s">
        <v>829</v>
      </c>
      <c r="M59" s="133" t="s">
        <v>833</v>
      </c>
      <c r="N59" s="134">
        <v>23.671901</v>
      </c>
      <c r="O59" s="134">
        <v>91.946168</v>
      </c>
      <c r="P59" s="81"/>
      <c r="Q59" s="81"/>
      <c r="R59" s="81"/>
      <c r="S59" s="81"/>
      <c r="T59" s="7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7" t="s">
        <v>675</v>
      </c>
      <c r="F60" s="47" t="s">
        <v>834</v>
      </c>
      <c r="G60" s="130" t="s">
        <v>677</v>
      </c>
      <c r="H60" s="131"/>
      <c r="I60" s="132"/>
      <c r="J60" s="76"/>
      <c r="K60" s="81" t="s">
        <v>835</v>
      </c>
      <c r="L60" s="47" t="s">
        <v>836</v>
      </c>
      <c r="M60" s="133" t="s">
        <v>837</v>
      </c>
      <c r="N60" s="134">
        <v>23.307667</v>
      </c>
      <c r="O60" s="134">
        <v>92.044248</v>
      </c>
      <c r="P60" s="81">
        <v>150</v>
      </c>
      <c r="Q60" s="47"/>
      <c r="R60" s="81"/>
      <c r="S60" s="81"/>
      <c r="T60" s="7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7" t="s">
        <v>675</v>
      </c>
      <c r="F61" s="47" t="s">
        <v>834</v>
      </c>
      <c r="G61" s="130" t="s">
        <v>677</v>
      </c>
      <c r="H61" s="131"/>
      <c r="I61" s="132"/>
      <c r="J61" s="76"/>
      <c r="K61" s="81" t="s">
        <v>838</v>
      </c>
      <c r="L61" s="47" t="s">
        <v>839</v>
      </c>
      <c r="M61" s="133" t="s">
        <v>840</v>
      </c>
      <c r="N61" s="134">
        <v>23.314011</v>
      </c>
      <c r="O61" s="134">
        <v>92.040471</v>
      </c>
      <c r="P61" s="81">
        <v>230</v>
      </c>
      <c r="Q61" s="47"/>
      <c r="R61" s="81"/>
      <c r="S61" s="81"/>
      <c r="T61" s="7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7" t="s">
        <v>675</v>
      </c>
      <c r="F62" s="47" t="s">
        <v>834</v>
      </c>
      <c r="G62" s="130" t="s">
        <v>677</v>
      </c>
      <c r="H62" s="131"/>
      <c r="I62" s="132"/>
      <c r="J62" s="76"/>
      <c r="K62" s="81" t="s">
        <v>841</v>
      </c>
      <c r="L62" s="47" t="s">
        <v>842</v>
      </c>
      <c r="M62" s="133" t="s">
        <v>843</v>
      </c>
      <c r="N62" s="134">
        <v>23.319014</v>
      </c>
      <c r="O62" s="134">
        <v>92.039631</v>
      </c>
      <c r="P62" s="81">
        <v>180</v>
      </c>
      <c r="Q62" s="47"/>
      <c r="R62" s="81"/>
      <c r="S62" s="81"/>
      <c r="T62" s="135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7" t="s">
        <v>675</v>
      </c>
      <c r="F63" s="47" t="s">
        <v>834</v>
      </c>
      <c r="G63" s="130" t="s">
        <v>677</v>
      </c>
      <c r="H63" s="131"/>
      <c r="I63" s="132"/>
      <c r="J63" s="76"/>
      <c r="K63" s="81" t="s">
        <v>844</v>
      </c>
      <c r="L63" s="47" t="s">
        <v>845</v>
      </c>
      <c r="M63" s="133" t="s">
        <v>846</v>
      </c>
      <c r="N63" s="134">
        <v>23.310116</v>
      </c>
      <c r="O63" s="134">
        <v>92.035348</v>
      </c>
      <c r="P63" s="81">
        <v>310</v>
      </c>
      <c r="Q63" s="47"/>
      <c r="R63" s="81"/>
      <c r="S63" s="81"/>
      <c r="T63" s="7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7" t="s">
        <v>675</v>
      </c>
      <c r="F64" s="47" t="s">
        <v>834</v>
      </c>
      <c r="G64" s="130" t="s">
        <v>677</v>
      </c>
      <c r="H64" s="131"/>
      <c r="I64" s="132"/>
      <c r="J64" s="76"/>
      <c r="K64" s="81" t="s">
        <v>847</v>
      </c>
      <c r="L64" s="47" t="s">
        <v>848</v>
      </c>
      <c r="M64" s="133" t="s">
        <v>849</v>
      </c>
      <c r="N64" s="134">
        <v>23.313176</v>
      </c>
      <c r="O64" s="134">
        <v>92.027883</v>
      </c>
      <c r="P64" s="81">
        <v>350</v>
      </c>
      <c r="Q64" s="47"/>
      <c r="R64" s="81"/>
      <c r="S64" s="81"/>
      <c r="T64" s="7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7" t="s">
        <v>675</v>
      </c>
      <c r="F65" s="47" t="s">
        <v>834</v>
      </c>
      <c r="G65" s="130" t="s">
        <v>684</v>
      </c>
      <c r="H65" s="131"/>
      <c r="I65" s="132"/>
      <c r="J65" s="76"/>
      <c r="K65" s="81" t="s">
        <v>850</v>
      </c>
      <c r="L65" s="47" t="s">
        <v>851</v>
      </c>
      <c r="M65" s="133" t="s">
        <v>852</v>
      </c>
      <c r="N65" s="134">
        <v>23.301862</v>
      </c>
      <c r="O65" s="134">
        <v>92.040157</v>
      </c>
      <c r="P65" s="81">
        <v>800</v>
      </c>
      <c r="Q65" s="47"/>
      <c r="R65" s="81"/>
      <c r="S65" s="81"/>
      <c r="T65" s="7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7" t="s">
        <v>675</v>
      </c>
      <c r="F66" s="47" t="s">
        <v>834</v>
      </c>
      <c r="G66" s="130" t="s">
        <v>684</v>
      </c>
      <c r="H66" s="131"/>
      <c r="I66" s="132"/>
      <c r="J66" s="76"/>
      <c r="K66" s="81" t="s">
        <v>853</v>
      </c>
      <c r="L66" s="47" t="s">
        <v>854</v>
      </c>
      <c r="M66" s="133" t="s">
        <v>855</v>
      </c>
      <c r="N66" s="134">
        <v>23.301647</v>
      </c>
      <c r="O66" s="134">
        <v>92.028514</v>
      </c>
      <c r="P66" s="81">
        <v>350</v>
      </c>
      <c r="Q66" s="47"/>
      <c r="R66" s="81"/>
      <c r="S66" s="81"/>
      <c r="T66" s="7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7" t="s">
        <v>675</v>
      </c>
      <c r="F67" s="47" t="s">
        <v>834</v>
      </c>
      <c r="G67" s="130" t="s">
        <v>684</v>
      </c>
      <c r="H67" s="131"/>
      <c r="I67" s="132"/>
      <c r="J67" s="76"/>
      <c r="K67" s="81" t="s">
        <v>856</v>
      </c>
      <c r="L67" s="47" t="s">
        <v>857</v>
      </c>
      <c r="M67" s="133" t="s">
        <v>858</v>
      </c>
      <c r="N67" s="134">
        <v>23.282043</v>
      </c>
      <c r="O67" s="134">
        <v>92.045948</v>
      </c>
      <c r="P67" s="81">
        <v>250</v>
      </c>
      <c r="Q67" s="47"/>
      <c r="R67" s="81"/>
      <c r="S67" s="81"/>
      <c r="T67" s="7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7" t="s">
        <v>675</v>
      </c>
      <c r="F68" s="47" t="s">
        <v>834</v>
      </c>
      <c r="G68" s="130" t="s">
        <v>684</v>
      </c>
      <c r="H68" s="131"/>
      <c r="I68" s="132"/>
      <c r="J68" s="76"/>
      <c r="K68" s="81" t="s">
        <v>859</v>
      </c>
      <c r="L68" s="47" t="s">
        <v>860</v>
      </c>
      <c r="M68" s="133" t="s">
        <v>861</v>
      </c>
      <c r="N68" s="134">
        <v>23.270667</v>
      </c>
      <c r="O68" s="134">
        <v>92.038123</v>
      </c>
      <c r="P68" s="81">
        <v>120</v>
      </c>
      <c r="Q68" s="47"/>
      <c r="R68" s="81"/>
      <c r="S68" s="81"/>
      <c r="T68" s="7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7" t="s">
        <v>675</v>
      </c>
      <c r="F69" s="47" t="s">
        <v>834</v>
      </c>
      <c r="G69" s="130" t="s">
        <v>697</v>
      </c>
      <c r="H69" s="131"/>
      <c r="I69" s="132"/>
      <c r="J69" s="76"/>
      <c r="K69" s="81" t="s">
        <v>862</v>
      </c>
      <c r="L69" s="47" t="s">
        <v>863</v>
      </c>
      <c r="M69" s="133" t="s">
        <v>864</v>
      </c>
      <c r="N69" s="134">
        <v>23.277227</v>
      </c>
      <c r="O69" s="134">
        <v>92.051038</v>
      </c>
      <c r="P69" s="81">
        <v>280</v>
      </c>
      <c r="Q69" s="47"/>
      <c r="R69" s="81"/>
      <c r="S69" s="81"/>
      <c r="T69" s="7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7" t="s">
        <v>675</v>
      </c>
      <c r="F70" s="47" t="s">
        <v>834</v>
      </c>
      <c r="G70" s="130" t="s">
        <v>697</v>
      </c>
      <c r="H70" s="131"/>
      <c r="I70" s="132"/>
      <c r="J70" s="76"/>
      <c r="K70" s="81" t="s">
        <v>865</v>
      </c>
      <c r="L70" s="47" t="s">
        <v>866</v>
      </c>
      <c r="M70" s="133" t="s">
        <v>867</v>
      </c>
      <c r="N70" s="134">
        <v>23.278878</v>
      </c>
      <c r="O70" s="134">
        <v>92.045431</v>
      </c>
      <c r="P70" s="81">
        <v>80</v>
      </c>
      <c r="Q70" s="47"/>
      <c r="R70" s="81"/>
      <c r="S70" s="81"/>
      <c r="T70" s="7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7" t="s">
        <v>675</v>
      </c>
      <c r="F71" s="47" t="s">
        <v>834</v>
      </c>
      <c r="G71" s="130" t="s">
        <v>697</v>
      </c>
      <c r="H71" s="131"/>
      <c r="I71" s="132"/>
      <c r="J71" s="76"/>
      <c r="K71" s="81" t="s">
        <v>868</v>
      </c>
      <c r="L71" s="47" t="s">
        <v>869</v>
      </c>
      <c r="M71" s="133" t="s">
        <v>870</v>
      </c>
      <c r="N71" s="134">
        <v>23.276738</v>
      </c>
      <c r="O71" s="134">
        <v>92.036843</v>
      </c>
      <c r="P71" s="81">
        <v>400</v>
      </c>
      <c r="Q71" s="47"/>
      <c r="R71" s="81"/>
      <c r="S71" s="81"/>
      <c r="T71" s="7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7" t="s">
        <v>675</v>
      </c>
      <c r="F72" s="47" t="s">
        <v>834</v>
      </c>
      <c r="G72" s="130" t="s">
        <v>697</v>
      </c>
      <c r="H72" s="131"/>
      <c r="I72" s="132"/>
      <c r="J72" s="76"/>
      <c r="K72" s="81" t="s">
        <v>871</v>
      </c>
      <c r="L72" s="47" t="s">
        <v>872</v>
      </c>
      <c r="M72" s="133" t="s">
        <v>873</v>
      </c>
      <c r="N72" s="134">
        <v>23.281604</v>
      </c>
      <c r="O72" s="134">
        <v>92.033105</v>
      </c>
      <c r="P72" s="81">
        <v>250</v>
      </c>
      <c r="Q72" s="47"/>
      <c r="R72" s="81"/>
      <c r="S72" s="81"/>
      <c r="T72" s="135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7" t="s">
        <v>675</v>
      </c>
      <c r="F73" s="47" t="s">
        <v>834</v>
      </c>
      <c r="G73" s="130" t="s">
        <v>697</v>
      </c>
      <c r="H73" s="131"/>
      <c r="I73" s="132"/>
      <c r="J73" s="76"/>
      <c r="K73" s="81" t="s">
        <v>874</v>
      </c>
      <c r="L73" s="47" t="s">
        <v>875</v>
      </c>
      <c r="M73" s="133" t="s">
        <v>876</v>
      </c>
      <c r="N73" s="134">
        <v>23.283504</v>
      </c>
      <c r="O73" s="134">
        <v>92.036922</v>
      </c>
      <c r="P73" s="81">
        <v>250</v>
      </c>
      <c r="Q73" s="47"/>
      <c r="R73" s="81"/>
      <c r="S73" s="81"/>
      <c r="T73" s="7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7" t="s">
        <v>675</v>
      </c>
      <c r="F74" s="47" t="s">
        <v>834</v>
      </c>
      <c r="G74" s="130" t="s">
        <v>697</v>
      </c>
      <c r="H74" s="131"/>
      <c r="I74" s="132"/>
      <c r="J74" s="76"/>
      <c r="K74" s="81" t="s">
        <v>877</v>
      </c>
      <c r="L74" s="47" t="s">
        <v>878</v>
      </c>
      <c r="M74" s="133" t="s">
        <v>879</v>
      </c>
      <c r="N74" s="134">
        <v>23.286443</v>
      </c>
      <c r="O74" s="134">
        <v>92.031256</v>
      </c>
      <c r="P74" s="81">
        <v>250</v>
      </c>
      <c r="Q74" s="47"/>
      <c r="R74" s="81"/>
      <c r="S74" s="81"/>
      <c r="T74" s="7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7" t="s">
        <v>675</v>
      </c>
      <c r="F75" s="47" t="s">
        <v>834</v>
      </c>
      <c r="G75" s="130" t="s">
        <v>697</v>
      </c>
      <c r="H75" s="139"/>
      <c r="I75" s="59"/>
      <c r="J75" s="76"/>
      <c r="K75" s="81" t="s">
        <v>880</v>
      </c>
      <c r="L75" s="47" t="s">
        <v>881</v>
      </c>
      <c r="M75" s="133" t="s">
        <v>882</v>
      </c>
      <c r="N75" s="134">
        <v>23.287388</v>
      </c>
      <c r="O75" s="134">
        <v>92.045944</v>
      </c>
      <c r="P75" s="81">
        <v>250</v>
      </c>
      <c r="Q75" s="47"/>
      <c r="R75" s="81"/>
      <c r="S75" s="81"/>
      <c r="T75" s="7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7" t="s">
        <v>675</v>
      </c>
      <c r="F76" s="47" t="s">
        <v>834</v>
      </c>
      <c r="G76" s="130" t="s">
        <v>697</v>
      </c>
      <c r="H76" s="131"/>
      <c r="I76" s="132"/>
      <c r="J76" s="76"/>
      <c r="K76" s="81" t="s">
        <v>883</v>
      </c>
      <c r="L76" s="47" t="s">
        <v>884</v>
      </c>
      <c r="M76" s="133" t="s">
        <v>885</v>
      </c>
      <c r="N76" s="134">
        <v>23.292783</v>
      </c>
      <c r="O76" s="134">
        <v>92.042058</v>
      </c>
      <c r="P76" s="81">
        <v>300</v>
      </c>
      <c r="Q76" s="47"/>
      <c r="R76" s="81"/>
      <c r="S76" s="81"/>
      <c r="T76" s="7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7" t="s">
        <v>675</v>
      </c>
      <c r="F77" s="47" t="s">
        <v>834</v>
      </c>
      <c r="G77" s="130" t="s">
        <v>697</v>
      </c>
      <c r="H77" s="131"/>
      <c r="I77" s="59"/>
      <c r="J77" s="76"/>
      <c r="K77" s="81" t="s">
        <v>886</v>
      </c>
      <c r="L77" s="47" t="s">
        <v>887</v>
      </c>
      <c r="M77" s="133" t="s">
        <v>888</v>
      </c>
      <c r="N77" s="134">
        <v>23.292562</v>
      </c>
      <c r="O77" s="134">
        <v>92.03182</v>
      </c>
      <c r="P77" s="81">
        <v>400</v>
      </c>
      <c r="Q77" s="47"/>
      <c r="R77" s="81"/>
      <c r="S77" s="81"/>
      <c r="T77" s="135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7" t="s">
        <v>675</v>
      </c>
      <c r="F78" s="47" t="s">
        <v>834</v>
      </c>
      <c r="G78" s="130" t="s">
        <v>697</v>
      </c>
      <c r="H78" s="131"/>
      <c r="I78" s="59"/>
      <c r="J78" s="76"/>
      <c r="K78" s="81" t="s">
        <v>889</v>
      </c>
      <c r="L78" s="47" t="s">
        <v>890</v>
      </c>
      <c r="M78" s="133" t="s">
        <v>891</v>
      </c>
      <c r="N78" s="134">
        <v>23.28696</v>
      </c>
      <c r="O78" s="134">
        <v>92.007649</v>
      </c>
      <c r="P78" s="81">
        <v>200</v>
      </c>
      <c r="Q78" s="47"/>
      <c r="R78" s="81"/>
      <c r="S78" s="81"/>
      <c r="T78" s="135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7" t="s">
        <v>675</v>
      </c>
      <c r="F79" s="47" t="s">
        <v>834</v>
      </c>
      <c r="G79" s="130" t="s">
        <v>707</v>
      </c>
      <c r="H79" s="131"/>
      <c r="I79" s="59"/>
      <c r="J79" s="76"/>
      <c r="K79" s="81" t="s">
        <v>892</v>
      </c>
      <c r="L79" s="47" t="s">
        <v>893</v>
      </c>
      <c r="M79" s="133" t="s">
        <v>894</v>
      </c>
      <c r="N79" s="134">
        <v>23.253731</v>
      </c>
      <c r="O79" s="134">
        <v>92.066162</v>
      </c>
      <c r="P79" s="81">
        <v>300</v>
      </c>
      <c r="Q79" s="47"/>
      <c r="R79" s="81"/>
      <c r="S79" s="81"/>
      <c r="T79" s="135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7" t="s">
        <v>675</v>
      </c>
      <c r="F80" s="47" t="s">
        <v>834</v>
      </c>
      <c r="G80" s="130" t="s">
        <v>707</v>
      </c>
      <c r="H80" s="131"/>
      <c r="I80" s="59"/>
      <c r="J80" s="76"/>
      <c r="K80" s="81" t="s">
        <v>895</v>
      </c>
      <c r="L80" s="47" t="s">
        <v>896</v>
      </c>
      <c r="M80" s="133" t="s">
        <v>897</v>
      </c>
      <c r="N80" s="134">
        <v>23.254885</v>
      </c>
      <c r="O80" s="134">
        <v>92.061858</v>
      </c>
      <c r="P80" s="81">
        <v>400</v>
      </c>
      <c r="Q80" s="47"/>
      <c r="R80" s="81"/>
      <c r="S80" s="81"/>
      <c r="T80" s="135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7" t="s">
        <v>675</v>
      </c>
      <c r="F81" s="47" t="s">
        <v>834</v>
      </c>
      <c r="G81" s="130" t="s">
        <v>707</v>
      </c>
      <c r="H81" s="131"/>
      <c r="I81" s="59"/>
      <c r="J81" s="76"/>
      <c r="K81" s="81" t="s">
        <v>898</v>
      </c>
      <c r="L81" s="47" t="s">
        <v>899</v>
      </c>
      <c r="M81" s="133" t="s">
        <v>900</v>
      </c>
      <c r="N81" s="134">
        <v>23.252738</v>
      </c>
      <c r="O81" s="134">
        <v>92.06184</v>
      </c>
      <c r="P81" s="81">
        <v>5000</v>
      </c>
      <c r="Q81" s="47"/>
      <c r="R81" s="81"/>
      <c r="S81" s="81"/>
      <c r="T81" s="135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7" t="s">
        <v>675</v>
      </c>
      <c r="F82" s="47" t="s">
        <v>834</v>
      </c>
      <c r="G82" s="130" t="s">
        <v>707</v>
      </c>
      <c r="H82" s="131"/>
      <c r="I82" s="59"/>
      <c r="J82" s="76"/>
      <c r="K82" s="81" t="s">
        <v>901</v>
      </c>
      <c r="L82" s="47" t="s">
        <v>902</v>
      </c>
      <c r="M82" s="133" t="s">
        <v>903</v>
      </c>
      <c r="N82" s="134">
        <v>23.249454</v>
      </c>
      <c r="O82" s="134">
        <v>92.064231</v>
      </c>
      <c r="P82" s="81">
        <v>700</v>
      </c>
      <c r="Q82" s="47"/>
      <c r="R82" s="81"/>
      <c r="S82" s="81"/>
      <c r="T82" s="135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7" t="s">
        <v>675</v>
      </c>
      <c r="F83" s="47" t="s">
        <v>834</v>
      </c>
      <c r="G83" s="130" t="s">
        <v>707</v>
      </c>
      <c r="H83" s="131"/>
      <c r="I83" s="59"/>
      <c r="J83" s="76"/>
      <c r="K83" s="81" t="s">
        <v>904</v>
      </c>
      <c r="L83" s="47" t="s">
        <v>905</v>
      </c>
      <c r="M83" s="133" t="s">
        <v>906</v>
      </c>
      <c r="N83" s="134">
        <v>23.241811</v>
      </c>
      <c r="O83" s="134">
        <v>92.065382</v>
      </c>
      <c r="P83" s="81">
        <v>1000</v>
      </c>
      <c r="Q83" s="47"/>
      <c r="R83" s="81"/>
      <c r="S83" s="81"/>
      <c r="T83" s="135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7" t="s">
        <v>675</v>
      </c>
      <c r="F84" s="47" t="s">
        <v>834</v>
      </c>
      <c r="G84" s="130" t="s">
        <v>707</v>
      </c>
      <c r="H84" s="131"/>
      <c r="I84" s="59"/>
      <c r="J84" s="76"/>
      <c r="K84" s="81" t="s">
        <v>907</v>
      </c>
      <c r="L84" s="47" t="s">
        <v>908</v>
      </c>
      <c r="M84" s="133" t="s">
        <v>909</v>
      </c>
      <c r="N84" s="134">
        <v>23.247795</v>
      </c>
      <c r="O84" s="134">
        <v>92.068316</v>
      </c>
      <c r="P84" s="81">
        <v>500</v>
      </c>
      <c r="Q84" s="47"/>
      <c r="R84" s="81"/>
      <c r="S84" s="81"/>
      <c r="T84" s="135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7" t="s">
        <v>675</v>
      </c>
      <c r="F85" s="47" t="s">
        <v>834</v>
      </c>
      <c r="G85" s="130" t="s">
        <v>726</v>
      </c>
      <c r="H85" s="131"/>
      <c r="I85" s="59"/>
      <c r="J85" s="76"/>
      <c r="K85" s="81" t="s">
        <v>910</v>
      </c>
      <c r="L85" s="47" t="s">
        <v>911</v>
      </c>
      <c r="M85" s="133" t="s">
        <v>912</v>
      </c>
      <c r="N85" s="134">
        <v>23.250509</v>
      </c>
      <c r="O85" s="134">
        <v>92.056892</v>
      </c>
      <c r="P85" s="81">
        <v>350</v>
      </c>
      <c r="Q85" s="47"/>
      <c r="R85" s="81"/>
      <c r="S85" s="81"/>
      <c r="T85" s="135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7" t="s">
        <v>675</v>
      </c>
      <c r="F86" s="47" t="s">
        <v>834</v>
      </c>
      <c r="G86" s="130" t="s">
        <v>726</v>
      </c>
      <c r="H86" s="131"/>
      <c r="I86" s="59"/>
      <c r="J86" s="76"/>
      <c r="K86" s="81" t="s">
        <v>913</v>
      </c>
      <c r="L86" s="47" t="s">
        <v>914</v>
      </c>
      <c r="M86" s="133" t="s">
        <v>915</v>
      </c>
      <c r="N86" s="134">
        <v>23.250151</v>
      </c>
      <c r="O86" s="134">
        <v>92.042396</v>
      </c>
      <c r="P86" s="81">
        <v>280</v>
      </c>
      <c r="Q86" s="47"/>
      <c r="R86" s="81"/>
      <c r="S86" s="81"/>
      <c r="T86" s="135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7" t="s">
        <v>675</v>
      </c>
      <c r="F87" s="47" t="s">
        <v>834</v>
      </c>
      <c r="G87" s="130" t="s">
        <v>726</v>
      </c>
      <c r="H87" s="131"/>
      <c r="I87" s="59"/>
      <c r="J87" s="76"/>
      <c r="K87" s="81" t="s">
        <v>916</v>
      </c>
      <c r="L87" s="47" t="s">
        <v>917</v>
      </c>
      <c r="M87" s="133" t="s">
        <v>918</v>
      </c>
      <c r="N87" s="134">
        <v>23.263774</v>
      </c>
      <c r="O87" s="134">
        <v>92.043441</v>
      </c>
      <c r="P87" s="81">
        <v>500</v>
      </c>
      <c r="Q87" s="47"/>
      <c r="R87" s="137"/>
      <c r="S87" s="137"/>
      <c r="T87" s="135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7" t="s">
        <v>675</v>
      </c>
      <c r="F88" s="47" t="s">
        <v>834</v>
      </c>
      <c r="G88" s="130" t="s">
        <v>726</v>
      </c>
      <c r="H88" s="131"/>
      <c r="I88" s="132"/>
      <c r="J88" s="76"/>
      <c r="K88" s="81" t="s">
        <v>919</v>
      </c>
      <c r="L88" s="47" t="s">
        <v>920</v>
      </c>
      <c r="M88" s="133" t="s">
        <v>921</v>
      </c>
      <c r="N88" s="134">
        <v>23.259837</v>
      </c>
      <c r="O88" s="134">
        <v>92.041477</v>
      </c>
      <c r="P88" s="81">
        <v>250</v>
      </c>
      <c r="Q88" s="47"/>
      <c r="R88" s="81"/>
      <c r="S88" s="81"/>
      <c r="T88" s="7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7" t="s">
        <v>675</v>
      </c>
      <c r="F89" s="47" t="s">
        <v>834</v>
      </c>
      <c r="G89" s="130" t="s">
        <v>742</v>
      </c>
      <c r="H89" s="131"/>
      <c r="I89" s="132"/>
      <c r="J89" s="76"/>
      <c r="K89" s="81" t="s">
        <v>922</v>
      </c>
      <c r="L89" s="47" t="s">
        <v>923</v>
      </c>
      <c r="M89" s="133" t="s">
        <v>924</v>
      </c>
      <c r="N89" s="134">
        <v>23.242343</v>
      </c>
      <c r="O89" s="134">
        <v>92.059451</v>
      </c>
      <c r="P89" s="81">
        <v>219</v>
      </c>
      <c r="Q89" s="47"/>
      <c r="R89" s="81"/>
      <c r="S89" s="81"/>
      <c r="T89" s="135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7" t="s">
        <v>675</v>
      </c>
      <c r="F90" s="47" t="s">
        <v>834</v>
      </c>
      <c r="G90" s="130" t="s">
        <v>742</v>
      </c>
      <c r="H90" s="131"/>
      <c r="I90" s="132"/>
      <c r="J90" s="76"/>
      <c r="K90" s="81" t="s">
        <v>925</v>
      </c>
      <c r="L90" s="47" t="s">
        <v>926</v>
      </c>
      <c r="M90" s="133" t="s">
        <v>927</v>
      </c>
      <c r="N90" s="134">
        <v>23.246327</v>
      </c>
      <c r="O90" s="134">
        <v>92.043858</v>
      </c>
      <c r="P90" s="81">
        <v>230</v>
      </c>
      <c r="Q90" s="47"/>
      <c r="R90" s="81"/>
      <c r="S90" s="81"/>
      <c r="T90" s="135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7" t="s">
        <v>675</v>
      </c>
      <c r="F91" s="47" t="s">
        <v>834</v>
      </c>
      <c r="G91" s="130" t="s">
        <v>742</v>
      </c>
      <c r="H91" s="131"/>
      <c r="I91" s="132"/>
      <c r="J91" s="76"/>
      <c r="K91" s="81" t="s">
        <v>928</v>
      </c>
      <c r="L91" s="47" t="s">
        <v>929</v>
      </c>
      <c r="M91" s="133" t="s">
        <v>930</v>
      </c>
      <c r="N91" s="134">
        <v>23.274068</v>
      </c>
      <c r="O91" s="134">
        <v>92.043789</v>
      </c>
      <c r="P91" s="81">
        <v>250</v>
      </c>
      <c r="Q91" s="47"/>
      <c r="R91" s="81"/>
      <c r="S91" s="81"/>
      <c r="T91" s="135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7" t="s">
        <v>675</v>
      </c>
      <c r="F92" s="47" t="s">
        <v>834</v>
      </c>
      <c r="G92" s="130" t="s">
        <v>742</v>
      </c>
      <c r="H92" s="131"/>
      <c r="I92" s="132"/>
      <c r="J92" s="76"/>
      <c r="K92" s="81" t="s">
        <v>931</v>
      </c>
      <c r="L92" s="47" t="s">
        <v>932</v>
      </c>
      <c r="M92" s="133" t="s">
        <v>933</v>
      </c>
      <c r="N92" s="134">
        <v>23.266632</v>
      </c>
      <c r="O92" s="134">
        <v>92.049897</v>
      </c>
      <c r="P92" s="81">
        <v>716</v>
      </c>
      <c r="Q92" s="47"/>
      <c r="R92" s="81"/>
      <c r="S92" s="81"/>
      <c r="T92" s="135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7" t="s">
        <v>675</v>
      </c>
      <c r="F93" s="47" t="s">
        <v>834</v>
      </c>
      <c r="G93" s="130" t="s">
        <v>742</v>
      </c>
      <c r="H93" s="131"/>
      <c r="I93" s="132"/>
      <c r="J93" s="76"/>
      <c r="K93" s="81" t="s">
        <v>934</v>
      </c>
      <c r="L93" s="47" t="s">
        <v>935</v>
      </c>
      <c r="M93" s="133" t="s">
        <v>936</v>
      </c>
      <c r="N93" s="134">
        <v>23.267246</v>
      </c>
      <c r="O93" s="134">
        <v>92.055221</v>
      </c>
      <c r="P93" s="81">
        <v>542</v>
      </c>
      <c r="Q93" s="47"/>
      <c r="R93" s="81"/>
      <c r="S93" s="81"/>
      <c r="T93" s="135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7" t="s">
        <v>675</v>
      </c>
      <c r="F94" s="47" t="s">
        <v>834</v>
      </c>
      <c r="G94" s="130" t="s">
        <v>742</v>
      </c>
      <c r="H94" s="131"/>
      <c r="I94" s="132"/>
      <c r="J94" s="76"/>
      <c r="K94" s="81" t="s">
        <v>937</v>
      </c>
      <c r="L94" s="47" t="s">
        <v>938</v>
      </c>
      <c r="M94" s="133" t="s">
        <v>939</v>
      </c>
      <c r="N94" s="134">
        <v>23.258826</v>
      </c>
      <c r="O94" s="134">
        <v>92.055137</v>
      </c>
      <c r="P94" s="81">
        <v>142</v>
      </c>
      <c r="Q94" s="47"/>
      <c r="R94" s="81"/>
      <c r="S94" s="81"/>
      <c r="T94" s="135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7" t="s">
        <v>675</v>
      </c>
      <c r="F95" s="47" t="s">
        <v>834</v>
      </c>
      <c r="G95" s="130" t="s">
        <v>761</v>
      </c>
      <c r="H95" s="131"/>
      <c r="I95" s="132"/>
      <c r="J95" s="76"/>
      <c r="K95" s="81" t="s">
        <v>940</v>
      </c>
      <c r="L95" s="47" t="s">
        <v>941</v>
      </c>
      <c r="M95" s="133" t="s">
        <v>942</v>
      </c>
      <c r="N95" s="134">
        <v>23.230157</v>
      </c>
      <c r="O95" s="134">
        <v>92.072268</v>
      </c>
      <c r="P95" s="81">
        <v>1000</v>
      </c>
      <c r="Q95" s="47"/>
      <c r="R95" s="81"/>
      <c r="S95" s="81"/>
      <c r="T95" s="135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7" t="s">
        <v>675</v>
      </c>
      <c r="F96" s="47" t="s">
        <v>834</v>
      </c>
      <c r="G96" s="130" t="s">
        <v>761</v>
      </c>
      <c r="H96" s="131"/>
      <c r="I96" s="132"/>
      <c r="J96" s="76"/>
      <c r="K96" s="81" t="s">
        <v>943</v>
      </c>
      <c r="L96" s="47" t="s">
        <v>944</v>
      </c>
      <c r="M96" s="133" t="s">
        <v>945</v>
      </c>
      <c r="N96" s="134">
        <v>23.238494</v>
      </c>
      <c r="O96" s="134">
        <v>92.067962</v>
      </c>
      <c r="P96" s="81">
        <v>850</v>
      </c>
      <c r="Q96" s="47"/>
      <c r="R96" s="81"/>
      <c r="S96" s="81"/>
      <c r="T96" s="7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7" t="s">
        <v>675</v>
      </c>
      <c r="F97" s="47" t="s">
        <v>834</v>
      </c>
      <c r="G97" s="130" t="s">
        <v>761</v>
      </c>
      <c r="H97" s="131"/>
      <c r="I97" s="132"/>
      <c r="J97" s="76"/>
      <c r="K97" s="81" t="s">
        <v>946</v>
      </c>
      <c r="L97" s="47" t="s">
        <v>947</v>
      </c>
      <c r="M97" s="133" t="s">
        <v>948</v>
      </c>
      <c r="N97" s="134">
        <v>23.237853</v>
      </c>
      <c r="O97" s="134">
        <v>92.070446</v>
      </c>
      <c r="P97" s="81">
        <v>800</v>
      </c>
      <c r="Q97" s="47"/>
      <c r="R97" s="81"/>
      <c r="S97" s="81"/>
      <c r="T97" s="135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7" t="s">
        <v>675</v>
      </c>
      <c r="F98" s="47" t="s">
        <v>834</v>
      </c>
      <c r="G98" s="130" t="s">
        <v>761</v>
      </c>
      <c r="H98" s="131"/>
      <c r="I98" s="132"/>
      <c r="J98" s="76"/>
      <c r="K98" s="81" t="s">
        <v>949</v>
      </c>
      <c r="L98" s="47" t="s">
        <v>950</v>
      </c>
      <c r="M98" s="133" t="s">
        <v>951</v>
      </c>
      <c r="N98" s="134">
        <v>23.242476</v>
      </c>
      <c r="O98" s="134">
        <v>92.068426</v>
      </c>
      <c r="P98" s="81">
        <v>800</v>
      </c>
      <c r="Q98" s="47"/>
      <c r="R98" s="81"/>
      <c r="S98" s="81"/>
      <c r="T98" s="7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7" t="s">
        <v>675</v>
      </c>
      <c r="F99" s="47" t="s">
        <v>834</v>
      </c>
      <c r="G99" s="130" t="s">
        <v>781</v>
      </c>
      <c r="H99" s="131"/>
      <c r="I99" s="132"/>
      <c r="J99" s="76"/>
      <c r="K99" s="81" t="s">
        <v>952</v>
      </c>
      <c r="L99" s="47" t="s">
        <v>953</v>
      </c>
      <c r="M99" s="133" t="s">
        <v>954</v>
      </c>
      <c r="N99" s="134">
        <v>23.231407</v>
      </c>
      <c r="O99" s="134">
        <v>92.055744</v>
      </c>
      <c r="P99" s="81">
        <v>800</v>
      </c>
      <c r="Q99" s="47"/>
      <c r="R99" s="81"/>
      <c r="S99" s="81"/>
      <c r="T99" s="7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7" t="s">
        <v>675</v>
      </c>
      <c r="F100" s="47" t="s">
        <v>834</v>
      </c>
      <c r="G100" s="130" t="s">
        <v>781</v>
      </c>
      <c r="H100" s="131"/>
      <c r="I100" s="132"/>
      <c r="J100" s="76"/>
      <c r="K100" s="81" t="s">
        <v>955</v>
      </c>
      <c r="L100" s="47" t="s">
        <v>956</v>
      </c>
      <c r="M100" s="133" t="s">
        <v>957</v>
      </c>
      <c r="N100" s="134">
        <v>23.233824</v>
      </c>
      <c r="O100" s="134">
        <v>92.057182</v>
      </c>
      <c r="P100" s="81">
        <v>200</v>
      </c>
      <c r="Q100" s="47"/>
      <c r="R100" s="81"/>
      <c r="S100" s="81"/>
      <c r="T100" s="7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7" t="s">
        <v>675</v>
      </c>
      <c r="F101" s="47" t="s">
        <v>834</v>
      </c>
      <c r="G101" s="130" t="s">
        <v>781</v>
      </c>
      <c r="H101" s="131"/>
      <c r="I101" s="132"/>
      <c r="J101" s="76"/>
      <c r="K101" s="81" t="s">
        <v>958</v>
      </c>
      <c r="L101" s="47" t="s">
        <v>959</v>
      </c>
      <c r="M101" s="133" t="s">
        <v>960</v>
      </c>
      <c r="N101" s="134">
        <v>23.232619</v>
      </c>
      <c r="O101" s="134">
        <v>92.061696</v>
      </c>
      <c r="P101" s="81">
        <v>1000</v>
      </c>
      <c r="Q101" s="47"/>
      <c r="R101" s="81"/>
      <c r="S101" s="81"/>
      <c r="T101" s="7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7" t="s">
        <v>675</v>
      </c>
      <c r="F102" s="47" t="s">
        <v>834</v>
      </c>
      <c r="G102" s="130" t="s">
        <v>781</v>
      </c>
      <c r="H102" s="131"/>
      <c r="I102" s="132"/>
      <c r="J102" s="76"/>
      <c r="K102" s="81" t="s">
        <v>961</v>
      </c>
      <c r="L102" s="47" t="s">
        <v>962</v>
      </c>
      <c r="M102" s="133" t="s">
        <v>963</v>
      </c>
      <c r="N102" s="134">
        <v>23.23721</v>
      </c>
      <c r="O102" s="134">
        <v>92.065301</v>
      </c>
      <c r="P102" s="81">
        <v>1000</v>
      </c>
      <c r="Q102" s="47"/>
      <c r="R102" s="81"/>
      <c r="S102" s="81"/>
      <c r="T102" s="7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7" t="s">
        <v>675</v>
      </c>
      <c r="F103" s="47" t="s">
        <v>834</v>
      </c>
      <c r="G103" s="130" t="s">
        <v>797</v>
      </c>
      <c r="H103" s="131"/>
      <c r="I103" s="132"/>
      <c r="J103" s="76"/>
      <c r="K103" s="81" t="s">
        <v>964</v>
      </c>
      <c r="L103" s="47" t="s">
        <v>965</v>
      </c>
      <c r="M103" s="133" t="s">
        <v>966</v>
      </c>
      <c r="N103" s="134">
        <v>23.235804</v>
      </c>
      <c r="O103" s="134">
        <v>92.039879</v>
      </c>
      <c r="P103" s="81">
        <v>550</v>
      </c>
      <c r="Q103" s="47"/>
      <c r="R103" s="81"/>
      <c r="S103" s="81"/>
      <c r="T103" s="7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7" t="s">
        <v>675</v>
      </c>
      <c r="F104" s="47" t="s">
        <v>834</v>
      </c>
      <c r="G104" s="130" t="s">
        <v>797</v>
      </c>
      <c r="H104" s="131"/>
      <c r="I104" s="132"/>
      <c r="J104" s="76"/>
      <c r="K104" s="81" t="s">
        <v>967</v>
      </c>
      <c r="L104" s="47" t="s">
        <v>968</v>
      </c>
      <c r="M104" s="133" t="s">
        <v>969</v>
      </c>
      <c r="N104" s="134">
        <v>23.235243</v>
      </c>
      <c r="O104" s="134">
        <v>92.050422</v>
      </c>
      <c r="P104" s="81">
        <v>430</v>
      </c>
      <c r="Q104" s="47"/>
      <c r="R104" s="81"/>
      <c r="S104" s="81"/>
      <c r="T104" s="135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7" t="s">
        <v>675</v>
      </c>
      <c r="F105" s="47" t="s">
        <v>834</v>
      </c>
      <c r="G105" s="130" t="s">
        <v>797</v>
      </c>
      <c r="H105" s="131"/>
      <c r="I105" s="132"/>
      <c r="J105" s="76"/>
      <c r="K105" s="81" t="s">
        <v>970</v>
      </c>
      <c r="L105" s="47" t="s">
        <v>971</v>
      </c>
      <c r="M105" s="133" t="s">
        <v>972</v>
      </c>
      <c r="N105" s="134">
        <v>23.237574</v>
      </c>
      <c r="O105" s="134">
        <v>92.053989</v>
      </c>
      <c r="P105" s="81">
        <v>315</v>
      </c>
      <c r="Q105" s="47"/>
      <c r="R105" s="81"/>
      <c r="S105" s="81"/>
      <c r="T105" s="7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7" t="s">
        <v>675</v>
      </c>
      <c r="F106" s="47" t="s">
        <v>834</v>
      </c>
      <c r="G106" s="130" t="s">
        <v>797</v>
      </c>
      <c r="H106" s="131"/>
      <c r="I106" s="132"/>
      <c r="J106" s="76"/>
      <c r="K106" s="81" t="s">
        <v>973</v>
      </c>
      <c r="L106" s="47" t="s">
        <v>974</v>
      </c>
      <c r="M106" s="133" t="s">
        <v>975</v>
      </c>
      <c r="N106" s="134">
        <v>23.234868</v>
      </c>
      <c r="O106" s="134">
        <v>92.054051</v>
      </c>
      <c r="P106" s="81">
        <v>111</v>
      </c>
      <c r="Q106" s="47"/>
      <c r="R106" s="81"/>
      <c r="S106" s="81"/>
      <c r="T106" s="7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7" t="s">
        <v>675</v>
      </c>
      <c r="F107" s="47" t="s">
        <v>834</v>
      </c>
      <c r="G107" s="130" t="s">
        <v>797</v>
      </c>
      <c r="H107" s="131"/>
      <c r="I107" s="132"/>
      <c r="J107" s="76"/>
      <c r="K107" s="81" t="s">
        <v>976</v>
      </c>
      <c r="L107" s="47" t="s">
        <v>977</v>
      </c>
      <c r="M107" s="133" t="s">
        <v>978</v>
      </c>
      <c r="N107" s="134">
        <v>23.23371</v>
      </c>
      <c r="O107" s="134">
        <v>92.054306</v>
      </c>
      <c r="P107" s="81"/>
      <c r="Q107" s="81"/>
      <c r="R107" s="81"/>
      <c r="S107" s="81"/>
      <c r="T107" s="135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7" t="s">
        <v>675</v>
      </c>
      <c r="F108" s="47" t="s">
        <v>675</v>
      </c>
      <c r="G108" s="130" t="s">
        <v>677</v>
      </c>
      <c r="H108" s="131"/>
      <c r="I108" s="132"/>
      <c r="J108" s="76"/>
      <c r="K108" s="81" t="s">
        <v>149</v>
      </c>
      <c r="L108" s="47" t="s">
        <v>979</v>
      </c>
      <c r="M108" s="133" t="s">
        <v>980</v>
      </c>
      <c r="N108" s="134">
        <v>23.37758</v>
      </c>
      <c r="O108" s="134">
        <v>92.039784</v>
      </c>
      <c r="P108" s="81">
        <v>180</v>
      </c>
      <c r="Q108" s="47"/>
      <c r="R108" s="81"/>
      <c r="S108" s="81"/>
      <c r="T108" s="7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7" t="s">
        <v>675</v>
      </c>
      <c r="F109" s="47" t="s">
        <v>675</v>
      </c>
      <c r="G109" s="130" t="s">
        <v>677</v>
      </c>
      <c r="H109" s="131"/>
      <c r="I109" s="132"/>
      <c r="J109" s="76"/>
      <c r="K109" s="81" t="s">
        <v>981</v>
      </c>
      <c r="L109" s="47" t="s">
        <v>982</v>
      </c>
      <c r="M109" s="133" t="s">
        <v>983</v>
      </c>
      <c r="N109" s="134">
        <v>23.370602</v>
      </c>
      <c r="O109" s="134">
        <v>92.043761</v>
      </c>
      <c r="P109" s="81">
        <v>420</v>
      </c>
      <c r="Q109" s="47"/>
      <c r="R109" s="81"/>
      <c r="S109" s="81"/>
      <c r="T109" s="7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7" t="s">
        <v>675</v>
      </c>
      <c r="F110" s="47" t="s">
        <v>675</v>
      </c>
      <c r="G110" s="130" t="s">
        <v>677</v>
      </c>
      <c r="H110" s="131"/>
      <c r="I110" s="132"/>
      <c r="J110" s="76"/>
      <c r="K110" s="81" t="s">
        <v>984</v>
      </c>
      <c r="L110" s="47" t="s">
        <v>985</v>
      </c>
      <c r="M110" s="133" t="s">
        <v>986</v>
      </c>
      <c r="N110" s="134">
        <v>23.363418</v>
      </c>
      <c r="O110" s="134">
        <v>92.04537</v>
      </c>
      <c r="P110" s="81">
        <v>320</v>
      </c>
      <c r="Q110" s="47"/>
      <c r="R110" s="81"/>
      <c r="S110" s="81"/>
      <c r="T110" s="7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7" t="s">
        <v>675</v>
      </c>
      <c r="F111" s="47" t="s">
        <v>675</v>
      </c>
      <c r="G111" s="130" t="s">
        <v>677</v>
      </c>
      <c r="H111" s="131"/>
      <c r="I111" s="132"/>
      <c r="J111" s="76"/>
      <c r="K111" s="81" t="s">
        <v>987</v>
      </c>
      <c r="L111" s="47" t="s">
        <v>988</v>
      </c>
      <c r="M111" s="133" t="s">
        <v>989</v>
      </c>
      <c r="N111" s="134">
        <v>23.356251</v>
      </c>
      <c r="O111" s="134">
        <v>92.044893</v>
      </c>
      <c r="P111" s="81">
        <v>1100</v>
      </c>
      <c r="Q111" s="47"/>
      <c r="R111" s="81"/>
      <c r="S111" s="81"/>
      <c r="T111" s="7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7" t="s">
        <v>675</v>
      </c>
      <c r="F112" s="47" t="s">
        <v>675</v>
      </c>
      <c r="G112" s="130" t="s">
        <v>677</v>
      </c>
      <c r="H112" s="131"/>
      <c r="I112" s="132"/>
      <c r="J112" s="76"/>
      <c r="K112" s="81" t="s">
        <v>990</v>
      </c>
      <c r="L112" s="47" t="s">
        <v>991</v>
      </c>
      <c r="M112" s="133" t="s">
        <v>992</v>
      </c>
      <c r="N112" s="134">
        <v>23.349683</v>
      </c>
      <c r="O112" s="134">
        <v>92.047091</v>
      </c>
      <c r="P112" s="81">
        <v>300</v>
      </c>
      <c r="Q112" s="47"/>
      <c r="R112" s="81"/>
      <c r="S112" s="81"/>
      <c r="T112" s="7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7" t="s">
        <v>675</v>
      </c>
      <c r="F113" s="47" t="s">
        <v>675</v>
      </c>
      <c r="G113" s="130" t="s">
        <v>677</v>
      </c>
      <c r="H113" s="131"/>
      <c r="I113" s="132"/>
      <c r="J113" s="76"/>
      <c r="K113" s="81" t="s">
        <v>993</v>
      </c>
      <c r="L113" s="47" t="s">
        <v>994</v>
      </c>
      <c r="M113" s="133" t="s">
        <v>995</v>
      </c>
      <c r="N113" s="134">
        <v>23.343254</v>
      </c>
      <c r="O113" s="134">
        <v>92.052646</v>
      </c>
      <c r="P113" s="81">
        <v>340</v>
      </c>
      <c r="Q113" s="47"/>
      <c r="R113" s="81"/>
      <c r="S113" s="81"/>
      <c r="T113" s="7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7" t="s">
        <v>675</v>
      </c>
      <c r="F114" s="47" t="s">
        <v>675</v>
      </c>
      <c r="G114" s="130" t="s">
        <v>677</v>
      </c>
      <c r="H114" s="131"/>
      <c r="I114" s="132"/>
      <c r="J114" s="76"/>
      <c r="K114" s="81" t="s">
        <v>996</v>
      </c>
      <c r="L114" s="47" t="s">
        <v>997</v>
      </c>
      <c r="M114" s="133" t="s">
        <v>998</v>
      </c>
      <c r="N114" s="134">
        <v>23.339684</v>
      </c>
      <c r="O114" s="134">
        <v>92.044075</v>
      </c>
      <c r="P114" s="81">
        <v>120</v>
      </c>
      <c r="Q114" s="47"/>
      <c r="R114" s="81"/>
      <c r="S114" s="81"/>
      <c r="T114" s="7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7" t="s">
        <v>675</v>
      </c>
      <c r="F115" s="47" t="s">
        <v>675</v>
      </c>
      <c r="G115" s="130" t="s">
        <v>677</v>
      </c>
      <c r="H115" s="131"/>
      <c r="I115" s="132"/>
      <c r="J115" s="76"/>
      <c r="K115" s="81" t="s">
        <v>828</v>
      </c>
      <c r="L115" s="47" t="s">
        <v>829</v>
      </c>
      <c r="M115" s="133" t="s">
        <v>999</v>
      </c>
      <c r="N115" s="134">
        <v>23.342419</v>
      </c>
      <c r="O115" s="134">
        <v>92.044432</v>
      </c>
      <c r="P115" s="81"/>
      <c r="Q115" s="81"/>
      <c r="R115" s="81"/>
      <c r="S115" s="81"/>
      <c r="T115" s="7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7" t="s">
        <v>675</v>
      </c>
      <c r="F116" s="47" t="s">
        <v>675</v>
      </c>
      <c r="G116" s="130" t="s">
        <v>684</v>
      </c>
      <c r="H116" s="131"/>
      <c r="I116" s="132"/>
      <c r="J116" s="76"/>
      <c r="K116" s="81" t="s">
        <v>1000</v>
      </c>
      <c r="L116" s="47" t="s">
        <v>1001</v>
      </c>
      <c r="M116" s="133" t="s">
        <v>1002</v>
      </c>
      <c r="N116" s="134">
        <v>23.336553</v>
      </c>
      <c r="O116" s="134">
        <v>92.052092</v>
      </c>
      <c r="P116" s="81">
        <v>400</v>
      </c>
      <c r="Q116" s="47"/>
      <c r="R116" s="81"/>
      <c r="S116" s="81"/>
      <c r="T116" s="7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7" t="s">
        <v>675</v>
      </c>
      <c r="F117" s="47" t="s">
        <v>675</v>
      </c>
      <c r="G117" s="130" t="s">
        <v>684</v>
      </c>
      <c r="H117" s="131"/>
      <c r="I117" s="132"/>
      <c r="J117" s="76"/>
      <c r="K117" s="81" t="s">
        <v>1003</v>
      </c>
      <c r="L117" s="47" t="s">
        <v>1004</v>
      </c>
      <c r="M117" s="133" t="s">
        <v>1005</v>
      </c>
      <c r="N117" s="134">
        <v>23.325893</v>
      </c>
      <c r="O117" s="134">
        <v>92.046536</v>
      </c>
      <c r="P117" s="81">
        <v>1300</v>
      </c>
      <c r="Q117" s="47"/>
      <c r="R117" s="81"/>
      <c r="S117" s="81"/>
      <c r="T117" s="7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7" t="s">
        <v>675</v>
      </c>
      <c r="F118" s="47" t="s">
        <v>675</v>
      </c>
      <c r="G118" s="130" t="s">
        <v>697</v>
      </c>
      <c r="H118" s="131"/>
      <c r="I118" s="132"/>
      <c r="J118" s="76"/>
      <c r="K118" s="81" t="s">
        <v>1006</v>
      </c>
      <c r="L118" s="47" t="s">
        <v>1007</v>
      </c>
      <c r="M118" s="133" t="s">
        <v>1008</v>
      </c>
      <c r="N118" s="134">
        <v>23.30823</v>
      </c>
      <c r="O118" s="134">
        <v>92.049015</v>
      </c>
      <c r="P118" s="81">
        <v>750</v>
      </c>
      <c r="Q118" s="47"/>
      <c r="R118" s="81"/>
      <c r="S118" s="81"/>
      <c r="T118" s="7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7" t="s">
        <v>675</v>
      </c>
      <c r="F119" s="47" t="s">
        <v>675</v>
      </c>
      <c r="G119" s="130" t="s">
        <v>697</v>
      </c>
      <c r="H119" s="131"/>
      <c r="I119" s="132"/>
      <c r="J119" s="76"/>
      <c r="K119" s="81" t="s">
        <v>1009</v>
      </c>
      <c r="L119" s="47" t="s">
        <v>1010</v>
      </c>
      <c r="M119" s="133" t="s">
        <v>1011</v>
      </c>
      <c r="N119" s="134">
        <v>23.318296</v>
      </c>
      <c r="O119" s="134">
        <v>92.051266</v>
      </c>
      <c r="P119" s="81">
        <v>950</v>
      </c>
      <c r="Q119" s="47"/>
      <c r="R119" s="81"/>
      <c r="S119" s="81"/>
      <c r="T119" s="7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7" t="s">
        <v>675</v>
      </c>
      <c r="F120" s="47" t="s">
        <v>675</v>
      </c>
      <c r="G120" s="130" t="s">
        <v>697</v>
      </c>
      <c r="H120" s="131"/>
      <c r="I120" s="132"/>
      <c r="J120" s="76"/>
      <c r="K120" s="81" t="s">
        <v>1012</v>
      </c>
      <c r="L120" s="47" t="s">
        <v>1013</v>
      </c>
      <c r="M120" s="133" t="s">
        <v>1014</v>
      </c>
      <c r="N120" s="134">
        <v>23.323701</v>
      </c>
      <c r="O120" s="134">
        <v>92.070921</v>
      </c>
      <c r="P120" s="81">
        <v>100</v>
      </c>
      <c r="Q120" s="47"/>
      <c r="R120" s="81"/>
      <c r="S120" s="81"/>
      <c r="T120" s="7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7" t="s">
        <v>675</v>
      </c>
      <c r="F121" s="47" t="s">
        <v>675</v>
      </c>
      <c r="G121" s="130" t="s">
        <v>697</v>
      </c>
      <c r="H121" s="131"/>
      <c r="I121" s="132"/>
      <c r="J121" s="76"/>
      <c r="K121" s="81" t="s">
        <v>1015</v>
      </c>
      <c r="L121" s="47" t="s">
        <v>1016</v>
      </c>
      <c r="M121" s="133" t="s">
        <v>1017</v>
      </c>
      <c r="N121" s="134">
        <v>23.321542</v>
      </c>
      <c r="O121" s="134">
        <v>92.058845</v>
      </c>
      <c r="P121" s="81">
        <v>180</v>
      </c>
      <c r="Q121" s="47"/>
      <c r="R121" s="81"/>
      <c r="S121" s="81"/>
      <c r="T121" s="135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7" t="s">
        <v>675</v>
      </c>
      <c r="F122" s="47" t="s">
        <v>675</v>
      </c>
      <c r="G122" s="130" t="s">
        <v>707</v>
      </c>
      <c r="H122" s="131"/>
      <c r="I122" s="132"/>
      <c r="J122" s="76"/>
      <c r="K122" s="81" t="s">
        <v>1018</v>
      </c>
      <c r="L122" s="47" t="s">
        <v>1019</v>
      </c>
      <c r="M122" s="133" t="s">
        <v>1020</v>
      </c>
      <c r="N122" s="134">
        <v>23.305469</v>
      </c>
      <c r="O122" s="134">
        <v>92.052351</v>
      </c>
      <c r="P122" s="81">
        <v>250</v>
      </c>
      <c r="Q122" s="47"/>
      <c r="R122" s="81"/>
      <c r="S122" s="81"/>
      <c r="T122" s="135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7" t="s">
        <v>675</v>
      </c>
      <c r="F123" s="47" t="s">
        <v>675</v>
      </c>
      <c r="G123" s="130" t="s">
        <v>707</v>
      </c>
      <c r="H123" s="131"/>
      <c r="I123" s="132"/>
      <c r="J123" s="76"/>
      <c r="K123" s="81" t="s">
        <v>1021</v>
      </c>
      <c r="L123" s="47" t="s">
        <v>1022</v>
      </c>
      <c r="M123" s="133" t="s">
        <v>1023</v>
      </c>
      <c r="N123" s="134">
        <v>23.307146</v>
      </c>
      <c r="O123" s="134">
        <v>92.050268</v>
      </c>
      <c r="P123" s="81">
        <v>210</v>
      </c>
      <c r="Q123" s="47"/>
      <c r="R123" s="81"/>
      <c r="S123" s="81"/>
      <c r="T123" s="7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7" t="s">
        <v>675</v>
      </c>
      <c r="F124" s="47" t="s">
        <v>675</v>
      </c>
      <c r="G124" s="130" t="s">
        <v>707</v>
      </c>
      <c r="H124" s="131"/>
      <c r="I124" s="132"/>
      <c r="J124" s="76"/>
      <c r="K124" s="81" t="s">
        <v>1024</v>
      </c>
      <c r="L124" s="47" t="s">
        <v>1025</v>
      </c>
      <c r="M124" s="133" t="s">
        <v>1026</v>
      </c>
      <c r="N124" s="134">
        <v>23.308536</v>
      </c>
      <c r="O124" s="134">
        <v>92.051791</v>
      </c>
      <c r="P124" s="81">
        <v>400</v>
      </c>
      <c r="Q124" s="47"/>
      <c r="R124" s="81"/>
      <c r="S124" s="81"/>
      <c r="T124" s="135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7" t="s">
        <v>675</v>
      </c>
      <c r="F125" s="47" t="s">
        <v>675</v>
      </c>
      <c r="G125" s="130" t="s">
        <v>707</v>
      </c>
      <c r="H125" s="131"/>
      <c r="I125" s="132"/>
      <c r="J125" s="76"/>
      <c r="K125" s="81" t="s">
        <v>1027</v>
      </c>
      <c r="L125" s="47" t="s">
        <v>1028</v>
      </c>
      <c r="M125" s="133" t="s">
        <v>1029</v>
      </c>
      <c r="N125" s="134">
        <v>23.309533</v>
      </c>
      <c r="O125" s="134">
        <v>92.060101</v>
      </c>
      <c r="P125" s="81">
        <v>180</v>
      </c>
      <c r="Q125" s="47"/>
      <c r="R125" s="81"/>
      <c r="S125" s="81"/>
      <c r="T125" s="135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7" t="s">
        <v>675</v>
      </c>
      <c r="F126" s="47" t="s">
        <v>675</v>
      </c>
      <c r="G126" s="130" t="s">
        <v>707</v>
      </c>
      <c r="H126" s="131"/>
      <c r="I126" s="132"/>
      <c r="J126" s="76"/>
      <c r="K126" s="81" t="s">
        <v>1030</v>
      </c>
      <c r="L126" s="47" t="s">
        <v>1031</v>
      </c>
      <c r="M126" s="133" t="s">
        <v>1032</v>
      </c>
      <c r="N126" s="134">
        <v>23.310147</v>
      </c>
      <c r="O126" s="134">
        <v>92.068755</v>
      </c>
      <c r="P126" s="81">
        <v>300</v>
      </c>
      <c r="Q126" s="47"/>
      <c r="R126" s="81"/>
      <c r="S126" s="81"/>
      <c r="T126" s="135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7" t="s">
        <v>675</v>
      </c>
      <c r="F127" s="47" t="s">
        <v>675</v>
      </c>
      <c r="G127" s="130" t="s">
        <v>726</v>
      </c>
      <c r="H127" s="131"/>
      <c r="I127" s="132"/>
      <c r="J127" s="76"/>
      <c r="K127" s="81" t="s">
        <v>1033</v>
      </c>
      <c r="L127" s="47" t="s">
        <v>1034</v>
      </c>
      <c r="M127" s="133" t="s">
        <v>1035</v>
      </c>
      <c r="N127" s="134">
        <v>23.300915</v>
      </c>
      <c r="O127" s="134">
        <v>92.052399</v>
      </c>
      <c r="P127" s="81">
        <v>580</v>
      </c>
      <c r="Q127" s="47"/>
      <c r="R127" s="81"/>
      <c r="S127" s="81"/>
      <c r="T127" s="135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7" t="s">
        <v>675</v>
      </c>
      <c r="F128" s="47" t="s">
        <v>675</v>
      </c>
      <c r="G128" s="130" t="s">
        <v>726</v>
      </c>
      <c r="H128" s="131"/>
      <c r="I128" s="132"/>
      <c r="J128" s="76"/>
      <c r="K128" s="81" t="s">
        <v>1036</v>
      </c>
      <c r="L128" s="47" t="s">
        <v>1037</v>
      </c>
      <c r="M128" s="133" t="s">
        <v>1038</v>
      </c>
      <c r="N128" s="134">
        <v>23.29782</v>
      </c>
      <c r="O128" s="134">
        <v>92.055416</v>
      </c>
      <c r="P128" s="81">
        <v>500</v>
      </c>
      <c r="Q128" s="47"/>
      <c r="R128" s="81"/>
      <c r="S128" s="81"/>
      <c r="T128" s="135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7" t="s">
        <v>675</v>
      </c>
      <c r="F129" s="47" t="s">
        <v>675</v>
      </c>
      <c r="G129" s="130" t="s">
        <v>726</v>
      </c>
      <c r="H129" s="131"/>
      <c r="I129" s="132"/>
      <c r="J129" s="76"/>
      <c r="K129" s="81" t="s">
        <v>1039</v>
      </c>
      <c r="L129" s="47" t="s">
        <v>1040</v>
      </c>
      <c r="M129" s="133" t="s">
        <v>1041</v>
      </c>
      <c r="N129" s="134">
        <v>23.300258</v>
      </c>
      <c r="O129" s="134">
        <v>92.057183</v>
      </c>
      <c r="P129" s="81">
        <v>180</v>
      </c>
      <c r="Q129" s="47"/>
      <c r="R129" s="81"/>
      <c r="S129" s="81"/>
      <c r="T129" s="135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7" t="s">
        <v>675</v>
      </c>
      <c r="F130" s="47" t="s">
        <v>675</v>
      </c>
      <c r="G130" s="130" t="s">
        <v>726</v>
      </c>
      <c r="H130" s="131"/>
      <c r="I130" s="132"/>
      <c r="J130" s="76"/>
      <c r="K130" s="81" t="s">
        <v>1042</v>
      </c>
      <c r="L130" s="47" t="s">
        <v>1043</v>
      </c>
      <c r="M130" s="133" t="s">
        <v>1044</v>
      </c>
      <c r="N130" s="134">
        <v>23.304946</v>
      </c>
      <c r="O130" s="134">
        <v>92.059347</v>
      </c>
      <c r="P130" s="81">
        <v>150</v>
      </c>
      <c r="Q130" s="47"/>
      <c r="R130" s="81"/>
      <c r="S130" s="81"/>
      <c r="T130" s="135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7" t="s">
        <v>675</v>
      </c>
      <c r="F131" s="47" t="s">
        <v>675</v>
      </c>
      <c r="G131" s="130" t="s">
        <v>742</v>
      </c>
      <c r="H131" s="131"/>
      <c r="I131" s="132"/>
      <c r="J131" s="76"/>
      <c r="K131" s="81" t="s">
        <v>1045</v>
      </c>
      <c r="L131" s="47" t="s">
        <v>1046</v>
      </c>
      <c r="M131" s="133" t="s">
        <v>1047</v>
      </c>
      <c r="N131" s="134">
        <v>23.289781</v>
      </c>
      <c r="O131" s="134">
        <v>92.050321</v>
      </c>
      <c r="P131" s="81">
        <v>1000</v>
      </c>
      <c r="Q131" s="47"/>
      <c r="R131" s="81"/>
      <c r="S131" s="81"/>
      <c r="T131" s="7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7" t="s">
        <v>675</v>
      </c>
      <c r="F132" s="47" t="s">
        <v>675</v>
      </c>
      <c r="G132" s="130" t="s">
        <v>742</v>
      </c>
      <c r="H132" s="131"/>
      <c r="I132" s="132"/>
      <c r="J132" s="76"/>
      <c r="K132" s="81" t="s">
        <v>1048</v>
      </c>
      <c r="L132" s="47" t="s">
        <v>1049</v>
      </c>
      <c r="M132" s="133" t="s">
        <v>1050</v>
      </c>
      <c r="N132" s="134">
        <v>23.282828</v>
      </c>
      <c r="O132" s="134">
        <v>92.050207</v>
      </c>
      <c r="P132" s="81">
        <v>780</v>
      </c>
      <c r="Q132" s="47"/>
      <c r="R132" s="81"/>
      <c r="S132" s="81"/>
      <c r="T132" s="7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7" t="s">
        <v>675</v>
      </c>
      <c r="F133" s="47" t="s">
        <v>675</v>
      </c>
      <c r="G133" s="130" t="s">
        <v>742</v>
      </c>
      <c r="H133" s="131"/>
      <c r="I133" s="132"/>
      <c r="J133" s="76"/>
      <c r="K133" s="81" t="s">
        <v>1051</v>
      </c>
      <c r="L133" s="47" t="s">
        <v>1052</v>
      </c>
      <c r="M133" s="133" t="s">
        <v>1053</v>
      </c>
      <c r="N133" s="134">
        <v>23.295054</v>
      </c>
      <c r="O133" s="134">
        <v>92.050661</v>
      </c>
      <c r="P133" s="81">
        <v>340</v>
      </c>
      <c r="Q133" s="47"/>
      <c r="R133" s="81"/>
      <c r="S133" s="81"/>
      <c r="T133" s="7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7" t="s">
        <v>675</v>
      </c>
      <c r="F134" s="47" t="s">
        <v>675</v>
      </c>
      <c r="G134" s="130" t="s">
        <v>761</v>
      </c>
      <c r="H134" s="131"/>
      <c r="I134" s="59"/>
      <c r="J134" s="76"/>
      <c r="K134" s="81" t="s">
        <v>1054</v>
      </c>
      <c r="L134" s="47" t="s">
        <v>1055</v>
      </c>
      <c r="M134" s="133" t="s">
        <v>1056</v>
      </c>
      <c r="N134" s="134">
        <v>23.291007</v>
      </c>
      <c r="O134" s="134">
        <v>92.066035</v>
      </c>
      <c r="P134" s="81">
        <v>375</v>
      </c>
      <c r="Q134" s="47"/>
      <c r="R134" s="81"/>
      <c r="S134" s="81"/>
      <c r="T134" s="135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7" t="s">
        <v>675</v>
      </c>
      <c r="F135" s="47" t="s">
        <v>675</v>
      </c>
      <c r="G135" s="130" t="s">
        <v>761</v>
      </c>
      <c r="H135" s="131"/>
      <c r="I135" s="59"/>
      <c r="J135" s="76"/>
      <c r="K135" s="81" t="s">
        <v>1057</v>
      </c>
      <c r="L135" s="47" t="s">
        <v>1058</v>
      </c>
      <c r="M135" s="133" t="s">
        <v>1059</v>
      </c>
      <c r="N135" s="134">
        <v>23.302303</v>
      </c>
      <c r="O135" s="134">
        <v>92.064357</v>
      </c>
      <c r="P135" s="81">
        <v>280</v>
      </c>
      <c r="Q135" s="47"/>
      <c r="R135" s="81"/>
      <c r="S135" s="81"/>
      <c r="T135" s="7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7" t="s">
        <v>675</v>
      </c>
      <c r="F136" s="47" t="s">
        <v>675</v>
      </c>
      <c r="G136" s="130" t="s">
        <v>761</v>
      </c>
      <c r="H136" s="131"/>
      <c r="I136" s="59"/>
      <c r="J136" s="76"/>
      <c r="K136" s="81" t="s">
        <v>1060</v>
      </c>
      <c r="L136" s="47" t="s">
        <v>1061</v>
      </c>
      <c r="M136" s="133" t="s">
        <v>1062</v>
      </c>
      <c r="N136" s="134">
        <v>23.299337</v>
      </c>
      <c r="O136" s="134">
        <v>92.066612</v>
      </c>
      <c r="P136" s="81">
        <v>550</v>
      </c>
      <c r="Q136" s="47"/>
      <c r="R136" s="81"/>
      <c r="S136" s="81"/>
      <c r="T136" s="7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7" t="s">
        <v>675</v>
      </c>
      <c r="F137" s="47" t="s">
        <v>675</v>
      </c>
      <c r="G137" s="130" t="s">
        <v>781</v>
      </c>
      <c r="H137" s="131"/>
      <c r="I137" s="59"/>
      <c r="J137" s="76"/>
      <c r="K137" s="81" t="s">
        <v>733</v>
      </c>
      <c r="L137" s="47" t="s">
        <v>1063</v>
      </c>
      <c r="M137" s="133" t="s">
        <v>1064</v>
      </c>
      <c r="N137" s="134">
        <v>23.281258</v>
      </c>
      <c r="O137" s="134">
        <v>92.073945</v>
      </c>
      <c r="P137" s="81">
        <v>450</v>
      </c>
      <c r="Q137" s="47"/>
      <c r="R137" s="81"/>
      <c r="S137" s="81"/>
      <c r="T137" s="7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7" t="s">
        <v>675</v>
      </c>
      <c r="F138" s="47" t="s">
        <v>675</v>
      </c>
      <c r="G138" s="130" t="s">
        <v>781</v>
      </c>
      <c r="H138" s="131"/>
      <c r="I138" s="59"/>
      <c r="J138" s="76"/>
      <c r="K138" s="81" t="s">
        <v>1065</v>
      </c>
      <c r="L138" s="47" t="s">
        <v>1066</v>
      </c>
      <c r="M138" s="133" t="s">
        <v>1067</v>
      </c>
      <c r="N138" s="134">
        <v>23.277011</v>
      </c>
      <c r="O138" s="134">
        <v>92.071827</v>
      </c>
      <c r="P138" s="81">
        <v>200</v>
      </c>
      <c r="Q138" s="47"/>
      <c r="R138" s="81"/>
      <c r="S138" s="81"/>
      <c r="T138" s="135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7" t="s">
        <v>675</v>
      </c>
      <c r="F139" s="47" t="s">
        <v>675</v>
      </c>
      <c r="G139" s="130" t="s">
        <v>781</v>
      </c>
      <c r="H139" s="131"/>
      <c r="I139" s="59"/>
      <c r="J139" s="76"/>
      <c r="K139" s="81" t="s">
        <v>1068</v>
      </c>
      <c r="L139" s="47" t="s">
        <v>1069</v>
      </c>
      <c r="M139" s="133" t="s">
        <v>1070</v>
      </c>
      <c r="N139" s="134">
        <v>23.282455</v>
      </c>
      <c r="O139" s="134">
        <v>92.064775</v>
      </c>
      <c r="P139" s="81">
        <v>500</v>
      </c>
      <c r="Q139" s="47"/>
      <c r="R139" s="81"/>
      <c r="S139" s="81"/>
      <c r="T139" s="135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7" t="s">
        <v>675</v>
      </c>
      <c r="F140" s="47" t="s">
        <v>675</v>
      </c>
      <c r="G140" s="130" t="s">
        <v>797</v>
      </c>
      <c r="H140" s="131"/>
      <c r="I140" s="59"/>
      <c r="J140" s="76"/>
      <c r="K140" s="81" t="s">
        <v>1071</v>
      </c>
      <c r="L140" s="47" t="s">
        <v>1072</v>
      </c>
      <c r="M140" s="133" t="s">
        <v>1073</v>
      </c>
      <c r="N140" s="134">
        <v>23.261382</v>
      </c>
      <c r="O140" s="134">
        <v>92.063982</v>
      </c>
      <c r="P140" s="81">
        <v>240</v>
      </c>
      <c r="Q140" s="47"/>
      <c r="R140" s="81"/>
      <c r="S140" s="81"/>
      <c r="T140" s="135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7" t="s">
        <v>675</v>
      </c>
      <c r="F141" s="47" t="s">
        <v>675</v>
      </c>
      <c r="G141" s="130" t="s">
        <v>797</v>
      </c>
      <c r="H141" s="131"/>
      <c r="I141" s="59"/>
      <c r="J141" s="76"/>
      <c r="K141" s="81" t="s">
        <v>328</v>
      </c>
      <c r="L141" s="47" t="s">
        <v>1074</v>
      </c>
      <c r="M141" s="133" t="s">
        <v>1075</v>
      </c>
      <c r="N141" s="134">
        <v>23.270853</v>
      </c>
      <c r="O141" s="134">
        <v>92.060219</v>
      </c>
      <c r="P141" s="81">
        <v>400</v>
      </c>
      <c r="Q141" s="47"/>
      <c r="R141" s="81"/>
      <c r="S141" s="81"/>
      <c r="T141" s="7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7" t="s">
        <v>675</v>
      </c>
      <c r="F142" s="47" t="s">
        <v>675</v>
      </c>
      <c r="G142" s="130" t="s">
        <v>797</v>
      </c>
      <c r="H142" s="131"/>
      <c r="I142" s="59"/>
      <c r="J142" s="76"/>
      <c r="K142" s="81" t="s">
        <v>1068</v>
      </c>
      <c r="L142" s="47" t="s">
        <v>1069</v>
      </c>
      <c r="M142" s="133" t="s">
        <v>1076</v>
      </c>
      <c r="N142" s="134">
        <v>23.278323</v>
      </c>
      <c r="O142" s="134">
        <v>92.061509</v>
      </c>
      <c r="P142" s="81">
        <v>550</v>
      </c>
      <c r="Q142" s="47"/>
      <c r="R142" s="81"/>
      <c r="S142" s="81"/>
      <c r="T142" s="135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7" t="s">
        <v>675</v>
      </c>
      <c r="F143" s="47" t="s">
        <v>675</v>
      </c>
      <c r="G143" s="130" t="s">
        <v>797</v>
      </c>
      <c r="H143" s="131"/>
      <c r="I143" s="59"/>
      <c r="J143" s="76"/>
      <c r="K143" s="81" t="s">
        <v>1077</v>
      </c>
      <c r="L143" s="47" t="s">
        <v>1078</v>
      </c>
      <c r="M143" s="133" t="s">
        <v>1079</v>
      </c>
      <c r="N143" s="134">
        <v>23.275003</v>
      </c>
      <c r="O143" s="134">
        <v>92.06771</v>
      </c>
      <c r="P143" s="81">
        <v>380</v>
      </c>
      <c r="Q143" s="47"/>
      <c r="R143" s="81"/>
      <c r="S143" s="81"/>
      <c r="T143" s="135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7" t="s">
        <v>675</v>
      </c>
      <c r="F144" s="47" t="s">
        <v>675</v>
      </c>
      <c r="G144" s="130" t="s">
        <v>797</v>
      </c>
      <c r="H144" s="131"/>
      <c r="I144" s="59"/>
      <c r="J144" s="76"/>
      <c r="K144" s="81" t="s">
        <v>1080</v>
      </c>
      <c r="L144" s="47" t="s">
        <v>1081</v>
      </c>
      <c r="M144" s="133" t="s">
        <v>1082</v>
      </c>
      <c r="N144" s="134">
        <v>23.278834</v>
      </c>
      <c r="O144" s="134">
        <v>92.055053</v>
      </c>
      <c r="P144" s="81">
        <v>160</v>
      </c>
      <c r="Q144" s="47"/>
      <c r="R144" s="81"/>
      <c r="S144" s="81"/>
      <c r="T144" s="135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7" t="s">
        <v>675</v>
      </c>
      <c r="F145" s="47" t="s">
        <v>1083</v>
      </c>
      <c r="G145" s="130" t="s">
        <v>677</v>
      </c>
      <c r="H145" s="131"/>
      <c r="I145" s="59"/>
      <c r="J145" s="76"/>
      <c r="K145" s="81" t="s">
        <v>364</v>
      </c>
      <c r="L145" s="47" t="s">
        <v>1084</v>
      </c>
      <c r="M145" s="133" t="s">
        <v>1085</v>
      </c>
      <c r="N145" s="134">
        <v>23.238105</v>
      </c>
      <c r="O145" s="134">
        <v>92.0829</v>
      </c>
      <c r="P145" s="81">
        <v>29000</v>
      </c>
      <c r="Q145" s="47"/>
      <c r="R145" s="81"/>
      <c r="S145" s="81"/>
      <c r="T145" s="7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7" t="s">
        <v>675</v>
      </c>
      <c r="F146" s="47" t="s">
        <v>1083</v>
      </c>
      <c r="G146" s="130" t="s">
        <v>677</v>
      </c>
      <c r="H146" s="131"/>
      <c r="I146" s="59"/>
      <c r="J146" s="76"/>
      <c r="K146" s="81" t="s">
        <v>1086</v>
      </c>
      <c r="L146" s="47" t="s">
        <v>1087</v>
      </c>
      <c r="M146" s="133" t="s">
        <v>1088</v>
      </c>
      <c r="N146" s="134">
        <v>23.237577</v>
      </c>
      <c r="O146" s="134">
        <v>92.091141</v>
      </c>
      <c r="P146" s="81"/>
      <c r="Q146" s="81"/>
      <c r="R146" s="81"/>
      <c r="S146" s="81"/>
      <c r="T146" s="7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7" t="s">
        <v>675</v>
      </c>
      <c r="F147" s="47" t="s">
        <v>1083</v>
      </c>
      <c r="G147" s="130" t="s">
        <v>684</v>
      </c>
      <c r="H147" s="131"/>
      <c r="I147" s="59"/>
      <c r="J147" s="76"/>
      <c r="K147" s="81" t="s">
        <v>1089</v>
      </c>
      <c r="L147" s="47" t="s">
        <v>1090</v>
      </c>
      <c r="M147" s="133" t="s">
        <v>1091</v>
      </c>
      <c r="N147" s="134">
        <v>23.243562</v>
      </c>
      <c r="O147" s="134">
        <v>92.084339</v>
      </c>
      <c r="P147" s="81">
        <v>400</v>
      </c>
      <c r="Q147" s="47"/>
      <c r="R147" s="81"/>
      <c r="S147" s="81"/>
      <c r="T147" s="135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7" t="s">
        <v>675</v>
      </c>
      <c r="F148" s="47" t="s">
        <v>1083</v>
      </c>
      <c r="G148" s="130" t="s">
        <v>684</v>
      </c>
      <c r="H148" s="131"/>
      <c r="I148" s="59"/>
      <c r="J148" s="76"/>
      <c r="K148" s="81" t="s">
        <v>1092</v>
      </c>
      <c r="L148" s="47" t="s">
        <v>1093</v>
      </c>
      <c r="M148" s="133" t="s">
        <v>1094</v>
      </c>
      <c r="N148" s="134">
        <v>23.249599</v>
      </c>
      <c r="O148" s="134">
        <v>92.087781</v>
      </c>
      <c r="P148" s="81">
        <v>350</v>
      </c>
      <c r="Q148" s="47"/>
      <c r="R148" s="81"/>
      <c r="S148" s="81"/>
      <c r="T148" s="135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7" t="s">
        <v>675</v>
      </c>
      <c r="F149" s="47" t="s">
        <v>1083</v>
      </c>
      <c r="G149" s="130" t="s">
        <v>684</v>
      </c>
      <c r="H149" s="131"/>
      <c r="I149" s="59"/>
      <c r="J149" s="76"/>
      <c r="K149" s="81" t="s">
        <v>328</v>
      </c>
      <c r="L149" s="47" t="s">
        <v>1074</v>
      </c>
      <c r="M149" s="133" t="s">
        <v>1095</v>
      </c>
      <c r="N149" s="134">
        <v>23.243985</v>
      </c>
      <c r="O149" s="134">
        <v>92.09255</v>
      </c>
      <c r="P149" s="81">
        <v>1200</v>
      </c>
      <c r="Q149" s="47"/>
      <c r="R149" s="81"/>
      <c r="S149" s="81"/>
      <c r="T149" s="135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7" t="s">
        <v>675</v>
      </c>
      <c r="F150" s="47" t="s">
        <v>1083</v>
      </c>
      <c r="G150" s="130" t="s">
        <v>697</v>
      </c>
      <c r="H150" s="131"/>
      <c r="I150" s="59"/>
      <c r="J150" s="76"/>
      <c r="K150" s="81" t="s">
        <v>1096</v>
      </c>
      <c r="L150" s="47" t="s">
        <v>1097</v>
      </c>
      <c r="M150" s="133" t="s">
        <v>1098</v>
      </c>
      <c r="N150" s="134">
        <v>23.240856</v>
      </c>
      <c r="O150" s="134">
        <v>92.117282</v>
      </c>
      <c r="P150" s="81">
        <v>300</v>
      </c>
      <c r="Q150" s="47"/>
      <c r="R150" s="81"/>
      <c r="S150" s="81"/>
      <c r="T150" s="135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7" t="s">
        <v>675</v>
      </c>
      <c r="F151" s="47" t="s">
        <v>1083</v>
      </c>
      <c r="G151" s="130" t="s">
        <v>697</v>
      </c>
      <c r="H151" s="131"/>
      <c r="I151" s="59"/>
      <c r="J151" s="76"/>
      <c r="K151" s="81" t="s">
        <v>1099</v>
      </c>
      <c r="L151" s="47" t="s">
        <v>1100</v>
      </c>
      <c r="M151" s="133" t="s">
        <v>1101</v>
      </c>
      <c r="N151" s="134">
        <v>23.254662</v>
      </c>
      <c r="O151" s="134">
        <v>92.113709</v>
      </c>
      <c r="P151" s="81">
        <v>400</v>
      </c>
      <c r="Q151" s="47"/>
      <c r="R151" s="81"/>
      <c r="S151" s="81"/>
      <c r="T151" s="7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7" t="s">
        <v>675</v>
      </c>
      <c r="F152" s="47" t="s">
        <v>1083</v>
      </c>
      <c r="G152" s="130" t="s">
        <v>697</v>
      </c>
      <c r="H152" s="131"/>
      <c r="I152" s="59"/>
      <c r="J152" s="76"/>
      <c r="K152" s="81" t="s">
        <v>1102</v>
      </c>
      <c r="L152" s="47" t="s">
        <v>1103</v>
      </c>
      <c r="M152" s="133" t="s">
        <v>1104</v>
      </c>
      <c r="N152" s="134">
        <v>23.259942</v>
      </c>
      <c r="O152" s="134">
        <v>92.107429</v>
      </c>
      <c r="P152" s="81">
        <v>260</v>
      </c>
      <c r="Q152" s="47"/>
      <c r="R152" s="81"/>
      <c r="S152" s="81"/>
      <c r="T152" s="135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7" t="s">
        <v>675</v>
      </c>
      <c r="F153" s="47" t="s">
        <v>1083</v>
      </c>
      <c r="G153" s="130" t="s">
        <v>697</v>
      </c>
      <c r="H153" s="131"/>
      <c r="I153" s="132"/>
      <c r="J153" s="76"/>
      <c r="K153" s="81" t="s">
        <v>1105</v>
      </c>
      <c r="L153" s="47" t="s">
        <v>1106</v>
      </c>
      <c r="M153" s="133" t="s">
        <v>1107</v>
      </c>
      <c r="N153" s="134">
        <v>23.276967</v>
      </c>
      <c r="O153" s="134">
        <v>92.102126</v>
      </c>
      <c r="P153" s="81">
        <v>250</v>
      </c>
      <c r="Q153" s="47"/>
      <c r="R153" s="81"/>
      <c r="S153" s="81"/>
      <c r="T153" s="135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7" t="s">
        <v>675</v>
      </c>
      <c r="F154" s="47" t="s">
        <v>1083</v>
      </c>
      <c r="G154" s="130" t="s">
        <v>697</v>
      </c>
      <c r="H154" s="131"/>
      <c r="I154" s="132"/>
      <c r="J154" s="76"/>
      <c r="K154" s="81" t="s">
        <v>1108</v>
      </c>
      <c r="L154" s="47" t="s">
        <v>1109</v>
      </c>
      <c r="M154" s="133" t="s">
        <v>1110</v>
      </c>
      <c r="N154" s="134">
        <v>23.291854</v>
      </c>
      <c r="O154" s="134">
        <v>92.108245</v>
      </c>
      <c r="P154" s="81">
        <v>420</v>
      </c>
      <c r="Q154" s="47"/>
      <c r="R154" s="81"/>
      <c r="S154" s="81"/>
      <c r="T154" s="7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7" t="s">
        <v>675</v>
      </c>
      <c r="F155" s="47" t="s">
        <v>1083</v>
      </c>
      <c r="G155" s="130" t="s">
        <v>697</v>
      </c>
      <c r="H155" s="131"/>
      <c r="I155" s="132"/>
      <c r="J155" s="76"/>
      <c r="K155" s="81" t="s">
        <v>1111</v>
      </c>
      <c r="L155" s="47" t="s">
        <v>1112</v>
      </c>
      <c r="M155" s="133" t="s">
        <v>1113</v>
      </c>
      <c r="N155" s="134">
        <v>23.253548</v>
      </c>
      <c r="O155" s="134">
        <v>92.095403</v>
      </c>
      <c r="P155" s="81">
        <v>290</v>
      </c>
      <c r="Q155" s="47"/>
      <c r="R155" s="81"/>
      <c r="S155" s="81"/>
      <c r="T155" s="135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7" t="s">
        <v>675</v>
      </c>
      <c r="F156" s="47" t="s">
        <v>1083</v>
      </c>
      <c r="G156" s="130" t="s">
        <v>697</v>
      </c>
      <c r="H156" s="131"/>
      <c r="I156" s="132"/>
      <c r="J156" s="76"/>
      <c r="K156" s="81" t="s">
        <v>1114</v>
      </c>
      <c r="L156" s="47" t="s">
        <v>1115</v>
      </c>
      <c r="M156" s="133" t="s">
        <v>1116</v>
      </c>
      <c r="N156" s="134">
        <v>23.267024</v>
      </c>
      <c r="O156" s="134">
        <v>92.104717</v>
      </c>
      <c r="P156" s="81">
        <v>100</v>
      </c>
      <c r="Q156" s="47"/>
      <c r="R156" s="81"/>
      <c r="S156" s="81"/>
      <c r="T156" s="7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7" t="s">
        <v>675</v>
      </c>
      <c r="F157" s="47" t="s">
        <v>1083</v>
      </c>
      <c r="G157" s="130" t="s">
        <v>697</v>
      </c>
      <c r="H157" s="131"/>
      <c r="I157" s="132"/>
      <c r="J157" s="76"/>
      <c r="K157" s="81" t="s">
        <v>1117</v>
      </c>
      <c r="L157" s="47" t="s">
        <v>1118</v>
      </c>
      <c r="M157" s="133" t="s">
        <v>1119</v>
      </c>
      <c r="N157" s="134">
        <v>23.253404</v>
      </c>
      <c r="O157" s="134">
        <v>92.103316</v>
      </c>
      <c r="P157" s="81">
        <v>130</v>
      </c>
      <c r="Q157" s="47"/>
      <c r="R157" s="81"/>
      <c r="S157" s="81"/>
      <c r="T157" s="7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7" t="s">
        <v>675</v>
      </c>
      <c r="F158" s="47" t="s">
        <v>1083</v>
      </c>
      <c r="G158" s="130" t="s">
        <v>697</v>
      </c>
      <c r="H158" s="131"/>
      <c r="I158" s="132"/>
      <c r="J158" s="76"/>
      <c r="K158" s="81" t="s">
        <v>1120</v>
      </c>
      <c r="L158" s="47" t="s">
        <v>1121</v>
      </c>
      <c r="M158" s="133" t="s">
        <v>1122</v>
      </c>
      <c r="N158" s="134">
        <v>23.273495</v>
      </c>
      <c r="O158" s="134">
        <v>92.113721</v>
      </c>
      <c r="P158" s="81">
        <v>250</v>
      </c>
      <c r="Q158" s="47"/>
      <c r="R158" s="81"/>
      <c r="S158" s="81"/>
      <c r="T158" s="135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7" t="s">
        <v>675</v>
      </c>
      <c r="F159" s="47" t="s">
        <v>1083</v>
      </c>
      <c r="G159" s="130" t="s">
        <v>697</v>
      </c>
      <c r="H159" s="131"/>
      <c r="I159" s="132"/>
      <c r="J159" s="76"/>
      <c r="K159" s="81" t="s">
        <v>1123</v>
      </c>
      <c r="L159" s="47" t="s">
        <v>1124</v>
      </c>
      <c r="M159" s="133" t="s">
        <v>1125</v>
      </c>
      <c r="N159" s="134">
        <v>23.30258</v>
      </c>
      <c r="O159" s="134">
        <v>92.095981</v>
      </c>
      <c r="P159" s="81">
        <v>200</v>
      </c>
      <c r="Q159" s="47"/>
      <c r="R159" s="81"/>
      <c r="S159" s="81"/>
      <c r="T159" s="135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3"/>
      <c r="AH159" s="58"/>
      <c r="AI159" s="59"/>
      <c r="AJ159" s="57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7" t="s">
        <v>675</v>
      </c>
      <c r="F160" s="47" t="s">
        <v>1083</v>
      </c>
      <c r="G160" s="130" t="s">
        <v>707</v>
      </c>
      <c r="H160" s="131"/>
      <c r="I160" s="59"/>
      <c r="J160" s="76"/>
      <c r="K160" s="81" t="s">
        <v>1126</v>
      </c>
      <c r="L160" s="47" t="s">
        <v>1127</v>
      </c>
      <c r="M160" s="133" t="s">
        <v>1128</v>
      </c>
      <c r="N160" s="134">
        <v>23.233303</v>
      </c>
      <c r="O160" s="134">
        <v>92.076488</v>
      </c>
      <c r="P160" s="81">
        <v>1100</v>
      </c>
      <c r="Q160" s="47"/>
      <c r="R160" s="81"/>
      <c r="S160" s="81"/>
      <c r="T160" s="7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3"/>
      <c r="AH160" s="58"/>
      <c r="AI160" s="59"/>
      <c r="AJ160" s="57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7" t="s">
        <v>675</v>
      </c>
      <c r="F161" s="47" t="s">
        <v>1083</v>
      </c>
      <c r="G161" s="130" t="s">
        <v>707</v>
      </c>
      <c r="H161" s="131"/>
      <c r="I161" s="59"/>
      <c r="J161" s="76"/>
      <c r="K161" s="81" t="s">
        <v>1129</v>
      </c>
      <c r="L161" s="47" t="s">
        <v>1130</v>
      </c>
      <c r="M161" s="133" t="s">
        <v>1131</v>
      </c>
      <c r="N161" s="134">
        <v>23.235504</v>
      </c>
      <c r="O161" s="134">
        <v>92.081336</v>
      </c>
      <c r="P161" s="81">
        <v>500</v>
      </c>
      <c r="Q161" s="47"/>
      <c r="R161" s="81"/>
      <c r="S161" s="81"/>
      <c r="T161" s="7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3"/>
      <c r="AH161" s="58"/>
      <c r="AI161" s="59"/>
      <c r="AJ161" s="57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7" t="s">
        <v>675</v>
      </c>
      <c r="F162" s="47" t="s">
        <v>1083</v>
      </c>
      <c r="G162" s="130" t="s">
        <v>726</v>
      </c>
      <c r="H162" s="131"/>
      <c r="I162" s="59"/>
      <c r="J162" s="76"/>
      <c r="K162" s="81" t="s">
        <v>1132</v>
      </c>
      <c r="L162" s="47" t="s">
        <v>1133</v>
      </c>
      <c r="M162" s="133" t="s">
        <v>1134</v>
      </c>
      <c r="N162" s="134">
        <v>23.241073</v>
      </c>
      <c r="O162" s="134">
        <v>92.102251</v>
      </c>
      <c r="P162" s="81">
        <v>230</v>
      </c>
      <c r="Q162" s="47"/>
      <c r="R162" s="81"/>
      <c r="S162" s="81"/>
      <c r="T162" s="7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3"/>
      <c r="AH162" s="58"/>
      <c r="AI162" s="59"/>
      <c r="AJ162" s="57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7" t="s">
        <v>675</v>
      </c>
      <c r="F163" s="47" t="s">
        <v>1083</v>
      </c>
      <c r="G163" s="130" t="s">
        <v>726</v>
      </c>
      <c r="H163" s="131"/>
      <c r="I163" s="59"/>
      <c r="J163" s="76"/>
      <c r="K163" s="81" t="s">
        <v>1135</v>
      </c>
      <c r="L163" s="47" t="s">
        <v>1136</v>
      </c>
      <c r="M163" s="133" t="s">
        <v>1137</v>
      </c>
      <c r="N163" s="134">
        <v>23.229245</v>
      </c>
      <c r="O163" s="134">
        <v>92.095355</v>
      </c>
      <c r="P163" s="81">
        <v>500</v>
      </c>
      <c r="Q163" s="47"/>
      <c r="R163" s="81"/>
      <c r="S163" s="81"/>
      <c r="T163" s="7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3"/>
      <c r="AH163" s="58"/>
      <c r="AI163" s="59"/>
      <c r="AJ163" s="57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7" t="s">
        <v>675</v>
      </c>
      <c r="F164" s="47" t="s">
        <v>1083</v>
      </c>
      <c r="G164" s="130" t="s">
        <v>726</v>
      </c>
      <c r="H164" s="131"/>
      <c r="I164" s="59"/>
      <c r="J164" s="76"/>
      <c r="K164" s="81" t="s">
        <v>1138</v>
      </c>
      <c r="L164" s="47" t="s">
        <v>1139</v>
      </c>
      <c r="M164" s="133" t="s">
        <v>1140</v>
      </c>
      <c r="N164" s="134">
        <v>23.22837</v>
      </c>
      <c r="O164" s="134">
        <v>92.088995</v>
      </c>
      <c r="P164" s="81">
        <v>90</v>
      </c>
      <c r="Q164" s="47"/>
      <c r="R164" s="81"/>
      <c r="S164" s="81"/>
      <c r="T164" s="7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3"/>
      <c r="AH164" s="58"/>
      <c r="AI164" s="59"/>
      <c r="AJ164" s="57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7" t="s">
        <v>675</v>
      </c>
      <c r="F165" s="47" t="s">
        <v>1083</v>
      </c>
      <c r="G165" s="130" t="s">
        <v>726</v>
      </c>
      <c r="H165" s="131"/>
      <c r="I165" s="59"/>
      <c r="J165" s="76"/>
      <c r="K165" s="81" t="s">
        <v>1141</v>
      </c>
      <c r="L165" s="47" t="s">
        <v>1142</v>
      </c>
      <c r="M165" s="133" t="s">
        <v>1143</v>
      </c>
      <c r="N165" s="134">
        <v>23.233045</v>
      </c>
      <c r="O165" s="134">
        <v>92.082017</v>
      </c>
      <c r="P165" s="81">
        <v>200</v>
      </c>
      <c r="Q165" s="47"/>
      <c r="R165" s="81"/>
      <c r="S165" s="81"/>
      <c r="T165" s="7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3"/>
      <c r="AH165" s="58"/>
      <c r="AI165" s="59"/>
      <c r="AJ165" s="57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7" t="s">
        <v>675</v>
      </c>
      <c r="F166" s="47" t="s">
        <v>1083</v>
      </c>
      <c r="G166" s="130" t="s">
        <v>726</v>
      </c>
      <c r="H166" s="131"/>
      <c r="I166" s="59"/>
      <c r="J166" s="76"/>
      <c r="K166" s="81" t="s">
        <v>1144</v>
      </c>
      <c r="L166" s="47" t="s">
        <v>1145</v>
      </c>
      <c r="M166" s="133" t="s">
        <v>1146</v>
      </c>
      <c r="N166" s="134">
        <v>23.228807</v>
      </c>
      <c r="O166" s="134">
        <v>92.077042</v>
      </c>
      <c r="P166" s="81">
        <v>1200</v>
      </c>
      <c r="Q166" s="47"/>
      <c r="R166" s="81"/>
      <c r="S166" s="81"/>
      <c r="T166" s="7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3"/>
      <c r="AH166" s="58"/>
      <c r="AI166" s="59"/>
      <c r="AJ166" s="57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7" t="s">
        <v>675</v>
      </c>
      <c r="F167" s="47" t="s">
        <v>1083</v>
      </c>
      <c r="G167" s="130" t="s">
        <v>742</v>
      </c>
      <c r="H167" s="131"/>
      <c r="I167" s="59"/>
      <c r="J167" s="76"/>
      <c r="K167" s="81" t="s">
        <v>1147</v>
      </c>
      <c r="L167" s="47" t="s">
        <v>1148</v>
      </c>
      <c r="M167" s="133" t="s">
        <v>1149</v>
      </c>
      <c r="N167" s="134">
        <v>23.224848</v>
      </c>
      <c r="O167" s="134">
        <v>92.096742</v>
      </c>
      <c r="P167" s="81">
        <v>500</v>
      </c>
      <c r="Q167" s="47"/>
      <c r="R167" s="81"/>
      <c r="S167" s="81"/>
      <c r="T167" s="7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3"/>
      <c r="AH167" s="58"/>
      <c r="AI167" s="59"/>
      <c r="AJ167" s="57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7" t="s">
        <v>675</v>
      </c>
      <c r="F168" s="47" t="s">
        <v>1083</v>
      </c>
      <c r="G168" s="130" t="s">
        <v>742</v>
      </c>
      <c r="H168" s="131"/>
      <c r="I168" s="132"/>
      <c r="J168" s="76"/>
      <c r="K168" s="81" t="s">
        <v>1150</v>
      </c>
      <c r="L168" s="47" t="s">
        <v>1151</v>
      </c>
      <c r="M168" s="133" t="s">
        <v>1152</v>
      </c>
      <c r="N168" s="134">
        <v>23.217105</v>
      </c>
      <c r="O168" s="134">
        <v>92.100257</v>
      </c>
      <c r="P168" s="81">
        <v>550</v>
      </c>
      <c r="Q168" s="47"/>
      <c r="R168" s="81"/>
      <c r="S168" s="81"/>
      <c r="T168" s="7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3"/>
      <c r="AH168" s="58"/>
      <c r="AI168" s="59"/>
      <c r="AJ168" s="57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7" t="s">
        <v>675</v>
      </c>
      <c r="F169" s="47" t="s">
        <v>1083</v>
      </c>
      <c r="G169" s="130" t="s">
        <v>742</v>
      </c>
      <c r="H169" s="131"/>
      <c r="I169" s="132"/>
      <c r="J169" s="57"/>
      <c r="K169" s="81" t="s">
        <v>1153</v>
      </c>
      <c r="L169" s="47" t="s">
        <v>1154</v>
      </c>
      <c r="M169" s="133" t="s">
        <v>1155</v>
      </c>
      <c r="N169" s="134">
        <v>23.223719</v>
      </c>
      <c r="O169" s="134">
        <v>92.086668</v>
      </c>
      <c r="P169" s="81">
        <v>350</v>
      </c>
      <c r="Q169" s="47"/>
      <c r="R169" s="81"/>
      <c r="S169" s="81"/>
      <c r="T169" s="7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3"/>
      <c r="AH169" s="58"/>
      <c r="AI169" s="59"/>
      <c r="AJ169" s="57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7" t="s">
        <v>675</v>
      </c>
      <c r="F170" s="47" t="s">
        <v>1083</v>
      </c>
      <c r="G170" s="130" t="s">
        <v>742</v>
      </c>
      <c r="H170" s="131"/>
      <c r="I170" s="132"/>
      <c r="J170" s="76"/>
      <c r="K170" s="81" t="s">
        <v>1156</v>
      </c>
      <c r="L170" s="47" t="s">
        <v>1157</v>
      </c>
      <c r="M170" s="133" t="s">
        <v>1158</v>
      </c>
      <c r="N170" s="134">
        <v>23.192827</v>
      </c>
      <c r="O170" s="134">
        <v>92.130306</v>
      </c>
      <c r="P170" s="81">
        <v>120</v>
      </c>
      <c r="Q170" s="47"/>
      <c r="R170" s="81"/>
      <c r="S170" s="81"/>
      <c r="T170" s="7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3"/>
      <c r="AH170" s="58"/>
      <c r="AI170" s="59"/>
      <c r="AJ170" s="57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7" t="s">
        <v>675</v>
      </c>
      <c r="F171" s="47" t="s">
        <v>1083</v>
      </c>
      <c r="G171" s="130" t="s">
        <v>742</v>
      </c>
      <c r="H171" s="131"/>
      <c r="I171" s="132"/>
      <c r="J171" s="76"/>
      <c r="K171" s="81" t="s">
        <v>1159</v>
      </c>
      <c r="L171" s="47" t="s">
        <v>1160</v>
      </c>
      <c r="M171" s="133" t="s">
        <v>1161</v>
      </c>
      <c r="N171" s="134">
        <v>23.224713</v>
      </c>
      <c r="O171" s="134">
        <v>92.12314</v>
      </c>
      <c r="P171" s="81">
        <v>800</v>
      </c>
      <c r="Q171" s="47"/>
      <c r="R171" s="81"/>
      <c r="S171" s="81"/>
      <c r="T171" s="7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3"/>
      <c r="AH171" s="58"/>
      <c r="AI171" s="59"/>
      <c r="AJ171" s="57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7" t="s">
        <v>675</v>
      </c>
      <c r="F172" s="47" t="s">
        <v>1083</v>
      </c>
      <c r="G172" s="130" t="s">
        <v>742</v>
      </c>
      <c r="H172" s="131"/>
      <c r="I172" s="132"/>
      <c r="J172" s="76"/>
      <c r="K172" s="81" t="s">
        <v>1162</v>
      </c>
      <c r="L172" s="47" t="s">
        <v>1163</v>
      </c>
      <c r="M172" s="133" t="s">
        <v>1164</v>
      </c>
      <c r="N172" s="134">
        <v>23.204249</v>
      </c>
      <c r="O172" s="134">
        <v>92.129779</v>
      </c>
      <c r="P172" s="81">
        <v>600</v>
      </c>
      <c r="Q172" s="47"/>
      <c r="R172" s="81"/>
      <c r="S172" s="81"/>
      <c r="T172" s="7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3"/>
      <c r="AH172" s="58"/>
      <c r="AI172" s="59"/>
      <c r="AJ172" s="57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7" t="s">
        <v>675</v>
      </c>
      <c r="F173" s="47" t="s">
        <v>1083</v>
      </c>
      <c r="G173" s="130" t="s">
        <v>742</v>
      </c>
      <c r="H173" s="131"/>
      <c r="I173" s="132"/>
      <c r="J173" s="76"/>
      <c r="K173" s="81" t="s">
        <v>1165</v>
      </c>
      <c r="L173" s="47" t="s">
        <v>1166</v>
      </c>
      <c r="M173" s="133" t="s">
        <v>1167</v>
      </c>
      <c r="N173" s="134">
        <v>23.209527</v>
      </c>
      <c r="O173" s="134">
        <v>92.141769</v>
      </c>
      <c r="P173" s="81">
        <v>180</v>
      </c>
      <c r="Q173" s="47"/>
      <c r="R173" s="81"/>
      <c r="S173" s="81"/>
      <c r="T173" s="7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3"/>
      <c r="AH173" s="58"/>
      <c r="AI173" s="59"/>
      <c r="AJ173" s="57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7" t="s">
        <v>675</v>
      </c>
      <c r="F174" s="47" t="s">
        <v>1083</v>
      </c>
      <c r="G174" s="130" t="s">
        <v>761</v>
      </c>
      <c r="H174" s="131"/>
      <c r="I174" s="132"/>
      <c r="J174" s="76"/>
      <c r="K174" s="81" t="s">
        <v>1168</v>
      </c>
      <c r="L174" s="47" t="s">
        <v>1169</v>
      </c>
      <c r="M174" s="133" t="s">
        <v>1170</v>
      </c>
      <c r="N174" s="134">
        <v>23.253188</v>
      </c>
      <c r="O174" s="134">
        <v>92.081881</v>
      </c>
      <c r="P174" s="81">
        <v>200</v>
      </c>
      <c r="Q174" s="47"/>
      <c r="R174" s="81"/>
      <c r="S174" s="81"/>
      <c r="T174" s="7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3"/>
      <c r="AH174" s="58"/>
      <c r="AI174" s="59"/>
      <c r="AJ174" s="57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7" t="s">
        <v>675</v>
      </c>
      <c r="F175" s="47" t="s">
        <v>1083</v>
      </c>
      <c r="G175" s="130" t="s">
        <v>781</v>
      </c>
      <c r="H175" s="131"/>
      <c r="I175" s="59"/>
      <c r="J175" s="76"/>
      <c r="K175" s="81" t="s">
        <v>1171</v>
      </c>
      <c r="L175" s="47" t="s">
        <v>1172</v>
      </c>
      <c r="M175" s="133" t="s">
        <v>1173</v>
      </c>
      <c r="N175" s="134">
        <v>23.246655</v>
      </c>
      <c r="O175" s="134">
        <v>92.080517</v>
      </c>
      <c r="P175" s="81">
        <v>1200</v>
      </c>
      <c r="Q175" s="47"/>
      <c r="R175" s="81"/>
      <c r="S175" s="81"/>
      <c r="T175" s="7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3"/>
      <c r="AH175" s="58"/>
      <c r="AI175" s="59"/>
      <c r="AJ175" s="57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7" t="s">
        <v>675</v>
      </c>
      <c r="F176" s="47" t="s">
        <v>1083</v>
      </c>
      <c r="G176" s="130" t="s">
        <v>797</v>
      </c>
      <c r="H176" s="131"/>
      <c r="I176" s="132"/>
      <c r="J176" s="76"/>
      <c r="K176" s="81" t="s">
        <v>1174</v>
      </c>
      <c r="L176" s="47" t="s">
        <v>1175</v>
      </c>
      <c r="M176" s="133" t="s">
        <v>1176</v>
      </c>
      <c r="N176" s="134">
        <v>23.281149</v>
      </c>
      <c r="O176" s="134">
        <v>92.094921</v>
      </c>
      <c r="P176" s="81">
        <v>250</v>
      </c>
      <c r="Q176" s="47"/>
      <c r="R176" s="81"/>
      <c r="S176" s="81"/>
      <c r="T176" s="135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3"/>
      <c r="AH176" s="58"/>
      <c r="AI176" s="59"/>
      <c r="AJ176" s="57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7" t="s">
        <v>675</v>
      </c>
      <c r="F177" s="47" t="s">
        <v>1083</v>
      </c>
      <c r="G177" s="130" t="s">
        <v>797</v>
      </c>
      <c r="H177" s="131"/>
      <c r="I177" s="132"/>
      <c r="J177" s="76"/>
      <c r="K177" s="81" t="s">
        <v>1177</v>
      </c>
      <c r="L177" s="47" t="s">
        <v>1178</v>
      </c>
      <c r="M177" s="133" t="s">
        <v>1179</v>
      </c>
      <c r="N177" s="134">
        <v>23.280394</v>
      </c>
      <c r="O177" s="134">
        <v>92.089862</v>
      </c>
      <c r="P177" s="81">
        <v>400</v>
      </c>
      <c r="Q177" s="47"/>
      <c r="R177" s="81"/>
      <c r="S177" s="81"/>
      <c r="T177" s="135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3"/>
      <c r="AH177" s="58"/>
      <c r="AI177" s="59"/>
      <c r="AJ177" s="57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7" t="s">
        <v>675</v>
      </c>
      <c r="F178" s="47" t="s">
        <v>1083</v>
      </c>
      <c r="G178" s="130" t="s">
        <v>797</v>
      </c>
      <c r="H178" s="131"/>
      <c r="I178" s="132"/>
      <c r="J178" s="76"/>
      <c r="K178" s="81" t="s">
        <v>1180</v>
      </c>
      <c r="L178" s="47" t="s">
        <v>1181</v>
      </c>
      <c r="M178" s="133" t="s">
        <v>1182</v>
      </c>
      <c r="N178" s="134">
        <v>23.269288</v>
      </c>
      <c r="O178" s="134">
        <v>92.077254</v>
      </c>
      <c r="P178" s="81">
        <v>1300</v>
      </c>
      <c r="Q178" s="47"/>
      <c r="R178" s="81"/>
      <c r="S178" s="81"/>
      <c r="T178" s="135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3"/>
      <c r="AH178" s="58"/>
      <c r="AI178" s="59"/>
      <c r="AJ178" s="57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7" t="s">
        <v>675</v>
      </c>
      <c r="F179" s="47" t="s">
        <v>1083</v>
      </c>
      <c r="G179" s="130" t="s">
        <v>797</v>
      </c>
      <c r="H179" s="131"/>
      <c r="I179" s="132"/>
      <c r="J179" s="76"/>
      <c r="K179" s="81" t="s">
        <v>1183</v>
      </c>
      <c r="L179" s="47" t="s">
        <v>1184</v>
      </c>
      <c r="M179" s="133" t="s">
        <v>1185</v>
      </c>
      <c r="N179" s="134">
        <v>23.267137</v>
      </c>
      <c r="O179" s="134">
        <v>92.091269</v>
      </c>
      <c r="P179" s="81">
        <v>700</v>
      </c>
      <c r="Q179" s="47"/>
      <c r="R179" s="81"/>
      <c r="S179" s="81"/>
      <c r="T179" s="135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3"/>
      <c r="AH179" s="58"/>
      <c r="AI179" s="59"/>
      <c r="AJ179" s="57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7" t="s">
        <v>675</v>
      </c>
      <c r="F180" s="47" t="s">
        <v>1083</v>
      </c>
      <c r="G180" s="130" t="s">
        <v>797</v>
      </c>
      <c r="H180" s="131"/>
      <c r="I180" s="132"/>
      <c r="J180" s="76"/>
      <c r="K180" s="81" t="s">
        <v>1186</v>
      </c>
      <c r="L180" s="47" t="s">
        <v>1187</v>
      </c>
      <c r="M180" s="133" t="s">
        <v>1188</v>
      </c>
      <c r="N180" s="134">
        <v>23.267584</v>
      </c>
      <c r="O180" s="134">
        <v>92.08113</v>
      </c>
      <c r="P180" s="81">
        <v>350</v>
      </c>
      <c r="Q180" s="47"/>
      <c r="R180" s="81"/>
      <c r="S180" s="81"/>
      <c r="T180" s="135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3"/>
      <c r="AH180" s="58"/>
      <c r="AI180" s="59"/>
      <c r="AJ180" s="57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7" t="s">
        <v>675</v>
      </c>
      <c r="F181" s="47" t="s">
        <v>1083</v>
      </c>
      <c r="G181" s="130" t="s">
        <v>797</v>
      </c>
      <c r="H181" s="131"/>
      <c r="I181" s="132"/>
      <c r="J181" s="76"/>
      <c r="K181" s="81" t="s">
        <v>1189</v>
      </c>
      <c r="L181" s="47" t="s">
        <v>1190</v>
      </c>
      <c r="M181" s="133" t="s">
        <v>1191</v>
      </c>
      <c r="N181" s="134">
        <v>23.255176</v>
      </c>
      <c r="O181" s="134">
        <v>92.07468</v>
      </c>
      <c r="P181" s="81">
        <v>1300</v>
      </c>
      <c r="Q181" s="47"/>
      <c r="R181" s="81"/>
      <c r="S181" s="81"/>
      <c r="T181" s="135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3"/>
      <c r="AH181" s="58"/>
      <c r="AI181" s="59"/>
      <c r="AJ181" s="57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7" t="s">
        <v>675</v>
      </c>
      <c r="F182" s="47" t="s">
        <v>1083</v>
      </c>
      <c r="G182" s="130" t="s">
        <v>797</v>
      </c>
      <c r="H182" s="131"/>
      <c r="I182" s="132"/>
      <c r="J182" s="76"/>
      <c r="K182" s="81" t="s">
        <v>1192</v>
      </c>
      <c r="L182" s="47" t="s">
        <v>1193</v>
      </c>
      <c r="M182" s="133" t="s">
        <v>1194</v>
      </c>
      <c r="N182" s="134">
        <v>23.25756</v>
      </c>
      <c r="O182" s="134">
        <v>92.067603</v>
      </c>
      <c r="P182" s="81">
        <v>400</v>
      </c>
      <c r="Q182" s="47"/>
      <c r="R182" s="81"/>
      <c r="S182" s="81"/>
      <c r="T182" s="135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3"/>
      <c r="AH182" s="58"/>
      <c r="AI182" s="59"/>
      <c r="AJ182" s="57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7" t="s">
        <v>675</v>
      </c>
      <c r="F183" s="47" t="s">
        <v>1083</v>
      </c>
      <c r="G183" s="130" t="s">
        <v>797</v>
      </c>
      <c r="H183" s="131"/>
      <c r="I183" s="132"/>
      <c r="J183" s="76"/>
      <c r="K183" s="81" t="s">
        <v>1117</v>
      </c>
      <c r="L183" s="47" t="s">
        <v>1195</v>
      </c>
      <c r="M183" s="133" t="s">
        <v>1196</v>
      </c>
      <c r="N183" s="134">
        <v>23.274338</v>
      </c>
      <c r="O183" s="134">
        <v>92.097008</v>
      </c>
      <c r="P183" s="81">
        <v>200</v>
      </c>
      <c r="Q183" s="47"/>
      <c r="R183" s="81"/>
      <c r="S183" s="81"/>
      <c r="T183" s="135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3"/>
      <c r="AH183" s="58"/>
      <c r="AI183" s="59"/>
      <c r="AJ183" s="57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7" t="s">
        <v>675</v>
      </c>
      <c r="F184" s="47" t="s">
        <v>1197</v>
      </c>
      <c r="G184" s="130" t="s">
        <v>677</v>
      </c>
      <c r="H184" s="131"/>
      <c r="I184" s="132"/>
      <c r="J184" s="76"/>
      <c r="K184" s="81" t="s">
        <v>1198</v>
      </c>
      <c r="L184" s="47" t="s">
        <v>1199</v>
      </c>
      <c r="M184" s="133" t="s">
        <v>1200</v>
      </c>
      <c r="N184" s="134">
        <v>23.231492</v>
      </c>
      <c r="O184" s="134">
        <v>92.05145</v>
      </c>
      <c r="P184" s="81">
        <v>45</v>
      </c>
      <c r="Q184" s="47"/>
      <c r="R184" s="81"/>
      <c r="S184" s="81"/>
      <c r="T184" s="135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3"/>
      <c r="AH184" s="58"/>
      <c r="AI184" s="59"/>
      <c r="AJ184" s="57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7" t="s">
        <v>675</v>
      </c>
      <c r="F185" s="47" t="s">
        <v>1197</v>
      </c>
      <c r="G185" s="130" t="s">
        <v>677</v>
      </c>
      <c r="H185" s="131"/>
      <c r="I185" s="132"/>
      <c r="J185" s="76"/>
      <c r="K185" s="81" t="s">
        <v>1201</v>
      </c>
      <c r="L185" s="47" t="s">
        <v>1202</v>
      </c>
      <c r="M185" s="133" t="s">
        <v>1203</v>
      </c>
      <c r="N185" s="134">
        <v>23.235234</v>
      </c>
      <c r="O185" s="134">
        <v>92.038788</v>
      </c>
      <c r="P185" s="81">
        <v>300</v>
      </c>
      <c r="Q185" s="47"/>
      <c r="R185" s="81"/>
      <c r="S185" s="81"/>
      <c r="T185" s="135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3"/>
      <c r="AH185" s="58"/>
      <c r="AI185" s="59"/>
      <c r="AJ185" s="57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7" t="s">
        <v>675</v>
      </c>
      <c r="F186" s="47" t="s">
        <v>1197</v>
      </c>
      <c r="G186" s="130" t="s">
        <v>677</v>
      </c>
      <c r="H186" s="131"/>
      <c r="I186" s="132"/>
      <c r="J186" s="76"/>
      <c r="K186" s="81" t="s">
        <v>1204</v>
      </c>
      <c r="L186" s="47" t="s">
        <v>1205</v>
      </c>
      <c r="M186" s="133" t="s">
        <v>1206</v>
      </c>
      <c r="N186" s="134">
        <v>23.219589</v>
      </c>
      <c r="O186" s="134">
        <v>92.046001</v>
      </c>
      <c r="P186" s="81">
        <v>150</v>
      </c>
      <c r="Q186" s="47"/>
      <c r="R186" s="81"/>
      <c r="S186" s="81"/>
      <c r="T186" s="135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3"/>
      <c r="AH186" s="58"/>
      <c r="AI186" s="59"/>
      <c r="AJ186" s="57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7" t="s">
        <v>675</v>
      </c>
      <c r="F187" s="47" t="s">
        <v>1197</v>
      </c>
      <c r="G187" s="130" t="s">
        <v>677</v>
      </c>
      <c r="H187" s="131"/>
      <c r="I187" s="132"/>
      <c r="J187" s="76"/>
      <c r="K187" s="81" t="s">
        <v>1207</v>
      </c>
      <c r="L187" s="47" t="s">
        <v>1208</v>
      </c>
      <c r="M187" s="133" t="s">
        <v>1209</v>
      </c>
      <c r="N187" s="134">
        <v>23.210709</v>
      </c>
      <c r="O187" s="134">
        <v>92.043924</v>
      </c>
      <c r="P187" s="81">
        <v>50</v>
      </c>
      <c r="Q187" s="47"/>
      <c r="R187" s="81"/>
      <c r="S187" s="81"/>
      <c r="T187" s="135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3"/>
      <c r="AH187" s="58"/>
      <c r="AI187" s="59"/>
      <c r="AJ187" s="57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7" t="s">
        <v>675</v>
      </c>
      <c r="F188" s="47" t="s">
        <v>1197</v>
      </c>
      <c r="G188" s="130" t="s">
        <v>677</v>
      </c>
      <c r="H188" s="131"/>
      <c r="I188" s="132"/>
      <c r="J188" s="76"/>
      <c r="K188" s="81" t="s">
        <v>1210</v>
      </c>
      <c r="L188" s="47" t="s">
        <v>1211</v>
      </c>
      <c r="M188" s="133" t="s">
        <v>1212</v>
      </c>
      <c r="N188" s="134">
        <v>23.196981</v>
      </c>
      <c r="O188" s="134">
        <v>92.037149</v>
      </c>
      <c r="P188" s="81">
        <v>350</v>
      </c>
      <c r="Q188" s="47"/>
      <c r="R188" s="81"/>
      <c r="S188" s="81"/>
      <c r="T188" s="135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3"/>
      <c r="AH188" s="58"/>
      <c r="AI188" s="59"/>
      <c r="AJ188" s="57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7" t="s">
        <v>675</v>
      </c>
      <c r="F189" s="47" t="s">
        <v>1197</v>
      </c>
      <c r="G189" s="130" t="s">
        <v>677</v>
      </c>
      <c r="H189" s="131"/>
      <c r="I189" s="132"/>
      <c r="J189" s="76"/>
      <c r="K189" s="81" t="s">
        <v>1213</v>
      </c>
      <c r="L189" s="47" t="s">
        <v>1214</v>
      </c>
      <c r="M189" s="133" t="s">
        <v>1215</v>
      </c>
      <c r="N189" s="134">
        <v>23.202957</v>
      </c>
      <c r="O189" s="134">
        <v>92.033347</v>
      </c>
      <c r="P189" s="81">
        <v>150</v>
      </c>
      <c r="Q189" s="47"/>
      <c r="R189" s="81"/>
      <c r="S189" s="81"/>
      <c r="T189" s="135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3"/>
      <c r="AH189" s="58"/>
      <c r="AI189" s="59"/>
      <c r="AJ189" s="57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7" t="s">
        <v>675</v>
      </c>
      <c r="F190" s="47" t="s">
        <v>1197</v>
      </c>
      <c r="G190" s="130" t="s">
        <v>677</v>
      </c>
      <c r="H190" s="131"/>
      <c r="I190" s="132"/>
      <c r="J190" s="76"/>
      <c r="K190" s="81" t="s">
        <v>155</v>
      </c>
      <c r="L190" s="47" t="s">
        <v>1216</v>
      </c>
      <c r="M190" s="133" t="s">
        <v>1217</v>
      </c>
      <c r="N190" s="134">
        <v>23.216854</v>
      </c>
      <c r="O190" s="134">
        <v>92.015535</v>
      </c>
      <c r="P190" s="81">
        <v>85</v>
      </c>
      <c r="Q190" s="47"/>
      <c r="R190" s="81"/>
      <c r="S190" s="81"/>
      <c r="T190" s="135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3"/>
      <c r="AH190" s="58"/>
      <c r="AI190" s="59"/>
      <c r="AJ190" s="57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7" t="s">
        <v>675</v>
      </c>
      <c r="F191" s="47" t="s">
        <v>1197</v>
      </c>
      <c r="G191" s="130" t="s">
        <v>677</v>
      </c>
      <c r="H191" s="131"/>
      <c r="I191" s="132"/>
      <c r="J191" s="76"/>
      <c r="K191" s="81" t="s">
        <v>1218</v>
      </c>
      <c r="L191" s="47" t="s">
        <v>1219</v>
      </c>
      <c r="M191" s="133" t="s">
        <v>1220</v>
      </c>
      <c r="N191" s="134">
        <v>23.164074</v>
      </c>
      <c r="O191" s="134">
        <v>92.05031</v>
      </c>
      <c r="P191" s="81">
        <v>250</v>
      </c>
      <c r="Q191" s="47"/>
      <c r="R191" s="81"/>
      <c r="S191" s="81"/>
      <c r="T191" s="135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3"/>
      <c r="AH191" s="58"/>
      <c r="AI191" s="59"/>
      <c r="AJ191" s="57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7" t="s">
        <v>675</v>
      </c>
      <c r="F192" s="47" t="s">
        <v>1197</v>
      </c>
      <c r="G192" s="130" t="s">
        <v>677</v>
      </c>
      <c r="H192" s="131"/>
      <c r="I192" s="132"/>
      <c r="J192" s="76"/>
      <c r="K192" s="81" t="s">
        <v>1221</v>
      </c>
      <c r="L192" s="47" t="s">
        <v>1222</v>
      </c>
      <c r="M192" s="133" t="s">
        <v>1223</v>
      </c>
      <c r="N192" s="134">
        <v>23.233908</v>
      </c>
      <c r="O192" s="134">
        <v>92.014967</v>
      </c>
      <c r="P192" s="81">
        <v>150</v>
      </c>
      <c r="Q192" s="47"/>
      <c r="R192" s="81"/>
      <c r="S192" s="81"/>
      <c r="T192" s="135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3"/>
      <c r="AH192" s="58"/>
      <c r="AI192" s="59"/>
      <c r="AJ192" s="57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7" t="s">
        <v>675</v>
      </c>
      <c r="F193" s="47" t="s">
        <v>1197</v>
      </c>
      <c r="G193" s="130" t="s">
        <v>677</v>
      </c>
      <c r="H193" s="131"/>
      <c r="I193" s="132"/>
      <c r="J193" s="76"/>
      <c r="K193" s="81" t="s">
        <v>1224</v>
      </c>
      <c r="L193" s="47" t="s">
        <v>1225</v>
      </c>
      <c r="M193" s="133" t="s">
        <v>1226</v>
      </c>
      <c r="N193" s="134">
        <v>23.271112</v>
      </c>
      <c r="O193" s="134">
        <v>92.001538</v>
      </c>
      <c r="P193" s="81">
        <v>300</v>
      </c>
      <c r="Q193" s="47"/>
      <c r="R193" s="81"/>
      <c r="S193" s="81"/>
      <c r="T193" s="135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3"/>
      <c r="AH193" s="58"/>
      <c r="AI193" s="59"/>
      <c r="AJ193" s="57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7" t="s">
        <v>675</v>
      </c>
      <c r="F194" s="47" t="s">
        <v>1197</v>
      </c>
      <c r="G194" s="130" t="s">
        <v>677</v>
      </c>
      <c r="H194" s="131"/>
      <c r="I194" s="132"/>
      <c r="J194" s="76"/>
      <c r="K194" s="81" t="s">
        <v>1227</v>
      </c>
      <c r="L194" s="47" t="s">
        <v>1228</v>
      </c>
      <c r="M194" s="133" t="s">
        <v>1229</v>
      </c>
      <c r="N194" s="134">
        <v>23.202741</v>
      </c>
      <c r="O194" s="134">
        <v>92.050072</v>
      </c>
      <c r="P194" s="81">
        <v>65</v>
      </c>
      <c r="Q194" s="47"/>
      <c r="R194" s="81"/>
      <c r="S194" s="81"/>
      <c r="T194" s="135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3"/>
      <c r="AH194" s="58"/>
      <c r="AI194" s="59"/>
      <c r="AJ194" s="57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7" t="s">
        <v>675</v>
      </c>
      <c r="F195" s="47" t="s">
        <v>1197</v>
      </c>
      <c r="G195" s="130" t="s">
        <v>677</v>
      </c>
      <c r="H195" s="131"/>
      <c r="I195" s="132"/>
      <c r="J195" s="76"/>
      <c r="K195" s="81" t="s">
        <v>1230</v>
      </c>
      <c r="L195" s="47" t="s">
        <v>1231</v>
      </c>
      <c r="M195" s="133" t="s">
        <v>1232</v>
      </c>
      <c r="N195" s="134">
        <v>23.252706</v>
      </c>
      <c r="O195" s="134">
        <v>92.009681</v>
      </c>
      <c r="P195" s="81">
        <v>65</v>
      </c>
      <c r="Q195" s="47"/>
      <c r="R195" s="81"/>
      <c r="S195" s="81"/>
      <c r="T195" s="135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3"/>
      <c r="AH195" s="58"/>
      <c r="AI195" s="59"/>
      <c r="AJ195" s="57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7" t="s">
        <v>675</v>
      </c>
      <c r="F196" s="47" t="s">
        <v>1197</v>
      </c>
      <c r="G196" s="130" t="s">
        <v>684</v>
      </c>
      <c r="H196" s="131"/>
      <c r="I196" s="132"/>
      <c r="J196" s="76"/>
      <c r="K196" s="81" t="s">
        <v>1233</v>
      </c>
      <c r="L196" s="47" t="s">
        <v>1234</v>
      </c>
      <c r="M196" s="133" t="s">
        <v>1235</v>
      </c>
      <c r="N196" s="134">
        <v>23.22648</v>
      </c>
      <c r="O196" s="134">
        <v>92.054203</v>
      </c>
      <c r="P196" s="81">
        <v>1200</v>
      </c>
      <c r="Q196" s="47"/>
      <c r="R196" s="81"/>
      <c r="S196" s="81"/>
      <c r="T196" s="135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3"/>
      <c r="AH196" s="58"/>
      <c r="AI196" s="59"/>
      <c r="AJ196" s="57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7" t="s">
        <v>675</v>
      </c>
      <c r="F197" s="47" t="s">
        <v>1197</v>
      </c>
      <c r="G197" s="130" t="s">
        <v>684</v>
      </c>
      <c r="H197" s="131"/>
      <c r="I197" s="132"/>
      <c r="J197" s="76"/>
      <c r="K197" s="81" t="s">
        <v>1236</v>
      </c>
      <c r="L197" s="47" t="s">
        <v>1237</v>
      </c>
      <c r="M197" s="133" t="s">
        <v>1238</v>
      </c>
      <c r="N197" s="134">
        <v>23.227505</v>
      </c>
      <c r="O197" s="134">
        <v>92.067431</v>
      </c>
      <c r="P197" s="81">
        <v>1500</v>
      </c>
      <c r="Q197" s="47"/>
      <c r="R197" s="81"/>
      <c r="S197" s="81"/>
      <c r="T197" s="135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3"/>
      <c r="AH197" s="58"/>
      <c r="AI197" s="59"/>
      <c r="AJ197" s="57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7" t="s">
        <v>675</v>
      </c>
      <c r="F198" s="47" t="s">
        <v>1197</v>
      </c>
      <c r="G198" s="130" t="s">
        <v>684</v>
      </c>
      <c r="H198" s="131"/>
      <c r="I198" s="132"/>
      <c r="J198" s="76"/>
      <c r="K198" s="81" t="s">
        <v>1239</v>
      </c>
      <c r="L198" s="47" t="s">
        <v>1240</v>
      </c>
      <c r="M198" s="133" t="s">
        <v>1241</v>
      </c>
      <c r="N198" s="134">
        <v>23.224602</v>
      </c>
      <c r="O198" s="134">
        <v>92.052006</v>
      </c>
      <c r="P198" s="81">
        <v>1000</v>
      </c>
      <c r="Q198" s="47"/>
      <c r="R198" s="81"/>
      <c r="S198" s="81"/>
      <c r="T198" s="135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3"/>
      <c r="AH198" s="58"/>
      <c r="AI198" s="59"/>
      <c r="AJ198" s="57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7" t="s">
        <v>675</v>
      </c>
      <c r="F199" s="47" t="s">
        <v>1197</v>
      </c>
      <c r="G199" s="130" t="s">
        <v>684</v>
      </c>
      <c r="H199" s="131"/>
      <c r="I199" s="132"/>
      <c r="J199" s="76"/>
      <c r="K199" s="81" t="s">
        <v>1242</v>
      </c>
      <c r="L199" s="47" t="s">
        <v>1243</v>
      </c>
      <c r="M199" s="133" t="s">
        <v>1244</v>
      </c>
      <c r="N199" s="134">
        <v>23.220435</v>
      </c>
      <c r="O199" s="134">
        <v>92.077235</v>
      </c>
      <c r="P199" s="81">
        <v>2500</v>
      </c>
      <c r="Q199" s="47"/>
      <c r="R199" s="81"/>
      <c r="S199" s="81"/>
      <c r="T199" s="135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3"/>
      <c r="AH199" s="58"/>
      <c r="AI199" s="59"/>
      <c r="AJ199" s="57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7" t="s">
        <v>675</v>
      </c>
      <c r="F200" s="47" t="s">
        <v>1197</v>
      </c>
      <c r="G200" s="130" t="s">
        <v>684</v>
      </c>
      <c r="H200" s="131"/>
      <c r="I200" s="132"/>
      <c r="J200" s="76"/>
      <c r="K200" s="81" t="s">
        <v>1245</v>
      </c>
      <c r="L200" s="47" t="s">
        <v>1246</v>
      </c>
      <c r="M200" s="133" t="s">
        <v>1247</v>
      </c>
      <c r="N200" s="134">
        <v>23.219558</v>
      </c>
      <c r="O200" s="134">
        <v>92.081488</v>
      </c>
      <c r="P200" s="81">
        <v>800</v>
      </c>
      <c r="Q200" s="47"/>
      <c r="R200" s="81"/>
      <c r="S200" s="81"/>
      <c r="T200" s="135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3"/>
      <c r="AH200" s="58"/>
      <c r="AI200" s="59"/>
      <c r="AJ200" s="57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7" t="s">
        <v>675</v>
      </c>
      <c r="F201" s="47" t="s">
        <v>1197</v>
      </c>
      <c r="G201" s="130" t="s">
        <v>684</v>
      </c>
      <c r="H201" s="131"/>
      <c r="I201" s="132"/>
      <c r="J201" s="76"/>
      <c r="K201" s="81" t="s">
        <v>1248</v>
      </c>
      <c r="L201" s="47" t="s">
        <v>1249</v>
      </c>
      <c r="M201" s="133" t="s">
        <v>1250</v>
      </c>
      <c r="N201" s="134">
        <v>23.222558</v>
      </c>
      <c r="O201" s="134">
        <v>92.075063</v>
      </c>
      <c r="P201" s="81">
        <v>250</v>
      </c>
      <c r="Q201" s="47"/>
      <c r="R201" s="81"/>
      <c r="S201" s="81"/>
      <c r="T201" s="135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3"/>
      <c r="AH201" s="58"/>
      <c r="AI201" s="59"/>
      <c r="AJ201" s="57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7" t="s">
        <v>675</v>
      </c>
      <c r="F202" s="47" t="s">
        <v>1197</v>
      </c>
      <c r="G202" s="130" t="s">
        <v>684</v>
      </c>
      <c r="H202" s="131"/>
      <c r="I202" s="132"/>
      <c r="J202" s="76"/>
      <c r="K202" s="81" t="s">
        <v>1251</v>
      </c>
      <c r="L202" s="47" t="s">
        <v>1252</v>
      </c>
      <c r="M202" s="133" t="s">
        <v>1253</v>
      </c>
      <c r="N202" s="134">
        <v>23.223144</v>
      </c>
      <c r="O202" s="134">
        <v>92.070397</v>
      </c>
      <c r="P202" s="81">
        <v>150</v>
      </c>
      <c r="Q202" s="47"/>
      <c r="R202" s="81"/>
      <c r="S202" s="81"/>
      <c r="T202" s="135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3"/>
      <c r="AH202" s="58"/>
      <c r="AI202" s="59"/>
      <c r="AJ202" s="57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7" t="s">
        <v>675</v>
      </c>
      <c r="F203" s="47" t="s">
        <v>1197</v>
      </c>
      <c r="G203" s="130" t="s">
        <v>684</v>
      </c>
      <c r="H203" s="131"/>
      <c r="I203" s="132"/>
      <c r="J203" s="76"/>
      <c r="K203" s="81" t="s">
        <v>958</v>
      </c>
      <c r="L203" s="47" t="s">
        <v>959</v>
      </c>
      <c r="M203" s="133" t="s">
        <v>1254</v>
      </c>
      <c r="N203" s="134">
        <v>23.226666</v>
      </c>
      <c r="O203" s="134">
        <v>92.058772</v>
      </c>
      <c r="P203" s="81">
        <v>800</v>
      </c>
      <c r="Q203" s="47"/>
      <c r="R203" s="81"/>
      <c r="S203" s="81"/>
      <c r="T203" s="135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3"/>
      <c r="AH203" s="58"/>
      <c r="AI203" s="59"/>
      <c r="AJ203" s="57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7" t="s">
        <v>675</v>
      </c>
      <c r="F204" s="47" t="s">
        <v>1197</v>
      </c>
      <c r="G204" s="130" t="s">
        <v>684</v>
      </c>
      <c r="H204" s="131"/>
      <c r="I204" s="132"/>
      <c r="J204" s="76"/>
      <c r="K204" s="81" t="s">
        <v>1255</v>
      </c>
      <c r="L204" s="47" t="s">
        <v>1256</v>
      </c>
      <c r="M204" s="133" t="s">
        <v>1257</v>
      </c>
      <c r="N204" s="134">
        <v>23.219171</v>
      </c>
      <c r="O204" s="134">
        <v>92.070285</v>
      </c>
      <c r="P204" s="81">
        <v>1000</v>
      </c>
      <c r="Q204" s="47"/>
      <c r="R204" s="81"/>
      <c r="S204" s="81"/>
      <c r="T204" s="135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3"/>
      <c r="AH204" s="58"/>
      <c r="AI204" s="59"/>
      <c r="AJ204" s="57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7" t="s">
        <v>675</v>
      </c>
      <c r="F205" s="47" t="s">
        <v>1197</v>
      </c>
      <c r="G205" s="130" t="s">
        <v>684</v>
      </c>
      <c r="H205" s="131"/>
      <c r="I205" s="132"/>
      <c r="J205" s="76"/>
      <c r="K205" s="81" t="s">
        <v>1258</v>
      </c>
      <c r="L205" s="47" t="s">
        <v>1259</v>
      </c>
      <c r="M205" s="133" t="s">
        <v>1260</v>
      </c>
      <c r="N205" s="134">
        <v>23.2224</v>
      </c>
      <c r="O205" s="134">
        <v>92.080625</v>
      </c>
      <c r="P205" s="81">
        <v>500</v>
      </c>
      <c r="Q205" s="47"/>
      <c r="R205" s="81"/>
      <c r="S205" s="81"/>
      <c r="T205" s="135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3"/>
      <c r="AH205" s="58"/>
      <c r="AI205" s="59"/>
      <c r="AJ205" s="57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7" t="s">
        <v>675</v>
      </c>
      <c r="F206" s="47" t="s">
        <v>1197</v>
      </c>
      <c r="G206" s="130" t="s">
        <v>697</v>
      </c>
      <c r="H206" s="131"/>
      <c r="I206" s="132"/>
      <c r="J206" s="76"/>
      <c r="K206" s="81" t="s">
        <v>1261</v>
      </c>
      <c r="L206" s="47" t="s">
        <v>1262</v>
      </c>
      <c r="M206" s="133" t="s">
        <v>1263</v>
      </c>
      <c r="N206" s="134">
        <v>23.215833</v>
      </c>
      <c r="O206" s="134">
        <v>92.054593</v>
      </c>
      <c r="P206" s="81">
        <v>250</v>
      </c>
      <c r="Q206" s="47"/>
      <c r="R206" s="81"/>
      <c r="S206" s="81"/>
      <c r="T206" s="135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3"/>
      <c r="AH206" s="58"/>
      <c r="AI206" s="59"/>
      <c r="AJ206" s="57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7" t="s">
        <v>675</v>
      </c>
      <c r="F207" s="47" t="s">
        <v>1197</v>
      </c>
      <c r="G207" s="130" t="s">
        <v>697</v>
      </c>
      <c r="H207" s="131"/>
      <c r="I207" s="132"/>
      <c r="J207" s="76"/>
      <c r="K207" s="81" t="s">
        <v>1264</v>
      </c>
      <c r="L207" s="47" t="s">
        <v>1265</v>
      </c>
      <c r="M207" s="133" t="s">
        <v>1266</v>
      </c>
      <c r="N207" s="134">
        <v>23.199728</v>
      </c>
      <c r="O207" s="134">
        <v>92.06773</v>
      </c>
      <c r="P207" s="81">
        <v>300</v>
      </c>
      <c r="Q207" s="47"/>
      <c r="R207" s="81"/>
      <c r="S207" s="81"/>
      <c r="T207" s="135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3"/>
      <c r="AH207" s="58"/>
      <c r="AI207" s="59"/>
      <c r="AJ207" s="57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7" t="s">
        <v>675</v>
      </c>
      <c r="F208" s="47" t="s">
        <v>1197</v>
      </c>
      <c r="G208" s="130" t="s">
        <v>697</v>
      </c>
      <c r="H208" s="131"/>
      <c r="I208" s="132"/>
      <c r="J208" s="76"/>
      <c r="K208" s="81" t="s">
        <v>1267</v>
      </c>
      <c r="L208" s="47" t="s">
        <v>1268</v>
      </c>
      <c r="M208" s="133" t="s">
        <v>1269</v>
      </c>
      <c r="N208" s="134">
        <v>23.203363</v>
      </c>
      <c r="O208" s="134">
        <v>92.078005</v>
      </c>
      <c r="P208" s="81">
        <v>1000</v>
      </c>
      <c r="Q208" s="47"/>
      <c r="R208" s="81"/>
      <c r="S208" s="81"/>
      <c r="T208" s="135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3"/>
      <c r="AH208" s="58"/>
      <c r="AI208" s="59"/>
      <c r="AJ208" s="57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7" t="s">
        <v>675</v>
      </c>
      <c r="F209" s="47" t="s">
        <v>1197</v>
      </c>
      <c r="G209" s="130" t="s">
        <v>697</v>
      </c>
      <c r="H209" s="131"/>
      <c r="I209" s="132"/>
      <c r="J209" s="76"/>
      <c r="K209" s="81" t="s">
        <v>1270</v>
      </c>
      <c r="L209" s="47" t="s">
        <v>1271</v>
      </c>
      <c r="M209" s="133" t="s">
        <v>1272</v>
      </c>
      <c r="N209" s="134">
        <v>23.21372</v>
      </c>
      <c r="O209" s="134">
        <v>92.076298</v>
      </c>
      <c r="P209" s="81">
        <v>700</v>
      </c>
      <c r="Q209" s="47"/>
      <c r="R209" s="81"/>
      <c r="S209" s="81"/>
      <c r="T209" s="135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3"/>
      <c r="AH209" s="58"/>
      <c r="AI209" s="59"/>
      <c r="AJ209" s="57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7" t="s">
        <v>675</v>
      </c>
      <c r="F210" s="47" t="s">
        <v>1197</v>
      </c>
      <c r="G210" s="130" t="s">
        <v>697</v>
      </c>
      <c r="H210" s="131"/>
      <c r="I210" s="132"/>
      <c r="J210" s="76"/>
      <c r="K210" s="81" t="s">
        <v>1273</v>
      </c>
      <c r="L210" s="47" t="s">
        <v>1274</v>
      </c>
      <c r="M210" s="133" t="s">
        <v>1275</v>
      </c>
      <c r="N210" s="134">
        <v>23.210606</v>
      </c>
      <c r="O210" s="134">
        <v>92.084449</v>
      </c>
      <c r="P210" s="81">
        <v>500</v>
      </c>
      <c r="Q210" s="47"/>
      <c r="R210" s="81"/>
      <c r="S210" s="81"/>
      <c r="T210" s="135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3"/>
      <c r="AH210" s="58"/>
      <c r="AI210" s="59"/>
      <c r="AJ210" s="57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7" t="s">
        <v>675</v>
      </c>
      <c r="F211" s="47" t="s">
        <v>1197</v>
      </c>
      <c r="G211" s="130" t="s">
        <v>697</v>
      </c>
      <c r="H211" s="131"/>
      <c r="I211" s="132"/>
      <c r="J211" s="76"/>
      <c r="K211" s="81" t="s">
        <v>1276</v>
      </c>
      <c r="L211" s="47" t="s">
        <v>1277</v>
      </c>
      <c r="M211" s="133" t="s">
        <v>1278</v>
      </c>
      <c r="N211" s="134">
        <v>23.204312</v>
      </c>
      <c r="O211" s="134">
        <v>92.087842</v>
      </c>
      <c r="P211" s="81">
        <v>300</v>
      </c>
      <c r="Q211" s="47"/>
      <c r="R211" s="81"/>
      <c r="S211" s="81"/>
      <c r="T211" s="135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3"/>
      <c r="AH211" s="58"/>
      <c r="AI211" s="59"/>
      <c r="AJ211" s="57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7" t="s">
        <v>675</v>
      </c>
      <c r="F212" s="47" t="s">
        <v>1197</v>
      </c>
      <c r="G212" s="130" t="s">
        <v>707</v>
      </c>
      <c r="H212" s="131"/>
      <c r="I212" s="132"/>
      <c r="J212" s="76"/>
      <c r="K212" s="81" t="s">
        <v>1279</v>
      </c>
      <c r="L212" s="47" t="s">
        <v>1280</v>
      </c>
      <c r="M212" s="133" t="s">
        <v>1281</v>
      </c>
      <c r="N212" s="134">
        <v>23.207209</v>
      </c>
      <c r="O212" s="134">
        <v>92.095665</v>
      </c>
      <c r="P212" s="81">
        <v>1200</v>
      </c>
      <c r="Q212" s="47"/>
      <c r="R212" s="81"/>
      <c r="S212" s="81"/>
      <c r="T212" s="135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3"/>
      <c r="AH212" s="58"/>
      <c r="AI212" s="59"/>
      <c r="AJ212" s="57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7" t="s">
        <v>675</v>
      </c>
      <c r="F213" s="47" t="s">
        <v>1197</v>
      </c>
      <c r="G213" s="130" t="s">
        <v>707</v>
      </c>
      <c r="H213" s="131"/>
      <c r="I213" s="132"/>
      <c r="J213" s="76"/>
      <c r="K213" s="81" t="s">
        <v>1282</v>
      </c>
      <c r="L213" s="47" t="s">
        <v>1283</v>
      </c>
      <c r="M213" s="133" t="s">
        <v>1284</v>
      </c>
      <c r="N213" s="134">
        <v>23.197147</v>
      </c>
      <c r="O213" s="134">
        <v>92.096389</v>
      </c>
      <c r="P213" s="81">
        <v>2000</v>
      </c>
      <c r="Q213" s="47"/>
      <c r="R213" s="81"/>
      <c r="S213" s="81"/>
      <c r="T213" s="135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3"/>
      <c r="AH213" s="58"/>
      <c r="AI213" s="59"/>
      <c r="AJ213" s="57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7" t="s">
        <v>675</v>
      </c>
      <c r="F214" s="47" t="s">
        <v>1197</v>
      </c>
      <c r="G214" s="130" t="s">
        <v>707</v>
      </c>
      <c r="H214" s="131"/>
      <c r="I214" s="132"/>
      <c r="J214" s="76"/>
      <c r="K214" s="81" t="s">
        <v>1285</v>
      </c>
      <c r="L214" s="47" t="s">
        <v>1286</v>
      </c>
      <c r="M214" s="133" t="s">
        <v>1287</v>
      </c>
      <c r="N214" s="134">
        <v>23.19038</v>
      </c>
      <c r="O214" s="134">
        <v>92.099432</v>
      </c>
      <c r="P214" s="81">
        <v>500</v>
      </c>
      <c r="Q214" s="47"/>
      <c r="R214" s="81"/>
      <c r="S214" s="81"/>
      <c r="T214" s="135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3"/>
      <c r="AH214" s="58"/>
      <c r="AI214" s="59"/>
      <c r="AJ214" s="57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7" t="s">
        <v>675</v>
      </c>
      <c r="F215" s="47" t="s">
        <v>1197</v>
      </c>
      <c r="G215" s="130" t="s">
        <v>707</v>
      </c>
      <c r="H215" s="131"/>
      <c r="I215" s="132"/>
      <c r="J215" s="76"/>
      <c r="K215" s="81" t="s">
        <v>1288</v>
      </c>
      <c r="L215" s="47" t="s">
        <v>1289</v>
      </c>
      <c r="M215" s="133" t="s">
        <v>1290</v>
      </c>
      <c r="N215" s="134">
        <v>23.210373</v>
      </c>
      <c r="O215" s="134">
        <v>92.090672</v>
      </c>
      <c r="P215" s="81">
        <v>200</v>
      </c>
      <c r="Q215" s="47"/>
      <c r="R215" s="81"/>
      <c r="S215" s="81"/>
      <c r="T215" s="135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3"/>
      <c r="AH215" s="58"/>
      <c r="AI215" s="59"/>
      <c r="AJ215" s="57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7" t="s">
        <v>675</v>
      </c>
      <c r="F216" s="47" t="s">
        <v>1197</v>
      </c>
      <c r="G216" s="130" t="s">
        <v>707</v>
      </c>
      <c r="H216" s="131"/>
      <c r="I216" s="132"/>
      <c r="J216" s="76"/>
      <c r="K216" s="81" t="s">
        <v>1291</v>
      </c>
      <c r="L216" s="47" t="s">
        <v>1292</v>
      </c>
      <c r="M216" s="133" t="s">
        <v>1293</v>
      </c>
      <c r="N216" s="134">
        <v>23.20243</v>
      </c>
      <c r="O216" s="134">
        <v>92.106828</v>
      </c>
      <c r="P216" s="81">
        <v>200</v>
      </c>
      <c r="Q216" s="47"/>
      <c r="R216" s="81"/>
      <c r="S216" s="81"/>
      <c r="T216" s="7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3"/>
      <c r="AH216" s="58"/>
      <c r="AI216" s="59"/>
      <c r="AJ216" s="57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7" t="s">
        <v>675</v>
      </c>
      <c r="F217" s="47" t="s">
        <v>1197</v>
      </c>
      <c r="G217" s="130" t="s">
        <v>707</v>
      </c>
      <c r="H217" s="131"/>
      <c r="I217" s="132"/>
      <c r="J217" s="76"/>
      <c r="K217" s="81" t="s">
        <v>1294</v>
      </c>
      <c r="L217" s="47" t="s">
        <v>1295</v>
      </c>
      <c r="M217" s="133" t="s">
        <v>1296</v>
      </c>
      <c r="N217" s="134">
        <v>23.1834</v>
      </c>
      <c r="O217" s="134">
        <v>92.098972</v>
      </c>
      <c r="P217" s="81"/>
      <c r="Q217" s="81"/>
      <c r="R217" s="81"/>
      <c r="S217" s="81"/>
      <c r="T217" s="135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3"/>
      <c r="AH217" s="58"/>
      <c r="AI217" s="59"/>
      <c r="AJ217" s="57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7" t="s">
        <v>675</v>
      </c>
      <c r="F218" s="47" t="s">
        <v>1197</v>
      </c>
      <c r="G218" s="130" t="s">
        <v>726</v>
      </c>
      <c r="H218" s="131"/>
      <c r="I218" s="132"/>
      <c r="J218" s="76"/>
      <c r="K218" s="81" t="s">
        <v>1297</v>
      </c>
      <c r="L218" s="47" t="s">
        <v>1298</v>
      </c>
      <c r="M218" s="133" t="s">
        <v>1299</v>
      </c>
      <c r="N218" s="134">
        <v>23.183201</v>
      </c>
      <c r="O218" s="134">
        <v>92.09973</v>
      </c>
      <c r="P218" s="81">
        <v>1200</v>
      </c>
      <c r="Q218" s="47"/>
      <c r="R218" s="81"/>
      <c r="S218" s="81"/>
      <c r="T218" s="135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3"/>
      <c r="AH218" s="58"/>
      <c r="AI218" s="59"/>
      <c r="AJ218" s="57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7" t="s">
        <v>675</v>
      </c>
      <c r="F219" s="47" t="s">
        <v>1197</v>
      </c>
      <c r="G219" s="130" t="s">
        <v>726</v>
      </c>
      <c r="H219" s="131"/>
      <c r="I219" s="132"/>
      <c r="J219" s="76"/>
      <c r="K219" s="81" t="s">
        <v>1300</v>
      </c>
      <c r="L219" s="47" t="s">
        <v>1301</v>
      </c>
      <c r="M219" s="133" t="s">
        <v>1302</v>
      </c>
      <c r="N219" s="134">
        <v>23.175174</v>
      </c>
      <c r="O219" s="134">
        <v>92.103158</v>
      </c>
      <c r="P219" s="81">
        <v>3000</v>
      </c>
      <c r="Q219" s="47"/>
      <c r="R219" s="81"/>
      <c r="S219" s="81"/>
      <c r="T219" s="135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3"/>
      <c r="AH219" s="58"/>
      <c r="AI219" s="59"/>
      <c r="AJ219" s="57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7" t="s">
        <v>675</v>
      </c>
      <c r="F220" s="47" t="s">
        <v>1197</v>
      </c>
      <c r="G220" s="130" t="s">
        <v>726</v>
      </c>
      <c r="H220" s="131"/>
      <c r="I220" s="132"/>
      <c r="J220" s="76"/>
      <c r="K220" s="81" t="s">
        <v>1264</v>
      </c>
      <c r="L220" s="47" t="s">
        <v>1265</v>
      </c>
      <c r="M220" s="133" t="s">
        <v>1303</v>
      </c>
      <c r="N220" s="134">
        <v>23.183463</v>
      </c>
      <c r="O220" s="134">
        <v>92.073615</v>
      </c>
      <c r="P220" s="81">
        <v>2500</v>
      </c>
      <c r="Q220" s="47"/>
      <c r="R220" s="81"/>
      <c r="S220" s="81"/>
      <c r="T220" s="135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3"/>
      <c r="AH220" s="58"/>
      <c r="AI220" s="59"/>
      <c r="AJ220" s="57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7" t="s">
        <v>675</v>
      </c>
      <c r="F221" s="47" t="s">
        <v>1197</v>
      </c>
      <c r="G221" s="130" t="s">
        <v>726</v>
      </c>
      <c r="H221" s="131"/>
      <c r="I221" s="132"/>
      <c r="J221" s="76"/>
      <c r="K221" s="81" t="s">
        <v>1304</v>
      </c>
      <c r="L221" s="47" t="s">
        <v>1305</v>
      </c>
      <c r="M221" s="133" t="s">
        <v>1306</v>
      </c>
      <c r="N221" s="134">
        <v>23.162842</v>
      </c>
      <c r="O221" s="134">
        <v>92.105305</v>
      </c>
      <c r="P221" s="81">
        <v>2000</v>
      </c>
      <c r="Q221" s="47"/>
      <c r="R221" s="81"/>
      <c r="S221" s="81"/>
      <c r="T221" s="135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3"/>
      <c r="AH221" s="58"/>
      <c r="AI221" s="59"/>
      <c r="AJ221" s="57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7" t="s">
        <v>675</v>
      </c>
      <c r="F222" s="47" t="s">
        <v>1197</v>
      </c>
      <c r="G222" s="130" t="s">
        <v>726</v>
      </c>
      <c r="H222" s="131"/>
      <c r="I222" s="132"/>
      <c r="J222" s="76"/>
      <c r="K222" s="81" t="s">
        <v>1307</v>
      </c>
      <c r="L222" s="47" t="s">
        <v>1308</v>
      </c>
      <c r="M222" s="133" t="s">
        <v>1309</v>
      </c>
      <c r="N222" s="134">
        <v>23.151375</v>
      </c>
      <c r="O222" s="134">
        <v>92.08393</v>
      </c>
      <c r="P222" s="81">
        <v>800</v>
      </c>
      <c r="Q222" s="47"/>
      <c r="R222" s="81"/>
      <c r="S222" s="81"/>
      <c r="T222" s="135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3"/>
      <c r="AH222" s="58"/>
      <c r="AI222" s="59"/>
      <c r="AJ222" s="57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7" t="s">
        <v>675</v>
      </c>
      <c r="F223" s="47" t="s">
        <v>1197</v>
      </c>
      <c r="G223" s="130" t="s">
        <v>726</v>
      </c>
      <c r="H223" s="131"/>
      <c r="I223" s="132"/>
      <c r="J223" s="76"/>
      <c r="K223" s="81" t="s">
        <v>1310</v>
      </c>
      <c r="L223" s="47" t="s">
        <v>1311</v>
      </c>
      <c r="M223" s="133" t="s">
        <v>1312</v>
      </c>
      <c r="N223" s="134">
        <v>23.160085</v>
      </c>
      <c r="O223" s="134">
        <v>92.078824</v>
      </c>
      <c r="P223" s="81">
        <v>500</v>
      </c>
      <c r="Q223" s="47"/>
      <c r="R223" s="81"/>
      <c r="S223" s="81"/>
      <c r="T223" s="135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3"/>
      <c r="AH223" s="58"/>
      <c r="AI223" s="59"/>
      <c r="AJ223" s="57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7" t="s">
        <v>675</v>
      </c>
      <c r="F224" s="47" t="s">
        <v>1197</v>
      </c>
      <c r="G224" s="130" t="s">
        <v>726</v>
      </c>
      <c r="H224" s="131"/>
      <c r="I224" s="132"/>
      <c r="J224" s="76"/>
      <c r="K224" s="81" t="s">
        <v>1313</v>
      </c>
      <c r="L224" s="47" t="s">
        <v>1314</v>
      </c>
      <c r="M224" s="133" t="s">
        <v>1315</v>
      </c>
      <c r="N224" s="134">
        <v>23.154928</v>
      </c>
      <c r="O224" s="134">
        <v>92.095724</v>
      </c>
      <c r="P224" s="81">
        <v>2500</v>
      </c>
      <c r="Q224" s="47"/>
      <c r="R224" s="81"/>
      <c r="S224" s="81"/>
      <c r="T224" s="135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3"/>
      <c r="AH224" s="58"/>
      <c r="AI224" s="59"/>
      <c r="AJ224" s="57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7" t="s">
        <v>675</v>
      </c>
      <c r="F225" s="47" t="s">
        <v>1197</v>
      </c>
      <c r="G225" s="130" t="s">
        <v>726</v>
      </c>
      <c r="H225" s="131"/>
      <c r="I225" s="132"/>
      <c r="J225" s="76"/>
      <c r="K225" s="81" t="s">
        <v>1316</v>
      </c>
      <c r="L225" s="47" t="s">
        <v>1317</v>
      </c>
      <c r="M225" s="133" t="s">
        <v>1318</v>
      </c>
      <c r="N225" s="134">
        <v>23.164925</v>
      </c>
      <c r="O225" s="134">
        <v>92.079179</v>
      </c>
      <c r="P225" s="81">
        <v>250</v>
      </c>
      <c r="Q225" s="47"/>
      <c r="R225" s="81"/>
      <c r="S225" s="81"/>
      <c r="T225" s="135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3"/>
      <c r="AH225" s="58"/>
      <c r="AI225" s="59"/>
      <c r="AJ225" s="57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7" t="s">
        <v>675</v>
      </c>
      <c r="F226" s="47" t="s">
        <v>1197</v>
      </c>
      <c r="G226" s="130" t="s">
        <v>726</v>
      </c>
      <c r="H226" s="131"/>
      <c r="I226" s="132"/>
      <c r="J226" s="76"/>
      <c r="K226" s="81" t="s">
        <v>1319</v>
      </c>
      <c r="L226" s="47" t="s">
        <v>1320</v>
      </c>
      <c r="M226" s="133" t="s">
        <v>1321</v>
      </c>
      <c r="N226" s="134">
        <v>23.143697</v>
      </c>
      <c r="O226" s="134">
        <v>92.089652</v>
      </c>
      <c r="P226" s="81">
        <v>110</v>
      </c>
      <c r="Q226" s="47"/>
      <c r="R226" s="81"/>
      <c r="S226" s="81"/>
      <c r="T226" s="135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3"/>
      <c r="AH226" s="58"/>
      <c r="AI226" s="59"/>
      <c r="AJ226" s="57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7" t="s">
        <v>675</v>
      </c>
      <c r="F227" s="47" t="s">
        <v>1197</v>
      </c>
      <c r="G227" s="130" t="s">
        <v>726</v>
      </c>
      <c r="H227" s="131"/>
      <c r="I227" s="132"/>
      <c r="J227" s="76"/>
      <c r="K227" s="81" t="s">
        <v>1322</v>
      </c>
      <c r="L227" s="47" t="s">
        <v>1323</v>
      </c>
      <c r="M227" s="133" t="s">
        <v>1324</v>
      </c>
      <c r="N227" s="134">
        <v>23.176225</v>
      </c>
      <c r="O227" s="134">
        <v>92.091133</v>
      </c>
      <c r="P227" s="81">
        <v>350</v>
      </c>
      <c r="Q227" s="47"/>
      <c r="R227" s="81"/>
      <c r="S227" s="81"/>
      <c r="T227" s="135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3"/>
      <c r="AH227" s="58"/>
      <c r="AI227" s="59"/>
      <c r="AJ227" s="57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7" t="s">
        <v>675</v>
      </c>
      <c r="F228" s="47" t="s">
        <v>1197</v>
      </c>
      <c r="G228" s="130" t="s">
        <v>726</v>
      </c>
      <c r="H228" s="131"/>
      <c r="I228" s="132"/>
      <c r="J228" s="76"/>
      <c r="K228" s="81" t="s">
        <v>1325</v>
      </c>
      <c r="L228" s="47" t="s">
        <v>1326</v>
      </c>
      <c r="M228" s="133" t="s">
        <v>1327</v>
      </c>
      <c r="N228" s="134">
        <v>23.173726</v>
      </c>
      <c r="O228" s="134">
        <v>92.105146</v>
      </c>
      <c r="P228" s="81"/>
      <c r="Q228" s="81"/>
      <c r="R228" s="81"/>
      <c r="S228" s="81"/>
      <c r="T228" s="135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3"/>
      <c r="AH228" s="58"/>
      <c r="AI228" s="59"/>
      <c r="AJ228" s="57"/>
    </row>
    <row x14ac:dyDescent="0.25" r="229" customHeight="1" ht="18">
      <c r="A229" s="45">
        <v>223</v>
      </c>
      <c r="B229" s="46" t="s">
        <v>47</v>
      </c>
      <c r="C229" s="46" t="s">
        <v>48</v>
      </c>
      <c r="D229" s="47" t="s">
        <v>49</v>
      </c>
      <c r="E229" s="47" t="s">
        <v>675</v>
      </c>
      <c r="F229" s="47" t="s">
        <v>1197</v>
      </c>
      <c r="G229" s="130" t="s">
        <v>742</v>
      </c>
      <c r="H229" s="131"/>
      <c r="I229" s="132"/>
      <c r="J229" s="76"/>
      <c r="K229" s="81" t="s">
        <v>1328</v>
      </c>
      <c r="L229" s="47" t="s">
        <v>1329</v>
      </c>
      <c r="M229" s="133" t="s">
        <v>1330</v>
      </c>
      <c r="N229" s="134">
        <v>23.137149</v>
      </c>
      <c r="O229" s="134">
        <v>92.120958</v>
      </c>
      <c r="P229" s="81">
        <v>1000</v>
      </c>
      <c r="Q229" s="47"/>
      <c r="R229" s="81"/>
      <c r="S229" s="81"/>
      <c r="T229" s="135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3"/>
      <c r="AH229" s="58"/>
      <c r="AI229" s="59"/>
      <c r="AJ229" s="57"/>
    </row>
    <row x14ac:dyDescent="0.25" r="230" customHeight="1" ht="18">
      <c r="A230" s="45">
        <v>224</v>
      </c>
      <c r="B230" s="46" t="s">
        <v>47</v>
      </c>
      <c r="C230" s="46" t="s">
        <v>48</v>
      </c>
      <c r="D230" s="47" t="s">
        <v>49</v>
      </c>
      <c r="E230" s="47" t="s">
        <v>675</v>
      </c>
      <c r="F230" s="47" t="s">
        <v>1197</v>
      </c>
      <c r="G230" s="130" t="s">
        <v>742</v>
      </c>
      <c r="H230" s="131"/>
      <c r="I230" s="132"/>
      <c r="J230" s="76"/>
      <c r="K230" s="81" t="s">
        <v>1331</v>
      </c>
      <c r="L230" s="47" t="s">
        <v>1332</v>
      </c>
      <c r="M230" s="133" t="s">
        <v>1333</v>
      </c>
      <c r="N230" s="134">
        <v>23.145833</v>
      </c>
      <c r="O230" s="134">
        <v>92.110376</v>
      </c>
      <c r="P230" s="81">
        <v>500</v>
      </c>
      <c r="Q230" s="47"/>
      <c r="R230" s="81"/>
      <c r="S230" s="81"/>
      <c r="T230" s="135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3"/>
      <c r="AH230" s="58"/>
      <c r="AI230" s="59"/>
      <c r="AJ230" s="57"/>
    </row>
    <row x14ac:dyDescent="0.25" r="231" customHeight="1" ht="18">
      <c r="A231" s="45">
        <v>225</v>
      </c>
      <c r="B231" s="46" t="s">
        <v>47</v>
      </c>
      <c r="C231" s="46" t="s">
        <v>48</v>
      </c>
      <c r="D231" s="47" t="s">
        <v>49</v>
      </c>
      <c r="E231" s="47" t="s">
        <v>675</v>
      </c>
      <c r="F231" s="47" t="s">
        <v>1197</v>
      </c>
      <c r="G231" s="130" t="s">
        <v>742</v>
      </c>
      <c r="H231" s="131"/>
      <c r="I231" s="132"/>
      <c r="J231" s="76"/>
      <c r="K231" s="81" t="s">
        <v>1334</v>
      </c>
      <c r="L231" s="47" t="s">
        <v>1335</v>
      </c>
      <c r="M231" s="133" t="s">
        <v>1336</v>
      </c>
      <c r="N231" s="134">
        <v>23.138608</v>
      </c>
      <c r="O231" s="134">
        <v>92.105438</v>
      </c>
      <c r="P231" s="81">
        <v>600</v>
      </c>
      <c r="Q231" s="47"/>
      <c r="R231" s="81"/>
      <c r="S231" s="81"/>
      <c r="T231" s="135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3"/>
      <c r="AH231" s="58"/>
      <c r="AI231" s="59"/>
      <c r="AJ231" s="57"/>
    </row>
    <row x14ac:dyDescent="0.25" r="232" customHeight="1" ht="18">
      <c r="A232" s="45">
        <v>226</v>
      </c>
      <c r="B232" s="46" t="s">
        <v>47</v>
      </c>
      <c r="C232" s="46" t="s">
        <v>48</v>
      </c>
      <c r="D232" s="47" t="s">
        <v>49</v>
      </c>
      <c r="E232" s="47" t="s">
        <v>675</v>
      </c>
      <c r="F232" s="47" t="s">
        <v>1197</v>
      </c>
      <c r="G232" s="130" t="s">
        <v>742</v>
      </c>
      <c r="H232" s="131"/>
      <c r="I232" s="132"/>
      <c r="J232" s="76"/>
      <c r="K232" s="81" t="s">
        <v>1337</v>
      </c>
      <c r="L232" s="47" t="s">
        <v>1338</v>
      </c>
      <c r="M232" s="133" t="s">
        <v>1339</v>
      </c>
      <c r="N232" s="134">
        <v>23.14312</v>
      </c>
      <c r="O232" s="134">
        <v>92.100508</v>
      </c>
      <c r="P232" s="81">
        <v>550</v>
      </c>
      <c r="Q232" s="47"/>
      <c r="R232" s="81"/>
      <c r="S232" s="81"/>
      <c r="T232" s="135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3"/>
      <c r="AH232" s="58"/>
      <c r="AI232" s="59"/>
      <c r="AJ232" s="57"/>
    </row>
    <row x14ac:dyDescent="0.25" r="233" customHeight="1" ht="18">
      <c r="A233" s="45">
        <v>227</v>
      </c>
      <c r="B233" s="46" t="s">
        <v>47</v>
      </c>
      <c r="C233" s="46" t="s">
        <v>48</v>
      </c>
      <c r="D233" s="47" t="s">
        <v>49</v>
      </c>
      <c r="E233" s="47" t="s">
        <v>675</v>
      </c>
      <c r="F233" s="47" t="s">
        <v>1197</v>
      </c>
      <c r="G233" s="130" t="s">
        <v>742</v>
      </c>
      <c r="H233" s="131"/>
      <c r="I233" s="132"/>
      <c r="J233" s="76"/>
      <c r="K233" s="81" t="s">
        <v>1340</v>
      </c>
      <c r="L233" s="47" t="s">
        <v>1341</v>
      </c>
      <c r="M233" s="133" t="s">
        <v>1342</v>
      </c>
      <c r="N233" s="134">
        <v>23.125803</v>
      </c>
      <c r="O233" s="134">
        <v>92.095666</v>
      </c>
      <c r="P233" s="81">
        <v>600</v>
      </c>
      <c r="Q233" s="47"/>
      <c r="R233" s="81"/>
      <c r="S233" s="81"/>
      <c r="T233" s="135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3"/>
      <c r="AH233" s="58"/>
      <c r="AI233" s="59"/>
      <c r="AJ233" s="57"/>
    </row>
    <row x14ac:dyDescent="0.25" r="234" customHeight="1" ht="18">
      <c r="A234" s="45">
        <v>228</v>
      </c>
      <c r="B234" s="46" t="s">
        <v>47</v>
      </c>
      <c r="C234" s="46" t="s">
        <v>48</v>
      </c>
      <c r="D234" s="47" t="s">
        <v>49</v>
      </c>
      <c r="E234" s="47" t="s">
        <v>675</v>
      </c>
      <c r="F234" s="47" t="s">
        <v>1197</v>
      </c>
      <c r="G234" s="130" t="s">
        <v>742</v>
      </c>
      <c r="H234" s="131"/>
      <c r="I234" s="132"/>
      <c r="J234" s="76"/>
      <c r="K234" s="81" t="s">
        <v>1343</v>
      </c>
      <c r="L234" s="47" t="s">
        <v>1344</v>
      </c>
      <c r="M234" s="133" t="s">
        <v>1345</v>
      </c>
      <c r="N234" s="134">
        <v>23.133361</v>
      </c>
      <c r="O234" s="134">
        <v>92.101374</v>
      </c>
      <c r="P234" s="81">
        <v>600</v>
      </c>
      <c r="Q234" s="47"/>
      <c r="R234" s="81"/>
      <c r="S234" s="81"/>
      <c r="T234" s="135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3"/>
      <c r="AH234" s="58"/>
      <c r="AI234" s="59"/>
      <c r="AJ234" s="57"/>
    </row>
    <row x14ac:dyDescent="0.25" r="235" customHeight="1" ht="18">
      <c r="A235" s="45">
        <v>229</v>
      </c>
      <c r="B235" s="46" t="s">
        <v>47</v>
      </c>
      <c r="C235" s="46" t="s">
        <v>48</v>
      </c>
      <c r="D235" s="47" t="s">
        <v>49</v>
      </c>
      <c r="E235" s="47" t="s">
        <v>675</v>
      </c>
      <c r="F235" s="47" t="s">
        <v>1197</v>
      </c>
      <c r="G235" s="130" t="s">
        <v>742</v>
      </c>
      <c r="H235" s="131"/>
      <c r="I235" s="132"/>
      <c r="J235" s="76"/>
      <c r="K235" s="81" t="s">
        <v>1346</v>
      </c>
      <c r="L235" s="47" t="s">
        <v>1347</v>
      </c>
      <c r="M235" s="133" t="s">
        <v>1348</v>
      </c>
      <c r="N235" s="134">
        <v>23.154251</v>
      </c>
      <c r="O235" s="134">
        <v>92.107803</v>
      </c>
      <c r="P235" s="81">
        <v>2000</v>
      </c>
      <c r="Q235" s="47"/>
      <c r="R235" s="81"/>
      <c r="S235" s="81"/>
      <c r="T235" s="135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3"/>
      <c r="AH235" s="58"/>
      <c r="AI235" s="59"/>
      <c r="AJ235" s="57"/>
    </row>
    <row x14ac:dyDescent="0.25" r="236" customHeight="1" ht="18">
      <c r="A236" s="45">
        <v>230</v>
      </c>
      <c r="B236" s="46" t="s">
        <v>47</v>
      </c>
      <c r="C236" s="46" t="s">
        <v>48</v>
      </c>
      <c r="D236" s="47" t="s">
        <v>49</v>
      </c>
      <c r="E236" s="47" t="s">
        <v>675</v>
      </c>
      <c r="F236" s="47" t="s">
        <v>1197</v>
      </c>
      <c r="G236" s="130" t="s">
        <v>742</v>
      </c>
      <c r="H236" s="131"/>
      <c r="I236" s="132"/>
      <c r="J236" s="76"/>
      <c r="K236" s="81" t="s">
        <v>1349</v>
      </c>
      <c r="L236" s="47" t="s">
        <v>1350</v>
      </c>
      <c r="M236" s="133" t="s">
        <v>1351</v>
      </c>
      <c r="N236" s="134">
        <v>23.118522</v>
      </c>
      <c r="O236" s="134">
        <v>92.101733</v>
      </c>
      <c r="P236" s="81">
        <v>300</v>
      </c>
      <c r="Q236" s="47"/>
      <c r="R236" s="81"/>
      <c r="S236" s="81"/>
      <c r="T236" s="135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3"/>
      <c r="AH236" s="58"/>
      <c r="AI236" s="59"/>
      <c r="AJ236" s="57"/>
    </row>
    <row x14ac:dyDescent="0.25" r="237" customHeight="1" ht="18">
      <c r="A237" s="45">
        <v>231</v>
      </c>
      <c r="B237" s="46" t="s">
        <v>47</v>
      </c>
      <c r="C237" s="46" t="s">
        <v>48</v>
      </c>
      <c r="D237" s="47" t="s">
        <v>49</v>
      </c>
      <c r="E237" s="47" t="s">
        <v>675</v>
      </c>
      <c r="F237" s="47" t="s">
        <v>1197</v>
      </c>
      <c r="G237" s="130" t="s">
        <v>742</v>
      </c>
      <c r="H237" s="131"/>
      <c r="I237" s="132"/>
      <c r="J237" s="76"/>
      <c r="K237" s="81" t="s">
        <v>1352</v>
      </c>
      <c r="L237" s="47" t="s">
        <v>1353</v>
      </c>
      <c r="M237" s="133" t="s">
        <v>1354</v>
      </c>
      <c r="N237" s="134">
        <v>23.153127</v>
      </c>
      <c r="O237" s="134">
        <v>92.117596</v>
      </c>
      <c r="P237" s="81">
        <v>1800</v>
      </c>
      <c r="Q237" s="47"/>
      <c r="R237" s="81"/>
      <c r="S237" s="81"/>
      <c r="T237" s="135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3"/>
      <c r="AH237" s="58"/>
      <c r="AI237" s="59"/>
      <c r="AJ237" s="57"/>
    </row>
    <row x14ac:dyDescent="0.25" r="238" customHeight="1" ht="18">
      <c r="A238" s="45">
        <v>232</v>
      </c>
      <c r="B238" s="46" t="s">
        <v>47</v>
      </c>
      <c r="C238" s="46" t="s">
        <v>48</v>
      </c>
      <c r="D238" s="47" t="s">
        <v>49</v>
      </c>
      <c r="E238" s="47" t="s">
        <v>675</v>
      </c>
      <c r="F238" s="47" t="s">
        <v>1197</v>
      </c>
      <c r="G238" s="130" t="s">
        <v>742</v>
      </c>
      <c r="H238" s="131"/>
      <c r="I238" s="132"/>
      <c r="J238" s="76"/>
      <c r="K238" s="81" t="s">
        <v>369</v>
      </c>
      <c r="L238" s="47" t="s">
        <v>1355</v>
      </c>
      <c r="M238" s="133" t="s">
        <v>1356</v>
      </c>
      <c r="N238" s="134">
        <v>23.13644</v>
      </c>
      <c r="O238" s="134">
        <v>92.090723</v>
      </c>
      <c r="P238" s="81">
        <v>150</v>
      </c>
      <c r="Q238" s="47"/>
      <c r="R238" s="81"/>
      <c r="S238" s="81"/>
      <c r="T238" s="135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3"/>
      <c r="AH238" s="58"/>
      <c r="AI238" s="59"/>
      <c r="AJ238" s="57"/>
    </row>
    <row x14ac:dyDescent="0.25" r="239" customHeight="1" ht="18">
      <c r="A239" s="45">
        <v>233</v>
      </c>
      <c r="B239" s="46" t="s">
        <v>47</v>
      </c>
      <c r="C239" s="46" t="s">
        <v>48</v>
      </c>
      <c r="D239" s="47" t="s">
        <v>49</v>
      </c>
      <c r="E239" s="47" t="s">
        <v>675</v>
      </c>
      <c r="F239" s="47" t="s">
        <v>1197</v>
      </c>
      <c r="G239" s="130" t="s">
        <v>761</v>
      </c>
      <c r="H239" s="131"/>
      <c r="I239" s="132"/>
      <c r="J239" s="76"/>
      <c r="K239" s="81" t="s">
        <v>1357</v>
      </c>
      <c r="L239" s="47" t="s">
        <v>1358</v>
      </c>
      <c r="M239" s="133" t="s">
        <v>1359</v>
      </c>
      <c r="N239" s="134">
        <v>23.193725</v>
      </c>
      <c r="O239" s="134">
        <v>92.108185</v>
      </c>
      <c r="P239" s="81">
        <v>300</v>
      </c>
      <c r="Q239" s="47"/>
      <c r="R239" s="81"/>
      <c r="S239" s="81"/>
      <c r="T239" s="135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3"/>
      <c r="AH239" s="58"/>
      <c r="AI239" s="59"/>
      <c r="AJ239" s="57"/>
    </row>
    <row x14ac:dyDescent="0.25" r="240" customHeight="1" ht="18">
      <c r="A240" s="45">
        <v>234</v>
      </c>
      <c r="B240" s="46" t="s">
        <v>47</v>
      </c>
      <c r="C240" s="46" t="s">
        <v>48</v>
      </c>
      <c r="D240" s="47" t="s">
        <v>49</v>
      </c>
      <c r="E240" s="47" t="s">
        <v>675</v>
      </c>
      <c r="F240" s="47" t="s">
        <v>1197</v>
      </c>
      <c r="G240" s="130" t="s">
        <v>761</v>
      </c>
      <c r="H240" s="131"/>
      <c r="I240" s="132"/>
      <c r="J240" s="76"/>
      <c r="K240" s="81" t="s">
        <v>1360</v>
      </c>
      <c r="L240" s="47" t="s">
        <v>1361</v>
      </c>
      <c r="M240" s="133" t="s">
        <v>1362</v>
      </c>
      <c r="N240" s="134">
        <v>23.189573</v>
      </c>
      <c r="O240" s="134">
        <v>92.109166</v>
      </c>
      <c r="P240" s="81">
        <v>120</v>
      </c>
      <c r="Q240" s="47"/>
      <c r="R240" s="81"/>
      <c r="S240" s="81"/>
      <c r="T240" s="135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3"/>
      <c r="AH240" s="58"/>
      <c r="AI240" s="59"/>
      <c r="AJ240" s="57"/>
    </row>
    <row x14ac:dyDescent="0.25" r="241" customHeight="1" ht="18">
      <c r="A241" s="45">
        <v>235</v>
      </c>
      <c r="B241" s="46" t="s">
        <v>47</v>
      </c>
      <c r="C241" s="46" t="s">
        <v>48</v>
      </c>
      <c r="D241" s="47" t="s">
        <v>49</v>
      </c>
      <c r="E241" s="47" t="s">
        <v>675</v>
      </c>
      <c r="F241" s="47" t="s">
        <v>1197</v>
      </c>
      <c r="G241" s="130" t="s">
        <v>761</v>
      </c>
      <c r="H241" s="131"/>
      <c r="I241" s="132"/>
      <c r="J241" s="76"/>
      <c r="K241" s="81" t="s">
        <v>1363</v>
      </c>
      <c r="L241" s="47" t="s">
        <v>1364</v>
      </c>
      <c r="M241" s="133" t="s">
        <v>1365</v>
      </c>
      <c r="N241" s="134">
        <v>23.177748</v>
      </c>
      <c r="O241" s="134">
        <v>92.115749</v>
      </c>
      <c r="P241" s="81">
        <v>130</v>
      </c>
      <c r="Q241" s="47"/>
      <c r="R241" s="81"/>
      <c r="S241" s="81"/>
      <c r="T241" s="135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3"/>
      <c r="AH241" s="58"/>
      <c r="AI241" s="59"/>
      <c r="AJ241" s="57"/>
    </row>
    <row x14ac:dyDescent="0.25" r="242" customHeight="1" ht="18">
      <c r="A242" s="45">
        <v>236</v>
      </c>
      <c r="B242" s="46" t="s">
        <v>47</v>
      </c>
      <c r="C242" s="46" t="s">
        <v>48</v>
      </c>
      <c r="D242" s="47" t="s">
        <v>49</v>
      </c>
      <c r="E242" s="47" t="s">
        <v>675</v>
      </c>
      <c r="F242" s="47" t="s">
        <v>1197</v>
      </c>
      <c r="G242" s="130" t="s">
        <v>761</v>
      </c>
      <c r="H242" s="131"/>
      <c r="I242" s="132"/>
      <c r="J242" s="76"/>
      <c r="K242" s="81" t="s">
        <v>1366</v>
      </c>
      <c r="L242" s="47" t="s">
        <v>1367</v>
      </c>
      <c r="M242" s="133" t="s">
        <v>1368</v>
      </c>
      <c r="N242" s="134">
        <v>23.167997</v>
      </c>
      <c r="O242" s="134">
        <v>92.11663</v>
      </c>
      <c r="P242" s="81">
        <v>400</v>
      </c>
      <c r="Q242" s="47"/>
      <c r="R242" s="81"/>
      <c r="S242" s="81"/>
      <c r="T242" s="135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3"/>
      <c r="AH242" s="58"/>
      <c r="AI242" s="59"/>
      <c r="AJ242" s="57"/>
    </row>
    <row x14ac:dyDescent="0.25" r="243" customHeight="1" ht="18">
      <c r="A243" s="45">
        <v>237</v>
      </c>
      <c r="B243" s="46" t="s">
        <v>47</v>
      </c>
      <c r="C243" s="46" t="s">
        <v>48</v>
      </c>
      <c r="D243" s="47" t="s">
        <v>49</v>
      </c>
      <c r="E243" s="47" t="s">
        <v>675</v>
      </c>
      <c r="F243" s="47" t="s">
        <v>1197</v>
      </c>
      <c r="G243" s="130" t="s">
        <v>761</v>
      </c>
      <c r="H243" s="131"/>
      <c r="I243" s="132"/>
      <c r="J243" s="76"/>
      <c r="K243" s="81" t="s">
        <v>1369</v>
      </c>
      <c r="L243" s="47" t="s">
        <v>1370</v>
      </c>
      <c r="M243" s="133" t="s">
        <v>1371</v>
      </c>
      <c r="N243" s="134">
        <v>23.162338</v>
      </c>
      <c r="O243" s="134">
        <v>92.119542</v>
      </c>
      <c r="P243" s="81">
        <v>70</v>
      </c>
      <c r="Q243" s="47"/>
      <c r="R243" s="81"/>
      <c r="S243" s="81"/>
      <c r="T243" s="135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3"/>
      <c r="AH243" s="58"/>
      <c r="AI243" s="59"/>
      <c r="AJ243" s="57"/>
    </row>
    <row x14ac:dyDescent="0.25" r="244" customHeight="1" ht="18">
      <c r="A244" s="45">
        <v>238</v>
      </c>
      <c r="B244" s="46" t="s">
        <v>47</v>
      </c>
      <c r="C244" s="46" t="s">
        <v>48</v>
      </c>
      <c r="D244" s="47" t="s">
        <v>49</v>
      </c>
      <c r="E244" s="47" t="s">
        <v>675</v>
      </c>
      <c r="F244" s="47" t="s">
        <v>1197</v>
      </c>
      <c r="G244" s="130" t="s">
        <v>761</v>
      </c>
      <c r="H244" s="131"/>
      <c r="I244" s="132"/>
      <c r="J244" s="76"/>
      <c r="K244" s="81" t="s">
        <v>1372</v>
      </c>
      <c r="L244" s="47" t="s">
        <v>1373</v>
      </c>
      <c r="M244" s="133" t="s">
        <v>1374</v>
      </c>
      <c r="N244" s="134">
        <v>23.154156</v>
      </c>
      <c r="O244" s="134">
        <v>92.139559</v>
      </c>
      <c r="P244" s="81">
        <v>50</v>
      </c>
      <c r="Q244" s="47"/>
      <c r="R244" s="81"/>
      <c r="S244" s="81"/>
      <c r="T244" s="7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3"/>
      <c r="AH244" s="58"/>
      <c r="AI244" s="59"/>
      <c r="AJ244" s="57"/>
    </row>
    <row x14ac:dyDescent="0.25" r="245" customHeight="1" ht="18">
      <c r="A245" s="45">
        <v>239</v>
      </c>
      <c r="B245" s="46" t="s">
        <v>47</v>
      </c>
      <c r="C245" s="46" t="s">
        <v>48</v>
      </c>
      <c r="D245" s="47" t="s">
        <v>49</v>
      </c>
      <c r="E245" s="47" t="s">
        <v>675</v>
      </c>
      <c r="F245" s="47" t="s">
        <v>1197</v>
      </c>
      <c r="G245" s="130" t="s">
        <v>761</v>
      </c>
      <c r="H245" s="131"/>
      <c r="I245" s="132"/>
      <c r="J245" s="76"/>
      <c r="K245" s="81" t="s">
        <v>1375</v>
      </c>
      <c r="L245" s="47" t="s">
        <v>1376</v>
      </c>
      <c r="M245" s="133" t="s">
        <v>1377</v>
      </c>
      <c r="N245" s="134">
        <v>23.165601</v>
      </c>
      <c r="O245" s="134">
        <v>92.138939</v>
      </c>
      <c r="P245" s="81">
        <v>30</v>
      </c>
      <c r="Q245" s="47"/>
      <c r="R245" s="81"/>
      <c r="S245" s="81"/>
      <c r="T245" s="135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3"/>
      <c r="AH245" s="58"/>
      <c r="AI245" s="59"/>
      <c r="AJ245" s="57"/>
    </row>
    <row x14ac:dyDescent="0.25" r="246" customHeight="1" ht="18">
      <c r="A246" s="45">
        <v>240</v>
      </c>
      <c r="B246" s="46" t="s">
        <v>47</v>
      </c>
      <c r="C246" s="46" t="s">
        <v>48</v>
      </c>
      <c r="D246" s="47" t="s">
        <v>49</v>
      </c>
      <c r="E246" s="47" t="s">
        <v>675</v>
      </c>
      <c r="F246" s="47" t="s">
        <v>1197</v>
      </c>
      <c r="G246" s="130" t="s">
        <v>761</v>
      </c>
      <c r="H246" s="131"/>
      <c r="I246" s="132"/>
      <c r="J246" s="136"/>
      <c r="K246" s="81" t="s">
        <v>1378</v>
      </c>
      <c r="L246" s="47" t="s">
        <v>1379</v>
      </c>
      <c r="M246" s="133" t="s">
        <v>1380</v>
      </c>
      <c r="N246" s="134">
        <v>23.153604</v>
      </c>
      <c r="O246" s="134">
        <v>92.142743</v>
      </c>
      <c r="P246" s="81">
        <v>130</v>
      </c>
      <c r="Q246" s="47"/>
      <c r="R246" s="81"/>
      <c r="S246" s="81"/>
      <c r="T246" s="135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3"/>
      <c r="AH246" s="58"/>
      <c r="AI246" s="59"/>
      <c r="AJ246" s="57"/>
    </row>
    <row x14ac:dyDescent="0.25" r="247" customHeight="1" ht="18">
      <c r="A247" s="45">
        <v>241</v>
      </c>
      <c r="B247" s="46" t="s">
        <v>47</v>
      </c>
      <c r="C247" s="46" t="s">
        <v>48</v>
      </c>
      <c r="D247" s="47" t="s">
        <v>49</v>
      </c>
      <c r="E247" s="47" t="s">
        <v>675</v>
      </c>
      <c r="F247" s="47" t="s">
        <v>1197</v>
      </c>
      <c r="G247" s="130" t="s">
        <v>761</v>
      </c>
      <c r="H247" s="131"/>
      <c r="I247" s="132"/>
      <c r="J247" s="76"/>
      <c r="K247" s="81" t="s">
        <v>1381</v>
      </c>
      <c r="L247" s="47" t="s">
        <v>1382</v>
      </c>
      <c r="M247" s="133" t="s">
        <v>1383</v>
      </c>
      <c r="N247" s="134">
        <v>23.175234</v>
      </c>
      <c r="O247" s="134">
        <v>92.135901</v>
      </c>
      <c r="P247" s="81">
        <v>150</v>
      </c>
      <c r="Q247" s="47"/>
      <c r="R247" s="81"/>
      <c r="S247" s="81"/>
      <c r="T247" s="135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3"/>
      <c r="AH247" s="58"/>
      <c r="AI247" s="59"/>
      <c r="AJ247" s="57"/>
    </row>
    <row x14ac:dyDescent="0.25" r="248" customHeight="1" ht="18">
      <c r="A248" s="45">
        <v>242</v>
      </c>
      <c r="B248" s="46" t="s">
        <v>47</v>
      </c>
      <c r="C248" s="46" t="s">
        <v>48</v>
      </c>
      <c r="D248" s="47" t="s">
        <v>49</v>
      </c>
      <c r="E248" s="47" t="s">
        <v>675</v>
      </c>
      <c r="F248" s="47" t="s">
        <v>1197</v>
      </c>
      <c r="G248" s="130" t="s">
        <v>761</v>
      </c>
      <c r="H248" s="131"/>
      <c r="I248" s="132"/>
      <c r="J248" s="76"/>
      <c r="K248" s="81" t="s">
        <v>1384</v>
      </c>
      <c r="L248" s="47" t="s">
        <v>1385</v>
      </c>
      <c r="M248" s="133" t="s">
        <v>1386</v>
      </c>
      <c r="N248" s="134">
        <v>23.157383</v>
      </c>
      <c r="O248" s="134">
        <v>92.128583</v>
      </c>
      <c r="P248" s="81">
        <v>350</v>
      </c>
      <c r="Q248" s="47"/>
      <c r="R248" s="81"/>
      <c r="S248" s="81"/>
      <c r="T248" s="135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3"/>
      <c r="AH248" s="58"/>
      <c r="AI248" s="59"/>
      <c r="AJ248" s="57"/>
    </row>
    <row x14ac:dyDescent="0.25" r="249" customHeight="1" ht="18">
      <c r="A249" s="45">
        <v>243</v>
      </c>
      <c r="B249" s="46" t="s">
        <v>47</v>
      </c>
      <c r="C249" s="46" t="s">
        <v>48</v>
      </c>
      <c r="D249" s="47" t="s">
        <v>49</v>
      </c>
      <c r="E249" s="47" t="s">
        <v>675</v>
      </c>
      <c r="F249" s="47" t="s">
        <v>1197</v>
      </c>
      <c r="G249" s="130" t="s">
        <v>761</v>
      </c>
      <c r="H249" s="131"/>
      <c r="I249" s="132"/>
      <c r="J249" s="76"/>
      <c r="K249" s="81" t="s">
        <v>1387</v>
      </c>
      <c r="L249" s="47" t="s">
        <v>1388</v>
      </c>
      <c r="M249" s="133" t="s">
        <v>1389</v>
      </c>
      <c r="N249" s="134">
        <v>23.165758</v>
      </c>
      <c r="O249" s="134">
        <v>92.152859</v>
      </c>
      <c r="P249" s="81">
        <v>80</v>
      </c>
      <c r="Q249" s="47"/>
      <c r="R249" s="81"/>
      <c r="S249" s="81"/>
      <c r="T249" s="135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3"/>
      <c r="AH249" s="58"/>
      <c r="AI249" s="59"/>
      <c r="AJ249" s="57"/>
    </row>
    <row x14ac:dyDescent="0.25" r="250" customHeight="1" ht="18">
      <c r="A250" s="45">
        <v>244</v>
      </c>
      <c r="B250" s="46" t="s">
        <v>47</v>
      </c>
      <c r="C250" s="46" t="s">
        <v>48</v>
      </c>
      <c r="D250" s="47" t="s">
        <v>49</v>
      </c>
      <c r="E250" s="47" t="s">
        <v>675</v>
      </c>
      <c r="F250" s="47" t="s">
        <v>1197</v>
      </c>
      <c r="G250" s="130" t="s">
        <v>781</v>
      </c>
      <c r="H250" s="131"/>
      <c r="I250" s="132"/>
      <c r="J250" s="76"/>
      <c r="K250" s="81" t="s">
        <v>1390</v>
      </c>
      <c r="L250" s="47" t="s">
        <v>1391</v>
      </c>
      <c r="M250" s="133" t="s">
        <v>1392</v>
      </c>
      <c r="N250" s="134">
        <v>23.131737</v>
      </c>
      <c r="O250" s="134">
        <v>92.129546</v>
      </c>
      <c r="P250" s="81">
        <v>1200</v>
      </c>
      <c r="Q250" s="47"/>
      <c r="R250" s="81"/>
      <c r="S250" s="81"/>
      <c r="T250" s="135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3"/>
      <c r="AH250" s="58"/>
      <c r="AI250" s="59"/>
      <c r="AJ250" s="57"/>
    </row>
    <row x14ac:dyDescent="0.25" r="251" customHeight="1" ht="18">
      <c r="A251" s="45">
        <v>245</v>
      </c>
      <c r="B251" s="46" t="s">
        <v>47</v>
      </c>
      <c r="C251" s="46" t="s">
        <v>48</v>
      </c>
      <c r="D251" s="47" t="s">
        <v>49</v>
      </c>
      <c r="E251" s="47" t="s">
        <v>675</v>
      </c>
      <c r="F251" s="47" t="s">
        <v>1197</v>
      </c>
      <c r="G251" s="130" t="s">
        <v>781</v>
      </c>
      <c r="H251" s="131"/>
      <c r="I251" s="132"/>
      <c r="J251" s="57"/>
      <c r="K251" s="81" t="s">
        <v>1393</v>
      </c>
      <c r="L251" s="47" t="s">
        <v>1394</v>
      </c>
      <c r="M251" s="133" t="s">
        <v>1395</v>
      </c>
      <c r="N251" s="134">
        <v>23.110602</v>
      </c>
      <c r="O251" s="134">
        <v>92.137176</v>
      </c>
      <c r="P251" s="81">
        <v>120</v>
      </c>
      <c r="Q251" s="47"/>
      <c r="R251" s="81"/>
      <c r="S251" s="81"/>
      <c r="T251" s="135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3"/>
      <c r="AH251" s="58"/>
      <c r="AI251" s="59"/>
      <c r="AJ251" s="57"/>
    </row>
    <row x14ac:dyDescent="0.25" r="252" customHeight="1" ht="18">
      <c r="A252" s="45">
        <v>246</v>
      </c>
      <c r="B252" s="46" t="s">
        <v>47</v>
      </c>
      <c r="C252" s="46" t="s">
        <v>48</v>
      </c>
      <c r="D252" s="47" t="s">
        <v>49</v>
      </c>
      <c r="E252" s="47" t="s">
        <v>675</v>
      </c>
      <c r="F252" s="47" t="s">
        <v>1197</v>
      </c>
      <c r="G252" s="130" t="s">
        <v>781</v>
      </c>
      <c r="H252" s="131"/>
      <c r="I252" s="132"/>
      <c r="J252" s="76"/>
      <c r="K252" s="81" t="s">
        <v>1396</v>
      </c>
      <c r="L252" s="47" t="s">
        <v>1397</v>
      </c>
      <c r="M252" s="133" t="s">
        <v>1398</v>
      </c>
      <c r="N252" s="134">
        <v>23.115306</v>
      </c>
      <c r="O252" s="134">
        <v>92.123276</v>
      </c>
      <c r="P252" s="81">
        <v>70</v>
      </c>
      <c r="Q252" s="47"/>
      <c r="R252" s="81"/>
      <c r="S252" s="81"/>
      <c r="T252" s="135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3"/>
      <c r="AH252" s="58"/>
      <c r="AI252" s="59"/>
      <c r="AJ252" s="57"/>
    </row>
    <row x14ac:dyDescent="0.25" r="253" customHeight="1" ht="18">
      <c r="A253" s="45">
        <v>247</v>
      </c>
      <c r="B253" s="46" t="s">
        <v>47</v>
      </c>
      <c r="C253" s="46" t="s">
        <v>48</v>
      </c>
      <c r="D253" s="47" t="s">
        <v>49</v>
      </c>
      <c r="E253" s="47" t="s">
        <v>675</v>
      </c>
      <c r="F253" s="47" t="s">
        <v>1197</v>
      </c>
      <c r="G253" s="130" t="s">
        <v>781</v>
      </c>
      <c r="H253" s="131"/>
      <c r="I253" s="132"/>
      <c r="J253" s="76"/>
      <c r="K253" s="81" t="s">
        <v>1399</v>
      </c>
      <c r="L253" s="47" t="s">
        <v>1400</v>
      </c>
      <c r="M253" s="133" t="s">
        <v>1401</v>
      </c>
      <c r="N253" s="134">
        <v>23.092888</v>
      </c>
      <c r="O253" s="134">
        <v>92.143342</v>
      </c>
      <c r="P253" s="81">
        <v>130</v>
      </c>
      <c r="Q253" s="47"/>
      <c r="R253" s="81"/>
      <c r="S253" s="81"/>
      <c r="T253" s="135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3"/>
      <c r="AH253" s="58"/>
      <c r="AI253" s="59"/>
      <c r="AJ253" s="57"/>
    </row>
    <row x14ac:dyDescent="0.25" r="254" customHeight="1" ht="18">
      <c r="A254" s="45">
        <v>248</v>
      </c>
      <c r="B254" s="46" t="s">
        <v>47</v>
      </c>
      <c r="C254" s="46" t="s">
        <v>48</v>
      </c>
      <c r="D254" s="47" t="s">
        <v>49</v>
      </c>
      <c r="E254" s="47" t="s">
        <v>675</v>
      </c>
      <c r="F254" s="47" t="s">
        <v>1197</v>
      </c>
      <c r="G254" s="130" t="s">
        <v>781</v>
      </c>
      <c r="H254" s="131"/>
      <c r="I254" s="132"/>
      <c r="J254" s="76"/>
      <c r="K254" s="81" t="s">
        <v>1402</v>
      </c>
      <c r="L254" s="47" t="s">
        <v>1403</v>
      </c>
      <c r="M254" s="133" t="s">
        <v>1404</v>
      </c>
      <c r="N254" s="134">
        <v>23.087672</v>
      </c>
      <c r="O254" s="134">
        <v>92.14594</v>
      </c>
      <c r="P254" s="81">
        <v>300</v>
      </c>
      <c r="Q254" s="47"/>
      <c r="R254" s="81"/>
      <c r="S254" s="81"/>
      <c r="T254" s="135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3"/>
      <c r="AH254" s="58"/>
      <c r="AI254" s="59"/>
      <c r="AJ254" s="57"/>
    </row>
    <row x14ac:dyDescent="0.25" r="255" customHeight="1" ht="18">
      <c r="A255" s="45">
        <v>249</v>
      </c>
      <c r="B255" s="46" t="s">
        <v>47</v>
      </c>
      <c r="C255" s="46" t="s">
        <v>48</v>
      </c>
      <c r="D255" s="47" t="s">
        <v>49</v>
      </c>
      <c r="E255" s="47" t="s">
        <v>675</v>
      </c>
      <c r="F255" s="47" t="s">
        <v>1197</v>
      </c>
      <c r="G255" s="130" t="s">
        <v>781</v>
      </c>
      <c r="H255" s="131"/>
      <c r="I255" s="132"/>
      <c r="J255" s="76"/>
      <c r="K255" s="81" t="s">
        <v>1405</v>
      </c>
      <c r="L255" s="47" t="s">
        <v>1406</v>
      </c>
      <c r="M255" s="133" t="s">
        <v>1407</v>
      </c>
      <c r="N255" s="134">
        <v>23.077123</v>
      </c>
      <c r="O255" s="134">
        <v>92.146869</v>
      </c>
      <c r="P255" s="81">
        <v>250</v>
      </c>
      <c r="Q255" s="47"/>
      <c r="R255" s="81"/>
      <c r="S255" s="81"/>
      <c r="T255" s="135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3"/>
      <c r="AH255" s="58"/>
      <c r="AI255" s="59"/>
      <c r="AJ255" s="57"/>
    </row>
    <row x14ac:dyDescent="0.25" r="256" customHeight="1" ht="18">
      <c r="A256" s="45">
        <v>250</v>
      </c>
      <c r="B256" s="46" t="s">
        <v>47</v>
      </c>
      <c r="C256" s="46" t="s">
        <v>48</v>
      </c>
      <c r="D256" s="47" t="s">
        <v>49</v>
      </c>
      <c r="E256" s="47" t="s">
        <v>675</v>
      </c>
      <c r="F256" s="47" t="s">
        <v>1197</v>
      </c>
      <c r="G256" s="130" t="s">
        <v>781</v>
      </c>
      <c r="H256" s="131"/>
      <c r="I256" s="132"/>
      <c r="J256" s="76"/>
      <c r="K256" s="81" t="s">
        <v>1408</v>
      </c>
      <c r="L256" s="47" t="s">
        <v>1409</v>
      </c>
      <c r="M256" s="133" t="s">
        <v>1410</v>
      </c>
      <c r="N256" s="134">
        <v>23.12278</v>
      </c>
      <c r="O256" s="134">
        <v>92.120443</v>
      </c>
      <c r="P256" s="81">
        <v>120</v>
      </c>
      <c r="Q256" s="47"/>
      <c r="R256" s="81"/>
      <c r="S256" s="81"/>
      <c r="T256" s="135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3"/>
      <c r="AH256" s="58"/>
      <c r="AI256" s="59"/>
      <c r="AJ256" s="57"/>
    </row>
    <row x14ac:dyDescent="0.25" r="257" customHeight="1" ht="18">
      <c r="A257" s="45">
        <v>251</v>
      </c>
      <c r="B257" s="46" t="s">
        <v>47</v>
      </c>
      <c r="C257" s="46" t="s">
        <v>48</v>
      </c>
      <c r="D257" s="47" t="s">
        <v>49</v>
      </c>
      <c r="E257" s="47" t="s">
        <v>675</v>
      </c>
      <c r="F257" s="47" t="s">
        <v>1197</v>
      </c>
      <c r="G257" s="130" t="s">
        <v>781</v>
      </c>
      <c r="H257" s="131"/>
      <c r="I257" s="132"/>
      <c r="J257" s="76"/>
      <c r="K257" s="81" t="s">
        <v>1411</v>
      </c>
      <c r="L257" s="47" t="s">
        <v>1412</v>
      </c>
      <c r="M257" s="133" t="s">
        <v>1413</v>
      </c>
      <c r="N257" s="134">
        <v>23.128107</v>
      </c>
      <c r="O257" s="134">
        <v>92.111566</v>
      </c>
      <c r="P257" s="81">
        <v>3500</v>
      </c>
      <c r="Q257" s="47"/>
      <c r="R257" s="81"/>
      <c r="S257" s="81"/>
      <c r="T257" s="135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3"/>
      <c r="AH257" s="58"/>
      <c r="AI257" s="59"/>
      <c r="AJ257" s="57"/>
    </row>
    <row x14ac:dyDescent="0.25" r="258" customHeight="1" ht="18">
      <c r="A258" s="45">
        <v>252</v>
      </c>
      <c r="B258" s="46" t="s">
        <v>47</v>
      </c>
      <c r="C258" s="46" t="s">
        <v>48</v>
      </c>
      <c r="D258" s="47" t="s">
        <v>49</v>
      </c>
      <c r="E258" s="47" t="s">
        <v>675</v>
      </c>
      <c r="F258" s="47" t="s">
        <v>1197</v>
      </c>
      <c r="G258" s="130" t="s">
        <v>781</v>
      </c>
      <c r="H258" s="131"/>
      <c r="I258" s="132"/>
      <c r="J258" s="76"/>
      <c r="K258" s="81" t="s">
        <v>1414</v>
      </c>
      <c r="L258" s="47" t="s">
        <v>1415</v>
      </c>
      <c r="M258" s="133" t="s">
        <v>1416</v>
      </c>
      <c r="N258" s="134">
        <v>23.118794</v>
      </c>
      <c r="O258" s="134">
        <v>92.112153</v>
      </c>
      <c r="P258" s="81">
        <v>220</v>
      </c>
      <c r="Q258" s="47"/>
      <c r="R258" s="81"/>
      <c r="S258" s="81"/>
      <c r="T258" s="135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3"/>
      <c r="AH258" s="58"/>
      <c r="AI258" s="59"/>
      <c r="AJ258" s="57"/>
    </row>
    <row x14ac:dyDescent="0.25" r="259" customHeight="1" ht="18">
      <c r="A259" s="45">
        <v>253</v>
      </c>
      <c r="B259" s="46" t="s">
        <v>47</v>
      </c>
      <c r="C259" s="46" t="s">
        <v>48</v>
      </c>
      <c r="D259" s="47" t="s">
        <v>49</v>
      </c>
      <c r="E259" s="47" t="s">
        <v>675</v>
      </c>
      <c r="F259" s="47" t="s">
        <v>1197</v>
      </c>
      <c r="G259" s="130" t="s">
        <v>781</v>
      </c>
      <c r="H259" s="131"/>
      <c r="I259" s="132"/>
      <c r="J259" s="76"/>
      <c r="K259" s="81" t="s">
        <v>1417</v>
      </c>
      <c r="L259" s="47" t="s">
        <v>1418</v>
      </c>
      <c r="M259" s="133" t="s">
        <v>1419</v>
      </c>
      <c r="N259" s="134">
        <v>23.100957</v>
      </c>
      <c r="O259" s="134">
        <v>92.11288</v>
      </c>
      <c r="P259" s="81">
        <v>220</v>
      </c>
      <c r="Q259" s="47"/>
      <c r="R259" s="81"/>
      <c r="S259" s="81"/>
      <c r="T259" s="7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3"/>
      <c r="AH259" s="58"/>
      <c r="AI259" s="59"/>
      <c r="AJ259" s="57"/>
    </row>
    <row x14ac:dyDescent="0.25" r="260" customHeight="1" ht="18">
      <c r="A260" s="45">
        <v>254</v>
      </c>
      <c r="B260" s="46" t="s">
        <v>47</v>
      </c>
      <c r="C260" s="46" t="s">
        <v>48</v>
      </c>
      <c r="D260" s="47" t="s">
        <v>49</v>
      </c>
      <c r="E260" s="47" t="s">
        <v>675</v>
      </c>
      <c r="F260" s="47" t="s">
        <v>1197</v>
      </c>
      <c r="G260" s="130" t="s">
        <v>781</v>
      </c>
      <c r="H260" s="131"/>
      <c r="I260" s="132"/>
      <c r="J260" s="76"/>
      <c r="K260" s="81" t="s">
        <v>1420</v>
      </c>
      <c r="L260" s="47" t="s">
        <v>1421</v>
      </c>
      <c r="M260" s="133" t="s">
        <v>1422</v>
      </c>
      <c r="N260" s="134">
        <v>23.099906</v>
      </c>
      <c r="O260" s="134">
        <v>92.099709</v>
      </c>
      <c r="P260" s="81">
        <v>280</v>
      </c>
      <c r="Q260" s="47"/>
      <c r="R260" s="81"/>
      <c r="S260" s="81"/>
      <c r="T260" s="135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3"/>
      <c r="AH260" s="58"/>
      <c r="AI260" s="59"/>
      <c r="AJ260" s="57"/>
    </row>
    <row x14ac:dyDescent="0.25" r="261" customHeight="1" ht="18">
      <c r="A261" s="45">
        <v>255</v>
      </c>
      <c r="B261" s="46" t="s">
        <v>47</v>
      </c>
      <c r="C261" s="46" t="s">
        <v>48</v>
      </c>
      <c r="D261" s="47" t="s">
        <v>49</v>
      </c>
      <c r="E261" s="47" t="s">
        <v>675</v>
      </c>
      <c r="F261" s="47" t="s">
        <v>1197</v>
      </c>
      <c r="G261" s="130" t="s">
        <v>781</v>
      </c>
      <c r="H261" s="131"/>
      <c r="I261" s="132"/>
      <c r="J261" s="76"/>
      <c r="K261" s="81" t="s">
        <v>1423</v>
      </c>
      <c r="L261" s="47" t="s">
        <v>1424</v>
      </c>
      <c r="M261" s="133" t="s">
        <v>1425</v>
      </c>
      <c r="N261" s="134">
        <v>23.108691</v>
      </c>
      <c r="O261" s="134">
        <v>92.084515</v>
      </c>
      <c r="P261" s="81">
        <v>150</v>
      </c>
      <c r="Q261" s="47"/>
      <c r="R261" s="81"/>
      <c r="S261" s="81"/>
      <c r="T261" s="135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3"/>
      <c r="AH261" s="58"/>
      <c r="AI261" s="59"/>
      <c r="AJ261" s="57"/>
    </row>
    <row x14ac:dyDescent="0.25" r="262" customHeight="1" ht="18">
      <c r="A262" s="45">
        <v>256</v>
      </c>
      <c r="B262" s="46" t="s">
        <v>47</v>
      </c>
      <c r="C262" s="46" t="s">
        <v>48</v>
      </c>
      <c r="D262" s="47" t="s">
        <v>49</v>
      </c>
      <c r="E262" s="47" t="s">
        <v>675</v>
      </c>
      <c r="F262" s="47" t="s">
        <v>1197</v>
      </c>
      <c r="G262" s="130" t="s">
        <v>781</v>
      </c>
      <c r="H262" s="131"/>
      <c r="I262" s="132"/>
      <c r="J262" s="76"/>
      <c r="K262" s="81" t="s">
        <v>1426</v>
      </c>
      <c r="L262" s="47" t="s">
        <v>1427</v>
      </c>
      <c r="M262" s="133" t="s">
        <v>1428</v>
      </c>
      <c r="N262" s="134">
        <v>23.114307</v>
      </c>
      <c r="O262" s="134">
        <v>92.071198</v>
      </c>
      <c r="P262" s="81">
        <v>70</v>
      </c>
      <c r="Q262" s="47"/>
      <c r="R262" s="81"/>
      <c r="S262" s="81"/>
      <c r="T262" s="135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3"/>
      <c r="AH262" s="58"/>
      <c r="AI262" s="59"/>
      <c r="AJ262" s="57"/>
    </row>
    <row x14ac:dyDescent="0.25" r="263" customHeight="1" ht="18">
      <c r="A263" s="45">
        <v>257</v>
      </c>
      <c r="B263" s="46" t="s">
        <v>47</v>
      </c>
      <c r="C263" s="46" t="s">
        <v>48</v>
      </c>
      <c r="D263" s="47" t="s">
        <v>49</v>
      </c>
      <c r="E263" s="47" t="s">
        <v>675</v>
      </c>
      <c r="F263" s="47" t="s">
        <v>1197</v>
      </c>
      <c r="G263" s="130" t="s">
        <v>781</v>
      </c>
      <c r="H263" s="131"/>
      <c r="I263" s="132"/>
      <c r="J263" s="76"/>
      <c r="K263" s="81" t="s">
        <v>1429</v>
      </c>
      <c r="L263" s="47" t="s">
        <v>1430</v>
      </c>
      <c r="M263" s="133" t="s">
        <v>1431</v>
      </c>
      <c r="N263" s="134">
        <v>23.109118</v>
      </c>
      <c r="O263" s="134">
        <v>92.065696</v>
      </c>
      <c r="P263" s="81">
        <v>180</v>
      </c>
      <c r="Q263" s="47"/>
      <c r="R263" s="81"/>
      <c r="S263" s="81"/>
      <c r="T263" s="135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3"/>
      <c r="AH263" s="58"/>
      <c r="AI263" s="59"/>
      <c r="AJ263" s="57"/>
    </row>
    <row x14ac:dyDescent="0.25" r="264" customHeight="1" ht="18">
      <c r="A264" s="45">
        <v>258</v>
      </c>
      <c r="B264" s="46" t="s">
        <v>47</v>
      </c>
      <c r="C264" s="46" t="s">
        <v>48</v>
      </c>
      <c r="D264" s="47" t="s">
        <v>49</v>
      </c>
      <c r="E264" s="47" t="s">
        <v>675</v>
      </c>
      <c r="F264" s="47" t="s">
        <v>1197</v>
      </c>
      <c r="G264" s="130" t="s">
        <v>781</v>
      </c>
      <c r="H264" s="131"/>
      <c r="I264" s="132"/>
      <c r="J264" s="76"/>
      <c r="K264" s="81" t="s">
        <v>1432</v>
      </c>
      <c r="L264" s="47" t="s">
        <v>1433</v>
      </c>
      <c r="M264" s="133" t="s">
        <v>1434</v>
      </c>
      <c r="N264" s="134">
        <v>23.128599</v>
      </c>
      <c r="O264" s="134">
        <v>92.118251</v>
      </c>
      <c r="P264" s="81">
        <v>120</v>
      </c>
      <c r="Q264" s="47"/>
      <c r="R264" s="81"/>
      <c r="S264" s="81"/>
      <c r="T264" s="135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3"/>
      <c r="AH264" s="58"/>
      <c r="AI264" s="59"/>
      <c r="AJ264" s="57"/>
    </row>
    <row x14ac:dyDescent="0.25" r="265" customHeight="1" ht="18">
      <c r="A265" s="45">
        <v>259</v>
      </c>
      <c r="B265" s="46" t="s">
        <v>47</v>
      </c>
      <c r="C265" s="46" t="s">
        <v>48</v>
      </c>
      <c r="D265" s="47" t="s">
        <v>49</v>
      </c>
      <c r="E265" s="47" t="s">
        <v>675</v>
      </c>
      <c r="F265" s="47" t="s">
        <v>1197</v>
      </c>
      <c r="G265" s="130" t="s">
        <v>797</v>
      </c>
      <c r="H265" s="131"/>
      <c r="I265" s="132"/>
      <c r="J265" s="76"/>
      <c r="K265" s="81" t="s">
        <v>1435</v>
      </c>
      <c r="L265" s="47" t="s">
        <v>1436</v>
      </c>
      <c r="M265" s="133" t="s">
        <v>1437</v>
      </c>
      <c r="N265" s="134">
        <v>23.110747</v>
      </c>
      <c r="O265" s="134">
        <v>92.121088</v>
      </c>
      <c r="P265" s="81">
        <v>127</v>
      </c>
      <c r="Q265" s="47"/>
      <c r="R265" s="81"/>
      <c r="S265" s="81"/>
      <c r="T265" s="135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3"/>
      <c r="AH265" s="58"/>
      <c r="AI265" s="59"/>
      <c r="AJ265" s="57"/>
    </row>
    <row x14ac:dyDescent="0.25" r="266" customHeight="1" ht="18">
      <c r="A266" s="45">
        <v>260</v>
      </c>
      <c r="B266" s="46" t="s">
        <v>47</v>
      </c>
      <c r="C266" s="46" t="s">
        <v>48</v>
      </c>
      <c r="D266" s="47" t="s">
        <v>49</v>
      </c>
      <c r="E266" s="47" t="s">
        <v>675</v>
      </c>
      <c r="F266" s="47" t="s">
        <v>1197</v>
      </c>
      <c r="G266" s="130" t="s">
        <v>797</v>
      </c>
      <c r="H266" s="131"/>
      <c r="I266" s="132"/>
      <c r="J266" s="57"/>
      <c r="K266" s="81" t="s">
        <v>404</v>
      </c>
      <c r="L266" s="47" t="s">
        <v>1438</v>
      </c>
      <c r="M266" s="133" t="s">
        <v>1439</v>
      </c>
      <c r="N266" s="134">
        <v>23.097616</v>
      </c>
      <c r="O266" s="134">
        <v>92.129283</v>
      </c>
      <c r="P266" s="81">
        <v>300</v>
      </c>
      <c r="Q266" s="47"/>
      <c r="R266" s="81"/>
      <c r="S266" s="81"/>
      <c r="T266" s="135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3"/>
      <c r="AH266" s="58"/>
      <c r="AI266" s="59"/>
      <c r="AJ266" s="57"/>
    </row>
    <row x14ac:dyDescent="0.25" r="267" customHeight="1" ht="18">
      <c r="A267" s="45">
        <v>261</v>
      </c>
      <c r="B267" s="46" t="s">
        <v>47</v>
      </c>
      <c r="C267" s="46" t="s">
        <v>48</v>
      </c>
      <c r="D267" s="47" t="s">
        <v>49</v>
      </c>
      <c r="E267" s="47" t="s">
        <v>675</v>
      </c>
      <c r="F267" s="47" t="s">
        <v>1197</v>
      </c>
      <c r="G267" s="130" t="s">
        <v>797</v>
      </c>
      <c r="H267" s="131"/>
      <c r="I267" s="132"/>
      <c r="J267" s="57"/>
      <c r="K267" s="81" t="s">
        <v>1440</v>
      </c>
      <c r="L267" s="47" t="s">
        <v>1441</v>
      </c>
      <c r="M267" s="133" t="s">
        <v>1442</v>
      </c>
      <c r="N267" s="134">
        <v>23.092291</v>
      </c>
      <c r="O267" s="134">
        <v>92.119902</v>
      </c>
      <c r="P267" s="81">
        <v>350</v>
      </c>
      <c r="Q267" s="47"/>
      <c r="R267" s="81"/>
      <c r="S267" s="81"/>
      <c r="T267" s="135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3"/>
      <c r="AH267" s="58"/>
      <c r="AI267" s="59"/>
      <c r="AJ267" s="57"/>
    </row>
    <row x14ac:dyDescent="0.25" r="268" customHeight="1" ht="18">
      <c r="A268" s="45">
        <v>262</v>
      </c>
      <c r="B268" s="46" t="s">
        <v>47</v>
      </c>
      <c r="C268" s="46" t="s">
        <v>48</v>
      </c>
      <c r="D268" s="47" t="s">
        <v>49</v>
      </c>
      <c r="E268" s="47" t="s">
        <v>675</v>
      </c>
      <c r="F268" s="47" t="s">
        <v>1197</v>
      </c>
      <c r="G268" s="130" t="s">
        <v>797</v>
      </c>
      <c r="H268" s="131"/>
      <c r="I268" s="132"/>
      <c r="J268" s="57"/>
      <c r="K268" s="81" t="s">
        <v>1443</v>
      </c>
      <c r="L268" s="47" t="s">
        <v>1444</v>
      </c>
      <c r="M268" s="133" t="s">
        <v>1445</v>
      </c>
      <c r="N268" s="134">
        <v>23.078567</v>
      </c>
      <c r="O268" s="134">
        <v>92.135273</v>
      </c>
      <c r="P268" s="81">
        <v>380</v>
      </c>
      <c r="Q268" s="47"/>
      <c r="R268" s="81"/>
      <c r="S268" s="81"/>
      <c r="T268" s="7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3"/>
      <c r="AH268" s="58"/>
      <c r="AI268" s="59"/>
      <c r="AJ268" s="57"/>
    </row>
    <row x14ac:dyDescent="0.25" r="269" customHeight="1" ht="18">
      <c r="A269" s="45">
        <v>263</v>
      </c>
      <c r="B269" s="46" t="s">
        <v>47</v>
      </c>
      <c r="C269" s="46" t="s">
        <v>48</v>
      </c>
      <c r="D269" s="47" t="s">
        <v>49</v>
      </c>
      <c r="E269" s="47" t="s">
        <v>675</v>
      </c>
      <c r="F269" s="47" t="s">
        <v>1197</v>
      </c>
      <c r="G269" s="130" t="s">
        <v>797</v>
      </c>
      <c r="H269" s="131"/>
      <c r="I269" s="132"/>
      <c r="J269" s="57"/>
      <c r="K269" s="81" t="s">
        <v>1446</v>
      </c>
      <c r="L269" s="47" t="s">
        <v>1447</v>
      </c>
      <c r="M269" s="133" t="s">
        <v>1448</v>
      </c>
      <c r="N269" s="134">
        <v>23.072489</v>
      </c>
      <c r="O269" s="134">
        <v>92.126154</v>
      </c>
      <c r="P269" s="81">
        <v>300</v>
      </c>
      <c r="Q269" s="47"/>
      <c r="R269" s="81"/>
      <c r="S269" s="81"/>
      <c r="T269" s="135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3"/>
      <c r="AH269" s="58"/>
      <c r="AI269" s="59"/>
      <c r="AJ269" s="57"/>
    </row>
    <row x14ac:dyDescent="0.25" r="270" customHeight="1" ht="18">
      <c r="A270" s="45">
        <v>264</v>
      </c>
      <c r="B270" s="46" t="s">
        <v>47</v>
      </c>
      <c r="C270" s="46" t="s">
        <v>48</v>
      </c>
      <c r="D270" s="47" t="s">
        <v>49</v>
      </c>
      <c r="E270" s="47" t="s">
        <v>675</v>
      </c>
      <c r="F270" s="47" t="s">
        <v>1197</v>
      </c>
      <c r="G270" s="130" t="s">
        <v>797</v>
      </c>
      <c r="H270" s="131"/>
      <c r="I270" s="132"/>
      <c r="J270" s="57"/>
      <c r="K270" s="81" t="s">
        <v>1449</v>
      </c>
      <c r="L270" s="47" t="s">
        <v>1450</v>
      </c>
      <c r="M270" s="133" t="s">
        <v>1451</v>
      </c>
      <c r="N270" s="134">
        <v>23.060328</v>
      </c>
      <c r="O270" s="134">
        <v>92.140175</v>
      </c>
      <c r="P270" s="81">
        <v>250</v>
      </c>
      <c r="Q270" s="47"/>
      <c r="R270" s="81"/>
      <c r="S270" s="81"/>
      <c r="T270" s="135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3"/>
      <c r="AH270" s="58"/>
      <c r="AI270" s="59"/>
      <c r="AJ270" s="57"/>
    </row>
    <row x14ac:dyDescent="0.25" r="271" customHeight="1" ht="18">
      <c r="A271" s="45">
        <v>265</v>
      </c>
      <c r="B271" s="46" t="s">
        <v>47</v>
      </c>
      <c r="C271" s="46" t="s">
        <v>48</v>
      </c>
      <c r="D271" s="47" t="s">
        <v>49</v>
      </c>
      <c r="E271" s="47" t="s">
        <v>675</v>
      </c>
      <c r="F271" s="47" t="s">
        <v>1197</v>
      </c>
      <c r="G271" s="130" t="s">
        <v>797</v>
      </c>
      <c r="H271" s="131"/>
      <c r="I271" s="132"/>
      <c r="J271" s="57"/>
      <c r="K271" s="81" t="s">
        <v>1452</v>
      </c>
      <c r="L271" s="47" t="s">
        <v>1453</v>
      </c>
      <c r="M271" s="133" t="s">
        <v>1454</v>
      </c>
      <c r="N271" s="134">
        <v>23.06444</v>
      </c>
      <c r="O271" s="134">
        <v>92.12382</v>
      </c>
      <c r="P271" s="81">
        <v>300</v>
      </c>
      <c r="Q271" s="47"/>
      <c r="R271" s="81"/>
      <c r="S271" s="81"/>
      <c r="T271" s="135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3"/>
      <c r="AH271" s="58"/>
      <c r="AI271" s="59"/>
      <c r="AJ271" s="57"/>
    </row>
    <row x14ac:dyDescent="0.25" r="272" customHeight="1" ht="18">
      <c r="A272" s="45">
        <v>266</v>
      </c>
      <c r="B272" s="46" t="s">
        <v>47</v>
      </c>
      <c r="C272" s="46" t="s">
        <v>48</v>
      </c>
      <c r="D272" s="47" t="s">
        <v>49</v>
      </c>
      <c r="E272" s="47" t="s">
        <v>675</v>
      </c>
      <c r="F272" s="47" t="s">
        <v>1197</v>
      </c>
      <c r="G272" s="130" t="s">
        <v>797</v>
      </c>
      <c r="H272" s="131"/>
      <c r="I272" s="132"/>
      <c r="J272" s="57"/>
      <c r="K272" s="81" t="s">
        <v>1455</v>
      </c>
      <c r="L272" s="47" t="s">
        <v>1456</v>
      </c>
      <c r="M272" s="133" t="s">
        <v>1457</v>
      </c>
      <c r="N272" s="134">
        <v>23.053968</v>
      </c>
      <c r="O272" s="134">
        <v>92.126695</v>
      </c>
      <c r="P272" s="81">
        <v>300</v>
      </c>
      <c r="Q272" s="47"/>
      <c r="R272" s="81"/>
      <c r="S272" s="81"/>
      <c r="T272" s="135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3"/>
      <c r="AH272" s="58"/>
      <c r="AI272" s="59"/>
      <c r="AJ272" s="57"/>
    </row>
    <row x14ac:dyDescent="0.25" r="273" customHeight="1" ht="18">
      <c r="A273" s="45">
        <v>267</v>
      </c>
      <c r="B273" s="46" t="s">
        <v>47</v>
      </c>
      <c r="C273" s="46" t="s">
        <v>48</v>
      </c>
      <c r="D273" s="47" t="s">
        <v>49</v>
      </c>
      <c r="E273" s="47" t="s">
        <v>675</v>
      </c>
      <c r="F273" s="47" t="s">
        <v>1197</v>
      </c>
      <c r="G273" s="130" t="s">
        <v>797</v>
      </c>
      <c r="H273" s="131"/>
      <c r="I273" s="132"/>
      <c r="J273" s="57"/>
      <c r="K273" s="81" t="s">
        <v>1458</v>
      </c>
      <c r="L273" s="47" t="s">
        <v>1459</v>
      </c>
      <c r="M273" s="133" t="s">
        <v>1460</v>
      </c>
      <c r="N273" s="134">
        <v>23.05213</v>
      </c>
      <c r="O273" s="134">
        <v>92.133959</v>
      </c>
      <c r="P273" s="81">
        <v>400</v>
      </c>
      <c r="Q273" s="47"/>
      <c r="R273" s="81"/>
      <c r="S273" s="81"/>
      <c r="T273" s="135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3"/>
      <c r="AH273" s="58"/>
      <c r="AI273" s="59"/>
      <c r="AJ273" s="57"/>
    </row>
    <row x14ac:dyDescent="0.25" r="274" customHeight="1" ht="18">
      <c r="A274" s="45">
        <v>268</v>
      </c>
      <c r="B274" s="46" t="s">
        <v>47</v>
      </c>
      <c r="C274" s="46" t="s">
        <v>48</v>
      </c>
      <c r="D274" s="47" t="s">
        <v>49</v>
      </c>
      <c r="E274" s="47" t="s">
        <v>675</v>
      </c>
      <c r="F274" s="47" t="s">
        <v>1197</v>
      </c>
      <c r="G274" s="130" t="s">
        <v>797</v>
      </c>
      <c r="H274" s="57"/>
      <c r="I274" s="59"/>
      <c r="J274" s="57"/>
      <c r="K274" s="81" t="s">
        <v>1461</v>
      </c>
      <c r="L274" s="47" t="s">
        <v>1462</v>
      </c>
      <c r="M274" s="133" t="s">
        <v>1463</v>
      </c>
      <c r="N274" s="134">
        <v>23.050579</v>
      </c>
      <c r="O274" s="134">
        <v>92.145171</v>
      </c>
      <c r="P274" s="81">
        <v>700</v>
      </c>
      <c r="Q274" s="47"/>
      <c r="R274" s="81"/>
      <c r="S274" s="81"/>
      <c r="T274" s="135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3"/>
      <c r="AH274" s="58"/>
      <c r="AI274" s="59"/>
      <c r="AJ274" s="57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28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2.290714285714287" customWidth="1" bestFit="1"/>
    <col min="3" max="3" style="85" width="13.576428571428572" customWidth="1" bestFit="1"/>
    <col min="4" max="4" style="86" width="13.005" customWidth="1" bestFit="1"/>
    <col min="5" max="5" style="86" width="11.005" customWidth="1" bestFit="1"/>
    <col min="6" max="6" style="86" width="13.290714285714287" customWidth="1" bestFit="1"/>
    <col min="7" max="7" style="84" width="6.862142857142857" customWidth="1" bestFit="1"/>
    <col min="8" max="8" style="86" width="19.719285714285714" customWidth="1" bestFit="1"/>
    <col min="9" max="9" style="87" width="7.2907142857142855" customWidth="1" bestFit="1"/>
    <col min="10" max="10" style="86" width="15.719285714285713" customWidth="1" bestFit="1"/>
    <col min="11" max="11" style="90" width="22.005" customWidth="1" bestFit="1"/>
    <col min="12" max="12" style="86" width="19.290714285714284" customWidth="1" bestFit="1"/>
    <col min="13" max="13" style="86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4" width="8.719285714285713" customWidth="1" bestFit="1"/>
    <col min="17" max="17" style="84" width="8.719285714285713" customWidth="1" bestFit="1"/>
    <col min="18" max="18" style="89" width="7.2907142857142855" customWidth="1" bestFit="1"/>
    <col min="19" max="19" style="90" width="7.433571428571429" customWidth="1" bestFit="1"/>
    <col min="20" max="20" style="86" width="7.2907142857142855" customWidth="1" bestFit="1"/>
    <col min="21" max="21" style="91" width="4.719285714285714" customWidth="1" bestFit="1"/>
    <col min="22" max="22" style="91" width="4.719285714285714" customWidth="1" bestFit="1"/>
    <col min="23" max="23" style="91" width="4.719285714285714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86" width="15.005" customWidth="1" bestFit="1"/>
    <col min="34" max="34" style="92" width="13.005" customWidth="1" bestFit="1"/>
    <col min="35" max="35" style="92" width="13.005" customWidth="1" bestFit="1"/>
    <col min="36" max="36" style="91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COUNTIF(I7:I361,"SK(H)")</f>
      </c>
      <c r="J1" s="4" t="s">
        <v>2</v>
      </c>
      <c r="K1" s="6">
        <f>COUNTA(J7:J377)</f>
      </c>
      <c r="L1" s="7"/>
      <c r="M1" s="7"/>
      <c r="N1" s="7"/>
      <c r="O1" s="7"/>
      <c r="P1" s="8"/>
      <c r="Q1" s="8"/>
      <c r="R1" s="9"/>
      <c r="S1" s="10"/>
      <c r="T1" s="19"/>
      <c r="U1" s="11"/>
      <c r="V1" s="11"/>
      <c r="W1" s="11"/>
      <c r="X1" s="11"/>
      <c r="Y1" s="11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6"/>
      <c r="H2" s="4" t="s">
        <v>4</v>
      </c>
      <c r="I2" s="5">
        <f>COUNTIF(I7:I362,"SHW(H)")</f>
      </c>
      <c r="J2" s="4" t="s">
        <v>5</v>
      </c>
      <c r="K2" s="6">
        <f>COUNTA(K7:K228)</f>
      </c>
      <c r="L2" s="7"/>
      <c r="M2" s="7"/>
      <c r="N2" s="7"/>
      <c r="O2" s="7"/>
      <c r="P2" s="8"/>
      <c r="Q2" s="8"/>
      <c r="R2" s="9"/>
      <c r="S2" s="10"/>
      <c r="T2" s="19"/>
      <c r="U2" s="11"/>
      <c r="V2" s="11"/>
      <c r="W2" s="11"/>
      <c r="X2" s="11"/>
      <c r="Y2" s="11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6"/>
      <c r="H3" s="7"/>
      <c r="I3" s="17"/>
      <c r="J3" s="7"/>
      <c r="K3" s="18"/>
      <c r="L3" s="7"/>
      <c r="M3" s="7"/>
      <c r="N3" s="7"/>
      <c r="O3" s="7"/>
      <c r="P3" s="8"/>
      <c r="Q3" s="8"/>
      <c r="R3" s="9"/>
      <c r="S3" s="10"/>
      <c r="T3" s="19"/>
      <c r="U3" s="11"/>
      <c r="V3" s="11"/>
      <c r="W3" s="11"/>
      <c r="X3" s="11"/>
      <c r="Y3" s="11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"/>
      <c r="H4" s="2"/>
      <c r="I4" s="14"/>
      <c r="J4" s="19"/>
      <c r="K4" s="20"/>
      <c r="L4" s="12"/>
      <c r="M4" s="12"/>
      <c r="N4" s="12"/>
      <c r="O4" s="12"/>
      <c r="P4" s="8"/>
      <c r="Q4" s="8"/>
      <c r="R4" s="9"/>
      <c r="S4" s="10"/>
      <c r="T4" s="19"/>
      <c r="U4" s="11"/>
      <c r="V4" s="11"/>
      <c r="W4" s="11"/>
      <c r="X4" s="11"/>
      <c r="Y4" s="11"/>
      <c r="Z4" s="12"/>
      <c r="AA4" s="2"/>
      <c r="AB4" s="2"/>
      <c r="AC4" s="2"/>
      <c r="AD4" s="12"/>
      <c r="AE4" s="12"/>
      <c r="AF4" s="11"/>
      <c r="AG4" s="12"/>
      <c r="AH4" s="13"/>
      <c r="AI4" s="21"/>
      <c r="AJ4" s="11"/>
    </row>
    <row x14ac:dyDescent="0.25" r="5" customHeight="1" ht="19.8">
      <c r="A5" s="22" t="s">
        <v>8</v>
      </c>
      <c r="B5" s="23"/>
      <c r="C5" s="23"/>
      <c r="D5" s="23"/>
      <c r="E5" s="23" t="s">
        <v>466</v>
      </c>
      <c r="F5" s="23"/>
      <c r="G5" s="22"/>
      <c r="H5" s="12"/>
      <c r="I5" s="14"/>
      <c r="J5" s="2"/>
      <c r="K5" s="24"/>
      <c r="L5" s="25"/>
      <c r="M5" s="25"/>
      <c r="N5" s="25"/>
      <c r="O5" s="25"/>
      <c r="P5" s="26"/>
      <c r="Q5" s="26"/>
      <c r="R5" s="27"/>
      <c r="S5" s="26"/>
      <c r="T5" s="2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32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38" t="s">
        <v>24</v>
      </c>
      <c r="O6" s="38" t="s">
        <v>25</v>
      </c>
      <c r="P6" s="39" t="s">
        <v>26</v>
      </c>
      <c r="Q6" s="39" t="s">
        <v>27</v>
      </c>
      <c r="R6" s="34" t="s">
        <v>28</v>
      </c>
      <c r="S6" s="39" t="s">
        <v>29</v>
      </c>
      <c r="T6" s="34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8" t="s">
        <v>466</v>
      </c>
      <c r="F7" s="48" t="s">
        <v>467</v>
      </c>
      <c r="G7" s="63">
        <v>1</v>
      </c>
      <c r="H7" s="48"/>
      <c r="I7" s="51"/>
      <c r="J7" s="48"/>
      <c r="K7" s="56" t="s">
        <v>468</v>
      </c>
      <c r="L7" s="48"/>
      <c r="M7" s="48"/>
      <c r="N7" s="48"/>
      <c r="O7" s="48"/>
      <c r="P7" s="63">
        <v>517</v>
      </c>
      <c r="Q7" s="63">
        <v>120</v>
      </c>
      <c r="R7" s="114"/>
      <c r="S7" s="56"/>
      <c r="T7" s="48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8" t="s">
        <v>466</v>
      </c>
      <c r="F8" s="48" t="s">
        <v>467</v>
      </c>
      <c r="G8" s="63">
        <v>1</v>
      </c>
      <c r="H8" s="48"/>
      <c r="I8" s="51"/>
      <c r="J8" s="48"/>
      <c r="K8" s="56" t="s">
        <v>469</v>
      </c>
      <c r="L8" s="48"/>
      <c r="M8" s="48"/>
      <c r="N8" s="48"/>
      <c r="O8" s="48"/>
      <c r="P8" s="63">
        <v>225</v>
      </c>
      <c r="Q8" s="63">
        <v>55</v>
      </c>
      <c r="R8" s="114"/>
      <c r="S8" s="63">
        <v>150</v>
      </c>
      <c r="T8" s="48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8" t="s">
        <v>466</v>
      </c>
      <c r="F9" s="48" t="s">
        <v>467</v>
      </c>
      <c r="G9" s="63">
        <v>1</v>
      </c>
      <c r="H9" s="48"/>
      <c r="I9" s="51"/>
      <c r="J9" s="48"/>
      <c r="K9" s="56" t="s">
        <v>470</v>
      </c>
      <c r="L9" s="48"/>
      <c r="M9" s="48"/>
      <c r="N9" s="48"/>
      <c r="O9" s="48"/>
      <c r="P9" s="63">
        <v>169</v>
      </c>
      <c r="Q9" s="63">
        <v>41</v>
      </c>
      <c r="R9" s="114"/>
      <c r="S9" s="63">
        <v>120</v>
      </c>
      <c r="T9" s="48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8" t="s">
        <v>466</v>
      </c>
      <c r="F10" s="48" t="s">
        <v>467</v>
      </c>
      <c r="G10" s="63">
        <v>2</v>
      </c>
      <c r="H10" s="48"/>
      <c r="I10" s="51"/>
      <c r="J10" s="48"/>
      <c r="K10" s="56" t="s">
        <v>471</v>
      </c>
      <c r="L10" s="48"/>
      <c r="M10" s="48"/>
      <c r="N10" s="48"/>
      <c r="O10" s="48"/>
      <c r="P10" s="63">
        <v>94</v>
      </c>
      <c r="Q10" s="63">
        <v>21</v>
      </c>
      <c r="R10" s="114"/>
      <c r="S10" s="63">
        <v>55</v>
      </c>
      <c r="T10" s="48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8" t="s">
        <v>466</v>
      </c>
      <c r="F11" s="48" t="s">
        <v>467</v>
      </c>
      <c r="G11" s="63">
        <v>2</v>
      </c>
      <c r="H11" s="48"/>
      <c r="I11" s="51"/>
      <c r="J11" s="48"/>
      <c r="K11" s="56" t="s">
        <v>472</v>
      </c>
      <c r="L11" s="48"/>
      <c r="M11" s="48"/>
      <c r="N11" s="48"/>
      <c r="O11" s="48"/>
      <c r="P11" s="63">
        <v>94</v>
      </c>
      <c r="Q11" s="63">
        <v>21</v>
      </c>
      <c r="R11" s="114"/>
      <c r="S11" s="63">
        <v>55</v>
      </c>
      <c r="T11" s="48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8" t="s">
        <v>466</v>
      </c>
      <c r="F12" s="48" t="s">
        <v>467</v>
      </c>
      <c r="G12" s="63">
        <v>2</v>
      </c>
      <c r="H12" s="48"/>
      <c r="I12" s="51"/>
      <c r="J12" s="48"/>
      <c r="K12" s="56" t="s">
        <v>473</v>
      </c>
      <c r="L12" s="48"/>
      <c r="M12" s="48"/>
      <c r="N12" s="48"/>
      <c r="O12" s="48"/>
      <c r="P12" s="63">
        <v>155</v>
      </c>
      <c r="Q12" s="63">
        <v>35</v>
      </c>
      <c r="R12" s="114"/>
      <c r="S12" s="63">
        <v>90</v>
      </c>
      <c r="T12" s="48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8" t="s">
        <v>466</v>
      </c>
      <c r="F13" s="48" t="s">
        <v>467</v>
      </c>
      <c r="G13" s="63">
        <v>2</v>
      </c>
      <c r="H13" s="48"/>
      <c r="I13" s="51"/>
      <c r="J13" s="48"/>
      <c r="K13" s="56" t="s">
        <v>474</v>
      </c>
      <c r="L13" s="48"/>
      <c r="M13" s="48"/>
      <c r="N13" s="48"/>
      <c r="O13" s="48"/>
      <c r="P13" s="63">
        <v>154</v>
      </c>
      <c r="Q13" s="63">
        <v>63</v>
      </c>
      <c r="R13" s="114"/>
      <c r="S13" s="56"/>
      <c r="T13" s="48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8" t="s">
        <v>466</v>
      </c>
      <c r="F14" s="48" t="s">
        <v>467</v>
      </c>
      <c r="G14" s="63">
        <v>2</v>
      </c>
      <c r="H14" s="48"/>
      <c r="I14" s="51"/>
      <c r="J14" s="48"/>
      <c r="K14" s="56" t="s">
        <v>475</v>
      </c>
      <c r="L14" s="48"/>
      <c r="M14" s="48"/>
      <c r="N14" s="48"/>
      <c r="O14" s="48"/>
      <c r="P14" s="63">
        <v>144</v>
      </c>
      <c r="Q14" s="63">
        <v>35</v>
      </c>
      <c r="R14" s="114"/>
      <c r="S14" s="63">
        <v>80</v>
      </c>
      <c r="T14" s="48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8" t="s">
        <v>466</v>
      </c>
      <c r="F15" s="48" t="s">
        <v>467</v>
      </c>
      <c r="G15" s="63">
        <v>3</v>
      </c>
      <c r="H15" s="48"/>
      <c r="I15" s="51"/>
      <c r="J15" s="48"/>
      <c r="K15" s="56" t="s">
        <v>476</v>
      </c>
      <c r="L15" s="48"/>
      <c r="M15" s="48"/>
      <c r="N15" s="48"/>
      <c r="O15" s="48"/>
      <c r="P15" s="63">
        <v>59</v>
      </c>
      <c r="Q15" s="63">
        <v>12</v>
      </c>
      <c r="R15" s="114"/>
      <c r="S15" s="63">
        <v>30</v>
      </c>
      <c r="T15" s="48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8" t="s">
        <v>466</v>
      </c>
      <c r="F16" s="48" t="s">
        <v>467</v>
      </c>
      <c r="G16" s="63">
        <v>3</v>
      </c>
      <c r="H16" s="48"/>
      <c r="I16" s="51"/>
      <c r="J16" s="48"/>
      <c r="K16" s="56" t="s">
        <v>477</v>
      </c>
      <c r="L16" s="48"/>
      <c r="M16" s="48"/>
      <c r="N16" s="48"/>
      <c r="O16" s="48"/>
      <c r="P16" s="63">
        <v>347</v>
      </c>
      <c r="Q16" s="63">
        <v>78</v>
      </c>
      <c r="R16" s="114"/>
      <c r="S16" s="63">
        <v>170</v>
      </c>
      <c r="T16" s="48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8" t="s">
        <v>466</v>
      </c>
      <c r="F17" s="48" t="s">
        <v>467</v>
      </c>
      <c r="G17" s="63">
        <v>3</v>
      </c>
      <c r="H17" s="48"/>
      <c r="I17" s="51"/>
      <c r="J17" s="48"/>
      <c r="K17" s="56" t="s">
        <v>478</v>
      </c>
      <c r="L17" s="48"/>
      <c r="M17" s="48"/>
      <c r="N17" s="48"/>
      <c r="O17" s="48"/>
      <c r="P17" s="63">
        <v>143</v>
      </c>
      <c r="Q17" s="63">
        <v>36</v>
      </c>
      <c r="R17" s="114"/>
      <c r="S17" s="56"/>
      <c r="T17" s="48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8" t="s">
        <v>466</v>
      </c>
      <c r="F18" s="48" t="s">
        <v>467</v>
      </c>
      <c r="G18" s="63">
        <v>4</v>
      </c>
      <c r="H18" s="48"/>
      <c r="I18" s="51"/>
      <c r="J18" s="48"/>
      <c r="K18" s="56" t="s">
        <v>479</v>
      </c>
      <c r="L18" s="48"/>
      <c r="M18" s="48"/>
      <c r="N18" s="48"/>
      <c r="O18" s="48"/>
      <c r="P18" s="63">
        <v>498</v>
      </c>
      <c r="Q18" s="63">
        <v>116</v>
      </c>
      <c r="R18" s="114"/>
      <c r="S18" s="56"/>
      <c r="T18" s="48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8" t="s">
        <v>466</v>
      </c>
      <c r="F19" s="48" t="s">
        <v>467</v>
      </c>
      <c r="G19" s="63">
        <v>5</v>
      </c>
      <c r="H19" s="48"/>
      <c r="I19" s="51"/>
      <c r="J19" s="48"/>
      <c r="K19" s="56" t="s">
        <v>480</v>
      </c>
      <c r="L19" s="48"/>
      <c r="M19" s="48"/>
      <c r="N19" s="48"/>
      <c r="O19" s="48"/>
      <c r="P19" s="63">
        <v>374</v>
      </c>
      <c r="Q19" s="63">
        <v>91</v>
      </c>
      <c r="R19" s="114"/>
      <c r="S19" s="63">
        <v>210</v>
      </c>
      <c r="T19" s="48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8" t="s">
        <v>466</v>
      </c>
      <c r="F20" s="48" t="s">
        <v>467</v>
      </c>
      <c r="G20" s="63">
        <v>5</v>
      </c>
      <c r="H20" s="48"/>
      <c r="I20" s="51"/>
      <c r="J20" s="48"/>
      <c r="K20" s="56" t="s">
        <v>481</v>
      </c>
      <c r="L20" s="48"/>
      <c r="M20" s="48"/>
      <c r="N20" s="48"/>
      <c r="O20" s="48"/>
      <c r="P20" s="63">
        <v>236</v>
      </c>
      <c r="Q20" s="63">
        <v>58</v>
      </c>
      <c r="R20" s="114"/>
      <c r="S20" s="63">
        <v>145</v>
      </c>
      <c r="T20" s="48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8" t="s">
        <v>466</v>
      </c>
      <c r="F21" s="48" t="s">
        <v>467</v>
      </c>
      <c r="G21" s="63">
        <v>5</v>
      </c>
      <c r="H21" s="48"/>
      <c r="I21" s="51"/>
      <c r="J21" s="48"/>
      <c r="K21" s="56" t="s">
        <v>482</v>
      </c>
      <c r="L21" s="48"/>
      <c r="M21" s="48"/>
      <c r="N21" s="48"/>
      <c r="O21" s="48"/>
      <c r="P21" s="63">
        <v>114</v>
      </c>
      <c r="Q21" s="63">
        <v>31</v>
      </c>
      <c r="R21" s="114"/>
      <c r="S21" s="63">
        <v>95</v>
      </c>
      <c r="T21" s="48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466</v>
      </c>
      <c r="F22" s="48" t="s">
        <v>467</v>
      </c>
      <c r="G22" s="63">
        <v>5</v>
      </c>
      <c r="H22" s="48"/>
      <c r="I22" s="51"/>
      <c r="J22" s="48"/>
      <c r="K22" s="56" t="s">
        <v>483</v>
      </c>
      <c r="L22" s="48"/>
      <c r="M22" s="48"/>
      <c r="N22" s="48"/>
      <c r="O22" s="48"/>
      <c r="P22" s="63">
        <v>286</v>
      </c>
      <c r="Q22" s="63">
        <v>70</v>
      </c>
      <c r="R22" s="114"/>
      <c r="S22" s="56"/>
      <c r="T22" s="48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466</v>
      </c>
      <c r="F23" s="48" t="s">
        <v>467</v>
      </c>
      <c r="G23" s="63">
        <v>6</v>
      </c>
      <c r="H23" s="48"/>
      <c r="I23" s="51"/>
      <c r="J23" s="48"/>
      <c r="K23" s="56" t="s">
        <v>484</v>
      </c>
      <c r="L23" s="48"/>
      <c r="M23" s="48"/>
      <c r="N23" s="48"/>
      <c r="O23" s="48"/>
      <c r="P23" s="63">
        <v>230</v>
      </c>
      <c r="Q23" s="63">
        <v>57</v>
      </c>
      <c r="R23" s="114"/>
      <c r="S23" s="63">
        <v>130</v>
      </c>
      <c r="T23" s="48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466</v>
      </c>
      <c r="F24" s="48" t="s">
        <v>467</v>
      </c>
      <c r="G24" s="63">
        <v>6</v>
      </c>
      <c r="H24" s="48"/>
      <c r="I24" s="51"/>
      <c r="J24" s="48"/>
      <c r="K24" s="56" t="s">
        <v>485</v>
      </c>
      <c r="L24" s="48"/>
      <c r="M24" s="48"/>
      <c r="N24" s="48"/>
      <c r="O24" s="48"/>
      <c r="P24" s="63">
        <v>139</v>
      </c>
      <c r="Q24" s="63">
        <v>34</v>
      </c>
      <c r="R24" s="114"/>
      <c r="S24" s="63">
        <v>80</v>
      </c>
      <c r="T24" s="48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466</v>
      </c>
      <c r="F25" s="48" t="s">
        <v>467</v>
      </c>
      <c r="G25" s="63">
        <v>6</v>
      </c>
      <c r="H25" s="48"/>
      <c r="I25" s="51"/>
      <c r="J25" s="48"/>
      <c r="K25" s="56" t="s">
        <v>486</v>
      </c>
      <c r="L25" s="48"/>
      <c r="M25" s="48"/>
      <c r="N25" s="48"/>
      <c r="O25" s="48"/>
      <c r="P25" s="63">
        <v>176</v>
      </c>
      <c r="Q25" s="63">
        <v>38</v>
      </c>
      <c r="R25" s="114"/>
      <c r="S25" s="63">
        <v>100</v>
      </c>
      <c r="T25" s="48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466</v>
      </c>
      <c r="F26" s="48" t="s">
        <v>467</v>
      </c>
      <c r="G26" s="63">
        <v>6</v>
      </c>
      <c r="H26" s="48"/>
      <c r="I26" s="51"/>
      <c r="J26" s="48"/>
      <c r="K26" s="56" t="s">
        <v>487</v>
      </c>
      <c r="L26" s="48"/>
      <c r="M26" s="48"/>
      <c r="N26" s="48"/>
      <c r="O26" s="48"/>
      <c r="P26" s="63">
        <v>470</v>
      </c>
      <c r="Q26" s="63">
        <v>110</v>
      </c>
      <c r="R26" s="114"/>
      <c r="S26" s="63">
        <v>255</v>
      </c>
      <c r="T26" s="48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466</v>
      </c>
      <c r="F27" s="48" t="s">
        <v>467</v>
      </c>
      <c r="G27" s="63">
        <v>7</v>
      </c>
      <c r="H27" s="48"/>
      <c r="I27" s="51"/>
      <c r="J27" s="48"/>
      <c r="K27" s="56" t="s">
        <v>483</v>
      </c>
      <c r="L27" s="48"/>
      <c r="M27" s="48"/>
      <c r="N27" s="48"/>
      <c r="O27" s="48"/>
      <c r="P27" s="63">
        <v>432</v>
      </c>
      <c r="Q27" s="63">
        <v>91</v>
      </c>
      <c r="R27" s="48"/>
      <c r="S27" s="63">
        <v>220</v>
      </c>
      <c r="T27" s="48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466</v>
      </c>
      <c r="F28" s="48" t="s">
        <v>467</v>
      </c>
      <c r="G28" s="63">
        <v>7</v>
      </c>
      <c r="H28" s="48"/>
      <c r="I28" s="51"/>
      <c r="J28" s="48"/>
      <c r="K28" s="56" t="s">
        <v>488</v>
      </c>
      <c r="L28" s="48"/>
      <c r="M28" s="48"/>
      <c r="N28" s="48"/>
      <c r="O28" s="48"/>
      <c r="P28" s="63">
        <v>337</v>
      </c>
      <c r="Q28" s="63">
        <v>106</v>
      </c>
      <c r="R28" s="114"/>
      <c r="S28" s="63">
        <v>230</v>
      </c>
      <c r="T28" s="48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466</v>
      </c>
      <c r="F29" s="48" t="s">
        <v>467</v>
      </c>
      <c r="G29" s="63">
        <v>7</v>
      </c>
      <c r="H29" s="48"/>
      <c r="I29" s="51"/>
      <c r="J29" s="48"/>
      <c r="K29" s="56" t="s">
        <v>489</v>
      </c>
      <c r="L29" s="48"/>
      <c r="M29" s="48"/>
      <c r="N29" s="48"/>
      <c r="O29" s="48"/>
      <c r="P29" s="63">
        <v>161</v>
      </c>
      <c r="Q29" s="63">
        <v>39</v>
      </c>
      <c r="R29" s="114"/>
      <c r="S29" s="63">
        <v>110</v>
      </c>
      <c r="T29" s="48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466</v>
      </c>
      <c r="F30" s="48" t="s">
        <v>467</v>
      </c>
      <c r="G30" s="63">
        <v>7</v>
      </c>
      <c r="H30" s="48"/>
      <c r="I30" s="51"/>
      <c r="J30" s="48"/>
      <c r="K30" s="56" t="s">
        <v>490</v>
      </c>
      <c r="L30" s="48"/>
      <c r="M30" s="48"/>
      <c r="N30" s="48"/>
      <c r="O30" s="48"/>
      <c r="P30" s="63">
        <v>170</v>
      </c>
      <c r="Q30" s="63">
        <v>48</v>
      </c>
      <c r="R30" s="114"/>
      <c r="S30" s="63">
        <v>120</v>
      </c>
      <c r="T30" s="48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466</v>
      </c>
      <c r="F31" s="48" t="s">
        <v>467</v>
      </c>
      <c r="G31" s="63">
        <v>8</v>
      </c>
      <c r="H31" s="48"/>
      <c r="I31" s="51"/>
      <c r="J31" s="48"/>
      <c r="K31" s="56" t="s">
        <v>491</v>
      </c>
      <c r="L31" s="48"/>
      <c r="M31" s="48"/>
      <c r="N31" s="48"/>
      <c r="O31" s="48"/>
      <c r="P31" s="63">
        <v>551</v>
      </c>
      <c r="Q31" s="63">
        <v>120</v>
      </c>
      <c r="R31" s="114"/>
      <c r="S31" s="63">
        <v>270</v>
      </c>
      <c r="T31" s="48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466</v>
      </c>
      <c r="F32" s="48" t="s">
        <v>467</v>
      </c>
      <c r="G32" s="63">
        <v>8</v>
      </c>
      <c r="H32" s="48"/>
      <c r="I32" s="51"/>
      <c r="J32" s="48"/>
      <c r="K32" s="56" t="s">
        <v>492</v>
      </c>
      <c r="L32" s="48"/>
      <c r="M32" s="48"/>
      <c r="N32" s="48"/>
      <c r="O32" s="48"/>
      <c r="P32" s="63">
        <v>220</v>
      </c>
      <c r="Q32" s="63">
        <v>48</v>
      </c>
      <c r="R32" s="114"/>
      <c r="S32" s="63">
        <v>110</v>
      </c>
      <c r="T32" s="48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466</v>
      </c>
      <c r="F33" s="48" t="s">
        <v>467</v>
      </c>
      <c r="G33" s="63">
        <v>9</v>
      </c>
      <c r="H33" s="48"/>
      <c r="I33" s="51"/>
      <c r="J33" s="48"/>
      <c r="K33" s="56" t="s">
        <v>493</v>
      </c>
      <c r="L33" s="48"/>
      <c r="M33" s="48"/>
      <c r="N33" s="48"/>
      <c r="O33" s="48"/>
      <c r="P33" s="63">
        <v>569</v>
      </c>
      <c r="Q33" s="63">
        <v>221</v>
      </c>
      <c r="R33" s="48"/>
      <c r="S33" s="63">
        <v>358</v>
      </c>
      <c r="T33" s="48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466</v>
      </c>
      <c r="F34" s="48" t="s">
        <v>467</v>
      </c>
      <c r="G34" s="63">
        <v>9</v>
      </c>
      <c r="H34" s="48"/>
      <c r="I34" s="51"/>
      <c r="J34" s="48"/>
      <c r="K34" s="56" t="s">
        <v>494</v>
      </c>
      <c r="L34" s="48"/>
      <c r="M34" s="48"/>
      <c r="N34" s="48"/>
      <c r="O34" s="48"/>
      <c r="P34" s="63">
        <v>426</v>
      </c>
      <c r="Q34" s="63">
        <v>122</v>
      </c>
      <c r="R34" s="48"/>
      <c r="S34" s="56"/>
      <c r="T34" s="48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466</v>
      </c>
      <c r="F35" s="48" t="s">
        <v>467</v>
      </c>
      <c r="G35" s="63">
        <v>9</v>
      </c>
      <c r="H35" s="48"/>
      <c r="I35" s="51"/>
      <c r="J35" s="48"/>
      <c r="K35" s="56" t="s">
        <v>495</v>
      </c>
      <c r="L35" s="48"/>
      <c r="M35" s="48"/>
      <c r="N35" s="48"/>
      <c r="O35" s="48"/>
      <c r="P35" s="63">
        <v>300</v>
      </c>
      <c r="Q35" s="63">
        <v>64</v>
      </c>
      <c r="R35" s="48"/>
      <c r="S35" s="56"/>
      <c r="T35" s="48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466</v>
      </c>
      <c r="F36" s="48" t="s">
        <v>467</v>
      </c>
      <c r="G36" s="63">
        <v>9</v>
      </c>
      <c r="H36" s="48"/>
      <c r="I36" s="51"/>
      <c r="J36" s="48"/>
      <c r="K36" s="56" t="s">
        <v>496</v>
      </c>
      <c r="L36" s="48"/>
      <c r="M36" s="48"/>
      <c r="N36" s="48"/>
      <c r="O36" s="48"/>
      <c r="P36" s="63">
        <v>287</v>
      </c>
      <c r="Q36" s="63">
        <v>93</v>
      </c>
      <c r="R36" s="48"/>
      <c r="S36" s="63">
        <v>184</v>
      </c>
      <c r="T36" s="48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466</v>
      </c>
      <c r="F37" s="48" t="s">
        <v>497</v>
      </c>
      <c r="G37" s="63">
        <v>1</v>
      </c>
      <c r="H37" s="48"/>
      <c r="I37" s="51"/>
      <c r="J37" s="48"/>
      <c r="K37" s="56" t="s">
        <v>498</v>
      </c>
      <c r="L37" s="48"/>
      <c r="M37" s="48"/>
      <c r="N37" s="48"/>
      <c r="O37" s="48"/>
      <c r="P37" s="63">
        <v>660</v>
      </c>
      <c r="Q37" s="63">
        <v>93</v>
      </c>
      <c r="R37" s="114"/>
      <c r="S37" s="56"/>
      <c r="T37" s="48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466</v>
      </c>
      <c r="F38" s="48" t="s">
        <v>497</v>
      </c>
      <c r="G38" s="63">
        <v>1</v>
      </c>
      <c r="H38" s="48"/>
      <c r="I38" s="51"/>
      <c r="J38" s="48"/>
      <c r="K38" s="56" t="s">
        <v>499</v>
      </c>
      <c r="L38" s="48"/>
      <c r="M38" s="48"/>
      <c r="N38" s="48"/>
      <c r="O38" s="48"/>
      <c r="P38" s="63">
        <v>150</v>
      </c>
      <c r="Q38" s="63">
        <v>26</v>
      </c>
      <c r="R38" s="114"/>
      <c r="S38" s="63">
        <v>58</v>
      </c>
      <c r="T38" s="48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466</v>
      </c>
      <c r="F39" s="48" t="s">
        <v>497</v>
      </c>
      <c r="G39" s="63">
        <v>1</v>
      </c>
      <c r="H39" s="48"/>
      <c r="I39" s="51"/>
      <c r="J39" s="48"/>
      <c r="K39" s="56" t="s">
        <v>500</v>
      </c>
      <c r="L39" s="48"/>
      <c r="M39" s="48"/>
      <c r="N39" s="48"/>
      <c r="O39" s="48"/>
      <c r="P39" s="63">
        <v>212</v>
      </c>
      <c r="Q39" s="63">
        <v>38</v>
      </c>
      <c r="R39" s="114"/>
      <c r="S39" s="63">
        <v>138</v>
      </c>
      <c r="T39" s="48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466</v>
      </c>
      <c r="F40" s="48" t="s">
        <v>497</v>
      </c>
      <c r="G40" s="63">
        <v>1</v>
      </c>
      <c r="H40" s="48"/>
      <c r="I40" s="51"/>
      <c r="J40" s="48"/>
      <c r="K40" s="56" t="s">
        <v>501</v>
      </c>
      <c r="L40" s="48"/>
      <c r="M40" s="48"/>
      <c r="N40" s="48"/>
      <c r="O40" s="48"/>
      <c r="P40" s="63">
        <v>111</v>
      </c>
      <c r="Q40" s="63">
        <v>21</v>
      </c>
      <c r="R40" s="114"/>
      <c r="S40" s="63">
        <v>43</v>
      </c>
      <c r="T40" s="48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466</v>
      </c>
      <c r="F41" s="48" t="s">
        <v>497</v>
      </c>
      <c r="G41" s="63">
        <v>1</v>
      </c>
      <c r="H41" s="48"/>
      <c r="I41" s="51"/>
      <c r="J41" s="48"/>
      <c r="K41" s="56" t="s">
        <v>328</v>
      </c>
      <c r="L41" s="48"/>
      <c r="M41" s="48"/>
      <c r="N41" s="48"/>
      <c r="O41" s="48"/>
      <c r="P41" s="63">
        <v>115</v>
      </c>
      <c r="Q41" s="63">
        <v>23</v>
      </c>
      <c r="R41" s="114"/>
      <c r="S41" s="63">
        <v>60</v>
      </c>
      <c r="T41" s="48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466</v>
      </c>
      <c r="F42" s="48" t="s">
        <v>497</v>
      </c>
      <c r="G42" s="63">
        <v>1</v>
      </c>
      <c r="H42" s="48"/>
      <c r="I42" s="51"/>
      <c r="J42" s="48"/>
      <c r="K42" s="56" t="s">
        <v>502</v>
      </c>
      <c r="L42" s="48"/>
      <c r="M42" s="48"/>
      <c r="N42" s="48"/>
      <c r="O42" s="48"/>
      <c r="P42" s="63">
        <v>122</v>
      </c>
      <c r="Q42" s="63">
        <v>19</v>
      </c>
      <c r="R42" s="114"/>
      <c r="S42" s="63">
        <v>47</v>
      </c>
      <c r="T42" s="48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466</v>
      </c>
      <c r="F43" s="48" t="s">
        <v>497</v>
      </c>
      <c r="G43" s="63">
        <v>2</v>
      </c>
      <c r="H43" s="48"/>
      <c r="I43" s="51"/>
      <c r="J43" s="48"/>
      <c r="K43" s="56" t="s">
        <v>503</v>
      </c>
      <c r="L43" s="48"/>
      <c r="M43" s="48"/>
      <c r="N43" s="48"/>
      <c r="O43" s="48"/>
      <c r="P43" s="63">
        <v>490</v>
      </c>
      <c r="Q43" s="63">
        <v>98</v>
      </c>
      <c r="R43" s="114"/>
      <c r="S43" s="63">
        <v>232</v>
      </c>
      <c r="T43" s="48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466</v>
      </c>
      <c r="F44" s="48" t="s">
        <v>497</v>
      </c>
      <c r="G44" s="63">
        <v>2</v>
      </c>
      <c r="H44" s="48"/>
      <c r="I44" s="51"/>
      <c r="J44" s="48"/>
      <c r="K44" s="56" t="s">
        <v>504</v>
      </c>
      <c r="L44" s="48"/>
      <c r="M44" s="48"/>
      <c r="N44" s="48"/>
      <c r="O44" s="48"/>
      <c r="P44" s="63">
        <v>650</v>
      </c>
      <c r="Q44" s="63">
        <v>130</v>
      </c>
      <c r="R44" s="114"/>
      <c r="S44" s="63">
        <v>293</v>
      </c>
      <c r="T44" s="48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466</v>
      </c>
      <c r="F45" s="48" t="s">
        <v>497</v>
      </c>
      <c r="G45" s="63">
        <v>2</v>
      </c>
      <c r="H45" s="48"/>
      <c r="I45" s="51"/>
      <c r="J45" s="48"/>
      <c r="K45" s="56" t="s">
        <v>505</v>
      </c>
      <c r="L45" s="48"/>
      <c r="M45" s="48"/>
      <c r="N45" s="48"/>
      <c r="O45" s="48"/>
      <c r="P45" s="63">
        <v>240</v>
      </c>
      <c r="Q45" s="63">
        <v>60</v>
      </c>
      <c r="R45" s="114"/>
      <c r="S45" s="63">
        <v>161</v>
      </c>
      <c r="T45" s="48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466</v>
      </c>
      <c r="F46" s="48" t="s">
        <v>497</v>
      </c>
      <c r="G46" s="63">
        <v>2</v>
      </c>
      <c r="H46" s="48"/>
      <c r="I46" s="51"/>
      <c r="J46" s="48"/>
      <c r="K46" s="56" t="s">
        <v>78</v>
      </c>
      <c r="L46" s="48"/>
      <c r="M46" s="48"/>
      <c r="N46" s="48"/>
      <c r="O46" s="48"/>
      <c r="P46" s="63">
        <v>482</v>
      </c>
      <c r="Q46" s="63">
        <v>97</v>
      </c>
      <c r="R46" s="114"/>
      <c r="S46" s="63">
        <v>160</v>
      </c>
      <c r="T46" s="48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466</v>
      </c>
      <c r="F47" s="48" t="s">
        <v>497</v>
      </c>
      <c r="G47" s="63">
        <v>3</v>
      </c>
      <c r="H47" s="48"/>
      <c r="I47" s="51"/>
      <c r="J47" s="48"/>
      <c r="K47" s="56" t="s">
        <v>506</v>
      </c>
      <c r="L47" s="48"/>
      <c r="M47" s="48"/>
      <c r="N47" s="48"/>
      <c r="O47" s="48"/>
      <c r="P47" s="63">
        <v>350</v>
      </c>
      <c r="Q47" s="63">
        <v>70</v>
      </c>
      <c r="R47" s="114"/>
      <c r="S47" s="63">
        <v>207</v>
      </c>
      <c r="T47" s="48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466</v>
      </c>
      <c r="F48" s="48" t="s">
        <v>497</v>
      </c>
      <c r="G48" s="63">
        <v>3</v>
      </c>
      <c r="H48" s="48"/>
      <c r="I48" s="51"/>
      <c r="J48" s="48"/>
      <c r="K48" s="56" t="s">
        <v>507</v>
      </c>
      <c r="L48" s="48"/>
      <c r="M48" s="48"/>
      <c r="N48" s="48"/>
      <c r="O48" s="48"/>
      <c r="P48" s="63">
        <v>260</v>
      </c>
      <c r="Q48" s="63">
        <v>65</v>
      </c>
      <c r="R48" s="114"/>
      <c r="S48" s="63">
        <v>293</v>
      </c>
      <c r="T48" s="48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466</v>
      </c>
      <c r="F49" s="48" t="s">
        <v>497</v>
      </c>
      <c r="G49" s="63">
        <v>3</v>
      </c>
      <c r="H49" s="48"/>
      <c r="I49" s="51"/>
      <c r="J49" s="48"/>
      <c r="K49" s="56" t="s">
        <v>508</v>
      </c>
      <c r="L49" s="48"/>
      <c r="M49" s="48"/>
      <c r="N49" s="48"/>
      <c r="O49" s="48"/>
      <c r="P49" s="63">
        <v>110</v>
      </c>
      <c r="Q49" s="63">
        <v>20</v>
      </c>
      <c r="R49" s="114"/>
      <c r="S49" s="63">
        <v>50</v>
      </c>
      <c r="T49" s="48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466</v>
      </c>
      <c r="F50" s="48" t="s">
        <v>497</v>
      </c>
      <c r="G50" s="63">
        <v>3</v>
      </c>
      <c r="H50" s="48"/>
      <c r="I50" s="51"/>
      <c r="J50" s="48"/>
      <c r="K50" s="56" t="s">
        <v>509</v>
      </c>
      <c r="L50" s="48"/>
      <c r="M50" s="48"/>
      <c r="N50" s="48"/>
      <c r="O50" s="48"/>
      <c r="P50" s="63">
        <v>78</v>
      </c>
      <c r="Q50" s="63">
        <v>15</v>
      </c>
      <c r="R50" s="114"/>
      <c r="S50" s="63">
        <v>94</v>
      </c>
      <c r="T50" s="48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466</v>
      </c>
      <c r="F51" s="48" t="s">
        <v>497</v>
      </c>
      <c r="G51" s="63">
        <v>4</v>
      </c>
      <c r="H51" s="48"/>
      <c r="I51" s="51"/>
      <c r="J51" s="48"/>
      <c r="K51" s="56" t="s">
        <v>510</v>
      </c>
      <c r="L51" s="48"/>
      <c r="M51" s="48"/>
      <c r="N51" s="48"/>
      <c r="O51" s="48"/>
      <c r="P51" s="63">
        <v>103</v>
      </c>
      <c r="Q51" s="63">
        <v>23</v>
      </c>
      <c r="R51" s="114"/>
      <c r="S51" s="63">
        <v>45</v>
      </c>
      <c r="T51" s="48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466</v>
      </c>
      <c r="F52" s="48" t="s">
        <v>497</v>
      </c>
      <c r="G52" s="63">
        <v>4</v>
      </c>
      <c r="H52" s="48"/>
      <c r="I52" s="51"/>
      <c r="J52" s="48"/>
      <c r="K52" s="56" t="s">
        <v>511</v>
      </c>
      <c r="L52" s="48"/>
      <c r="M52" s="48"/>
      <c r="N52" s="48"/>
      <c r="O52" s="48"/>
      <c r="P52" s="63">
        <v>538</v>
      </c>
      <c r="Q52" s="63">
        <v>105</v>
      </c>
      <c r="R52" s="114"/>
      <c r="S52" s="63">
        <v>269</v>
      </c>
      <c r="T52" s="48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466</v>
      </c>
      <c r="F53" s="48" t="s">
        <v>497</v>
      </c>
      <c r="G53" s="63">
        <v>4</v>
      </c>
      <c r="H53" s="48"/>
      <c r="I53" s="51"/>
      <c r="J53" s="48"/>
      <c r="K53" s="56" t="s">
        <v>512</v>
      </c>
      <c r="L53" s="48"/>
      <c r="M53" s="48"/>
      <c r="N53" s="48"/>
      <c r="O53" s="48"/>
      <c r="P53" s="63">
        <v>528</v>
      </c>
      <c r="Q53" s="63">
        <v>94</v>
      </c>
      <c r="R53" s="114"/>
      <c r="S53" s="63">
        <v>254</v>
      </c>
      <c r="T53" s="48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466</v>
      </c>
      <c r="F54" s="48" t="s">
        <v>497</v>
      </c>
      <c r="G54" s="63">
        <v>4</v>
      </c>
      <c r="H54" s="48"/>
      <c r="I54" s="51"/>
      <c r="J54" s="48"/>
      <c r="K54" s="56" t="s">
        <v>513</v>
      </c>
      <c r="L54" s="48"/>
      <c r="M54" s="48"/>
      <c r="N54" s="48"/>
      <c r="O54" s="48"/>
      <c r="P54" s="63">
        <v>403</v>
      </c>
      <c r="Q54" s="63">
        <v>74</v>
      </c>
      <c r="R54" s="114"/>
      <c r="S54" s="56"/>
      <c r="T54" s="48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466</v>
      </c>
      <c r="F55" s="48" t="s">
        <v>497</v>
      </c>
      <c r="G55" s="63">
        <v>4</v>
      </c>
      <c r="H55" s="48"/>
      <c r="I55" s="51"/>
      <c r="J55" s="48"/>
      <c r="K55" s="56" t="s">
        <v>514</v>
      </c>
      <c r="L55" s="48"/>
      <c r="M55" s="48"/>
      <c r="N55" s="48"/>
      <c r="O55" s="48"/>
      <c r="P55" s="63">
        <v>590</v>
      </c>
      <c r="Q55" s="63">
        <v>107</v>
      </c>
      <c r="R55" s="114"/>
      <c r="S55" s="63">
        <v>268</v>
      </c>
      <c r="T55" s="48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466</v>
      </c>
      <c r="F56" s="48" t="s">
        <v>497</v>
      </c>
      <c r="G56" s="63">
        <v>4</v>
      </c>
      <c r="H56" s="48"/>
      <c r="I56" s="51"/>
      <c r="J56" s="48"/>
      <c r="K56" s="56" t="s">
        <v>515</v>
      </c>
      <c r="L56" s="48"/>
      <c r="M56" s="48"/>
      <c r="N56" s="48"/>
      <c r="O56" s="48"/>
      <c r="P56" s="63">
        <v>294</v>
      </c>
      <c r="Q56" s="63">
        <v>38</v>
      </c>
      <c r="R56" s="114"/>
      <c r="S56" s="63">
        <v>86</v>
      </c>
      <c r="T56" s="48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466</v>
      </c>
      <c r="F57" s="48" t="s">
        <v>497</v>
      </c>
      <c r="G57" s="63">
        <v>5</v>
      </c>
      <c r="H57" s="48"/>
      <c r="I57" s="51"/>
      <c r="J57" s="48"/>
      <c r="K57" s="56" t="s">
        <v>516</v>
      </c>
      <c r="L57" s="48"/>
      <c r="M57" s="48"/>
      <c r="N57" s="48"/>
      <c r="O57" s="48"/>
      <c r="P57" s="63">
        <v>250</v>
      </c>
      <c r="Q57" s="63">
        <v>25</v>
      </c>
      <c r="R57" s="114"/>
      <c r="S57" s="63">
        <v>50</v>
      </c>
      <c r="T57" s="48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466</v>
      </c>
      <c r="F58" s="48" t="s">
        <v>497</v>
      </c>
      <c r="G58" s="63">
        <v>5</v>
      </c>
      <c r="H58" s="48"/>
      <c r="I58" s="51"/>
      <c r="J58" s="48"/>
      <c r="K58" s="56" t="s">
        <v>517</v>
      </c>
      <c r="L58" s="48"/>
      <c r="M58" s="48"/>
      <c r="N58" s="48"/>
      <c r="O58" s="48"/>
      <c r="P58" s="63">
        <v>80</v>
      </c>
      <c r="Q58" s="63">
        <v>13</v>
      </c>
      <c r="R58" s="114"/>
      <c r="S58" s="63">
        <v>37</v>
      </c>
      <c r="T58" s="48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466</v>
      </c>
      <c r="F59" s="48" t="s">
        <v>497</v>
      </c>
      <c r="G59" s="63">
        <v>5</v>
      </c>
      <c r="H59" s="48"/>
      <c r="I59" s="51"/>
      <c r="J59" s="48"/>
      <c r="K59" s="56" t="s">
        <v>518</v>
      </c>
      <c r="L59" s="48"/>
      <c r="M59" s="48"/>
      <c r="N59" s="48"/>
      <c r="O59" s="48"/>
      <c r="P59" s="63">
        <v>304</v>
      </c>
      <c r="Q59" s="63">
        <v>73</v>
      </c>
      <c r="R59" s="114"/>
      <c r="S59" s="56"/>
      <c r="T59" s="48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466</v>
      </c>
      <c r="F60" s="48" t="s">
        <v>497</v>
      </c>
      <c r="G60" s="63">
        <v>5</v>
      </c>
      <c r="H60" s="48"/>
      <c r="I60" s="51"/>
      <c r="J60" s="48"/>
      <c r="K60" s="56" t="s">
        <v>519</v>
      </c>
      <c r="L60" s="48"/>
      <c r="M60" s="48"/>
      <c r="N60" s="48"/>
      <c r="O60" s="48"/>
      <c r="P60" s="63">
        <v>395</v>
      </c>
      <c r="Q60" s="63">
        <v>94</v>
      </c>
      <c r="R60" s="114"/>
      <c r="S60" s="56"/>
      <c r="T60" s="48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466</v>
      </c>
      <c r="F61" s="48" t="s">
        <v>497</v>
      </c>
      <c r="G61" s="63">
        <v>5</v>
      </c>
      <c r="H61" s="48"/>
      <c r="I61" s="51"/>
      <c r="J61" s="48"/>
      <c r="K61" s="56" t="s">
        <v>520</v>
      </c>
      <c r="L61" s="48"/>
      <c r="M61" s="48"/>
      <c r="N61" s="48"/>
      <c r="O61" s="48"/>
      <c r="P61" s="63">
        <v>180</v>
      </c>
      <c r="Q61" s="63">
        <v>43</v>
      </c>
      <c r="R61" s="114"/>
      <c r="S61" s="56"/>
      <c r="T61" s="48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466</v>
      </c>
      <c r="F62" s="48" t="s">
        <v>497</v>
      </c>
      <c r="G62" s="63">
        <v>5</v>
      </c>
      <c r="H62" s="48"/>
      <c r="I62" s="51"/>
      <c r="J62" s="48"/>
      <c r="K62" s="56" t="s">
        <v>511</v>
      </c>
      <c r="L62" s="48"/>
      <c r="M62" s="48"/>
      <c r="N62" s="48"/>
      <c r="O62" s="48"/>
      <c r="P62" s="63">
        <v>361</v>
      </c>
      <c r="Q62" s="63">
        <v>87</v>
      </c>
      <c r="R62" s="114"/>
      <c r="S62" s="56"/>
      <c r="T62" s="48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466</v>
      </c>
      <c r="F63" s="48" t="s">
        <v>497</v>
      </c>
      <c r="G63" s="63">
        <v>6</v>
      </c>
      <c r="H63" s="48"/>
      <c r="I63" s="51"/>
      <c r="J63" s="48"/>
      <c r="K63" s="56" t="s">
        <v>521</v>
      </c>
      <c r="L63" s="48"/>
      <c r="M63" s="48"/>
      <c r="N63" s="48"/>
      <c r="O63" s="48"/>
      <c r="P63" s="63">
        <v>302</v>
      </c>
      <c r="Q63" s="63">
        <v>59</v>
      </c>
      <c r="R63" s="114"/>
      <c r="S63" s="63">
        <v>128</v>
      </c>
      <c r="T63" s="48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466</v>
      </c>
      <c r="F64" s="48" t="s">
        <v>497</v>
      </c>
      <c r="G64" s="63">
        <v>6</v>
      </c>
      <c r="H64" s="48"/>
      <c r="I64" s="51"/>
      <c r="J64" s="48"/>
      <c r="K64" s="56" t="s">
        <v>522</v>
      </c>
      <c r="L64" s="48"/>
      <c r="M64" s="48"/>
      <c r="N64" s="48"/>
      <c r="O64" s="48"/>
      <c r="P64" s="63">
        <v>93</v>
      </c>
      <c r="Q64" s="63">
        <v>27</v>
      </c>
      <c r="R64" s="114"/>
      <c r="S64" s="63">
        <v>60</v>
      </c>
      <c r="T64" s="48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466</v>
      </c>
      <c r="F65" s="48" t="s">
        <v>497</v>
      </c>
      <c r="G65" s="63">
        <v>6</v>
      </c>
      <c r="H65" s="48"/>
      <c r="I65" s="51"/>
      <c r="J65" s="48"/>
      <c r="K65" s="56" t="s">
        <v>523</v>
      </c>
      <c r="L65" s="48"/>
      <c r="M65" s="48"/>
      <c r="N65" s="48"/>
      <c r="O65" s="48"/>
      <c r="P65" s="63">
        <v>122</v>
      </c>
      <c r="Q65" s="63">
        <v>22</v>
      </c>
      <c r="R65" s="114"/>
      <c r="S65" s="63">
        <v>52</v>
      </c>
      <c r="T65" s="48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466</v>
      </c>
      <c r="F66" s="48" t="s">
        <v>497</v>
      </c>
      <c r="G66" s="63">
        <v>6</v>
      </c>
      <c r="H66" s="48"/>
      <c r="I66" s="51"/>
      <c r="J66" s="48"/>
      <c r="K66" s="56" t="s">
        <v>524</v>
      </c>
      <c r="L66" s="48"/>
      <c r="M66" s="48"/>
      <c r="N66" s="48"/>
      <c r="O66" s="48"/>
      <c r="P66" s="63">
        <v>310</v>
      </c>
      <c r="Q66" s="63">
        <v>87</v>
      </c>
      <c r="R66" s="114"/>
      <c r="S66" s="56"/>
      <c r="T66" s="48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466</v>
      </c>
      <c r="F67" s="48" t="s">
        <v>497</v>
      </c>
      <c r="G67" s="63">
        <v>6</v>
      </c>
      <c r="H67" s="48"/>
      <c r="I67" s="51"/>
      <c r="J67" s="48"/>
      <c r="K67" s="56" t="s">
        <v>525</v>
      </c>
      <c r="L67" s="48"/>
      <c r="M67" s="48"/>
      <c r="N67" s="48"/>
      <c r="O67" s="48"/>
      <c r="P67" s="63">
        <v>520</v>
      </c>
      <c r="Q67" s="63">
        <v>77</v>
      </c>
      <c r="R67" s="114"/>
      <c r="S67" s="56"/>
      <c r="T67" s="48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466</v>
      </c>
      <c r="F68" s="48" t="s">
        <v>497</v>
      </c>
      <c r="G68" s="63">
        <v>6</v>
      </c>
      <c r="H68" s="48"/>
      <c r="I68" s="51"/>
      <c r="J68" s="48"/>
      <c r="K68" s="56" t="s">
        <v>526</v>
      </c>
      <c r="L68" s="48"/>
      <c r="M68" s="48"/>
      <c r="N68" s="48"/>
      <c r="O68" s="48"/>
      <c r="P68" s="63">
        <v>86</v>
      </c>
      <c r="Q68" s="63">
        <v>20</v>
      </c>
      <c r="R68" s="114"/>
      <c r="S68" s="56"/>
      <c r="T68" s="48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466</v>
      </c>
      <c r="F69" s="50" t="s">
        <v>497</v>
      </c>
      <c r="G69" s="63">
        <v>7</v>
      </c>
      <c r="H69" s="48"/>
      <c r="I69" s="51"/>
      <c r="J69" s="48"/>
      <c r="K69" s="56" t="s">
        <v>527</v>
      </c>
      <c r="L69" s="48"/>
      <c r="M69" s="48"/>
      <c r="N69" s="48"/>
      <c r="O69" s="48"/>
      <c r="P69" s="63">
        <v>142</v>
      </c>
      <c r="Q69" s="63">
        <v>35</v>
      </c>
      <c r="R69" s="114"/>
      <c r="S69" s="63">
        <v>58</v>
      </c>
      <c r="T69" s="48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466</v>
      </c>
      <c r="F70" s="50" t="s">
        <v>497</v>
      </c>
      <c r="G70" s="63">
        <v>7</v>
      </c>
      <c r="H70" s="48"/>
      <c r="I70" s="51"/>
      <c r="J70" s="48"/>
      <c r="K70" s="56" t="s">
        <v>149</v>
      </c>
      <c r="L70" s="48"/>
      <c r="M70" s="48"/>
      <c r="N70" s="48"/>
      <c r="O70" s="48"/>
      <c r="P70" s="63">
        <v>254</v>
      </c>
      <c r="Q70" s="63">
        <v>65</v>
      </c>
      <c r="R70" s="114"/>
      <c r="S70" s="63">
        <v>140</v>
      </c>
      <c r="T70" s="48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466</v>
      </c>
      <c r="F71" s="50" t="s">
        <v>497</v>
      </c>
      <c r="G71" s="63">
        <v>7</v>
      </c>
      <c r="H71" s="48"/>
      <c r="I71" s="51"/>
      <c r="J71" s="48"/>
      <c r="K71" s="56" t="s">
        <v>528</v>
      </c>
      <c r="L71" s="48"/>
      <c r="M71" s="48"/>
      <c r="N71" s="48"/>
      <c r="O71" s="48"/>
      <c r="P71" s="63">
        <v>523</v>
      </c>
      <c r="Q71" s="63">
        <v>109</v>
      </c>
      <c r="R71" s="114"/>
      <c r="S71" s="56"/>
      <c r="T71" s="48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466</v>
      </c>
      <c r="F72" s="50" t="s">
        <v>497</v>
      </c>
      <c r="G72" s="63">
        <v>8</v>
      </c>
      <c r="H72" s="48"/>
      <c r="I72" s="51"/>
      <c r="J72" s="48"/>
      <c r="K72" s="56" t="s">
        <v>529</v>
      </c>
      <c r="L72" s="48"/>
      <c r="M72" s="48"/>
      <c r="N72" s="48"/>
      <c r="O72" s="48"/>
      <c r="P72" s="63">
        <v>168</v>
      </c>
      <c r="Q72" s="63">
        <v>40</v>
      </c>
      <c r="R72" s="114"/>
      <c r="S72" s="63">
        <v>84</v>
      </c>
      <c r="T72" s="48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466</v>
      </c>
      <c r="F73" s="50" t="s">
        <v>497</v>
      </c>
      <c r="G73" s="63">
        <v>8</v>
      </c>
      <c r="H73" s="48"/>
      <c r="I73" s="51"/>
      <c r="J73" s="48"/>
      <c r="K73" s="56" t="s">
        <v>530</v>
      </c>
      <c r="L73" s="48"/>
      <c r="M73" s="48"/>
      <c r="N73" s="48"/>
      <c r="O73" s="48"/>
      <c r="P73" s="63">
        <v>249</v>
      </c>
      <c r="Q73" s="63">
        <v>66</v>
      </c>
      <c r="R73" s="114"/>
      <c r="S73" s="63">
        <v>165</v>
      </c>
      <c r="T73" s="48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466</v>
      </c>
      <c r="F74" s="48" t="s">
        <v>497</v>
      </c>
      <c r="G74" s="63">
        <v>8</v>
      </c>
      <c r="H74" s="48"/>
      <c r="I74" s="51"/>
      <c r="J74" s="48"/>
      <c r="K74" s="56" t="s">
        <v>531</v>
      </c>
      <c r="L74" s="48"/>
      <c r="M74" s="48"/>
      <c r="N74" s="48"/>
      <c r="O74" s="48"/>
      <c r="P74" s="63">
        <v>328</v>
      </c>
      <c r="Q74" s="63">
        <v>75</v>
      </c>
      <c r="R74" s="114"/>
      <c r="S74" s="56"/>
      <c r="T74" s="48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466</v>
      </c>
      <c r="F75" s="48" t="s">
        <v>497</v>
      </c>
      <c r="G75" s="63">
        <v>8</v>
      </c>
      <c r="H75" s="48"/>
      <c r="I75" s="51"/>
      <c r="J75" s="48"/>
      <c r="K75" s="56" t="s">
        <v>532</v>
      </c>
      <c r="L75" s="48"/>
      <c r="M75" s="48"/>
      <c r="N75" s="48"/>
      <c r="O75" s="48"/>
      <c r="P75" s="63">
        <v>255</v>
      </c>
      <c r="Q75" s="63">
        <v>55</v>
      </c>
      <c r="R75" s="114"/>
      <c r="S75" s="63">
        <v>113</v>
      </c>
      <c r="T75" s="48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466</v>
      </c>
      <c r="F76" s="48" t="s">
        <v>497</v>
      </c>
      <c r="G76" s="63">
        <v>8</v>
      </c>
      <c r="H76" s="48"/>
      <c r="I76" s="51"/>
      <c r="J76" s="48"/>
      <c r="K76" s="56" t="s">
        <v>533</v>
      </c>
      <c r="L76" s="48"/>
      <c r="M76" s="48"/>
      <c r="N76" s="48"/>
      <c r="O76" s="48"/>
      <c r="P76" s="63">
        <v>617</v>
      </c>
      <c r="Q76" s="63">
        <v>139</v>
      </c>
      <c r="R76" s="114"/>
      <c r="S76" s="63">
        <v>20</v>
      </c>
      <c r="T76" s="48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466</v>
      </c>
      <c r="F77" s="48" t="s">
        <v>497</v>
      </c>
      <c r="G77" s="63">
        <v>9</v>
      </c>
      <c r="H77" s="48"/>
      <c r="I77" s="51"/>
      <c r="J77" s="48"/>
      <c r="K77" s="56" t="s">
        <v>534</v>
      </c>
      <c r="L77" s="48"/>
      <c r="M77" s="48"/>
      <c r="N77" s="48"/>
      <c r="O77" s="48"/>
      <c r="P77" s="63">
        <v>38</v>
      </c>
      <c r="Q77" s="63">
        <v>9</v>
      </c>
      <c r="R77" s="48"/>
      <c r="S77" s="56"/>
      <c r="T77" s="48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466</v>
      </c>
      <c r="F78" s="48" t="s">
        <v>497</v>
      </c>
      <c r="G78" s="63">
        <v>9</v>
      </c>
      <c r="H78" s="48"/>
      <c r="I78" s="51"/>
      <c r="J78" s="48"/>
      <c r="K78" s="56" t="s">
        <v>535</v>
      </c>
      <c r="L78" s="48"/>
      <c r="M78" s="48"/>
      <c r="N78" s="48"/>
      <c r="O78" s="48"/>
      <c r="P78" s="63">
        <v>111</v>
      </c>
      <c r="Q78" s="63">
        <v>29</v>
      </c>
      <c r="R78" s="48"/>
      <c r="S78" s="63">
        <v>64</v>
      </c>
      <c r="T78" s="48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466</v>
      </c>
      <c r="F79" s="48" t="s">
        <v>497</v>
      </c>
      <c r="G79" s="63">
        <v>9</v>
      </c>
      <c r="H79" s="48"/>
      <c r="I79" s="51"/>
      <c r="J79" s="48"/>
      <c r="K79" s="56" t="s">
        <v>536</v>
      </c>
      <c r="L79" s="48"/>
      <c r="M79" s="48"/>
      <c r="N79" s="48"/>
      <c r="O79" s="48"/>
      <c r="P79" s="63">
        <v>386</v>
      </c>
      <c r="Q79" s="63">
        <v>94</v>
      </c>
      <c r="R79" s="48"/>
      <c r="S79" s="56"/>
      <c r="T79" s="48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466</v>
      </c>
      <c r="F80" s="48" t="s">
        <v>497</v>
      </c>
      <c r="G80" s="63">
        <v>9</v>
      </c>
      <c r="H80" s="48"/>
      <c r="I80" s="51"/>
      <c r="J80" s="48"/>
      <c r="K80" s="56" t="s">
        <v>537</v>
      </c>
      <c r="L80" s="48"/>
      <c r="M80" s="48"/>
      <c r="N80" s="48"/>
      <c r="O80" s="48"/>
      <c r="P80" s="63">
        <v>325</v>
      </c>
      <c r="Q80" s="63">
        <v>47</v>
      </c>
      <c r="R80" s="114"/>
      <c r="S80" s="63">
        <v>62</v>
      </c>
      <c r="T80" s="48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466</v>
      </c>
      <c r="F81" s="48" t="s">
        <v>538</v>
      </c>
      <c r="G81" s="63">
        <v>1</v>
      </c>
      <c r="H81" s="48"/>
      <c r="I81" s="51"/>
      <c r="J81" s="48"/>
      <c r="K81" s="56" t="s">
        <v>539</v>
      </c>
      <c r="L81" s="48"/>
      <c r="M81" s="48"/>
      <c r="N81" s="48"/>
      <c r="O81" s="48"/>
      <c r="P81" s="63">
        <v>221</v>
      </c>
      <c r="Q81" s="63">
        <v>55</v>
      </c>
      <c r="R81" s="114"/>
      <c r="S81" s="63">
        <v>125</v>
      </c>
      <c r="T81" s="48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466</v>
      </c>
      <c r="F82" s="48" t="s">
        <v>538</v>
      </c>
      <c r="G82" s="63">
        <v>1</v>
      </c>
      <c r="H82" s="48"/>
      <c r="I82" s="51"/>
      <c r="J82" s="48"/>
      <c r="K82" s="56" t="s">
        <v>540</v>
      </c>
      <c r="L82" s="48"/>
      <c r="M82" s="48"/>
      <c r="N82" s="48"/>
      <c r="O82" s="48"/>
      <c r="P82" s="63">
        <v>392</v>
      </c>
      <c r="Q82" s="63">
        <v>95</v>
      </c>
      <c r="R82" s="114"/>
      <c r="S82" s="63">
        <v>220</v>
      </c>
      <c r="T82" s="48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466</v>
      </c>
      <c r="F83" s="47" t="s">
        <v>538</v>
      </c>
      <c r="G83" s="63">
        <v>1</v>
      </c>
      <c r="H83" s="47"/>
      <c r="I83" s="115"/>
      <c r="J83" s="116"/>
      <c r="K83" s="81" t="s">
        <v>541</v>
      </c>
      <c r="L83" s="47"/>
      <c r="M83" s="47"/>
      <c r="N83" s="47"/>
      <c r="O83" s="47"/>
      <c r="P83" s="117">
        <v>169</v>
      </c>
      <c r="Q83" s="54">
        <v>42</v>
      </c>
      <c r="R83" s="114"/>
      <c r="S83" s="63">
        <v>90</v>
      </c>
      <c r="T83" s="48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466</v>
      </c>
      <c r="F84" s="50" t="s">
        <v>538</v>
      </c>
      <c r="G84" s="63">
        <v>1</v>
      </c>
      <c r="H84" s="50"/>
      <c r="I84" s="118"/>
      <c r="J84" s="48"/>
      <c r="K84" s="64" t="s">
        <v>542</v>
      </c>
      <c r="L84" s="50"/>
      <c r="M84" s="50"/>
      <c r="N84" s="50"/>
      <c r="O84" s="50"/>
      <c r="P84" s="63">
        <v>118</v>
      </c>
      <c r="Q84" s="60">
        <v>30</v>
      </c>
      <c r="R84" s="114"/>
      <c r="S84" s="63">
        <v>70</v>
      </c>
      <c r="T84" s="48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466</v>
      </c>
      <c r="F85" s="50" t="s">
        <v>538</v>
      </c>
      <c r="G85" s="63">
        <v>1</v>
      </c>
      <c r="H85" s="50"/>
      <c r="I85" s="118"/>
      <c r="J85" s="48"/>
      <c r="K85" s="64" t="s">
        <v>543</v>
      </c>
      <c r="L85" s="50"/>
      <c r="M85" s="50"/>
      <c r="N85" s="50"/>
      <c r="O85" s="50"/>
      <c r="P85" s="63">
        <v>173</v>
      </c>
      <c r="Q85" s="60">
        <v>42</v>
      </c>
      <c r="R85" s="114"/>
      <c r="S85" s="56"/>
      <c r="T85" s="48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466</v>
      </c>
      <c r="F86" s="50" t="s">
        <v>538</v>
      </c>
      <c r="G86" s="63">
        <v>1</v>
      </c>
      <c r="H86" s="50"/>
      <c r="I86" s="118"/>
      <c r="J86" s="48"/>
      <c r="K86" s="64" t="s">
        <v>544</v>
      </c>
      <c r="L86" s="50"/>
      <c r="M86" s="50"/>
      <c r="N86" s="50"/>
      <c r="O86" s="50"/>
      <c r="P86" s="63">
        <v>450</v>
      </c>
      <c r="Q86" s="60">
        <v>109</v>
      </c>
      <c r="R86" s="114"/>
      <c r="S86" s="63">
        <v>235</v>
      </c>
      <c r="T86" s="48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466</v>
      </c>
      <c r="F87" s="50" t="s">
        <v>538</v>
      </c>
      <c r="G87" s="63">
        <v>2</v>
      </c>
      <c r="H87" s="50"/>
      <c r="I87" s="118"/>
      <c r="J87" s="48"/>
      <c r="K87" s="64" t="s">
        <v>545</v>
      </c>
      <c r="L87" s="50"/>
      <c r="M87" s="50"/>
      <c r="N87" s="50"/>
      <c r="O87" s="50"/>
      <c r="P87" s="63">
        <v>489</v>
      </c>
      <c r="Q87" s="60">
        <v>119</v>
      </c>
      <c r="R87" s="114"/>
      <c r="S87" s="63">
        <v>280</v>
      </c>
      <c r="T87" s="48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466</v>
      </c>
      <c r="F88" s="50" t="s">
        <v>538</v>
      </c>
      <c r="G88" s="63">
        <v>2</v>
      </c>
      <c r="H88" s="50"/>
      <c r="I88" s="118"/>
      <c r="J88" s="48"/>
      <c r="K88" s="64" t="s">
        <v>546</v>
      </c>
      <c r="L88" s="50"/>
      <c r="M88" s="50"/>
      <c r="N88" s="50"/>
      <c r="O88" s="50"/>
      <c r="P88" s="63">
        <v>475</v>
      </c>
      <c r="Q88" s="60">
        <v>111</v>
      </c>
      <c r="R88" s="114"/>
      <c r="S88" s="63">
        <v>220</v>
      </c>
      <c r="T88" s="48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466</v>
      </c>
      <c r="F89" s="50" t="s">
        <v>538</v>
      </c>
      <c r="G89" s="63">
        <v>2</v>
      </c>
      <c r="H89" s="50"/>
      <c r="I89" s="118"/>
      <c r="J89" s="48"/>
      <c r="K89" s="64" t="s">
        <v>155</v>
      </c>
      <c r="L89" s="50"/>
      <c r="M89" s="50"/>
      <c r="N89" s="50"/>
      <c r="O89" s="50"/>
      <c r="P89" s="63">
        <v>312</v>
      </c>
      <c r="Q89" s="60">
        <v>83</v>
      </c>
      <c r="R89" s="114"/>
      <c r="S89" s="63">
        <v>190</v>
      </c>
      <c r="T89" s="48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466</v>
      </c>
      <c r="F90" s="50" t="s">
        <v>538</v>
      </c>
      <c r="G90" s="63">
        <v>2</v>
      </c>
      <c r="H90" s="50"/>
      <c r="I90" s="118"/>
      <c r="J90" s="48"/>
      <c r="K90" s="64" t="s">
        <v>547</v>
      </c>
      <c r="L90" s="50"/>
      <c r="M90" s="50"/>
      <c r="N90" s="50"/>
      <c r="O90" s="50"/>
      <c r="P90" s="63">
        <v>221</v>
      </c>
      <c r="Q90" s="60">
        <v>57</v>
      </c>
      <c r="R90" s="114"/>
      <c r="S90" s="63">
        <v>130</v>
      </c>
      <c r="T90" s="48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466</v>
      </c>
      <c r="F91" s="50" t="s">
        <v>538</v>
      </c>
      <c r="G91" s="63">
        <v>2</v>
      </c>
      <c r="H91" s="50"/>
      <c r="I91" s="118"/>
      <c r="J91" s="48"/>
      <c r="K91" s="64" t="s">
        <v>548</v>
      </c>
      <c r="L91" s="50"/>
      <c r="M91" s="50"/>
      <c r="N91" s="50"/>
      <c r="O91" s="50"/>
      <c r="P91" s="63">
        <v>179</v>
      </c>
      <c r="Q91" s="60">
        <v>44</v>
      </c>
      <c r="R91" s="114"/>
      <c r="S91" s="63">
        <v>100</v>
      </c>
      <c r="T91" s="48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466</v>
      </c>
      <c r="F92" s="50" t="s">
        <v>538</v>
      </c>
      <c r="G92" s="63">
        <v>2</v>
      </c>
      <c r="H92" s="50"/>
      <c r="I92" s="118"/>
      <c r="J92" s="48"/>
      <c r="K92" s="64" t="s">
        <v>549</v>
      </c>
      <c r="L92" s="50"/>
      <c r="M92" s="50"/>
      <c r="N92" s="50"/>
      <c r="O92" s="50"/>
      <c r="P92" s="63">
        <v>268</v>
      </c>
      <c r="Q92" s="60">
        <v>52</v>
      </c>
      <c r="R92" s="114"/>
      <c r="S92" s="63">
        <v>130</v>
      </c>
      <c r="T92" s="48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466</v>
      </c>
      <c r="F93" s="50" t="s">
        <v>538</v>
      </c>
      <c r="G93" s="63">
        <v>3</v>
      </c>
      <c r="H93" s="50"/>
      <c r="I93" s="118"/>
      <c r="J93" s="48"/>
      <c r="K93" s="64" t="s">
        <v>550</v>
      </c>
      <c r="L93" s="50"/>
      <c r="M93" s="50"/>
      <c r="N93" s="50"/>
      <c r="O93" s="50"/>
      <c r="P93" s="63">
        <v>421</v>
      </c>
      <c r="Q93" s="60">
        <v>95</v>
      </c>
      <c r="R93" s="114"/>
      <c r="S93" s="63">
        <v>230</v>
      </c>
      <c r="T93" s="48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466</v>
      </c>
      <c r="F94" s="50" t="s">
        <v>538</v>
      </c>
      <c r="G94" s="63">
        <v>3</v>
      </c>
      <c r="H94" s="50"/>
      <c r="I94" s="118"/>
      <c r="J94" s="48"/>
      <c r="K94" s="64" t="s">
        <v>551</v>
      </c>
      <c r="L94" s="50"/>
      <c r="M94" s="50"/>
      <c r="N94" s="50"/>
      <c r="O94" s="50"/>
      <c r="P94" s="63">
        <v>96</v>
      </c>
      <c r="Q94" s="60">
        <v>25</v>
      </c>
      <c r="R94" s="114"/>
      <c r="S94" s="63">
        <v>60</v>
      </c>
      <c r="T94" s="48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466</v>
      </c>
      <c r="F95" s="50" t="s">
        <v>538</v>
      </c>
      <c r="G95" s="63">
        <v>3</v>
      </c>
      <c r="H95" s="50"/>
      <c r="I95" s="118"/>
      <c r="J95" s="48"/>
      <c r="K95" s="64" t="s">
        <v>515</v>
      </c>
      <c r="L95" s="50"/>
      <c r="M95" s="50"/>
      <c r="N95" s="50"/>
      <c r="O95" s="50"/>
      <c r="P95" s="63">
        <v>393</v>
      </c>
      <c r="Q95" s="60">
        <v>88</v>
      </c>
      <c r="R95" s="114"/>
      <c r="S95" s="63">
        <v>180</v>
      </c>
      <c r="T95" s="48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466</v>
      </c>
      <c r="F96" s="50" t="s">
        <v>538</v>
      </c>
      <c r="G96" s="63">
        <v>4</v>
      </c>
      <c r="H96" s="50"/>
      <c r="I96" s="118"/>
      <c r="J96" s="48"/>
      <c r="K96" s="64" t="s">
        <v>552</v>
      </c>
      <c r="L96" s="50"/>
      <c r="M96" s="50"/>
      <c r="N96" s="50"/>
      <c r="O96" s="50"/>
      <c r="P96" s="63">
        <v>432</v>
      </c>
      <c r="Q96" s="60">
        <v>96</v>
      </c>
      <c r="R96" s="114"/>
      <c r="S96" s="63">
        <v>180</v>
      </c>
      <c r="T96" s="48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466</v>
      </c>
      <c r="F97" s="50" t="s">
        <v>538</v>
      </c>
      <c r="G97" s="63">
        <v>4</v>
      </c>
      <c r="H97" s="50"/>
      <c r="I97" s="118"/>
      <c r="J97" s="48"/>
      <c r="K97" s="64" t="s">
        <v>553</v>
      </c>
      <c r="L97" s="50"/>
      <c r="M97" s="50"/>
      <c r="N97" s="50"/>
      <c r="O97" s="50"/>
      <c r="P97" s="63">
        <v>1019</v>
      </c>
      <c r="Q97" s="60">
        <v>240</v>
      </c>
      <c r="R97" s="114"/>
      <c r="S97" s="63">
        <v>490</v>
      </c>
      <c r="T97" s="48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466</v>
      </c>
      <c r="F98" s="50" t="s">
        <v>538</v>
      </c>
      <c r="G98" s="63">
        <v>4</v>
      </c>
      <c r="H98" s="50"/>
      <c r="I98" s="118"/>
      <c r="J98" s="48"/>
      <c r="K98" s="64" t="s">
        <v>554</v>
      </c>
      <c r="L98" s="50"/>
      <c r="M98" s="50"/>
      <c r="N98" s="50"/>
      <c r="O98" s="50"/>
      <c r="P98" s="63">
        <v>526</v>
      </c>
      <c r="Q98" s="60">
        <v>111</v>
      </c>
      <c r="R98" s="114"/>
      <c r="S98" s="63">
        <v>230</v>
      </c>
      <c r="T98" s="48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466</v>
      </c>
      <c r="F99" s="50" t="s">
        <v>538</v>
      </c>
      <c r="G99" s="63">
        <v>5</v>
      </c>
      <c r="H99" s="50"/>
      <c r="I99" s="118"/>
      <c r="J99" s="48"/>
      <c r="K99" s="64" t="s">
        <v>555</v>
      </c>
      <c r="L99" s="50"/>
      <c r="M99" s="50"/>
      <c r="N99" s="50"/>
      <c r="O99" s="50"/>
      <c r="P99" s="63">
        <v>679</v>
      </c>
      <c r="Q99" s="60">
        <v>162</v>
      </c>
      <c r="R99" s="114"/>
      <c r="S99" s="63">
        <v>350</v>
      </c>
      <c r="T99" s="48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466</v>
      </c>
      <c r="F100" s="50" t="s">
        <v>538</v>
      </c>
      <c r="G100" s="63">
        <v>5</v>
      </c>
      <c r="H100" s="50"/>
      <c r="I100" s="118"/>
      <c r="J100" s="48"/>
      <c r="K100" s="64" t="s">
        <v>556</v>
      </c>
      <c r="L100" s="50"/>
      <c r="M100" s="50"/>
      <c r="N100" s="50"/>
      <c r="O100" s="50"/>
      <c r="P100" s="63">
        <v>61</v>
      </c>
      <c r="Q100" s="60">
        <v>16</v>
      </c>
      <c r="R100" s="114"/>
      <c r="S100" s="63">
        <v>40</v>
      </c>
      <c r="T100" s="48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466</v>
      </c>
      <c r="F101" s="50" t="s">
        <v>538</v>
      </c>
      <c r="G101" s="63">
        <v>5</v>
      </c>
      <c r="H101" s="50"/>
      <c r="I101" s="118"/>
      <c r="J101" s="48"/>
      <c r="K101" s="64" t="s">
        <v>557</v>
      </c>
      <c r="L101" s="50"/>
      <c r="M101" s="50"/>
      <c r="N101" s="50"/>
      <c r="O101" s="50"/>
      <c r="P101" s="63">
        <v>242</v>
      </c>
      <c r="Q101" s="60">
        <v>55</v>
      </c>
      <c r="R101" s="114"/>
      <c r="S101" s="56"/>
      <c r="T101" s="48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466</v>
      </c>
      <c r="F102" s="50" t="s">
        <v>538</v>
      </c>
      <c r="G102" s="63">
        <v>5</v>
      </c>
      <c r="H102" s="50"/>
      <c r="I102" s="118"/>
      <c r="J102" s="48"/>
      <c r="K102" s="64" t="s">
        <v>558</v>
      </c>
      <c r="L102" s="50"/>
      <c r="M102" s="50"/>
      <c r="N102" s="50"/>
      <c r="O102" s="50"/>
      <c r="P102" s="63">
        <v>220</v>
      </c>
      <c r="Q102" s="60">
        <v>55</v>
      </c>
      <c r="R102" s="114"/>
      <c r="S102" s="56"/>
      <c r="T102" s="48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466</v>
      </c>
      <c r="F103" s="50" t="s">
        <v>538</v>
      </c>
      <c r="G103" s="63">
        <v>5</v>
      </c>
      <c r="H103" s="50"/>
      <c r="I103" s="118"/>
      <c r="J103" s="48"/>
      <c r="K103" s="64" t="s">
        <v>559</v>
      </c>
      <c r="L103" s="50"/>
      <c r="M103" s="50"/>
      <c r="N103" s="50"/>
      <c r="O103" s="50"/>
      <c r="P103" s="63">
        <v>431</v>
      </c>
      <c r="Q103" s="60">
        <v>97</v>
      </c>
      <c r="R103" s="114"/>
      <c r="S103" s="56"/>
      <c r="T103" s="48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466</v>
      </c>
      <c r="F104" s="50" t="s">
        <v>538</v>
      </c>
      <c r="G104" s="63">
        <v>5</v>
      </c>
      <c r="H104" s="50"/>
      <c r="I104" s="118"/>
      <c r="J104" s="48"/>
      <c r="K104" s="64" t="s">
        <v>560</v>
      </c>
      <c r="L104" s="50"/>
      <c r="M104" s="50"/>
      <c r="N104" s="50"/>
      <c r="O104" s="50"/>
      <c r="P104" s="63">
        <v>499</v>
      </c>
      <c r="Q104" s="60">
        <v>124</v>
      </c>
      <c r="R104" s="114"/>
      <c r="S104" s="63">
        <v>250</v>
      </c>
      <c r="T104" s="48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466</v>
      </c>
      <c r="F105" s="50" t="s">
        <v>538</v>
      </c>
      <c r="G105" s="63">
        <v>5</v>
      </c>
      <c r="H105" s="50"/>
      <c r="I105" s="118"/>
      <c r="J105" s="48"/>
      <c r="K105" s="64" t="s">
        <v>561</v>
      </c>
      <c r="L105" s="50"/>
      <c r="M105" s="50"/>
      <c r="N105" s="50"/>
      <c r="O105" s="50"/>
      <c r="P105" s="63">
        <v>177</v>
      </c>
      <c r="Q105" s="60">
        <v>46</v>
      </c>
      <c r="R105" s="114"/>
      <c r="S105" s="56"/>
      <c r="T105" s="48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466</v>
      </c>
      <c r="F106" s="50" t="s">
        <v>538</v>
      </c>
      <c r="G106" s="63">
        <v>6</v>
      </c>
      <c r="H106" s="50"/>
      <c r="I106" s="118"/>
      <c r="J106" s="48"/>
      <c r="K106" s="64" t="s">
        <v>562</v>
      </c>
      <c r="L106" s="50"/>
      <c r="M106" s="50"/>
      <c r="N106" s="50"/>
      <c r="O106" s="50"/>
      <c r="P106" s="63">
        <v>114</v>
      </c>
      <c r="Q106" s="60">
        <v>30</v>
      </c>
      <c r="R106" s="114"/>
      <c r="S106" s="63">
        <v>72</v>
      </c>
      <c r="T106" s="48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466</v>
      </c>
      <c r="F107" s="50" t="s">
        <v>538</v>
      </c>
      <c r="G107" s="63">
        <v>6</v>
      </c>
      <c r="H107" s="50"/>
      <c r="I107" s="118"/>
      <c r="J107" s="48"/>
      <c r="K107" s="64" t="s">
        <v>563</v>
      </c>
      <c r="L107" s="50"/>
      <c r="M107" s="50"/>
      <c r="N107" s="50"/>
      <c r="O107" s="50"/>
      <c r="P107" s="63">
        <v>551</v>
      </c>
      <c r="Q107" s="60">
        <v>168</v>
      </c>
      <c r="R107" s="114"/>
      <c r="S107" s="63">
        <v>637</v>
      </c>
      <c r="T107" s="48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466</v>
      </c>
      <c r="F108" s="50" t="s">
        <v>538</v>
      </c>
      <c r="G108" s="63">
        <v>6</v>
      </c>
      <c r="H108" s="50"/>
      <c r="I108" s="118"/>
      <c r="J108" s="48"/>
      <c r="K108" s="64" t="s">
        <v>564</v>
      </c>
      <c r="L108" s="50"/>
      <c r="M108" s="50"/>
      <c r="N108" s="50"/>
      <c r="O108" s="50"/>
      <c r="P108" s="63">
        <v>242</v>
      </c>
      <c r="Q108" s="60">
        <v>56</v>
      </c>
      <c r="R108" s="114"/>
      <c r="S108" s="63">
        <v>130</v>
      </c>
      <c r="T108" s="48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466</v>
      </c>
      <c r="F109" s="50" t="s">
        <v>538</v>
      </c>
      <c r="G109" s="63">
        <v>6</v>
      </c>
      <c r="H109" s="50"/>
      <c r="I109" s="118"/>
      <c r="J109" s="48"/>
      <c r="K109" s="64" t="s">
        <v>565</v>
      </c>
      <c r="L109" s="50"/>
      <c r="M109" s="50"/>
      <c r="N109" s="50"/>
      <c r="O109" s="50"/>
      <c r="P109" s="63">
        <v>337</v>
      </c>
      <c r="Q109" s="60">
        <v>68</v>
      </c>
      <c r="R109" s="114"/>
      <c r="S109" s="63">
        <v>150</v>
      </c>
      <c r="T109" s="48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466</v>
      </c>
      <c r="F110" s="50" t="s">
        <v>538</v>
      </c>
      <c r="G110" s="63">
        <v>6</v>
      </c>
      <c r="H110" s="50"/>
      <c r="I110" s="118"/>
      <c r="J110" s="48"/>
      <c r="K110" s="64" t="s">
        <v>566</v>
      </c>
      <c r="L110" s="50"/>
      <c r="M110" s="50"/>
      <c r="N110" s="50"/>
      <c r="O110" s="50"/>
      <c r="P110" s="63">
        <v>212</v>
      </c>
      <c r="Q110" s="60">
        <v>50</v>
      </c>
      <c r="R110" s="114"/>
      <c r="S110" s="63">
        <v>120</v>
      </c>
      <c r="T110" s="48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8" t="s">
        <v>466</v>
      </c>
      <c r="F111" s="50" t="s">
        <v>538</v>
      </c>
      <c r="G111" s="63">
        <v>6</v>
      </c>
      <c r="H111" s="50"/>
      <c r="I111" s="118"/>
      <c r="J111" s="48"/>
      <c r="K111" s="64" t="s">
        <v>567</v>
      </c>
      <c r="L111" s="50"/>
      <c r="M111" s="50"/>
      <c r="N111" s="50"/>
      <c r="O111" s="50"/>
      <c r="P111" s="63">
        <v>183</v>
      </c>
      <c r="Q111" s="60">
        <v>40</v>
      </c>
      <c r="R111" s="114"/>
      <c r="S111" s="63">
        <v>75</v>
      </c>
      <c r="T111" s="48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466</v>
      </c>
      <c r="F112" s="50" t="s">
        <v>538</v>
      </c>
      <c r="G112" s="63">
        <v>7</v>
      </c>
      <c r="H112" s="50"/>
      <c r="I112" s="118"/>
      <c r="J112" s="48"/>
      <c r="K112" s="64" t="s">
        <v>568</v>
      </c>
      <c r="L112" s="50"/>
      <c r="M112" s="50"/>
      <c r="N112" s="50"/>
      <c r="O112" s="50"/>
      <c r="P112" s="63">
        <v>48</v>
      </c>
      <c r="Q112" s="60">
        <v>10</v>
      </c>
      <c r="R112" s="48"/>
      <c r="S112" s="63">
        <v>20</v>
      </c>
      <c r="T112" s="48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466</v>
      </c>
      <c r="F113" s="50" t="s">
        <v>538</v>
      </c>
      <c r="G113" s="63">
        <v>7</v>
      </c>
      <c r="H113" s="50"/>
      <c r="I113" s="118"/>
      <c r="J113" s="48"/>
      <c r="K113" s="64" t="s">
        <v>569</v>
      </c>
      <c r="L113" s="50"/>
      <c r="M113" s="50"/>
      <c r="N113" s="50"/>
      <c r="O113" s="50"/>
      <c r="P113" s="63">
        <v>147</v>
      </c>
      <c r="Q113" s="60">
        <v>37</v>
      </c>
      <c r="R113" s="48"/>
      <c r="S113" s="63">
        <v>71</v>
      </c>
      <c r="T113" s="48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466</v>
      </c>
      <c r="F114" s="50" t="s">
        <v>538</v>
      </c>
      <c r="G114" s="63">
        <v>7</v>
      </c>
      <c r="H114" s="50"/>
      <c r="I114" s="118"/>
      <c r="J114" s="48"/>
      <c r="K114" s="64" t="s">
        <v>570</v>
      </c>
      <c r="L114" s="50"/>
      <c r="M114" s="50"/>
      <c r="N114" s="50"/>
      <c r="O114" s="50"/>
      <c r="P114" s="63">
        <v>130</v>
      </c>
      <c r="Q114" s="60">
        <v>30</v>
      </c>
      <c r="R114" s="48"/>
      <c r="S114" s="63">
        <v>52</v>
      </c>
      <c r="T114" s="48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466</v>
      </c>
      <c r="F115" s="50" t="s">
        <v>538</v>
      </c>
      <c r="G115" s="63">
        <v>7</v>
      </c>
      <c r="H115" s="50"/>
      <c r="I115" s="118"/>
      <c r="J115" s="48"/>
      <c r="K115" s="64" t="s">
        <v>571</v>
      </c>
      <c r="L115" s="50"/>
      <c r="M115" s="50"/>
      <c r="N115" s="50"/>
      <c r="O115" s="50"/>
      <c r="P115" s="63">
        <v>171</v>
      </c>
      <c r="Q115" s="60">
        <v>40</v>
      </c>
      <c r="R115" s="114"/>
      <c r="S115" s="63">
        <v>100</v>
      </c>
      <c r="T115" s="48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466</v>
      </c>
      <c r="F116" s="48" t="s">
        <v>538</v>
      </c>
      <c r="G116" s="63">
        <v>7</v>
      </c>
      <c r="H116" s="50"/>
      <c r="I116" s="118"/>
      <c r="J116" s="48"/>
      <c r="K116" s="64" t="s">
        <v>572</v>
      </c>
      <c r="L116" s="50"/>
      <c r="M116" s="50"/>
      <c r="N116" s="50"/>
      <c r="O116" s="50"/>
      <c r="P116" s="63">
        <v>74</v>
      </c>
      <c r="Q116" s="60">
        <v>17</v>
      </c>
      <c r="R116" s="114"/>
      <c r="S116" s="56"/>
      <c r="T116" s="48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466</v>
      </c>
      <c r="F117" s="50" t="s">
        <v>538</v>
      </c>
      <c r="G117" s="63">
        <v>7</v>
      </c>
      <c r="H117" s="50"/>
      <c r="I117" s="118"/>
      <c r="J117" s="48"/>
      <c r="K117" s="64" t="s">
        <v>573</v>
      </c>
      <c r="L117" s="50"/>
      <c r="M117" s="50"/>
      <c r="N117" s="50"/>
      <c r="O117" s="50"/>
      <c r="P117" s="63">
        <v>242</v>
      </c>
      <c r="Q117" s="60">
        <v>52</v>
      </c>
      <c r="R117" s="114"/>
      <c r="S117" s="63">
        <v>125</v>
      </c>
      <c r="T117" s="48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8" t="s">
        <v>466</v>
      </c>
      <c r="F118" s="50" t="s">
        <v>538</v>
      </c>
      <c r="G118" s="63">
        <v>8</v>
      </c>
      <c r="H118" s="50"/>
      <c r="I118" s="118"/>
      <c r="J118" s="48"/>
      <c r="K118" s="64" t="s">
        <v>574</v>
      </c>
      <c r="L118" s="50"/>
      <c r="M118" s="50"/>
      <c r="N118" s="50"/>
      <c r="O118" s="50"/>
      <c r="P118" s="63">
        <v>106</v>
      </c>
      <c r="Q118" s="60">
        <v>25</v>
      </c>
      <c r="R118" s="48"/>
      <c r="S118" s="63">
        <v>51</v>
      </c>
      <c r="T118" s="48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466</v>
      </c>
      <c r="F119" s="50" t="s">
        <v>538</v>
      </c>
      <c r="G119" s="63">
        <v>8</v>
      </c>
      <c r="H119" s="50"/>
      <c r="I119" s="118"/>
      <c r="J119" s="48"/>
      <c r="K119" s="64" t="s">
        <v>575</v>
      </c>
      <c r="L119" s="50"/>
      <c r="M119" s="50"/>
      <c r="N119" s="50"/>
      <c r="O119" s="50"/>
      <c r="P119" s="63">
        <v>294</v>
      </c>
      <c r="Q119" s="60">
        <v>67</v>
      </c>
      <c r="R119" s="114"/>
      <c r="S119" s="56"/>
      <c r="T119" s="48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466</v>
      </c>
      <c r="F120" s="50" t="s">
        <v>538</v>
      </c>
      <c r="G120" s="63">
        <v>8</v>
      </c>
      <c r="H120" s="50"/>
      <c r="I120" s="118"/>
      <c r="J120" s="48"/>
      <c r="K120" s="64" t="s">
        <v>576</v>
      </c>
      <c r="L120" s="50"/>
      <c r="M120" s="50"/>
      <c r="N120" s="50"/>
      <c r="O120" s="50"/>
      <c r="P120" s="63">
        <v>144</v>
      </c>
      <c r="Q120" s="60">
        <v>37</v>
      </c>
      <c r="R120" s="114"/>
      <c r="S120" s="63">
        <v>95</v>
      </c>
      <c r="T120" s="48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466</v>
      </c>
      <c r="F121" s="50" t="s">
        <v>538</v>
      </c>
      <c r="G121" s="63">
        <v>8</v>
      </c>
      <c r="H121" s="50"/>
      <c r="I121" s="118"/>
      <c r="J121" s="48"/>
      <c r="K121" s="64" t="s">
        <v>504</v>
      </c>
      <c r="L121" s="50"/>
      <c r="M121" s="50"/>
      <c r="N121" s="50"/>
      <c r="O121" s="50"/>
      <c r="P121" s="63">
        <v>178</v>
      </c>
      <c r="Q121" s="60">
        <v>42</v>
      </c>
      <c r="R121" s="114"/>
      <c r="S121" s="63">
        <v>100</v>
      </c>
      <c r="T121" s="48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466</v>
      </c>
      <c r="F122" s="50" t="s">
        <v>538</v>
      </c>
      <c r="G122" s="63">
        <v>8</v>
      </c>
      <c r="H122" s="50"/>
      <c r="I122" s="118"/>
      <c r="J122" s="48"/>
      <c r="K122" s="64" t="s">
        <v>577</v>
      </c>
      <c r="L122" s="50"/>
      <c r="M122" s="50"/>
      <c r="N122" s="50"/>
      <c r="O122" s="50"/>
      <c r="P122" s="63">
        <v>254</v>
      </c>
      <c r="Q122" s="60">
        <v>54</v>
      </c>
      <c r="R122" s="114"/>
      <c r="S122" s="63">
        <v>162</v>
      </c>
      <c r="T122" s="48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466</v>
      </c>
      <c r="F123" s="50" t="s">
        <v>538</v>
      </c>
      <c r="G123" s="63">
        <v>8</v>
      </c>
      <c r="H123" s="50"/>
      <c r="I123" s="118"/>
      <c r="J123" s="48"/>
      <c r="K123" s="64" t="s">
        <v>578</v>
      </c>
      <c r="L123" s="50"/>
      <c r="M123" s="50"/>
      <c r="N123" s="50"/>
      <c r="O123" s="50"/>
      <c r="P123" s="63">
        <v>53</v>
      </c>
      <c r="Q123" s="60">
        <v>15</v>
      </c>
      <c r="R123" s="114"/>
      <c r="S123" s="56"/>
      <c r="T123" s="48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466</v>
      </c>
      <c r="F124" s="50" t="s">
        <v>538</v>
      </c>
      <c r="G124" s="63">
        <v>8</v>
      </c>
      <c r="H124" s="50"/>
      <c r="I124" s="118"/>
      <c r="J124" s="48"/>
      <c r="K124" s="64" t="s">
        <v>579</v>
      </c>
      <c r="L124" s="50"/>
      <c r="M124" s="50"/>
      <c r="N124" s="50"/>
      <c r="O124" s="50"/>
      <c r="P124" s="63">
        <v>166</v>
      </c>
      <c r="Q124" s="60">
        <v>37</v>
      </c>
      <c r="R124" s="114"/>
      <c r="S124" s="63">
        <v>100</v>
      </c>
      <c r="T124" s="48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466</v>
      </c>
      <c r="F125" s="50" t="s">
        <v>538</v>
      </c>
      <c r="G125" s="63">
        <v>8</v>
      </c>
      <c r="H125" s="50"/>
      <c r="I125" s="118"/>
      <c r="J125" s="48"/>
      <c r="K125" s="64" t="s">
        <v>580</v>
      </c>
      <c r="L125" s="50"/>
      <c r="M125" s="50"/>
      <c r="N125" s="50"/>
      <c r="O125" s="50"/>
      <c r="P125" s="63">
        <v>234</v>
      </c>
      <c r="Q125" s="60">
        <v>50</v>
      </c>
      <c r="R125" s="114"/>
      <c r="S125" s="63">
        <v>130</v>
      </c>
      <c r="T125" s="48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466</v>
      </c>
      <c r="F126" s="50" t="s">
        <v>538</v>
      </c>
      <c r="G126" s="63">
        <v>9</v>
      </c>
      <c r="H126" s="50"/>
      <c r="I126" s="118"/>
      <c r="J126" s="48"/>
      <c r="K126" s="64" t="s">
        <v>581</v>
      </c>
      <c r="L126" s="50"/>
      <c r="M126" s="50"/>
      <c r="N126" s="50"/>
      <c r="O126" s="50"/>
      <c r="P126" s="63">
        <v>173</v>
      </c>
      <c r="Q126" s="60">
        <v>34</v>
      </c>
      <c r="R126" s="48"/>
      <c r="S126" s="63">
        <v>82</v>
      </c>
      <c r="T126" s="48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466</v>
      </c>
      <c r="F127" s="50" t="s">
        <v>538</v>
      </c>
      <c r="G127" s="63">
        <v>9</v>
      </c>
      <c r="H127" s="50"/>
      <c r="I127" s="118"/>
      <c r="J127" s="48"/>
      <c r="K127" s="64" t="s">
        <v>582</v>
      </c>
      <c r="L127" s="50"/>
      <c r="M127" s="50"/>
      <c r="N127" s="50"/>
      <c r="O127" s="50"/>
      <c r="P127" s="63">
        <v>230</v>
      </c>
      <c r="Q127" s="60">
        <v>53</v>
      </c>
      <c r="R127" s="48"/>
      <c r="S127" s="63">
        <v>120</v>
      </c>
      <c r="T127" s="48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466</v>
      </c>
      <c r="F128" s="50" t="s">
        <v>466</v>
      </c>
      <c r="G128" s="63">
        <v>1</v>
      </c>
      <c r="H128" s="50"/>
      <c r="I128" s="118"/>
      <c r="J128" s="48"/>
      <c r="K128" s="64" t="s">
        <v>583</v>
      </c>
      <c r="L128" s="50"/>
      <c r="M128" s="50"/>
      <c r="N128" s="50"/>
      <c r="O128" s="50"/>
      <c r="P128" s="63">
        <v>53</v>
      </c>
      <c r="Q128" s="60">
        <v>12</v>
      </c>
      <c r="R128" s="48"/>
      <c r="S128" s="56"/>
      <c r="T128" s="48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466</v>
      </c>
      <c r="F129" s="50" t="s">
        <v>466</v>
      </c>
      <c r="G129" s="63">
        <v>1</v>
      </c>
      <c r="H129" s="50"/>
      <c r="I129" s="118"/>
      <c r="J129" s="48"/>
      <c r="K129" s="64" t="s">
        <v>584</v>
      </c>
      <c r="L129" s="50"/>
      <c r="M129" s="50"/>
      <c r="N129" s="50"/>
      <c r="O129" s="50"/>
      <c r="P129" s="63">
        <v>189</v>
      </c>
      <c r="Q129" s="60">
        <v>48</v>
      </c>
      <c r="R129" s="114"/>
      <c r="S129" s="63">
        <v>130</v>
      </c>
      <c r="T129" s="48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466</v>
      </c>
      <c r="F130" s="50" t="s">
        <v>466</v>
      </c>
      <c r="G130" s="63">
        <v>2</v>
      </c>
      <c r="H130" s="50"/>
      <c r="I130" s="118"/>
      <c r="J130" s="48"/>
      <c r="K130" s="64" t="s">
        <v>585</v>
      </c>
      <c r="L130" s="50"/>
      <c r="M130" s="50"/>
      <c r="N130" s="50"/>
      <c r="O130" s="50"/>
      <c r="P130" s="63">
        <v>295</v>
      </c>
      <c r="Q130" s="60">
        <v>68</v>
      </c>
      <c r="R130" s="48"/>
      <c r="S130" s="63">
        <v>170</v>
      </c>
      <c r="T130" s="48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466</v>
      </c>
      <c r="F131" s="50" t="s">
        <v>466</v>
      </c>
      <c r="G131" s="63">
        <v>2</v>
      </c>
      <c r="H131" s="50"/>
      <c r="I131" s="118"/>
      <c r="J131" s="48"/>
      <c r="K131" s="64" t="s">
        <v>586</v>
      </c>
      <c r="L131" s="50"/>
      <c r="M131" s="50"/>
      <c r="N131" s="50"/>
      <c r="O131" s="50"/>
      <c r="P131" s="63">
        <v>119</v>
      </c>
      <c r="Q131" s="60">
        <v>28</v>
      </c>
      <c r="R131" s="48"/>
      <c r="S131" s="63">
        <v>96</v>
      </c>
      <c r="T131" s="48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466</v>
      </c>
      <c r="F132" s="50" t="s">
        <v>466</v>
      </c>
      <c r="G132" s="63">
        <v>2</v>
      </c>
      <c r="H132" s="50"/>
      <c r="I132" s="118"/>
      <c r="J132" s="48"/>
      <c r="K132" s="64" t="s">
        <v>587</v>
      </c>
      <c r="L132" s="50"/>
      <c r="M132" s="50"/>
      <c r="N132" s="50"/>
      <c r="O132" s="50"/>
      <c r="P132" s="63">
        <v>375</v>
      </c>
      <c r="Q132" s="60">
        <v>94</v>
      </c>
      <c r="R132" s="48"/>
      <c r="S132" s="56"/>
      <c r="T132" s="48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466</v>
      </c>
      <c r="F133" s="50" t="s">
        <v>466</v>
      </c>
      <c r="G133" s="63">
        <v>2</v>
      </c>
      <c r="H133" s="50"/>
      <c r="I133" s="118"/>
      <c r="J133" s="48"/>
      <c r="K133" s="64" t="s">
        <v>588</v>
      </c>
      <c r="L133" s="50"/>
      <c r="M133" s="50"/>
      <c r="N133" s="50"/>
      <c r="O133" s="50"/>
      <c r="P133" s="63">
        <v>345</v>
      </c>
      <c r="Q133" s="60">
        <v>85</v>
      </c>
      <c r="R133" s="48"/>
      <c r="S133" s="56"/>
      <c r="T133" s="48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466</v>
      </c>
      <c r="F134" s="48" t="s">
        <v>466</v>
      </c>
      <c r="G134" s="63">
        <v>2</v>
      </c>
      <c r="H134" s="50"/>
      <c r="I134" s="118"/>
      <c r="J134" s="48"/>
      <c r="K134" s="64" t="s">
        <v>589</v>
      </c>
      <c r="L134" s="50"/>
      <c r="M134" s="50"/>
      <c r="N134" s="50"/>
      <c r="O134" s="50"/>
      <c r="P134" s="63">
        <v>49</v>
      </c>
      <c r="Q134" s="60">
        <v>12</v>
      </c>
      <c r="R134" s="48"/>
      <c r="S134" s="56"/>
      <c r="T134" s="48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466</v>
      </c>
      <c r="F135" s="48" t="s">
        <v>466</v>
      </c>
      <c r="G135" s="63">
        <v>2</v>
      </c>
      <c r="H135" s="50"/>
      <c r="I135" s="118"/>
      <c r="J135" s="48"/>
      <c r="K135" s="64" t="s">
        <v>590</v>
      </c>
      <c r="L135" s="50"/>
      <c r="M135" s="50"/>
      <c r="N135" s="50"/>
      <c r="O135" s="50"/>
      <c r="P135" s="63">
        <v>65</v>
      </c>
      <c r="Q135" s="60">
        <v>17</v>
      </c>
      <c r="R135" s="48"/>
      <c r="S135" s="56"/>
      <c r="T135" s="48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466</v>
      </c>
      <c r="F136" s="48" t="s">
        <v>466</v>
      </c>
      <c r="G136" s="63">
        <v>2</v>
      </c>
      <c r="H136" s="50"/>
      <c r="I136" s="118"/>
      <c r="J136" s="48"/>
      <c r="K136" s="64" t="s">
        <v>591</v>
      </c>
      <c r="L136" s="50"/>
      <c r="M136" s="50"/>
      <c r="N136" s="50"/>
      <c r="O136" s="50"/>
      <c r="P136" s="63">
        <v>193</v>
      </c>
      <c r="Q136" s="60">
        <v>53</v>
      </c>
      <c r="R136" s="48"/>
      <c r="S136" s="56"/>
      <c r="T136" s="48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466</v>
      </c>
      <c r="F137" s="48" t="s">
        <v>466</v>
      </c>
      <c r="G137" s="63">
        <v>2</v>
      </c>
      <c r="H137" s="50"/>
      <c r="I137" s="118"/>
      <c r="J137" s="48"/>
      <c r="K137" s="64" t="s">
        <v>592</v>
      </c>
      <c r="L137" s="50"/>
      <c r="M137" s="50"/>
      <c r="N137" s="50"/>
      <c r="O137" s="50"/>
      <c r="P137" s="63">
        <v>164</v>
      </c>
      <c r="Q137" s="60">
        <v>41</v>
      </c>
      <c r="R137" s="48"/>
      <c r="S137" s="56"/>
      <c r="T137" s="48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466</v>
      </c>
      <c r="F138" s="48" t="s">
        <v>466</v>
      </c>
      <c r="G138" s="63">
        <v>2</v>
      </c>
      <c r="H138" s="50"/>
      <c r="I138" s="118"/>
      <c r="J138" s="48"/>
      <c r="K138" s="64" t="s">
        <v>593</v>
      </c>
      <c r="L138" s="50"/>
      <c r="M138" s="50"/>
      <c r="N138" s="50"/>
      <c r="O138" s="50"/>
      <c r="P138" s="63">
        <v>206</v>
      </c>
      <c r="Q138" s="60">
        <v>53</v>
      </c>
      <c r="R138" s="48"/>
      <c r="S138" s="56"/>
      <c r="T138" s="48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466</v>
      </c>
      <c r="F139" s="48" t="s">
        <v>466</v>
      </c>
      <c r="G139" s="63">
        <v>2</v>
      </c>
      <c r="H139" s="50"/>
      <c r="I139" s="118"/>
      <c r="J139" s="48"/>
      <c r="K139" s="64" t="s">
        <v>594</v>
      </c>
      <c r="L139" s="50"/>
      <c r="M139" s="50"/>
      <c r="N139" s="50"/>
      <c r="O139" s="50"/>
      <c r="P139" s="63">
        <v>153</v>
      </c>
      <c r="Q139" s="60">
        <v>30</v>
      </c>
      <c r="R139" s="48"/>
      <c r="S139" s="56"/>
      <c r="T139" s="48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466</v>
      </c>
      <c r="F140" s="50" t="s">
        <v>466</v>
      </c>
      <c r="G140" s="63">
        <v>3</v>
      </c>
      <c r="H140" s="50"/>
      <c r="I140" s="118"/>
      <c r="J140" s="48"/>
      <c r="K140" s="64" t="s">
        <v>595</v>
      </c>
      <c r="L140" s="50"/>
      <c r="M140" s="50"/>
      <c r="N140" s="50"/>
      <c r="O140" s="50"/>
      <c r="P140" s="63">
        <v>655</v>
      </c>
      <c r="Q140" s="60">
        <v>131</v>
      </c>
      <c r="R140" s="48"/>
      <c r="S140" s="56"/>
      <c r="T140" s="48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466</v>
      </c>
      <c r="F141" s="48" t="s">
        <v>466</v>
      </c>
      <c r="G141" s="63">
        <v>3</v>
      </c>
      <c r="H141" s="50"/>
      <c r="I141" s="118"/>
      <c r="J141" s="48"/>
      <c r="K141" s="64" t="s">
        <v>596</v>
      </c>
      <c r="L141" s="50"/>
      <c r="M141" s="50"/>
      <c r="N141" s="50"/>
      <c r="O141" s="50"/>
      <c r="P141" s="63">
        <v>192</v>
      </c>
      <c r="Q141" s="60">
        <v>95</v>
      </c>
      <c r="R141" s="48"/>
      <c r="S141" s="56"/>
      <c r="T141" s="48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466</v>
      </c>
      <c r="F142" s="48" t="s">
        <v>466</v>
      </c>
      <c r="G142" s="63">
        <v>3</v>
      </c>
      <c r="H142" s="50"/>
      <c r="I142" s="118"/>
      <c r="J142" s="48"/>
      <c r="K142" s="64" t="s">
        <v>597</v>
      </c>
      <c r="L142" s="50"/>
      <c r="M142" s="50"/>
      <c r="N142" s="50"/>
      <c r="O142" s="50"/>
      <c r="P142" s="63">
        <v>361</v>
      </c>
      <c r="Q142" s="60">
        <v>93</v>
      </c>
      <c r="R142" s="48"/>
      <c r="S142" s="56"/>
      <c r="T142" s="48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466</v>
      </c>
      <c r="F143" s="48" t="s">
        <v>466</v>
      </c>
      <c r="G143" s="63">
        <v>3</v>
      </c>
      <c r="H143" s="50"/>
      <c r="I143" s="118"/>
      <c r="J143" s="48"/>
      <c r="K143" s="64" t="s">
        <v>598</v>
      </c>
      <c r="L143" s="50"/>
      <c r="M143" s="50"/>
      <c r="N143" s="50"/>
      <c r="O143" s="50"/>
      <c r="P143" s="63">
        <v>513</v>
      </c>
      <c r="Q143" s="60">
        <v>140</v>
      </c>
      <c r="R143" s="48"/>
      <c r="S143" s="56"/>
      <c r="T143" s="48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466</v>
      </c>
      <c r="F144" s="48" t="s">
        <v>466</v>
      </c>
      <c r="G144" s="63">
        <v>3</v>
      </c>
      <c r="H144" s="50"/>
      <c r="I144" s="118"/>
      <c r="J144" s="48"/>
      <c r="K144" s="64" t="s">
        <v>346</v>
      </c>
      <c r="L144" s="50"/>
      <c r="M144" s="50"/>
      <c r="N144" s="50"/>
      <c r="O144" s="50"/>
      <c r="P144" s="63">
        <v>113</v>
      </c>
      <c r="Q144" s="60">
        <v>29</v>
      </c>
      <c r="R144" s="48"/>
      <c r="S144" s="56"/>
      <c r="T144" s="48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466</v>
      </c>
      <c r="F145" s="50" t="s">
        <v>466</v>
      </c>
      <c r="G145" s="63">
        <v>4</v>
      </c>
      <c r="H145" s="50"/>
      <c r="I145" s="118"/>
      <c r="J145" s="48"/>
      <c r="K145" s="64" t="s">
        <v>599</v>
      </c>
      <c r="L145" s="50"/>
      <c r="M145" s="50"/>
      <c r="N145" s="50"/>
      <c r="O145" s="50"/>
      <c r="P145" s="63">
        <v>1245</v>
      </c>
      <c r="Q145" s="60">
        <v>275</v>
      </c>
      <c r="R145" s="48"/>
      <c r="S145" s="56"/>
      <c r="T145" s="48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466</v>
      </c>
      <c r="F146" s="50" t="s">
        <v>466</v>
      </c>
      <c r="G146" s="63">
        <v>4</v>
      </c>
      <c r="H146" s="50"/>
      <c r="I146" s="118"/>
      <c r="J146" s="48"/>
      <c r="K146" s="64" t="s">
        <v>600</v>
      </c>
      <c r="L146" s="50"/>
      <c r="M146" s="50"/>
      <c r="N146" s="50"/>
      <c r="O146" s="50"/>
      <c r="P146" s="63">
        <v>668</v>
      </c>
      <c r="Q146" s="60">
        <v>130</v>
      </c>
      <c r="R146" s="48"/>
      <c r="S146" s="56"/>
      <c r="T146" s="48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466</v>
      </c>
      <c r="F147" s="50" t="s">
        <v>466</v>
      </c>
      <c r="G147" s="63">
        <v>4</v>
      </c>
      <c r="H147" s="50"/>
      <c r="I147" s="118"/>
      <c r="J147" s="48"/>
      <c r="K147" s="64" t="s">
        <v>601</v>
      </c>
      <c r="L147" s="50"/>
      <c r="M147" s="50"/>
      <c r="N147" s="50"/>
      <c r="O147" s="50"/>
      <c r="P147" s="63">
        <v>682</v>
      </c>
      <c r="Q147" s="60">
        <v>159</v>
      </c>
      <c r="R147" s="48"/>
      <c r="S147" s="56"/>
      <c r="T147" s="48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466</v>
      </c>
      <c r="F148" s="50" t="s">
        <v>466</v>
      </c>
      <c r="G148" s="63">
        <v>4</v>
      </c>
      <c r="H148" s="50"/>
      <c r="I148" s="118"/>
      <c r="J148" s="48"/>
      <c r="K148" s="64" t="s">
        <v>602</v>
      </c>
      <c r="L148" s="50"/>
      <c r="M148" s="50"/>
      <c r="N148" s="50"/>
      <c r="O148" s="50"/>
      <c r="P148" s="63">
        <v>323</v>
      </c>
      <c r="Q148" s="60">
        <v>78</v>
      </c>
      <c r="R148" s="114"/>
      <c r="S148" s="56"/>
      <c r="T148" s="48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466</v>
      </c>
      <c r="F149" s="50" t="s">
        <v>466</v>
      </c>
      <c r="G149" s="63">
        <v>4</v>
      </c>
      <c r="H149" s="50"/>
      <c r="I149" s="118"/>
      <c r="J149" s="48"/>
      <c r="K149" s="64" t="s">
        <v>603</v>
      </c>
      <c r="L149" s="50"/>
      <c r="M149" s="50"/>
      <c r="N149" s="50"/>
      <c r="O149" s="50"/>
      <c r="P149" s="63">
        <v>125</v>
      </c>
      <c r="Q149" s="60">
        <v>45</v>
      </c>
      <c r="R149" s="114"/>
      <c r="S149" s="56"/>
      <c r="T149" s="48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466</v>
      </c>
      <c r="F150" s="50" t="s">
        <v>466</v>
      </c>
      <c r="G150" s="63">
        <v>4</v>
      </c>
      <c r="H150" s="50"/>
      <c r="I150" s="118"/>
      <c r="J150" s="48"/>
      <c r="K150" s="64" t="s">
        <v>604</v>
      </c>
      <c r="L150" s="50"/>
      <c r="M150" s="50"/>
      <c r="N150" s="50"/>
      <c r="O150" s="50"/>
      <c r="P150" s="63">
        <v>165</v>
      </c>
      <c r="Q150" s="60">
        <v>34</v>
      </c>
      <c r="R150" s="114"/>
      <c r="S150" s="56"/>
      <c r="T150" s="48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466</v>
      </c>
      <c r="F151" s="50" t="s">
        <v>466</v>
      </c>
      <c r="G151" s="63">
        <v>5</v>
      </c>
      <c r="H151" s="50"/>
      <c r="I151" s="118"/>
      <c r="J151" s="48"/>
      <c r="K151" s="64" t="s">
        <v>605</v>
      </c>
      <c r="L151" s="50"/>
      <c r="M151" s="50"/>
      <c r="N151" s="50"/>
      <c r="O151" s="50"/>
      <c r="P151" s="63">
        <v>1107</v>
      </c>
      <c r="Q151" s="60">
        <v>218</v>
      </c>
      <c r="R151" s="48"/>
      <c r="S151" s="56"/>
      <c r="T151" s="48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466</v>
      </c>
      <c r="F152" s="48" t="s">
        <v>466</v>
      </c>
      <c r="G152" s="63">
        <v>5</v>
      </c>
      <c r="H152" s="50"/>
      <c r="I152" s="118"/>
      <c r="J152" s="48"/>
      <c r="K152" s="64" t="s">
        <v>606</v>
      </c>
      <c r="L152" s="50"/>
      <c r="M152" s="50"/>
      <c r="N152" s="50"/>
      <c r="O152" s="50"/>
      <c r="P152" s="63">
        <v>873</v>
      </c>
      <c r="Q152" s="60">
        <v>190</v>
      </c>
      <c r="R152" s="48"/>
      <c r="S152" s="63">
        <v>620</v>
      </c>
      <c r="T152" s="48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466</v>
      </c>
      <c r="F153" s="48" t="s">
        <v>466</v>
      </c>
      <c r="G153" s="63">
        <v>5</v>
      </c>
      <c r="H153" s="50"/>
      <c r="I153" s="118"/>
      <c r="J153" s="48"/>
      <c r="K153" s="64" t="s">
        <v>607</v>
      </c>
      <c r="L153" s="50"/>
      <c r="M153" s="50"/>
      <c r="N153" s="50"/>
      <c r="O153" s="50"/>
      <c r="P153" s="63">
        <v>718</v>
      </c>
      <c r="Q153" s="60">
        <v>163</v>
      </c>
      <c r="R153" s="48"/>
      <c r="S153" s="63">
        <v>400</v>
      </c>
      <c r="T153" s="48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466</v>
      </c>
      <c r="F154" s="48" t="s">
        <v>466</v>
      </c>
      <c r="G154" s="63">
        <v>5</v>
      </c>
      <c r="H154" s="50"/>
      <c r="I154" s="118"/>
      <c r="J154" s="48"/>
      <c r="K154" s="64" t="s">
        <v>608</v>
      </c>
      <c r="L154" s="50"/>
      <c r="M154" s="50"/>
      <c r="N154" s="50"/>
      <c r="O154" s="50"/>
      <c r="P154" s="63">
        <v>2412</v>
      </c>
      <c r="Q154" s="60">
        <v>500</v>
      </c>
      <c r="R154" s="48"/>
      <c r="S154" s="56"/>
      <c r="T154" s="48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466</v>
      </c>
      <c r="F155" s="48" t="s">
        <v>466</v>
      </c>
      <c r="G155" s="63">
        <v>5</v>
      </c>
      <c r="H155" s="50"/>
      <c r="I155" s="118"/>
      <c r="J155" s="48"/>
      <c r="K155" s="64" t="s">
        <v>609</v>
      </c>
      <c r="L155" s="50"/>
      <c r="M155" s="50"/>
      <c r="N155" s="50"/>
      <c r="O155" s="50"/>
      <c r="P155" s="63">
        <v>570</v>
      </c>
      <c r="Q155" s="60">
        <v>105</v>
      </c>
      <c r="R155" s="48"/>
      <c r="S155" s="63">
        <v>480</v>
      </c>
      <c r="T155" s="48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466</v>
      </c>
      <c r="F156" s="48" t="s">
        <v>466</v>
      </c>
      <c r="G156" s="63">
        <v>5</v>
      </c>
      <c r="H156" s="50"/>
      <c r="I156" s="118"/>
      <c r="J156" s="48"/>
      <c r="K156" s="64" t="s">
        <v>610</v>
      </c>
      <c r="L156" s="50"/>
      <c r="M156" s="50"/>
      <c r="N156" s="50"/>
      <c r="O156" s="50"/>
      <c r="P156" s="63">
        <v>304</v>
      </c>
      <c r="Q156" s="60">
        <v>73</v>
      </c>
      <c r="R156" s="48"/>
      <c r="S156" s="56"/>
      <c r="T156" s="48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466</v>
      </c>
      <c r="F157" s="48" t="s">
        <v>466</v>
      </c>
      <c r="G157" s="63">
        <v>5</v>
      </c>
      <c r="H157" s="50"/>
      <c r="I157" s="118"/>
      <c r="J157" s="48"/>
      <c r="K157" s="64" t="s">
        <v>611</v>
      </c>
      <c r="L157" s="50"/>
      <c r="M157" s="50"/>
      <c r="N157" s="50"/>
      <c r="O157" s="50"/>
      <c r="P157" s="63">
        <v>280</v>
      </c>
      <c r="Q157" s="60">
        <v>62</v>
      </c>
      <c r="R157" s="48"/>
      <c r="S157" s="56"/>
      <c r="T157" s="48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466</v>
      </c>
      <c r="F158" s="48" t="s">
        <v>466</v>
      </c>
      <c r="G158" s="63">
        <v>5</v>
      </c>
      <c r="H158" s="50"/>
      <c r="I158" s="118"/>
      <c r="J158" s="48"/>
      <c r="K158" s="64" t="s">
        <v>612</v>
      </c>
      <c r="L158" s="50"/>
      <c r="M158" s="50"/>
      <c r="N158" s="50"/>
      <c r="O158" s="50"/>
      <c r="P158" s="63">
        <v>451</v>
      </c>
      <c r="Q158" s="60">
        <v>102</v>
      </c>
      <c r="R158" s="48"/>
      <c r="S158" s="63">
        <v>215</v>
      </c>
      <c r="T158" s="48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466</v>
      </c>
      <c r="F159" s="48" t="s">
        <v>466</v>
      </c>
      <c r="G159" s="63">
        <v>5</v>
      </c>
      <c r="H159" s="50"/>
      <c r="I159" s="118"/>
      <c r="J159" s="48"/>
      <c r="K159" s="64" t="s">
        <v>609</v>
      </c>
      <c r="L159" s="50"/>
      <c r="M159" s="50"/>
      <c r="N159" s="50"/>
      <c r="O159" s="50"/>
      <c r="P159" s="63">
        <v>69</v>
      </c>
      <c r="Q159" s="60">
        <v>13</v>
      </c>
      <c r="R159" s="48"/>
      <c r="S159" s="56"/>
      <c r="T159" s="48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3"/>
      <c r="AH159" s="58"/>
      <c r="AI159" s="59"/>
      <c r="AJ159" s="57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466</v>
      </c>
      <c r="F160" s="48" t="s">
        <v>466</v>
      </c>
      <c r="G160" s="63">
        <v>5</v>
      </c>
      <c r="H160" s="50"/>
      <c r="I160" s="118"/>
      <c r="J160" s="48"/>
      <c r="K160" s="64" t="s">
        <v>613</v>
      </c>
      <c r="L160" s="50"/>
      <c r="M160" s="50"/>
      <c r="N160" s="50"/>
      <c r="O160" s="50"/>
      <c r="P160" s="63">
        <v>309</v>
      </c>
      <c r="Q160" s="60">
        <v>68</v>
      </c>
      <c r="R160" s="48"/>
      <c r="S160" s="63">
        <v>140</v>
      </c>
      <c r="T160" s="48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3"/>
      <c r="AH160" s="58"/>
      <c r="AI160" s="59"/>
      <c r="AJ160" s="57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466</v>
      </c>
      <c r="F161" s="48" t="s">
        <v>466</v>
      </c>
      <c r="G161" s="63">
        <v>5</v>
      </c>
      <c r="H161" s="50"/>
      <c r="I161" s="118"/>
      <c r="J161" s="48"/>
      <c r="K161" s="64" t="s">
        <v>614</v>
      </c>
      <c r="L161" s="50"/>
      <c r="M161" s="50"/>
      <c r="N161" s="50"/>
      <c r="O161" s="50"/>
      <c r="P161" s="63">
        <v>129</v>
      </c>
      <c r="Q161" s="60">
        <v>28</v>
      </c>
      <c r="R161" s="48"/>
      <c r="S161" s="63">
        <v>60</v>
      </c>
      <c r="T161" s="48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3"/>
      <c r="AH161" s="58"/>
      <c r="AI161" s="59"/>
      <c r="AJ161" s="57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466</v>
      </c>
      <c r="F162" s="48" t="s">
        <v>466</v>
      </c>
      <c r="G162" s="63">
        <v>5</v>
      </c>
      <c r="H162" s="50"/>
      <c r="I162" s="118"/>
      <c r="J162" s="48"/>
      <c r="K162" s="64" t="s">
        <v>615</v>
      </c>
      <c r="L162" s="50"/>
      <c r="M162" s="50"/>
      <c r="N162" s="50"/>
      <c r="O162" s="50"/>
      <c r="P162" s="63">
        <v>275</v>
      </c>
      <c r="Q162" s="60">
        <v>97</v>
      </c>
      <c r="R162" s="114"/>
      <c r="S162" s="56"/>
      <c r="T162" s="48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3"/>
      <c r="AH162" s="58"/>
      <c r="AI162" s="59"/>
      <c r="AJ162" s="57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466</v>
      </c>
      <c r="F163" s="48" t="s">
        <v>466</v>
      </c>
      <c r="G163" s="63">
        <v>6</v>
      </c>
      <c r="H163" s="50"/>
      <c r="I163" s="118"/>
      <c r="J163" s="48"/>
      <c r="K163" s="64" t="s">
        <v>364</v>
      </c>
      <c r="L163" s="50"/>
      <c r="M163" s="50"/>
      <c r="N163" s="50"/>
      <c r="O163" s="50"/>
      <c r="P163" s="63">
        <v>791</v>
      </c>
      <c r="Q163" s="60">
        <v>172</v>
      </c>
      <c r="R163" s="48"/>
      <c r="S163" s="56"/>
      <c r="T163" s="48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3"/>
      <c r="AH163" s="58"/>
      <c r="AI163" s="59"/>
      <c r="AJ163" s="57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466</v>
      </c>
      <c r="F164" s="48" t="s">
        <v>466</v>
      </c>
      <c r="G164" s="63">
        <v>6</v>
      </c>
      <c r="H164" s="50"/>
      <c r="I164" s="118"/>
      <c r="J164" s="48"/>
      <c r="K164" s="64" t="s">
        <v>616</v>
      </c>
      <c r="L164" s="50"/>
      <c r="M164" s="50"/>
      <c r="N164" s="50"/>
      <c r="O164" s="50"/>
      <c r="P164" s="63">
        <v>970</v>
      </c>
      <c r="Q164" s="60">
        <v>190</v>
      </c>
      <c r="R164" s="48"/>
      <c r="S164" s="56"/>
      <c r="T164" s="48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3"/>
      <c r="AH164" s="58"/>
      <c r="AI164" s="59"/>
      <c r="AJ164" s="57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466</v>
      </c>
      <c r="F165" s="48" t="s">
        <v>466</v>
      </c>
      <c r="G165" s="63">
        <v>7</v>
      </c>
      <c r="H165" s="50"/>
      <c r="I165" s="118"/>
      <c r="J165" s="48"/>
      <c r="K165" s="64" t="s">
        <v>617</v>
      </c>
      <c r="L165" s="50"/>
      <c r="M165" s="50"/>
      <c r="N165" s="50"/>
      <c r="O165" s="50"/>
      <c r="P165" s="63">
        <v>119</v>
      </c>
      <c r="Q165" s="60">
        <v>38</v>
      </c>
      <c r="R165" s="48"/>
      <c r="S165" s="56"/>
      <c r="T165" s="48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3"/>
      <c r="AH165" s="58"/>
      <c r="AI165" s="59"/>
      <c r="AJ165" s="57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466</v>
      </c>
      <c r="F166" s="48" t="s">
        <v>466</v>
      </c>
      <c r="G166" s="63">
        <v>7</v>
      </c>
      <c r="H166" s="50"/>
      <c r="I166" s="118"/>
      <c r="J166" s="48"/>
      <c r="K166" s="64" t="s">
        <v>618</v>
      </c>
      <c r="L166" s="50"/>
      <c r="M166" s="50"/>
      <c r="N166" s="50"/>
      <c r="O166" s="50"/>
      <c r="P166" s="63">
        <v>862</v>
      </c>
      <c r="Q166" s="60">
        <v>227</v>
      </c>
      <c r="R166" s="48"/>
      <c r="S166" s="56"/>
      <c r="T166" s="48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3"/>
      <c r="AH166" s="58"/>
      <c r="AI166" s="59"/>
      <c r="AJ166" s="57"/>
    </row>
    <row x14ac:dyDescent="0.25" r="167" customHeight="1" ht="18">
      <c r="A167" s="45">
        <v>161</v>
      </c>
      <c r="B167" s="46" t="s">
        <v>47</v>
      </c>
      <c r="C167" s="46" t="s">
        <v>48</v>
      </c>
      <c r="D167" s="47" t="s">
        <v>49</v>
      </c>
      <c r="E167" s="48" t="s">
        <v>466</v>
      </c>
      <c r="F167" s="48" t="s">
        <v>466</v>
      </c>
      <c r="G167" s="63">
        <v>7</v>
      </c>
      <c r="H167" s="50"/>
      <c r="I167" s="118"/>
      <c r="J167" s="48"/>
      <c r="K167" s="64" t="s">
        <v>619</v>
      </c>
      <c r="L167" s="50"/>
      <c r="M167" s="50"/>
      <c r="N167" s="50"/>
      <c r="O167" s="50"/>
      <c r="P167" s="63">
        <v>465</v>
      </c>
      <c r="Q167" s="60">
        <v>119</v>
      </c>
      <c r="R167" s="48"/>
      <c r="S167" s="56"/>
      <c r="T167" s="48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3"/>
      <c r="AH167" s="58"/>
      <c r="AI167" s="59"/>
      <c r="AJ167" s="57"/>
    </row>
    <row x14ac:dyDescent="0.25" r="168" customHeight="1" ht="18">
      <c r="A168" s="45">
        <v>162</v>
      </c>
      <c r="B168" s="46" t="s">
        <v>47</v>
      </c>
      <c r="C168" s="46" t="s">
        <v>48</v>
      </c>
      <c r="D168" s="47" t="s">
        <v>49</v>
      </c>
      <c r="E168" s="48" t="s">
        <v>466</v>
      </c>
      <c r="F168" s="48" t="s">
        <v>466</v>
      </c>
      <c r="G168" s="63">
        <v>7</v>
      </c>
      <c r="H168" s="50"/>
      <c r="I168" s="118"/>
      <c r="J168" s="48"/>
      <c r="K168" s="64" t="s">
        <v>620</v>
      </c>
      <c r="L168" s="50"/>
      <c r="M168" s="50"/>
      <c r="N168" s="50"/>
      <c r="O168" s="50"/>
      <c r="P168" s="63">
        <v>263</v>
      </c>
      <c r="Q168" s="60">
        <v>68</v>
      </c>
      <c r="R168" s="48"/>
      <c r="S168" s="56"/>
      <c r="T168" s="48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3"/>
      <c r="AH168" s="58"/>
      <c r="AI168" s="59"/>
      <c r="AJ168" s="57"/>
    </row>
    <row x14ac:dyDescent="0.25" r="169" customHeight="1" ht="18">
      <c r="A169" s="45">
        <v>163</v>
      </c>
      <c r="B169" s="46" t="s">
        <v>47</v>
      </c>
      <c r="C169" s="46" t="s">
        <v>48</v>
      </c>
      <c r="D169" s="47" t="s">
        <v>49</v>
      </c>
      <c r="E169" s="48" t="s">
        <v>466</v>
      </c>
      <c r="F169" s="48" t="s">
        <v>466</v>
      </c>
      <c r="G169" s="63">
        <v>7</v>
      </c>
      <c r="H169" s="50"/>
      <c r="I169" s="118"/>
      <c r="J169" s="48"/>
      <c r="K169" s="64" t="s">
        <v>621</v>
      </c>
      <c r="L169" s="50"/>
      <c r="M169" s="50"/>
      <c r="N169" s="50"/>
      <c r="O169" s="50"/>
      <c r="P169" s="63">
        <v>654</v>
      </c>
      <c r="Q169" s="60">
        <v>166</v>
      </c>
      <c r="R169" s="48"/>
      <c r="S169" s="63">
        <v>340</v>
      </c>
      <c r="T169" s="48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3"/>
      <c r="AH169" s="58"/>
      <c r="AI169" s="59"/>
      <c r="AJ169" s="57"/>
    </row>
    <row x14ac:dyDescent="0.25" r="170" customHeight="1" ht="18">
      <c r="A170" s="45">
        <v>164</v>
      </c>
      <c r="B170" s="46" t="s">
        <v>47</v>
      </c>
      <c r="C170" s="46" t="s">
        <v>48</v>
      </c>
      <c r="D170" s="47" t="s">
        <v>49</v>
      </c>
      <c r="E170" s="48" t="s">
        <v>466</v>
      </c>
      <c r="F170" s="50" t="s">
        <v>466</v>
      </c>
      <c r="G170" s="63">
        <v>7</v>
      </c>
      <c r="H170" s="50"/>
      <c r="I170" s="118"/>
      <c r="J170" s="48"/>
      <c r="K170" s="64" t="s">
        <v>622</v>
      </c>
      <c r="L170" s="50"/>
      <c r="M170" s="50"/>
      <c r="N170" s="50"/>
      <c r="O170" s="50"/>
      <c r="P170" s="63">
        <v>586</v>
      </c>
      <c r="Q170" s="60">
        <v>143</v>
      </c>
      <c r="R170" s="48"/>
      <c r="S170" s="56"/>
      <c r="T170" s="48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3"/>
      <c r="AH170" s="58"/>
      <c r="AI170" s="59"/>
      <c r="AJ170" s="57"/>
    </row>
    <row x14ac:dyDescent="0.25" r="171" customHeight="1" ht="18">
      <c r="A171" s="45">
        <v>165</v>
      </c>
      <c r="B171" s="46" t="s">
        <v>47</v>
      </c>
      <c r="C171" s="46" t="s">
        <v>48</v>
      </c>
      <c r="D171" s="47" t="s">
        <v>49</v>
      </c>
      <c r="E171" s="48" t="s">
        <v>466</v>
      </c>
      <c r="F171" s="50" t="s">
        <v>466</v>
      </c>
      <c r="G171" s="63">
        <v>7</v>
      </c>
      <c r="H171" s="50"/>
      <c r="I171" s="118"/>
      <c r="J171" s="48"/>
      <c r="K171" s="64" t="s">
        <v>623</v>
      </c>
      <c r="L171" s="50"/>
      <c r="M171" s="50"/>
      <c r="N171" s="50"/>
      <c r="O171" s="50"/>
      <c r="P171" s="63">
        <v>850</v>
      </c>
      <c r="Q171" s="60">
        <v>191</v>
      </c>
      <c r="R171" s="48"/>
      <c r="S171" s="56"/>
      <c r="T171" s="48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3"/>
      <c r="AH171" s="58"/>
      <c r="AI171" s="59"/>
      <c r="AJ171" s="57"/>
    </row>
    <row x14ac:dyDescent="0.25" r="172" customHeight="1" ht="18">
      <c r="A172" s="45">
        <v>166</v>
      </c>
      <c r="B172" s="46" t="s">
        <v>47</v>
      </c>
      <c r="C172" s="46" t="s">
        <v>48</v>
      </c>
      <c r="D172" s="47" t="s">
        <v>49</v>
      </c>
      <c r="E172" s="48" t="s">
        <v>466</v>
      </c>
      <c r="F172" s="50" t="s">
        <v>466</v>
      </c>
      <c r="G172" s="63">
        <v>7</v>
      </c>
      <c r="H172" s="50"/>
      <c r="I172" s="118"/>
      <c r="J172" s="48"/>
      <c r="K172" s="64" t="s">
        <v>624</v>
      </c>
      <c r="L172" s="50"/>
      <c r="M172" s="50"/>
      <c r="N172" s="50"/>
      <c r="O172" s="50"/>
      <c r="P172" s="63">
        <v>90</v>
      </c>
      <c r="Q172" s="60">
        <v>25</v>
      </c>
      <c r="R172" s="48"/>
      <c r="S172" s="56"/>
      <c r="T172" s="48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3"/>
      <c r="AH172" s="58"/>
      <c r="AI172" s="59"/>
      <c r="AJ172" s="57"/>
    </row>
    <row x14ac:dyDescent="0.25" r="173" customHeight="1" ht="18">
      <c r="A173" s="45">
        <v>167</v>
      </c>
      <c r="B173" s="46" t="s">
        <v>47</v>
      </c>
      <c r="C173" s="46" t="s">
        <v>48</v>
      </c>
      <c r="D173" s="47" t="s">
        <v>49</v>
      </c>
      <c r="E173" s="48" t="s">
        <v>466</v>
      </c>
      <c r="F173" s="50" t="s">
        <v>466</v>
      </c>
      <c r="G173" s="63">
        <v>7</v>
      </c>
      <c r="H173" s="50"/>
      <c r="I173" s="118"/>
      <c r="J173" s="48"/>
      <c r="K173" s="64" t="s">
        <v>625</v>
      </c>
      <c r="L173" s="50"/>
      <c r="M173" s="50"/>
      <c r="N173" s="50"/>
      <c r="O173" s="50"/>
      <c r="P173" s="63">
        <v>520</v>
      </c>
      <c r="Q173" s="60">
        <v>128</v>
      </c>
      <c r="R173" s="48"/>
      <c r="S173" s="63">
        <v>302</v>
      </c>
      <c r="T173" s="48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3"/>
      <c r="AH173" s="58"/>
      <c r="AI173" s="59"/>
      <c r="AJ173" s="57"/>
    </row>
    <row x14ac:dyDescent="0.25" r="174" customHeight="1" ht="18">
      <c r="A174" s="45">
        <v>168</v>
      </c>
      <c r="B174" s="46" t="s">
        <v>47</v>
      </c>
      <c r="C174" s="46" t="s">
        <v>48</v>
      </c>
      <c r="D174" s="47" t="s">
        <v>49</v>
      </c>
      <c r="E174" s="48" t="s">
        <v>466</v>
      </c>
      <c r="F174" s="50" t="s">
        <v>466</v>
      </c>
      <c r="G174" s="63">
        <v>7</v>
      </c>
      <c r="H174" s="50"/>
      <c r="I174" s="118"/>
      <c r="J174" s="48"/>
      <c r="K174" s="64" t="s">
        <v>626</v>
      </c>
      <c r="L174" s="50"/>
      <c r="M174" s="50"/>
      <c r="N174" s="50"/>
      <c r="O174" s="50"/>
      <c r="P174" s="63">
        <v>170</v>
      </c>
      <c r="Q174" s="60">
        <v>42</v>
      </c>
      <c r="R174" s="48"/>
      <c r="S174" s="63">
        <v>128</v>
      </c>
      <c r="T174" s="48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3"/>
      <c r="AH174" s="58"/>
      <c r="AI174" s="59"/>
      <c r="AJ174" s="57"/>
    </row>
    <row x14ac:dyDescent="0.25" r="175" customHeight="1" ht="18">
      <c r="A175" s="45">
        <v>169</v>
      </c>
      <c r="B175" s="46" t="s">
        <v>47</v>
      </c>
      <c r="C175" s="46" t="s">
        <v>48</v>
      </c>
      <c r="D175" s="47" t="s">
        <v>49</v>
      </c>
      <c r="E175" s="48" t="s">
        <v>466</v>
      </c>
      <c r="F175" s="50" t="s">
        <v>466</v>
      </c>
      <c r="G175" s="63">
        <v>7</v>
      </c>
      <c r="H175" s="50"/>
      <c r="I175" s="118"/>
      <c r="J175" s="48"/>
      <c r="K175" s="64" t="s">
        <v>627</v>
      </c>
      <c r="L175" s="50"/>
      <c r="M175" s="50"/>
      <c r="N175" s="50"/>
      <c r="O175" s="50"/>
      <c r="P175" s="63">
        <v>350</v>
      </c>
      <c r="Q175" s="60">
        <v>81</v>
      </c>
      <c r="R175" s="114"/>
      <c r="S175" s="56"/>
      <c r="T175" s="48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3"/>
      <c r="AH175" s="58"/>
      <c r="AI175" s="59"/>
      <c r="AJ175" s="57"/>
    </row>
    <row x14ac:dyDescent="0.25" r="176" customHeight="1" ht="18">
      <c r="A176" s="45">
        <v>170</v>
      </c>
      <c r="B176" s="46" t="s">
        <v>47</v>
      </c>
      <c r="C176" s="46" t="s">
        <v>48</v>
      </c>
      <c r="D176" s="47" t="s">
        <v>49</v>
      </c>
      <c r="E176" s="48" t="s">
        <v>466</v>
      </c>
      <c r="F176" s="50" t="s">
        <v>466</v>
      </c>
      <c r="G176" s="63">
        <v>7</v>
      </c>
      <c r="H176" s="50"/>
      <c r="I176" s="118"/>
      <c r="J176" s="48"/>
      <c r="K176" s="64" t="s">
        <v>628</v>
      </c>
      <c r="L176" s="50"/>
      <c r="M176" s="50"/>
      <c r="N176" s="50"/>
      <c r="O176" s="50"/>
      <c r="P176" s="63">
        <v>385</v>
      </c>
      <c r="Q176" s="60">
        <v>99</v>
      </c>
      <c r="R176" s="114"/>
      <c r="S176" s="56"/>
      <c r="T176" s="48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3"/>
      <c r="AH176" s="58"/>
      <c r="AI176" s="59"/>
      <c r="AJ176" s="57"/>
    </row>
    <row x14ac:dyDescent="0.25" r="177" customHeight="1" ht="18">
      <c r="A177" s="45">
        <v>171</v>
      </c>
      <c r="B177" s="46" t="s">
        <v>47</v>
      </c>
      <c r="C177" s="46" t="s">
        <v>48</v>
      </c>
      <c r="D177" s="47" t="s">
        <v>49</v>
      </c>
      <c r="E177" s="48" t="s">
        <v>466</v>
      </c>
      <c r="F177" s="50" t="s">
        <v>466</v>
      </c>
      <c r="G177" s="63">
        <v>8</v>
      </c>
      <c r="H177" s="50"/>
      <c r="I177" s="118"/>
      <c r="J177" s="48"/>
      <c r="K177" s="64" t="s">
        <v>629</v>
      </c>
      <c r="L177" s="50"/>
      <c r="M177" s="50"/>
      <c r="N177" s="50"/>
      <c r="O177" s="50"/>
      <c r="P177" s="63">
        <v>160</v>
      </c>
      <c r="Q177" s="60">
        <v>36</v>
      </c>
      <c r="R177" s="48"/>
      <c r="S177" s="56"/>
      <c r="T177" s="48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3"/>
      <c r="AH177" s="58"/>
      <c r="AI177" s="59"/>
      <c r="AJ177" s="57"/>
    </row>
    <row x14ac:dyDescent="0.25" r="178" customHeight="1" ht="18">
      <c r="A178" s="45">
        <v>172</v>
      </c>
      <c r="B178" s="46" t="s">
        <v>47</v>
      </c>
      <c r="C178" s="46" t="s">
        <v>48</v>
      </c>
      <c r="D178" s="47" t="s">
        <v>49</v>
      </c>
      <c r="E178" s="48" t="s">
        <v>466</v>
      </c>
      <c r="F178" s="50" t="s">
        <v>466</v>
      </c>
      <c r="G178" s="63">
        <v>8</v>
      </c>
      <c r="H178" s="50"/>
      <c r="I178" s="118"/>
      <c r="J178" s="48"/>
      <c r="K178" s="64" t="s">
        <v>630</v>
      </c>
      <c r="L178" s="50"/>
      <c r="M178" s="50"/>
      <c r="N178" s="50"/>
      <c r="O178" s="50"/>
      <c r="P178" s="63">
        <v>607</v>
      </c>
      <c r="Q178" s="60">
        <v>136</v>
      </c>
      <c r="R178" s="48"/>
      <c r="S178" s="56"/>
      <c r="T178" s="48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3"/>
      <c r="AH178" s="58"/>
      <c r="AI178" s="59"/>
      <c r="AJ178" s="57"/>
    </row>
    <row x14ac:dyDescent="0.25" r="179" customHeight="1" ht="18">
      <c r="A179" s="45">
        <v>173</v>
      </c>
      <c r="B179" s="46" t="s">
        <v>47</v>
      </c>
      <c r="C179" s="46" t="s">
        <v>48</v>
      </c>
      <c r="D179" s="47" t="s">
        <v>49</v>
      </c>
      <c r="E179" s="48" t="s">
        <v>466</v>
      </c>
      <c r="F179" s="50" t="s">
        <v>466</v>
      </c>
      <c r="G179" s="63">
        <v>8</v>
      </c>
      <c r="H179" s="50"/>
      <c r="I179" s="118"/>
      <c r="J179" s="48"/>
      <c r="K179" s="64" t="s">
        <v>631</v>
      </c>
      <c r="L179" s="50"/>
      <c r="M179" s="50"/>
      <c r="N179" s="50"/>
      <c r="O179" s="50"/>
      <c r="P179" s="63">
        <v>93</v>
      </c>
      <c r="Q179" s="60">
        <v>19</v>
      </c>
      <c r="R179" s="48"/>
      <c r="S179" s="63">
        <v>66</v>
      </c>
      <c r="T179" s="48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3"/>
      <c r="AH179" s="58"/>
      <c r="AI179" s="59"/>
      <c r="AJ179" s="57"/>
    </row>
    <row x14ac:dyDescent="0.25" r="180" customHeight="1" ht="18">
      <c r="A180" s="45">
        <v>174</v>
      </c>
      <c r="B180" s="46" t="s">
        <v>47</v>
      </c>
      <c r="C180" s="46" t="s">
        <v>48</v>
      </c>
      <c r="D180" s="47" t="s">
        <v>49</v>
      </c>
      <c r="E180" s="48" t="s">
        <v>466</v>
      </c>
      <c r="F180" s="50" t="s">
        <v>466</v>
      </c>
      <c r="G180" s="63">
        <v>8</v>
      </c>
      <c r="H180" s="50"/>
      <c r="I180" s="118"/>
      <c r="J180" s="48"/>
      <c r="K180" s="64" t="s">
        <v>632</v>
      </c>
      <c r="L180" s="50"/>
      <c r="M180" s="50"/>
      <c r="N180" s="50"/>
      <c r="O180" s="50"/>
      <c r="P180" s="63">
        <v>1012</v>
      </c>
      <c r="Q180" s="60">
        <v>254</v>
      </c>
      <c r="R180" s="48"/>
      <c r="S180" s="63">
        <v>634</v>
      </c>
      <c r="T180" s="48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3"/>
      <c r="AH180" s="58"/>
      <c r="AI180" s="59"/>
      <c r="AJ180" s="57"/>
    </row>
    <row x14ac:dyDescent="0.25" r="181" customHeight="1" ht="18">
      <c r="A181" s="45">
        <v>175</v>
      </c>
      <c r="B181" s="46" t="s">
        <v>47</v>
      </c>
      <c r="C181" s="46" t="s">
        <v>48</v>
      </c>
      <c r="D181" s="47" t="s">
        <v>49</v>
      </c>
      <c r="E181" s="48" t="s">
        <v>466</v>
      </c>
      <c r="F181" s="50" t="s">
        <v>466</v>
      </c>
      <c r="G181" s="63">
        <v>8</v>
      </c>
      <c r="H181" s="50"/>
      <c r="I181" s="118"/>
      <c r="J181" s="48"/>
      <c r="K181" s="64" t="s">
        <v>633</v>
      </c>
      <c r="L181" s="50"/>
      <c r="M181" s="50"/>
      <c r="N181" s="50"/>
      <c r="O181" s="50"/>
      <c r="P181" s="63">
        <v>360</v>
      </c>
      <c r="Q181" s="60">
        <v>101</v>
      </c>
      <c r="R181" s="48"/>
      <c r="S181" s="63">
        <v>322</v>
      </c>
      <c r="T181" s="48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3"/>
      <c r="AH181" s="58"/>
      <c r="AI181" s="59"/>
      <c r="AJ181" s="57"/>
    </row>
    <row x14ac:dyDescent="0.25" r="182" customHeight="1" ht="18">
      <c r="A182" s="45">
        <v>176</v>
      </c>
      <c r="B182" s="46" t="s">
        <v>47</v>
      </c>
      <c r="C182" s="46" t="s">
        <v>48</v>
      </c>
      <c r="D182" s="47" t="s">
        <v>49</v>
      </c>
      <c r="E182" s="48" t="s">
        <v>466</v>
      </c>
      <c r="F182" s="50" t="s">
        <v>466</v>
      </c>
      <c r="G182" s="63">
        <v>8</v>
      </c>
      <c r="H182" s="50"/>
      <c r="I182" s="118"/>
      <c r="J182" s="48"/>
      <c r="K182" s="64" t="s">
        <v>634</v>
      </c>
      <c r="L182" s="50"/>
      <c r="M182" s="50"/>
      <c r="N182" s="50"/>
      <c r="O182" s="50"/>
      <c r="P182" s="63">
        <v>216</v>
      </c>
      <c r="Q182" s="60">
        <v>63</v>
      </c>
      <c r="R182" s="48"/>
      <c r="S182" s="56"/>
      <c r="T182" s="48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3"/>
      <c r="AH182" s="58"/>
      <c r="AI182" s="59"/>
      <c r="AJ182" s="57"/>
    </row>
    <row x14ac:dyDescent="0.25" r="183" customHeight="1" ht="18">
      <c r="A183" s="45">
        <v>177</v>
      </c>
      <c r="B183" s="46" t="s">
        <v>47</v>
      </c>
      <c r="C183" s="46" t="s">
        <v>48</v>
      </c>
      <c r="D183" s="47" t="s">
        <v>49</v>
      </c>
      <c r="E183" s="48" t="s">
        <v>466</v>
      </c>
      <c r="F183" s="50" t="s">
        <v>466</v>
      </c>
      <c r="G183" s="63">
        <v>8</v>
      </c>
      <c r="H183" s="50"/>
      <c r="I183" s="118"/>
      <c r="J183" s="48"/>
      <c r="K183" s="64" t="s">
        <v>635</v>
      </c>
      <c r="L183" s="50"/>
      <c r="M183" s="50"/>
      <c r="N183" s="50"/>
      <c r="O183" s="50"/>
      <c r="P183" s="63">
        <v>230</v>
      </c>
      <c r="Q183" s="60">
        <v>59</v>
      </c>
      <c r="R183" s="48"/>
      <c r="S183" s="63">
        <v>151</v>
      </c>
      <c r="T183" s="48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3"/>
      <c r="AH183" s="58"/>
      <c r="AI183" s="59"/>
      <c r="AJ183" s="57"/>
    </row>
    <row x14ac:dyDescent="0.25" r="184" customHeight="1" ht="18">
      <c r="A184" s="45">
        <v>178</v>
      </c>
      <c r="B184" s="46" t="s">
        <v>47</v>
      </c>
      <c r="C184" s="46" t="s">
        <v>48</v>
      </c>
      <c r="D184" s="47" t="s">
        <v>49</v>
      </c>
      <c r="E184" s="48" t="s">
        <v>466</v>
      </c>
      <c r="F184" s="50" t="s">
        <v>466</v>
      </c>
      <c r="G184" s="63">
        <v>8</v>
      </c>
      <c r="H184" s="50"/>
      <c r="I184" s="118"/>
      <c r="J184" s="48"/>
      <c r="K184" s="64" t="s">
        <v>500</v>
      </c>
      <c r="L184" s="50"/>
      <c r="M184" s="50"/>
      <c r="N184" s="50"/>
      <c r="O184" s="50"/>
      <c r="P184" s="63">
        <v>63</v>
      </c>
      <c r="Q184" s="60">
        <v>19</v>
      </c>
      <c r="R184" s="48"/>
      <c r="S184" s="63">
        <v>47</v>
      </c>
      <c r="T184" s="48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3"/>
      <c r="AH184" s="58"/>
      <c r="AI184" s="59"/>
      <c r="AJ184" s="57"/>
    </row>
    <row x14ac:dyDescent="0.25" r="185" customHeight="1" ht="18">
      <c r="A185" s="45">
        <v>179</v>
      </c>
      <c r="B185" s="46" t="s">
        <v>47</v>
      </c>
      <c r="C185" s="46" t="s">
        <v>48</v>
      </c>
      <c r="D185" s="47" t="s">
        <v>49</v>
      </c>
      <c r="E185" s="48" t="s">
        <v>466</v>
      </c>
      <c r="F185" s="50" t="s">
        <v>466</v>
      </c>
      <c r="G185" s="63">
        <v>9</v>
      </c>
      <c r="H185" s="50"/>
      <c r="I185" s="118"/>
      <c r="J185" s="48"/>
      <c r="K185" s="64" t="s">
        <v>636</v>
      </c>
      <c r="L185" s="50"/>
      <c r="M185" s="50"/>
      <c r="N185" s="50"/>
      <c r="O185" s="50"/>
      <c r="P185" s="63">
        <v>356</v>
      </c>
      <c r="Q185" s="60">
        <v>104</v>
      </c>
      <c r="R185" s="48"/>
      <c r="S185" s="63">
        <v>280</v>
      </c>
      <c r="T185" s="48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3"/>
      <c r="AH185" s="58"/>
      <c r="AI185" s="59"/>
      <c r="AJ185" s="57"/>
    </row>
    <row x14ac:dyDescent="0.25" r="186" customHeight="1" ht="18">
      <c r="A186" s="45">
        <v>180</v>
      </c>
      <c r="B186" s="46" t="s">
        <v>47</v>
      </c>
      <c r="C186" s="46" t="s">
        <v>48</v>
      </c>
      <c r="D186" s="47" t="s">
        <v>49</v>
      </c>
      <c r="E186" s="48" t="s">
        <v>466</v>
      </c>
      <c r="F186" s="50" t="s">
        <v>466</v>
      </c>
      <c r="G186" s="63">
        <v>9</v>
      </c>
      <c r="H186" s="50"/>
      <c r="I186" s="118"/>
      <c r="J186" s="48"/>
      <c r="K186" s="64" t="s">
        <v>637</v>
      </c>
      <c r="L186" s="50"/>
      <c r="M186" s="50"/>
      <c r="N186" s="50"/>
      <c r="O186" s="50"/>
      <c r="P186" s="63">
        <v>191</v>
      </c>
      <c r="Q186" s="60">
        <v>43</v>
      </c>
      <c r="R186" s="48"/>
      <c r="S186" s="63">
        <v>100</v>
      </c>
      <c r="T186" s="48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3"/>
      <c r="AH186" s="58"/>
      <c r="AI186" s="59"/>
      <c r="AJ186" s="57"/>
    </row>
    <row x14ac:dyDescent="0.25" r="187" customHeight="1" ht="18">
      <c r="A187" s="45">
        <v>181</v>
      </c>
      <c r="B187" s="46" t="s">
        <v>47</v>
      </c>
      <c r="C187" s="46" t="s">
        <v>48</v>
      </c>
      <c r="D187" s="47" t="s">
        <v>49</v>
      </c>
      <c r="E187" s="48" t="s">
        <v>466</v>
      </c>
      <c r="F187" s="50" t="s">
        <v>466</v>
      </c>
      <c r="G187" s="63">
        <v>9</v>
      </c>
      <c r="H187" s="50"/>
      <c r="I187" s="118"/>
      <c r="J187" s="48"/>
      <c r="K187" s="64" t="s">
        <v>638</v>
      </c>
      <c r="L187" s="50"/>
      <c r="M187" s="50"/>
      <c r="N187" s="50"/>
      <c r="O187" s="50"/>
      <c r="P187" s="63">
        <v>99</v>
      </c>
      <c r="Q187" s="60">
        <v>25</v>
      </c>
      <c r="R187" s="48"/>
      <c r="S187" s="63">
        <v>72</v>
      </c>
      <c r="T187" s="48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3"/>
      <c r="AH187" s="58"/>
      <c r="AI187" s="59"/>
      <c r="AJ187" s="57"/>
    </row>
    <row x14ac:dyDescent="0.25" r="188" customHeight="1" ht="18">
      <c r="A188" s="45">
        <v>182</v>
      </c>
      <c r="B188" s="46" t="s">
        <v>47</v>
      </c>
      <c r="C188" s="46" t="s">
        <v>48</v>
      </c>
      <c r="D188" s="47" t="s">
        <v>49</v>
      </c>
      <c r="E188" s="48" t="s">
        <v>466</v>
      </c>
      <c r="F188" s="50" t="s">
        <v>466</v>
      </c>
      <c r="G188" s="63">
        <v>9</v>
      </c>
      <c r="H188" s="50"/>
      <c r="I188" s="118"/>
      <c r="J188" s="48"/>
      <c r="K188" s="64" t="s">
        <v>639</v>
      </c>
      <c r="L188" s="50"/>
      <c r="M188" s="50"/>
      <c r="N188" s="50"/>
      <c r="O188" s="50"/>
      <c r="P188" s="63">
        <v>238</v>
      </c>
      <c r="Q188" s="60">
        <v>51</v>
      </c>
      <c r="R188" s="48"/>
      <c r="S188" s="63">
        <v>116</v>
      </c>
      <c r="T188" s="48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3"/>
      <c r="AH188" s="58"/>
      <c r="AI188" s="59"/>
      <c r="AJ188" s="57"/>
    </row>
    <row x14ac:dyDescent="0.25" r="189" customHeight="1" ht="18">
      <c r="A189" s="45">
        <v>183</v>
      </c>
      <c r="B189" s="46" t="s">
        <v>47</v>
      </c>
      <c r="C189" s="46" t="s">
        <v>48</v>
      </c>
      <c r="D189" s="47" t="s">
        <v>49</v>
      </c>
      <c r="E189" s="48" t="s">
        <v>466</v>
      </c>
      <c r="F189" s="50" t="s">
        <v>466</v>
      </c>
      <c r="G189" s="63">
        <v>9</v>
      </c>
      <c r="H189" s="50"/>
      <c r="I189" s="118"/>
      <c r="J189" s="48"/>
      <c r="K189" s="64" t="s">
        <v>640</v>
      </c>
      <c r="L189" s="50"/>
      <c r="M189" s="50"/>
      <c r="N189" s="50"/>
      <c r="O189" s="50"/>
      <c r="P189" s="63">
        <v>206</v>
      </c>
      <c r="Q189" s="60">
        <v>34</v>
      </c>
      <c r="R189" s="114"/>
      <c r="S189" s="56"/>
      <c r="T189" s="48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3"/>
      <c r="AH189" s="58"/>
      <c r="AI189" s="59"/>
      <c r="AJ189" s="57"/>
    </row>
    <row x14ac:dyDescent="0.25" r="190" customHeight="1" ht="18">
      <c r="A190" s="45">
        <v>184</v>
      </c>
      <c r="B190" s="46" t="s">
        <v>47</v>
      </c>
      <c r="C190" s="46" t="s">
        <v>48</v>
      </c>
      <c r="D190" s="47" t="s">
        <v>49</v>
      </c>
      <c r="E190" s="48" t="s">
        <v>466</v>
      </c>
      <c r="F190" s="50" t="s">
        <v>466</v>
      </c>
      <c r="G190" s="63">
        <v>9</v>
      </c>
      <c r="H190" s="50"/>
      <c r="I190" s="118"/>
      <c r="J190" s="48"/>
      <c r="K190" s="64" t="s">
        <v>641</v>
      </c>
      <c r="L190" s="50"/>
      <c r="M190" s="50"/>
      <c r="N190" s="50"/>
      <c r="O190" s="50"/>
      <c r="P190" s="63">
        <v>736</v>
      </c>
      <c r="Q190" s="60">
        <v>117</v>
      </c>
      <c r="R190" s="114"/>
      <c r="S190" s="56"/>
      <c r="T190" s="48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3"/>
      <c r="AH190" s="58"/>
      <c r="AI190" s="59"/>
      <c r="AJ190" s="57"/>
    </row>
    <row x14ac:dyDescent="0.25" r="191" customHeight="1" ht="18">
      <c r="A191" s="45">
        <v>185</v>
      </c>
      <c r="B191" s="46" t="s">
        <v>47</v>
      </c>
      <c r="C191" s="46" t="s">
        <v>48</v>
      </c>
      <c r="D191" s="47" t="s">
        <v>49</v>
      </c>
      <c r="E191" s="48" t="s">
        <v>466</v>
      </c>
      <c r="F191" s="50" t="s">
        <v>466</v>
      </c>
      <c r="G191" s="63">
        <v>9</v>
      </c>
      <c r="H191" s="50"/>
      <c r="I191" s="118"/>
      <c r="J191" s="48"/>
      <c r="K191" s="64" t="s">
        <v>642</v>
      </c>
      <c r="L191" s="50"/>
      <c r="M191" s="50"/>
      <c r="N191" s="50"/>
      <c r="O191" s="50"/>
      <c r="P191" s="63">
        <v>317</v>
      </c>
      <c r="Q191" s="60">
        <v>121</v>
      </c>
      <c r="R191" s="114"/>
      <c r="S191" s="63">
        <v>31</v>
      </c>
      <c r="T191" s="48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3"/>
      <c r="AH191" s="58"/>
      <c r="AI191" s="59"/>
      <c r="AJ191" s="57"/>
    </row>
    <row x14ac:dyDescent="0.25" r="192" customHeight="1" ht="18">
      <c r="A192" s="45">
        <v>186</v>
      </c>
      <c r="B192" s="46" t="s">
        <v>47</v>
      </c>
      <c r="C192" s="46" t="s">
        <v>48</v>
      </c>
      <c r="D192" s="47" t="s">
        <v>49</v>
      </c>
      <c r="E192" s="48" t="s">
        <v>466</v>
      </c>
      <c r="F192" s="50" t="s">
        <v>95</v>
      </c>
      <c r="G192" s="63">
        <v>1</v>
      </c>
      <c r="H192" s="50"/>
      <c r="I192" s="118"/>
      <c r="J192" s="48"/>
      <c r="K192" s="64" t="s">
        <v>643</v>
      </c>
      <c r="L192" s="50"/>
      <c r="M192" s="50"/>
      <c r="N192" s="50"/>
      <c r="O192" s="50"/>
      <c r="P192" s="63">
        <v>2274</v>
      </c>
      <c r="Q192" s="60">
        <v>506</v>
      </c>
      <c r="R192" s="114"/>
      <c r="S192" s="56"/>
      <c r="T192" s="48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3"/>
      <c r="AH192" s="58"/>
      <c r="AI192" s="59"/>
      <c r="AJ192" s="57"/>
    </row>
    <row x14ac:dyDescent="0.25" r="193" customHeight="1" ht="18">
      <c r="A193" s="45">
        <v>187</v>
      </c>
      <c r="B193" s="46" t="s">
        <v>47</v>
      </c>
      <c r="C193" s="46" t="s">
        <v>48</v>
      </c>
      <c r="D193" s="47" t="s">
        <v>49</v>
      </c>
      <c r="E193" s="48" t="s">
        <v>466</v>
      </c>
      <c r="F193" s="50" t="s">
        <v>95</v>
      </c>
      <c r="G193" s="63">
        <v>2</v>
      </c>
      <c r="H193" s="50"/>
      <c r="I193" s="118"/>
      <c r="J193" s="48"/>
      <c r="K193" s="64" t="s">
        <v>644</v>
      </c>
      <c r="L193" s="50"/>
      <c r="M193" s="50"/>
      <c r="N193" s="50"/>
      <c r="O193" s="50"/>
      <c r="P193" s="63">
        <v>2843</v>
      </c>
      <c r="Q193" s="60">
        <v>590</v>
      </c>
      <c r="R193" s="114"/>
      <c r="S193" s="63">
        <v>1250</v>
      </c>
      <c r="T193" s="48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3"/>
      <c r="AH193" s="58"/>
      <c r="AI193" s="59"/>
      <c r="AJ193" s="57"/>
    </row>
    <row x14ac:dyDescent="0.25" r="194" customHeight="1" ht="18">
      <c r="A194" s="45">
        <v>188</v>
      </c>
      <c r="B194" s="46" t="s">
        <v>47</v>
      </c>
      <c r="C194" s="46" t="s">
        <v>48</v>
      </c>
      <c r="D194" s="47" t="s">
        <v>49</v>
      </c>
      <c r="E194" s="48" t="s">
        <v>466</v>
      </c>
      <c r="F194" s="50" t="s">
        <v>95</v>
      </c>
      <c r="G194" s="63">
        <v>3</v>
      </c>
      <c r="H194" s="50"/>
      <c r="I194" s="118"/>
      <c r="J194" s="48"/>
      <c r="K194" s="64" t="s">
        <v>645</v>
      </c>
      <c r="L194" s="50"/>
      <c r="M194" s="50"/>
      <c r="N194" s="50"/>
      <c r="O194" s="50"/>
      <c r="P194" s="63">
        <v>1032</v>
      </c>
      <c r="Q194" s="60">
        <v>253</v>
      </c>
      <c r="R194" s="114"/>
      <c r="S194" s="56"/>
      <c r="T194" s="48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3"/>
      <c r="AH194" s="58"/>
      <c r="AI194" s="59"/>
      <c r="AJ194" s="57"/>
    </row>
    <row x14ac:dyDescent="0.25" r="195" customHeight="1" ht="18">
      <c r="A195" s="45">
        <v>189</v>
      </c>
      <c r="B195" s="46" t="s">
        <v>47</v>
      </c>
      <c r="C195" s="46" t="s">
        <v>48</v>
      </c>
      <c r="D195" s="47" t="s">
        <v>49</v>
      </c>
      <c r="E195" s="48" t="s">
        <v>466</v>
      </c>
      <c r="F195" s="50" t="s">
        <v>95</v>
      </c>
      <c r="G195" s="63">
        <v>4</v>
      </c>
      <c r="H195" s="50"/>
      <c r="I195" s="118"/>
      <c r="J195" s="48"/>
      <c r="K195" s="64" t="s">
        <v>646</v>
      </c>
      <c r="L195" s="50"/>
      <c r="M195" s="50"/>
      <c r="N195" s="50"/>
      <c r="O195" s="50"/>
      <c r="P195" s="63">
        <v>510</v>
      </c>
      <c r="Q195" s="60">
        <v>102</v>
      </c>
      <c r="R195" s="114"/>
      <c r="S195" s="56"/>
      <c r="T195" s="48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3"/>
      <c r="AH195" s="58"/>
      <c r="AI195" s="59"/>
      <c r="AJ195" s="57"/>
    </row>
    <row x14ac:dyDescent="0.25" r="196" customHeight="1" ht="18">
      <c r="A196" s="45">
        <v>190</v>
      </c>
      <c r="B196" s="46" t="s">
        <v>47</v>
      </c>
      <c r="C196" s="46" t="s">
        <v>48</v>
      </c>
      <c r="D196" s="47" t="s">
        <v>49</v>
      </c>
      <c r="E196" s="48" t="s">
        <v>466</v>
      </c>
      <c r="F196" s="50" t="s">
        <v>95</v>
      </c>
      <c r="G196" s="63">
        <v>4</v>
      </c>
      <c r="H196" s="50"/>
      <c r="I196" s="118"/>
      <c r="J196" s="48"/>
      <c r="K196" s="64" t="s">
        <v>647</v>
      </c>
      <c r="L196" s="50"/>
      <c r="M196" s="50"/>
      <c r="N196" s="50"/>
      <c r="O196" s="50"/>
      <c r="P196" s="63">
        <v>450</v>
      </c>
      <c r="Q196" s="60">
        <v>127</v>
      </c>
      <c r="R196" s="114"/>
      <c r="S196" s="63">
        <v>315</v>
      </c>
      <c r="T196" s="48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3"/>
      <c r="AH196" s="58"/>
      <c r="AI196" s="59"/>
      <c r="AJ196" s="57"/>
    </row>
    <row x14ac:dyDescent="0.25" r="197" customHeight="1" ht="18">
      <c r="A197" s="45">
        <v>191</v>
      </c>
      <c r="B197" s="46" t="s">
        <v>47</v>
      </c>
      <c r="C197" s="46" t="s">
        <v>48</v>
      </c>
      <c r="D197" s="47" t="s">
        <v>49</v>
      </c>
      <c r="E197" s="48" t="s">
        <v>466</v>
      </c>
      <c r="F197" s="50" t="s">
        <v>95</v>
      </c>
      <c r="G197" s="63">
        <v>4</v>
      </c>
      <c r="H197" s="50"/>
      <c r="I197" s="118"/>
      <c r="J197" s="48"/>
      <c r="K197" s="64" t="s">
        <v>648</v>
      </c>
      <c r="L197" s="50"/>
      <c r="M197" s="50"/>
      <c r="N197" s="50"/>
      <c r="O197" s="50"/>
      <c r="P197" s="63">
        <v>210</v>
      </c>
      <c r="Q197" s="60">
        <v>60</v>
      </c>
      <c r="R197" s="114"/>
      <c r="S197" s="56"/>
      <c r="T197" s="48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3"/>
      <c r="AH197" s="58"/>
      <c r="AI197" s="59"/>
      <c r="AJ197" s="57"/>
    </row>
    <row x14ac:dyDescent="0.25" r="198" customHeight="1" ht="18">
      <c r="A198" s="45">
        <v>192</v>
      </c>
      <c r="B198" s="46" t="s">
        <v>47</v>
      </c>
      <c r="C198" s="46" t="s">
        <v>48</v>
      </c>
      <c r="D198" s="47" t="s">
        <v>49</v>
      </c>
      <c r="E198" s="48" t="s">
        <v>466</v>
      </c>
      <c r="F198" s="50" t="s">
        <v>95</v>
      </c>
      <c r="G198" s="63">
        <v>4</v>
      </c>
      <c r="H198" s="50"/>
      <c r="I198" s="118"/>
      <c r="J198" s="48"/>
      <c r="K198" s="64" t="s">
        <v>649</v>
      </c>
      <c r="L198" s="50"/>
      <c r="M198" s="50"/>
      <c r="N198" s="50"/>
      <c r="O198" s="50"/>
      <c r="P198" s="63">
        <v>991</v>
      </c>
      <c r="Q198" s="60">
        <v>210</v>
      </c>
      <c r="R198" s="114"/>
      <c r="S198" s="56"/>
      <c r="T198" s="48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3"/>
      <c r="AH198" s="58"/>
      <c r="AI198" s="59"/>
      <c r="AJ198" s="57"/>
    </row>
    <row x14ac:dyDescent="0.25" r="199" customHeight="1" ht="18">
      <c r="A199" s="45">
        <v>193</v>
      </c>
      <c r="B199" s="46" t="s">
        <v>47</v>
      </c>
      <c r="C199" s="46" t="s">
        <v>48</v>
      </c>
      <c r="D199" s="47" t="s">
        <v>49</v>
      </c>
      <c r="E199" s="48" t="s">
        <v>466</v>
      </c>
      <c r="F199" s="50" t="s">
        <v>95</v>
      </c>
      <c r="G199" s="63">
        <v>5</v>
      </c>
      <c r="H199" s="50"/>
      <c r="I199" s="118"/>
      <c r="J199" s="48"/>
      <c r="K199" s="64" t="s">
        <v>650</v>
      </c>
      <c r="L199" s="50"/>
      <c r="M199" s="50"/>
      <c r="N199" s="50"/>
      <c r="O199" s="50"/>
      <c r="P199" s="63">
        <v>320</v>
      </c>
      <c r="Q199" s="60">
        <v>75</v>
      </c>
      <c r="R199" s="48"/>
      <c r="S199" s="56"/>
      <c r="T199" s="48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3"/>
      <c r="AH199" s="58"/>
      <c r="AI199" s="59"/>
      <c r="AJ199" s="57"/>
    </row>
    <row x14ac:dyDescent="0.25" r="200" customHeight="1" ht="18">
      <c r="A200" s="45">
        <v>194</v>
      </c>
      <c r="B200" s="46" t="s">
        <v>47</v>
      </c>
      <c r="C200" s="46" t="s">
        <v>48</v>
      </c>
      <c r="D200" s="47" t="s">
        <v>49</v>
      </c>
      <c r="E200" s="48" t="s">
        <v>466</v>
      </c>
      <c r="F200" s="50" t="s">
        <v>95</v>
      </c>
      <c r="G200" s="63">
        <v>5</v>
      </c>
      <c r="H200" s="50"/>
      <c r="I200" s="118"/>
      <c r="J200" s="48"/>
      <c r="K200" s="64" t="s">
        <v>651</v>
      </c>
      <c r="L200" s="50"/>
      <c r="M200" s="50"/>
      <c r="N200" s="50"/>
      <c r="O200" s="50"/>
      <c r="P200" s="63">
        <v>347</v>
      </c>
      <c r="Q200" s="60">
        <v>83</v>
      </c>
      <c r="R200" s="48"/>
      <c r="S200" s="56"/>
      <c r="T200" s="48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3"/>
      <c r="AH200" s="58"/>
      <c r="AI200" s="59"/>
      <c r="AJ200" s="57"/>
    </row>
    <row x14ac:dyDescent="0.25" r="201" customHeight="1" ht="18">
      <c r="A201" s="45">
        <v>195</v>
      </c>
      <c r="B201" s="46" t="s">
        <v>47</v>
      </c>
      <c r="C201" s="46" t="s">
        <v>48</v>
      </c>
      <c r="D201" s="47" t="s">
        <v>49</v>
      </c>
      <c r="E201" s="48" t="s">
        <v>466</v>
      </c>
      <c r="F201" s="50" t="s">
        <v>95</v>
      </c>
      <c r="G201" s="63">
        <v>5</v>
      </c>
      <c r="H201" s="50"/>
      <c r="I201" s="118"/>
      <c r="J201" s="48"/>
      <c r="K201" s="64" t="s">
        <v>652</v>
      </c>
      <c r="L201" s="50"/>
      <c r="M201" s="50"/>
      <c r="N201" s="50"/>
      <c r="O201" s="50"/>
      <c r="P201" s="63">
        <v>974</v>
      </c>
      <c r="Q201" s="60">
        <v>196</v>
      </c>
      <c r="R201" s="48"/>
      <c r="S201" s="56"/>
      <c r="T201" s="48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3"/>
      <c r="AH201" s="58"/>
      <c r="AI201" s="59"/>
      <c r="AJ201" s="57"/>
    </row>
    <row x14ac:dyDescent="0.25" r="202" customHeight="1" ht="18">
      <c r="A202" s="45">
        <v>196</v>
      </c>
      <c r="B202" s="46" t="s">
        <v>47</v>
      </c>
      <c r="C202" s="46" t="s">
        <v>48</v>
      </c>
      <c r="D202" s="47" t="s">
        <v>49</v>
      </c>
      <c r="E202" s="48" t="s">
        <v>466</v>
      </c>
      <c r="F202" s="50" t="s">
        <v>95</v>
      </c>
      <c r="G202" s="63">
        <v>5</v>
      </c>
      <c r="H202" s="50"/>
      <c r="I202" s="118"/>
      <c r="J202" s="48"/>
      <c r="K202" s="64" t="s">
        <v>478</v>
      </c>
      <c r="L202" s="50"/>
      <c r="M202" s="50"/>
      <c r="N202" s="50"/>
      <c r="O202" s="50"/>
      <c r="P202" s="63">
        <v>1035</v>
      </c>
      <c r="Q202" s="60">
        <v>269</v>
      </c>
      <c r="R202" s="114"/>
      <c r="S202" s="56"/>
      <c r="T202" s="48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3"/>
      <c r="AH202" s="58"/>
      <c r="AI202" s="59"/>
      <c r="AJ202" s="57"/>
    </row>
    <row x14ac:dyDescent="0.25" r="203" customHeight="1" ht="18">
      <c r="A203" s="45">
        <v>197</v>
      </c>
      <c r="B203" s="46" t="s">
        <v>47</v>
      </c>
      <c r="C203" s="46" t="s">
        <v>48</v>
      </c>
      <c r="D203" s="47" t="s">
        <v>49</v>
      </c>
      <c r="E203" s="48" t="s">
        <v>466</v>
      </c>
      <c r="F203" s="50" t="s">
        <v>95</v>
      </c>
      <c r="G203" s="63">
        <v>6</v>
      </c>
      <c r="H203" s="50"/>
      <c r="I203" s="118"/>
      <c r="J203" s="48"/>
      <c r="K203" s="64" t="s">
        <v>653</v>
      </c>
      <c r="L203" s="50"/>
      <c r="M203" s="50"/>
      <c r="N203" s="50"/>
      <c r="O203" s="50"/>
      <c r="P203" s="63">
        <v>180</v>
      </c>
      <c r="Q203" s="60">
        <v>36</v>
      </c>
      <c r="R203" s="48"/>
      <c r="S203" s="63">
        <v>81</v>
      </c>
      <c r="T203" s="48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3"/>
      <c r="AH203" s="58"/>
      <c r="AI203" s="59"/>
      <c r="AJ203" s="57"/>
    </row>
    <row x14ac:dyDescent="0.25" r="204" customHeight="1" ht="18">
      <c r="A204" s="45">
        <v>198</v>
      </c>
      <c r="B204" s="46" t="s">
        <v>47</v>
      </c>
      <c r="C204" s="46" t="s">
        <v>48</v>
      </c>
      <c r="D204" s="47" t="s">
        <v>49</v>
      </c>
      <c r="E204" s="48" t="s">
        <v>466</v>
      </c>
      <c r="F204" s="50" t="s">
        <v>95</v>
      </c>
      <c r="G204" s="63">
        <v>6</v>
      </c>
      <c r="H204" s="50"/>
      <c r="I204" s="118"/>
      <c r="J204" s="48"/>
      <c r="K204" s="64" t="s">
        <v>654</v>
      </c>
      <c r="L204" s="50"/>
      <c r="M204" s="50"/>
      <c r="N204" s="50"/>
      <c r="O204" s="50"/>
      <c r="P204" s="63">
        <v>235</v>
      </c>
      <c r="Q204" s="60">
        <v>55</v>
      </c>
      <c r="R204" s="48"/>
      <c r="S204" s="63">
        <v>110</v>
      </c>
      <c r="T204" s="48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3"/>
      <c r="AH204" s="58"/>
      <c r="AI204" s="59"/>
      <c r="AJ204" s="57"/>
    </row>
    <row x14ac:dyDescent="0.25" r="205" customHeight="1" ht="18">
      <c r="A205" s="45">
        <v>199</v>
      </c>
      <c r="B205" s="46" t="s">
        <v>47</v>
      </c>
      <c r="C205" s="46" t="s">
        <v>48</v>
      </c>
      <c r="D205" s="47" t="s">
        <v>49</v>
      </c>
      <c r="E205" s="48" t="s">
        <v>466</v>
      </c>
      <c r="F205" s="50" t="s">
        <v>95</v>
      </c>
      <c r="G205" s="63">
        <v>6</v>
      </c>
      <c r="H205" s="50"/>
      <c r="I205" s="118"/>
      <c r="J205" s="48"/>
      <c r="K205" s="64" t="s">
        <v>655</v>
      </c>
      <c r="L205" s="50"/>
      <c r="M205" s="50"/>
      <c r="N205" s="50"/>
      <c r="O205" s="50"/>
      <c r="P205" s="63">
        <v>167</v>
      </c>
      <c r="Q205" s="60">
        <v>40</v>
      </c>
      <c r="R205" s="48"/>
      <c r="S205" s="63">
        <v>82</v>
      </c>
      <c r="T205" s="48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3"/>
      <c r="AH205" s="58"/>
      <c r="AI205" s="59"/>
      <c r="AJ205" s="57"/>
    </row>
    <row x14ac:dyDescent="0.25" r="206" customHeight="1" ht="18">
      <c r="A206" s="45">
        <v>200</v>
      </c>
      <c r="B206" s="46" t="s">
        <v>47</v>
      </c>
      <c r="C206" s="46" t="s">
        <v>48</v>
      </c>
      <c r="D206" s="47" t="s">
        <v>49</v>
      </c>
      <c r="E206" s="48" t="s">
        <v>466</v>
      </c>
      <c r="F206" s="50" t="s">
        <v>95</v>
      </c>
      <c r="G206" s="63">
        <v>6</v>
      </c>
      <c r="H206" s="50"/>
      <c r="I206" s="118"/>
      <c r="J206" s="48"/>
      <c r="K206" s="64" t="s">
        <v>656</v>
      </c>
      <c r="L206" s="50"/>
      <c r="M206" s="50"/>
      <c r="N206" s="50"/>
      <c r="O206" s="50"/>
      <c r="P206" s="63">
        <v>387</v>
      </c>
      <c r="Q206" s="60">
        <v>87</v>
      </c>
      <c r="R206" s="114"/>
      <c r="S206" s="63">
        <v>175</v>
      </c>
      <c r="T206" s="48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3"/>
      <c r="AH206" s="58"/>
      <c r="AI206" s="59"/>
      <c r="AJ206" s="57"/>
    </row>
    <row x14ac:dyDescent="0.25" r="207" customHeight="1" ht="18">
      <c r="A207" s="45">
        <v>201</v>
      </c>
      <c r="B207" s="46" t="s">
        <v>47</v>
      </c>
      <c r="C207" s="46" t="s">
        <v>48</v>
      </c>
      <c r="D207" s="47" t="s">
        <v>49</v>
      </c>
      <c r="E207" s="48" t="s">
        <v>466</v>
      </c>
      <c r="F207" s="50" t="s">
        <v>95</v>
      </c>
      <c r="G207" s="63">
        <v>7</v>
      </c>
      <c r="H207" s="50"/>
      <c r="I207" s="118"/>
      <c r="J207" s="48"/>
      <c r="K207" s="64" t="s">
        <v>657</v>
      </c>
      <c r="L207" s="50"/>
      <c r="M207" s="50"/>
      <c r="N207" s="50"/>
      <c r="O207" s="50"/>
      <c r="P207" s="63">
        <v>301</v>
      </c>
      <c r="Q207" s="60">
        <v>64</v>
      </c>
      <c r="R207" s="114"/>
      <c r="S207" s="63">
        <v>146</v>
      </c>
      <c r="T207" s="48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3"/>
      <c r="AH207" s="58"/>
      <c r="AI207" s="59"/>
      <c r="AJ207" s="57"/>
    </row>
    <row x14ac:dyDescent="0.25" r="208" customHeight="1" ht="18">
      <c r="A208" s="45">
        <v>202</v>
      </c>
      <c r="B208" s="46" t="s">
        <v>47</v>
      </c>
      <c r="C208" s="46" t="s">
        <v>48</v>
      </c>
      <c r="D208" s="47" t="s">
        <v>49</v>
      </c>
      <c r="E208" s="48" t="s">
        <v>466</v>
      </c>
      <c r="F208" s="50" t="s">
        <v>95</v>
      </c>
      <c r="G208" s="63">
        <v>7</v>
      </c>
      <c r="H208" s="50"/>
      <c r="I208" s="118"/>
      <c r="J208" s="48"/>
      <c r="K208" s="64" t="s">
        <v>658</v>
      </c>
      <c r="L208" s="50"/>
      <c r="M208" s="50"/>
      <c r="N208" s="50"/>
      <c r="O208" s="50"/>
      <c r="P208" s="63">
        <v>398</v>
      </c>
      <c r="Q208" s="60">
        <v>108</v>
      </c>
      <c r="R208" s="114"/>
      <c r="S208" s="56"/>
      <c r="T208" s="48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3"/>
      <c r="AH208" s="58"/>
      <c r="AI208" s="59"/>
      <c r="AJ208" s="57"/>
    </row>
    <row x14ac:dyDescent="0.25" r="209" customHeight="1" ht="18">
      <c r="A209" s="45">
        <v>203</v>
      </c>
      <c r="B209" s="46" t="s">
        <v>47</v>
      </c>
      <c r="C209" s="46" t="s">
        <v>48</v>
      </c>
      <c r="D209" s="47" t="s">
        <v>49</v>
      </c>
      <c r="E209" s="48" t="s">
        <v>466</v>
      </c>
      <c r="F209" s="50" t="s">
        <v>95</v>
      </c>
      <c r="G209" s="63">
        <v>7</v>
      </c>
      <c r="H209" s="50"/>
      <c r="I209" s="118"/>
      <c r="J209" s="48"/>
      <c r="K209" s="64" t="s">
        <v>659</v>
      </c>
      <c r="L209" s="50"/>
      <c r="M209" s="50"/>
      <c r="N209" s="50"/>
      <c r="O209" s="50"/>
      <c r="P209" s="63">
        <v>168</v>
      </c>
      <c r="Q209" s="60">
        <v>46</v>
      </c>
      <c r="R209" s="114"/>
      <c r="S209" s="63">
        <v>50</v>
      </c>
      <c r="T209" s="48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3"/>
      <c r="AH209" s="58"/>
      <c r="AI209" s="59"/>
      <c r="AJ209" s="57"/>
    </row>
    <row x14ac:dyDescent="0.25" r="210" customHeight="1" ht="18">
      <c r="A210" s="45">
        <v>204</v>
      </c>
      <c r="B210" s="46" t="s">
        <v>47</v>
      </c>
      <c r="C210" s="46" t="s">
        <v>48</v>
      </c>
      <c r="D210" s="47" t="s">
        <v>49</v>
      </c>
      <c r="E210" s="48" t="s">
        <v>466</v>
      </c>
      <c r="F210" s="50" t="s">
        <v>95</v>
      </c>
      <c r="G210" s="63">
        <v>7</v>
      </c>
      <c r="H210" s="50"/>
      <c r="I210" s="118"/>
      <c r="J210" s="48"/>
      <c r="K210" s="64" t="s">
        <v>88</v>
      </c>
      <c r="L210" s="50"/>
      <c r="M210" s="50"/>
      <c r="N210" s="50"/>
      <c r="O210" s="50"/>
      <c r="P210" s="63">
        <v>240</v>
      </c>
      <c r="Q210" s="60">
        <v>53</v>
      </c>
      <c r="R210" s="114"/>
      <c r="S210" s="63">
        <v>130</v>
      </c>
      <c r="T210" s="48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3"/>
      <c r="AH210" s="58"/>
      <c r="AI210" s="59"/>
      <c r="AJ210" s="57"/>
    </row>
    <row x14ac:dyDescent="0.25" r="211" customHeight="1" ht="18">
      <c r="A211" s="45">
        <v>205</v>
      </c>
      <c r="B211" s="46" t="s">
        <v>47</v>
      </c>
      <c r="C211" s="46" t="s">
        <v>48</v>
      </c>
      <c r="D211" s="47" t="s">
        <v>49</v>
      </c>
      <c r="E211" s="48" t="s">
        <v>466</v>
      </c>
      <c r="F211" s="50" t="s">
        <v>95</v>
      </c>
      <c r="G211" s="63">
        <v>7</v>
      </c>
      <c r="H211" s="50"/>
      <c r="I211" s="118"/>
      <c r="J211" s="48"/>
      <c r="K211" s="64" t="s">
        <v>483</v>
      </c>
      <c r="L211" s="50"/>
      <c r="M211" s="50"/>
      <c r="N211" s="50"/>
      <c r="O211" s="50"/>
      <c r="P211" s="63">
        <v>85</v>
      </c>
      <c r="Q211" s="60">
        <v>18</v>
      </c>
      <c r="R211" s="114"/>
      <c r="S211" s="63">
        <v>35</v>
      </c>
      <c r="T211" s="48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3"/>
      <c r="AH211" s="58"/>
      <c r="AI211" s="59"/>
      <c r="AJ211" s="57"/>
    </row>
    <row x14ac:dyDescent="0.25" r="212" customHeight="1" ht="18">
      <c r="A212" s="45">
        <v>206</v>
      </c>
      <c r="B212" s="46" t="s">
        <v>47</v>
      </c>
      <c r="C212" s="46" t="s">
        <v>48</v>
      </c>
      <c r="D212" s="47" t="s">
        <v>49</v>
      </c>
      <c r="E212" s="48" t="s">
        <v>466</v>
      </c>
      <c r="F212" s="50" t="s">
        <v>95</v>
      </c>
      <c r="G212" s="63">
        <v>7</v>
      </c>
      <c r="H212" s="50"/>
      <c r="I212" s="118"/>
      <c r="J212" s="48"/>
      <c r="K212" s="64" t="s">
        <v>660</v>
      </c>
      <c r="L212" s="50"/>
      <c r="M212" s="50"/>
      <c r="N212" s="50"/>
      <c r="O212" s="50"/>
      <c r="P212" s="63">
        <v>399</v>
      </c>
      <c r="Q212" s="60">
        <v>86</v>
      </c>
      <c r="R212" s="114"/>
      <c r="S212" s="63">
        <v>289</v>
      </c>
      <c r="T212" s="48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3"/>
      <c r="AH212" s="58"/>
      <c r="AI212" s="59"/>
      <c r="AJ212" s="57"/>
    </row>
    <row x14ac:dyDescent="0.25" r="213" customHeight="1" ht="18">
      <c r="A213" s="45">
        <v>207</v>
      </c>
      <c r="B213" s="46" t="s">
        <v>47</v>
      </c>
      <c r="C213" s="46" t="s">
        <v>48</v>
      </c>
      <c r="D213" s="47" t="s">
        <v>49</v>
      </c>
      <c r="E213" s="48" t="s">
        <v>466</v>
      </c>
      <c r="F213" s="50" t="s">
        <v>95</v>
      </c>
      <c r="G213" s="63">
        <v>8</v>
      </c>
      <c r="H213" s="50"/>
      <c r="I213" s="118"/>
      <c r="J213" s="48"/>
      <c r="K213" s="64" t="s">
        <v>404</v>
      </c>
      <c r="L213" s="50"/>
      <c r="M213" s="50"/>
      <c r="N213" s="50"/>
      <c r="O213" s="50"/>
      <c r="P213" s="63">
        <v>123</v>
      </c>
      <c r="Q213" s="60">
        <v>39</v>
      </c>
      <c r="R213" s="48"/>
      <c r="S213" s="56"/>
      <c r="T213" s="48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3"/>
      <c r="AH213" s="58"/>
      <c r="AI213" s="59"/>
      <c r="AJ213" s="57"/>
    </row>
    <row x14ac:dyDescent="0.25" r="214" customHeight="1" ht="18">
      <c r="A214" s="45">
        <v>208</v>
      </c>
      <c r="B214" s="46" t="s">
        <v>47</v>
      </c>
      <c r="C214" s="46" t="s">
        <v>48</v>
      </c>
      <c r="D214" s="47" t="s">
        <v>49</v>
      </c>
      <c r="E214" s="48" t="s">
        <v>466</v>
      </c>
      <c r="F214" s="50" t="s">
        <v>95</v>
      </c>
      <c r="G214" s="63">
        <v>8</v>
      </c>
      <c r="H214" s="50"/>
      <c r="I214" s="118"/>
      <c r="J214" s="48"/>
      <c r="K214" s="64" t="s">
        <v>661</v>
      </c>
      <c r="L214" s="50"/>
      <c r="M214" s="50"/>
      <c r="N214" s="50"/>
      <c r="O214" s="50"/>
      <c r="P214" s="63">
        <v>215</v>
      </c>
      <c r="Q214" s="60">
        <v>79</v>
      </c>
      <c r="R214" s="48"/>
      <c r="S214" s="56"/>
      <c r="T214" s="48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3"/>
      <c r="AH214" s="58"/>
      <c r="AI214" s="59"/>
      <c r="AJ214" s="57"/>
    </row>
    <row x14ac:dyDescent="0.25" r="215" customHeight="1" ht="18">
      <c r="A215" s="45">
        <v>209</v>
      </c>
      <c r="B215" s="46" t="s">
        <v>47</v>
      </c>
      <c r="C215" s="46" t="s">
        <v>48</v>
      </c>
      <c r="D215" s="47" t="s">
        <v>49</v>
      </c>
      <c r="E215" s="48" t="s">
        <v>466</v>
      </c>
      <c r="F215" s="50" t="s">
        <v>95</v>
      </c>
      <c r="G215" s="63">
        <v>8</v>
      </c>
      <c r="H215" s="50"/>
      <c r="I215" s="118"/>
      <c r="J215" s="48"/>
      <c r="K215" s="64" t="s">
        <v>662</v>
      </c>
      <c r="L215" s="50"/>
      <c r="M215" s="50"/>
      <c r="N215" s="50"/>
      <c r="O215" s="50"/>
      <c r="P215" s="63">
        <v>651</v>
      </c>
      <c r="Q215" s="60">
        <v>109</v>
      </c>
      <c r="R215" s="114"/>
      <c r="S215" s="56"/>
      <c r="T215" s="48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3"/>
      <c r="AH215" s="58"/>
      <c r="AI215" s="59"/>
      <c r="AJ215" s="57"/>
    </row>
    <row x14ac:dyDescent="0.25" r="216" customHeight="1" ht="18">
      <c r="A216" s="45">
        <v>210</v>
      </c>
      <c r="B216" s="46" t="s">
        <v>47</v>
      </c>
      <c r="C216" s="46" t="s">
        <v>48</v>
      </c>
      <c r="D216" s="47" t="s">
        <v>49</v>
      </c>
      <c r="E216" s="48" t="s">
        <v>466</v>
      </c>
      <c r="F216" s="50" t="s">
        <v>95</v>
      </c>
      <c r="G216" s="63">
        <v>8</v>
      </c>
      <c r="H216" s="50"/>
      <c r="I216" s="118"/>
      <c r="J216" s="48"/>
      <c r="K216" s="64" t="s">
        <v>663</v>
      </c>
      <c r="L216" s="50"/>
      <c r="M216" s="50"/>
      <c r="N216" s="50"/>
      <c r="O216" s="50"/>
      <c r="P216" s="63">
        <v>348</v>
      </c>
      <c r="Q216" s="60">
        <v>84</v>
      </c>
      <c r="R216" s="114"/>
      <c r="S216" s="56"/>
      <c r="T216" s="48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3"/>
      <c r="AH216" s="58"/>
      <c r="AI216" s="59"/>
      <c r="AJ216" s="57"/>
    </row>
    <row x14ac:dyDescent="0.25" r="217" customHeight="1" ht="18">
      <c r="A217" s="45">
        <v>211</v>
      </c>
      <c r="B217" s="46" t="s">
        <v>47</v>
      </c>
      <c r="C217" s="46" t="s">
        <v>48</v>
      </c>
      <c r="D217" s="47" t="s">
        <v>49</v>
      </c>
      <c r="E217" s="48" t="s">
        <v>466</v>
      </c>
      <c r="F217" s="50" t="s">
        <v>95</v>
      </c>
      <c r="G217" s="63">
        <v>8</v>
      </c>
      <c r="H217" s="50"/>
      <c r="I217" s="118"/>
      <c r="J217" s="48"/>
      <c r="K217" s="64" t="s">
        <v>515</v>
      </c>
      <c r="L217" s="50"/>
      <c r="M217" s="50"/>
      <c r="N217" s="50"/>
      <c r="O217" s="50"/>
      <c r="P217" s="63">
        <v>559</v>
      </c>
      <c r="Q217" s="60">
        <v>135</v>
      </c>
      <c r="R217" s="114"/>
      <c r="S217" s="56"/>
      <c r="T217" s="48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3"/>
      <c r="AH217" s="58"/>
      <c r="AI217" s="59"/>
      <c r="AJ217" s="57"/>
    </row>
    <row x14ac:dyDescent="0.25" r="218" customHeight="1" ht="18">
      <c r="A218" s="45">
        <v>212</v>
      </c>
      <c r="B218" s="46" t="s">
        <v>47</v>
      </c>
      <c r="C218" s="46" t="s">
        <v>48</v>
      </c>
      <c r="D218" s="47" t="s">
        <v>49</v>
      </c>
      <c r="E218" s="48" t="s">
        <v>466</v>
      </c>
      <c r="F218" s="50" t="s">
        <v>95</v>
      </c>
      <c r="G218" s="63">
        <v>8</v>
      </c>
      <c r="H218" s="50"/>
      <c r="I218" s="118"/>
      <c r="J218" s="48"/>
      <c r="K218" s="64" t="s">
        <v>664</v>
      </c>
      <c r="L218" s="50"/>
      <c r="M218" s="50"/>
      <c r="N218" s="50"/>
      <c r="O218" s="50"/>
      <c r="P218" s="63">
        <v>70</v>
      </c>
      <c r="Q218" s="60">
        <v>17</v>
      </c>
      <c r="R218" s="114"/>
      <c r="S218" s="56"/>
      <c r="T218" s="48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3"/>
      <c r="AH218" s="58"/>
      <c r="AI218" s="59"/>
      <c r="AJ218" s="57"/>
    </row>
    <row x14ac:dyDescent="0.25" r="219" customHeight="1" ht="18">
      <c r="A219" s="45">
        <v>213</v>
      </c>
      <c r="B219" s="46" t="s">
        <v>47</v>
      </c>
      <c r="C219" s="46" t="s">
        <v>48</v>
      </c>
      <c r="D219" s="47" t="s">
        <v>49</v>
      </c>
      <c r="E219" s="48" t="s">
        <v>466</v>
      </c>
      <c r="F219" s="50" t="s">
        <v>95</v>
      </c>
      <c r="G219" s="63">
        <v>8</v>
      </c>
      <c r="H219" s="50"/>
      <c r="I219" s="118"/>
      <c r="J219" s="48"/>
      <c r="K219" s="64" t="s">
        <v>665</v>
      </c>
      <c r="L219" s="50"/>
      <c r="M219" s="50"/>
      <c r="N219" s="50"/>
      <c r="O219" s="50"/>
      <c r="P219" s="63">
        <v>54</v>
      </c>
      <c r="Q219" s="60">
        <v>12</v>
      </c>
      <c r="R219" s="114"/>
      <c r="S219" s="56"/>
      <c r="T219" s="48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3"/>
      <c r="AH219" s="58"/>
      <c r="AI219" s="59"/>
      <c r="AJ219" s="57"/>
    </row>
    <row x14ac:dyDescent="0.25" r="220" customHeight="1" ht="18">
      <c r="A220" s="45">
        <v>214</v>
      </c>
      <c r="B220" s="46" t="s">
        <v>47</v>
      </c>
      <c r="C220" s="46" t="s">
        <v>48</v>
      </c>
      <c r="D220" s="47" t="s">
        <v>49</v>
      </c>
      <c r="E220" s="48" t="s">
        <v>466</v>
      </c>
      <c r="F220" s="50" t="s">
        <v>95</v>
      </c>
      <c r="G220" s="63">
        <v>8</v>
      </c>
      <c r="H220" s="50"/>
      <c r="I220" s="118"/>
      <c r="J220" s="48"/>
      <c r="K220" s="64" t="s">
        <v>666</v>
      </c>
      <c r="L220" s="50"/>
      <c r="M220" s="50"/>
      <c r="N220" s="50"/>
      <c r="O220" s="50"/>
      <c r="P220" s="63">
        <v>148</v>
      </c>
      <c r="Q220" s="60">
        <v>31</v>
      </c>
      <c r="R220" s="114"/>
      <c r="S220" s="63">
        <v>112</v>
      </c>
      <c r="T220" s="48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3"/>
      <c r="AH220" s="58"/>
      <c r="AI220" s="59"/>
      <c r="AJ220" s="57"/>
    </row>
    <row x14ac:dyDescent="0.25" r="221" customHeight="1" ht="18">
      <c r="A221" s="45">
        <v>215</v>
      </c>
      <c r="B221" s="46" t="s">
        <v>47</v>
      </c>
      <c r="C221" s="46" t="s">
        <v>48</v>
      </c>
      <c r="D221" s="47" t="s">
        <v>49</v>
      </c>
      <c r="E221" s="48" t="s">
        <v>466</v>
      </c>
      <c r="F221" s="50" t="s">
        <v>95</v>
      </c>
      <c r="G221" s="63">
        <v>9</v>
      </c>
      <c r="H221" s="50"/>
      <c r="I221" s="118"/>
      <c r="J221" s="48"/>
      <c r="K221" s="64" t="s">
        <v>667</v>
      </c>
      <c r="L221" s="50"/>
      <c r="M221" s="50"/>
      <c r="N221" s="50"/>
      <c r="O221" s="50"/>
      <c r="P221" s="63">
        <v>685</v>
      </c>
      <c r="Q221" s="60">
        <v>166</v>
      </c>
      <c r="R221" s="114"/>
      <c r="S221" s="56"/>
      <c r="T221" s="48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3"/>
      <c r="AH221" s="58"/>
      <c r="AI221" s="59"/>
      <c r="AJ221" s="57"/>
    </row>
    <row x14ac:dyDescent="0.25" r="222" customHeight="1" ht="18">
      <c r="A222" s="45">
        <v>216</v>
      </c>
      <c r="B222" s="46" t="s">
        <v>47</v>
      </c>
      <c r="C222" s="46" t="s">
        <v>48</v>
      </c>
      <c r="D222" s="47" t="s">
        <v>49</v>
      </c>
      <c r="E222" s="48" t="s">
        <v>466</v>
      </c>
      <c r="F222" s="50" t="s">
        <v>95</v>
      </c>
      <c r="G222" s="63">
        <v>9</v>
      </c>
      <c r="H222" s="50"/>
      <c r="I222" s="118"/>
      <c r="J222" s="48"/>
      <c r="K222" s="64" t="s">
        <v>668</v>
      </c>
      <c r="L222" s="50"/>
      <c r="M222" s="50"/>
      <c r="N222" s="50"/>
      <c r="O222" s="50"/>
      <c r="P222" s="63">
        <v>362</v>
      </c>
      <c r="Q222" s="60">
        <v>88</v>
      </c>
      <c r="R222" s="114"/>
      <c r="S222" s="56"/>
      <c r="T222" s="48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3"/>
      <c r="AH222" s="58"/>
      <c r="AI222" s="59"/>
      <c r="AJ222" s="57"/>
    </row>
    <row x14ac:dyDescent="0.25" r="223" customHeight="1" ht="18">
      <c r="A223" s="45">
        <v>217</v>
      </c>
      <c r="B223" s="46" t="s">
        <v>47</v>
      </c>
      <c r="C223" s="46" t="s">
        <v>48</v>
      </c>
      <c r="D223" s="47" t="s">
        <v>49</v>
      </c>
      <c r="E223" s="48" t="s">
        <v>466</v>
      </c>
      <c r="F223" s="50" t="s">
        <v>95</v>
      </c>
      <c r="G223" s="63">
        <v>9</v>
      </c>
      <c r="H223" s="50"/>
      <c r="I223" s="118"/>
      <c r="J223" s="48"/>
      <c r="K223" s="64" t="s">
        <v>669</v>
      </c>
      <c r="L223" s="50"/>
      <c r="M223" s="50"/>
      <c r="N223" s="50"/>
      <c r="O223" s="50"/>
      <c r="P223" s="63">
        <v>165</v>
      </c>
      <c r="Q223" s="60">
        <v>39</v>
      </c>
      <c r="R223" s="114"/>
      <c r="S223" s="63">
        <v>94</v>
      </c>
      <c r="T223" s="48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3"/>
      <c r="AH223" s="58"/>
      <c r="AI223" s="59"/>
      <c r="AJ223" s="57"/>
    </row>
    <row x14ac:dyDescent="0.25" r="224" customHeight="1" ht="18">
      <c r="A224" s="45">
        <v>218</v>
      </c>
      <c r="B224" s="46" t="s">
        <v>47</v>
      </c>
      <c r="C224" s="46" t="s">
        <v>48</v>
      </c>
      <c r="D224" s="47" t="s">
        <v>49</v>
      </c>
      <c r="E224" s="48" t="s">
        <v>466</v>
      </c>
      <c r="F224" s="50" t="s">
        <v>95</v>
      </c>
      <c r="G224" s="63">
        <v>9</v>
      </c>
      <c r="H224" s="50"/>
      <c r="I224" s="118"/>
      <c r="J224" s="48"/>
      <c r="K224" s="64" t="s">
        <v>670</v>
      </c>
      <c r="L224" s="50"/>
      <c r="M224" s="50"/>
      <c r="N224" s="50"/>
      <c r="O224" s="50"/>
      <c r="P224" s="63">
        <v>149</v>
      </c>
      <c r="Q224" s="60">
        <v>36</v>
      </c>
      <c r="R224" s="114"/>
      <c r="S224" s="63">
        <v>76</v>
      </c>
      <c r="T224" s="48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3"/>
      <c r="AH224" s="58"/>
      <c r="AI224" s="59"/>
      <c r="AJ224" s="57"/>
    </row>
    <row x14ac:dyDescent="0.25" r="225" customHeight="1" ht="18">
      <c r="A225" s="45">
        <v>219</v>
      </c>
      <c r="B225" s="46" t="s">
        <v>47</v>
      </c>
      <c r="C225" s="46" t="s">
        <v>48</v>
      </c>
      <c r="D225" s="47" t="s">
        <v>49</v>
      </c>
      <c r="E225" s="48" t="s">
        <v>466</v>
      </c>
      <c r="F225" s="50" t="s">
        <v>95</v>
      </c>
      <c r="G225" s="63">
        <v>9</v>
      </c>
      <c r="H225" s="50"/>
      <c r="I225" s="118"/>
      <c r="J225" s="48"/>
      <c r="K225" s="64" t="s">
        <v>671</v>
      </c>
      <c r="L225" s="50"/>
      <c r="M225" s="50"/>
      <c r="N225" s="50"/>
      <c r="O225" s="50"/>
      <c r="P225" s="63">
        <v>152</v>
      </c>
      <c r="Q225" s="60">
        <v>36</v>
      </c>
      <c r="R225" s="114"/>
      <c r="S225" s="56"/>
      <c r="T225" s="48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3"/>
      <c r="AH225" s="58"/>
      <c r="AI225" s="59"/>
      <c r="AJ225" s="57"/>
    </row>
    <row x14ac:dyDescent="0.25" r="226" customHeight="1" ht="18">
      <c r="A226" s="45">
        <v>220</v>
      </c>
      <c r="B226" s="46" t="s">
        <v>47</v>
      </c>
      <c r="C226" s="46" t="s">
        <v>48</v>
      </c>
      <c r="D226" s="47" t="s">
        <v>49</v>
      </c>
      <c r="E226" s="48" t="s">
        <v>466</v>
      </c>
      <c r="F226" s="50" t="s">
        <v>95</v>
      </c>
      <c r="G226" s="63">
        <v>9</v>
      </c>
      <c r="H226" s="50"/>
      <c r="I226" s="118"/>
      <c r="J226" s="48"/>
      <c r="K226" s="64" t="s">
        <v>672</v>
      </c>
      <c r="L226" s="50"/>
      <c r="M226" s="50"/>
      <c r="N226" s="50"/>
      <c r="O226" s="50"/>
      <c r="P226" s="63">
        <v>566</v>
      </c>
      <c r="Q226" s="60">
        <v>133</v>
      </c>
      <c r="R226" s="114"/>
      <c r="S226" s="63">
        <v>305</v>
      </c>
      <c r="T226" s="48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3"/>
      <c r="AH226" s="58"/>
      <c r="AI226" s="59"/>
      <c r="AJ226" s="57"/>
    </row>
    <row x14ac:dyDescent="0.25" r="227" customHeight="1" ht="18">
      <c r="A227" s="45">
        <v>221</v>
      </c>
      <c r="B227" s="46" t="s">
        <v>47</v>
      </c>
      <c r="C227" s="46" t="s">
        <v>48</v>
      </c>
      <c r="D227" s="47" t="s">
        <v>49</v>
      </c>
      <c r="E227" s="48" t="s">
        <v>466</v>
      </c>
      <c r="F227" s="50" t="s">
        <v>95</v>
      </c>
      <c r="G227" s="63">
        <v>9</v>
      </c>
      <c r="H227" s="50"/>
      <c r="I227" s="118"/>
      <c r="J227" s="48"/>
      <c r="K227" s="64" t="s">
        <v>673</v>
      </c>
      <c r="L227" s="50"/>
      <c r="M227" s="50"/>
      <c r="N227" s="50"/>
      <c r="O227" s="50"/>
      <c r="P227" s="63">
        <v>391</v>
      </c>
      <c r="Q227" s="60">
        <v>106</v>
      </c>
      <c r="R227" s="114"/>
      <c r="S227" s="56"/>
      <c r="T227" s="48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3"/>
      <c r="AH227" s="58"/>
      <c r="AI227" s="59"/>
      <c r="AJ227" s="57"/>
    </row>
    <row x14ac:dyDescent="0.25" r="228" customHeight="1" ht="18">
      <c r="A228" s="45">
        <v>222</v>
      </c>
      <c r="B228" s="46" t="s">
        <v>47</v>
      </c>
      <c r="C228" s="46" t="s">
        <v>48</v>
      </c>
      <c r="D228" s="47" t="s">
        <v>49</v>
      </c>
      <c r="E228" s="48" t="s">
        <v>466</v>
      </c>
      <c r="F228" s="50" t="s">
        <v>95</v>
      </c>
      <c r="G228" s="63">
        <v>9</v>
      </c>
      <c r="H228" s="50"/>
      <c r="I228" s="118"/>
      <c r="J228" s="48"/>
      <c r="K228" s="64" t="s">
        <v>674</v>
      </c>
      <c r="L228" s="50"/>
      <c r="M228" s="50"/>
      <c r="N228" s="50"/>
      <c r="O228" s="50"/>
      <c r="P228" s="63">
        <v>1287</v>
      </c>
      <c r="Q228" s="60">
        <v>273</v>
      </c>
      <c r="R228" s="114"/>
      <c r="S228" s="56"/>
      <c r="T228" s="48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3"/>
      <c r="AH228" s="58"/>
      <c r="AI228" s="59"/>
      <c r="AJ228" s="57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66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2.290714285714287" customWidth="1" bestFit="1"/>
    <col min="3" max="3" style="85" width="13.576428571428572" customWidth="1" bestFit="1"/>
    <col min="4" max="4" style="86" width="9.576428571428572" customWidth="1" bestFit="1"/>
    <col min="5" max="5" style="86" width="11.005" customWidth="1" bestFit="1"/>
    <col min="6" max="6" style="91" width="13.290714285714287" customWidth="1" bestFit="1"/>
    <col min="7" max="7" style="113" width="6.862142857142857" customWidth="1" bestFit="1"/>
    <col min="8" max="8" style="86" width="19.719285714285714" customWidth="1" bestFit="1"/>
    <col min="9" max="9" style="87" width="7.2907142857142855" customWidth="1" bestFit="1"/>
    <col min="10" max="10" style="86" width="15.719285714285713" customWidth="1" bestFit="1"/>
    <col min="11" max="11" style="113" width="22.005" customWidth="1" bestFit="1"/>
    <col min="12" max="12" style="91" width="19.290714285714284" customWidth="1" bestFit="1"/>
    <col min="13" max="13" style="91" width="8.290714285714287" customWidth="1" bestFit="1"/>
    <col min="14" max="14" style="91" width="9.719285714285713" customWidth="1" bestFit="1"/>
    <col min="15" max="15" style="91" width="10.43357142857143" customWidth="1" bestFit="1"/>
    <col min="16" max="16" style="113" width="8.719285714285713" customWidth="1" bestFit="1"/>
    <col min="17" max="17" style="113" width="8.719285714285713" customWidth="1" bestFit="1"/>
    <col min="18" max="18" style="91" width="7.2907142857142855" customWidth="1" bestFit="1"/>
    <col min="19" max="19" style="84" width="7.433571428571429" customWidth="1" bestFit="1"/>
    <col min="20" max="20" style="84" width="7.2907142857142855" customWidth="1" bestFit="1"/>
    <col min="21" max="21" style="91" width="4.719285714285714" customWidth="1" bestFit="1"/>
    <col min="22" max="22" style="91" width="4.719285714285714" customWidth="1" bestFit="1"/>
    <col min="23" max="23" style="91" width="4.719285714285714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86" width="15.005" customWidth="1" bestFit="1"/>
    <col min="34" max="34" style="92" width="13.005" customWidth="1" bestFit="1"/>
    <col min="35" max="35" style="92" width="13.005" customWidth="1" bestFit="1"/>
    <col min="36" max="36" style="91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COUNTIF(I7:I299,"SK(H)")</f>
      </c>
      <c r="J1" s="4" t="s">
        <v>2</v>
      </c>
      <c r="K1" s="6">
        <f>COUNTA(J7:J315)</f>
      </c>
      <c r="L1" s="7"/>
      <c r="M1" s="7"/>
      <c r="N1" s="7"/>
      <c r="O1" s="7"/>
      <c r="P1" s="93"/>
      <c r="Q1" s="93"/>
      <c r="R1" s="11"/>
      <c r="S1" s="8"/>
      <c r="T1" s="8"/>
      <c r="U1" s="11"/>
      <c r="V1" s="11"/>
      <c r="W1" s="11"/>
      <c r="X1" s="11"/>
      <c r="Y1" s="11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6"/>
      <c r="H2" s="4" t="s">
        <v>4</v>
      </c>
      <c r="I2" s="5">
        <f>COUNTIF(I7:I300,"SHW(H)")</f>
      </c>
      <c r="J2" s="4" t="s">
        <v>5</v>
      </c>
      <c r="K2" s="6">
        <f>COUNTA(K7:K166)</f>
      </c>
      <c r="L2" s="7"/>
      <c r="M2" s="7"/>
      <c r="N2" s="7"/>
      <c r="O2" s="7"/>
      <c r="P2" s="93"/>
      <c r="Q2" s="93"/>
      <c r="R2" s="11"/>
      <c r="S2" s="8"/>
      <c r="T2" s="8"/>
      <c r="U2" s="11"/>
      <c r="V2" s="11"/>
      <c r="W2" s="11"/>
      <c r="X2" s="11"/>
      <c r="Y2" s="11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6"/>
      <c r="H3" s="7"/>
      <c r="I3" s="17"/>
      <c r="J3" s="7"/>
      <c r="K3" s="18"/>
      <c r="L3" s="7"/>
      <c r="M3" s="7"/>
      <c r="N3" s="7"/>
      <c r="O3" s="7"/>
      <c r="P3" s="93"/>
      <c r="Q3" s="93"/>
      <c r="R3" s="11"/>
      <c r="S3" s="8"/>
      <c r="T3" s="8"/>
      <c r="U3" s="11"/>
      <c r="V3" s="11"/>
      <c r="W3" s="11"/>
      <c r="X3" s="11"/>
      <c r="Y3" s="11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"/>
      <c r="H4" s="2"/>
      <c r="I4" s="14"/>
      <c r="J4" s="19"/>
      <c r="K4" s="20"/>
      <c r="L4" s="12"/>
      <c r="M4" s="12"/>
      <c r="N4" s="12"/>
      <c r="O4" s="12"/>
      <c r="P4" s="93"/>
      <c r="Q4" s="93"/>
      <c r="R4" s="11"/>
      <c r="S4" s="8"/>
      <c r="T4" s="8"/>
      <c r="U4" s="11"/>
      <c r="V4" s="11"/>
      <c r="W4" s="11"/>
      <c r="X4" s="11"/>
      <c r="Y4" s="11"/>
      <c r="Z4" s="12"/>
      <c r="AA4" s="2"/>
      <c r="AB4" s="2"/>
      <c r="AC4" s="2"/>
      <c r="AD4" s="12"/>
      <c r="AE4" s="12"/>
      <c r="AF4" s="11"/>
      <c r="AG4" s="12"/>
      <c r="AH4" s="13"/>
      <c r="AI4" s="21"/>
      <c r="AJ4" s="11"/>
    </row>
    <row x14ac:dyDescent="0.25" r="5" customHeight="1" ht="19.8">
      <c r="A5" s="22" t="s">
        <v>8</v>
      </c>
      <c r="B5" s="23"/>
      <c r="C5" s="23"/>
      <c r="D5" s="23"/>
      <c r="E5" s="23" t="s">
        <v>324</v>
      </c>
      <c r="F5" s="23"/>
      <c r="G5" s="22"/>
      <c r="H5" s="12"/>
      <c r="I5" s="14"/>
      <c r="J5" s="2"/>
      <c r="K5" s="24"/>
      <c r="L5" s="25"/>
      <c r="M5" s="25"/>
      <c r="N5" s="25"/>
      <c r="O5" s="25"/>
      <c r="P5" s="26"/>
      <c r="Q5" s="26"/>
      <c r="R5" s="27"/>
      <c r="S5" s="26"/>
      <c r="T5" s="1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32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38" t="s">
        <v>24</v>
      </c>
      <c r="O6" s="38" t="s">
        <v>25</v>
      </c>
      <c r="P6" s="39" t="s">
        <v>26</v>
      </c>
      <c r="Q6" s="39" t="s">
        <v>27</v>
      </c>
      <c r="R6" s="34" t="s">
        <v>28</v>
      </c>
      <c r="S6" s="39" t="s">
        <v>29</v>
      </c>
      <c r="T6" s="39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8">
      <c r="A7" s="45">
        <v>1</v>
      </c>
      <c r="B7" s="46" t="s">
        <v>47</v>
      </c>
      <c r="C7" s="46" t="s">
        <v>48</v>
      </c>
      <c r="D7" s="47" t="s">
        <v>49</v>
      </c>
      <c r="E7" s="48" t="s">
        <v>324</v>
      </c>
      <c r="F7" s="94" t="s">
        <v>325</v>
      </c>
      <c r="G7" s="95">
        <v>1</v>
      </c>
      <c r="H7" s="50"/>
      <c r="I7" s="51"/>
      <c r="J7" s="96"/>
      <c r="K7" s="97" t="s">
        <v>326</v>
      </c>
      <c r="L7" s="98"/>
      <c r="M7" s="98"/>
      <c r="N7" s="98"/>
      <c r="O7" s="98"/>
      <c r="P7" s="99">
        <v>405</v>
      </c>
      <c r="Q7" s="99">
        <v>85</v>
      </c>
      <c r="R7" s="100"/>
      <c r="S7" s="63">
        <v>170</v>
      </c>
      <c r="T7" s="63">
        <v>0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">
      <c r="A8" s="45">
        <v>2</v>
      </c>
      <c r="B8" s="46" t="s">
        <v>47</v>
      </c>
      <c r="C8" s="46" t="s">
        <v>48</v>
      </c>
      <c r="D8" s="47" t="s">
        <v>49</v>
      </c>
      <c r="E8" s="48" t="s">
        <v>324</v>
      </c>
      <c r="F8" s="101" t="s">
        <v>325</v>
      </c>
      <c r="G8" s="102">
        <v>1</v>
      </c>
      <c r="H8" s="50"/>
      <c r="I8" s="51"/>
      <c r="J8" s="47"/>
      <c r="K8" s="103" t="s">
        <v>327</v>
      </c>
      <c r="L8" s="104"/>
      <c r="M8" s="104"/>
      <c r="N8" s="104"/>
      <c r="O8" s="104"/>
      <c r="P8" s="105">
        <v>351</v>
      </c>
      <c r="Q8" s="105">
        <v>77</v>
      </c>
      <c r="R8" s="100"/>
      <c r="S8" s="63">
        <v>150</v>
      </c>
      <c r="T8" s="63">
        <v>0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">
      <c r="A9" s="45">
        <v>3</v>
      </c>
      <c r="B9" s="46" t="s">
        <v>47</v>
      </c>
      <c r="C9" s="46" t="s">
        <v>48</v>
      </c>
      <c r="D9" s="47" t="s">
        <v>49</v>
      </c>
      <c r="E9" s="48" t="s">
        <v>324</v>
      </c>
      <c r="F9" s="101" t="s">
        <v>325</v>
      </c>
      <c r="G9" s="102">
        <v>1</v>
      </c>
      <c r="H9" s="50"/>
      <c r="I9" s="51"/>
      <c r="J9" s="106"/>
      <c r="K9" s="103" t="s">
        <v>328</v>
      </c>
      <c r="L9" s="104"/>
      <c r="M9" s="104"/>
      <c r="N9" s="104"/>
      <c r="O9" s="104"/>
      <c r="P9" s="105">
        <v>240</v>
      </c>
      <c r="Q9" s="105">
        <v>53</v>
      </c>
      <c r="R9" s="100"/>
      <c r="S9" s="63">
        <v>0</v>
      </c>
      <c r="T9" s="63">
        <v>0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">
      <c r="A10" s="45">
        <v>4</v>
      </c>
      <c r="B10" s="46" t="s">
        <v>47</v>
      </c>
      <c r="C10" s="46" t="s">
        <v>48</v>
      </c>
      <c r="D10" s="47" t="s">
        <v>49</v>
      </c>
      <c r="E10" s="48" t="s">
        <v>324</v>
      </c>
      <c r="F10" s="101" t="s">
        <v>325</v>
      </c>
      <c r="G10" s="102">
        <v>1</v>
      </c>
      <c r="H10" s="50"/>
      <c r="I10" s="51"/>
      <c r="J10" s="47"/>
      <c r="K10" s="103" t="s">
        <v>329</v>
      </c>
      <c r="L10" s="104"/>
      <c r="M10" s="104"/>
      <c r="N10" s="104"/>
      <c r="O10" s="104"/>
      <c r="P10" s="105">
        <v>655</v>
      </c>
      <c r="Q10" s="103">
        <v>138</v>
      </c>
      <c r="R10" s="104"/>
      <c r="S10" s="63">
        <v>0</v>
      </c>
      <c r="T10" s="63">
        <v>0</v>
      </c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">
      <c r="A11" s="45">
        <v>5</v>
      </c>
      <c r="B11" s="46" t="s">
        <v>47</v>
      </c>
      <c r="C11" s="46" t="s">
        <v>48</v>
      </c>
      <c r="D11" s="47" t="s">
        <v>49</v>
      </c>
      <c r="E11" s="48" t="s">
        <v>324</v>
      </c>
      <c r="F11" s="101" t="s">
        <v>325</v>
      </c>
      <c r="G11" s="102">
        <v>1</v>
      </c>
      <c r="H11" s="50"/>
      <c r="I11" s="51"/>
      <c r="J11" s="50"/>
      <c r="K11" s="103" t="s">
        <v>88</v>
      </c>
      <c r="L11" s="104"/>
      <c r="M11" s="104"/>
      <c r="N11" s="104"/>
      <c r="O11" s="104"/>
      <c r="P11" s="105">
        <v>535</v>
      </c>
      <c r="Q11" s="105">
        <v>116</v>
      </c>
      <c r="R11" s="100"/>
      <c r="S11" s="63">
        <v>250</v>
      </c>
      <c r="T11" s="63">
        <v>0</v>
      </c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">
      <c r="A12" s="45">
        <v>6</v>
      </c>
      <c r="B12" s="46" t="s">
        <v>47</v>
      </c>
      <c r="C12" s="46" t="s">
        <v>48</v>
      </c>
      <c r="D12" s="47" t="s">
        <v>49</v>
      </c>
      <c r="E12" s="48" t="s">
        <v>324</v>
      </c>
      <c r="F12" s="101" t="s">
        <v>325</v>
      </c>
      <c r="G12" s="102">
        <v>1</v>
      </c>
      <c r="H12" s="50"/>
      <c r="I12" s="51"/>
      <c r="J12" s="50"/>
      <c r="K12" s="103" t="s">
        <v>330</v>
      </c>
      <c r="L12" s="104"/>
      <c r="M12" s="104"/>
      <c r="N12" s="104"/>
      <c r="O12" s="104"/>
      <c r="P12" s="105">
        <v>260</v>
      </c>
      <c r="Q12" s="105">
        <v>54</v>
      </c>
      <c r="R12" s="100"/>
      <c r="S12" s="63">
        <v>110</v>
      </c>
      <c r="T12" s="63">
        <v>0</v>
      </c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">
      <c r="A13" s="45">
        <v>7</v>
      </c>
      <c r="B13" s="46" t="s">
        <v>47</v>
      </c>
      <c r="C13" s="46" t="s">
        <v>48</v>
      </c>
      <c r="D13" s="47" t="s">
        <v>49</v>
      </c>
      <c r="E13" s="48" t="s">
        <v>324</v>
      </c>
      <c r="F13" s="101" t="s">
        <v>325</v>
      </c>
      <c r="G13" s="102">
        <v>1</v>
      </c>
      <c r="H13" s="50"/>
      <c r="I13" s="51"/>
      <c r="J13" s="50"/>
      <c r="K13" s="103" t="s">
        <v>331</v>
      </c>
      <c r="L13" s="104"/>
      <c r="M13" s="104"/>
      <c r="N13" s="104"/>
      <c r="O13" s="104"/>
      <c r="P13" s="105">
        <v>995</v>
      </c>
      <c r="Q13" s="105">
        <v>100</v>
      </c>
      <c r="R13" s="100"/>
      <c r="S13" s="63">
        <v>0</v>
      </c>
      <c r="T13" s="63">
        <v>0</v>
      </c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">
      <c r="A14" s="45">
        <v>8</v>
      </c>
      <c r="B14" s="46" t="s">
        <v>47</v>
      </c>
      <c r="C14" s="46" t="s">
        <v>48</v>
      </c>
      <c r="D14" s="47" t="s">
        <v>49</v>
      </c>
      <c r="E14" s="48" t="s">
        <v>324</v>
      </c>
      <c r="F14" s="101" t="s">
        <v>325</v>
      </c>
      <c r="G14" s="102">
        <v>1</v>
      </c>
      <c r="H14" s="50"/>
      <c r="I14" s="51"/>
      <c r="J14" s="50"/>
      <c r="K14" s="103" t="s">
        <v>332</v>
      </c>
      <c r="L14" s="104"/>
      <c r="M14" s="104"/>
      <c r="N14" s="104"/>
      <c r="O14" s="104"/>
      <c r="P14" s="105">
        <v>550</v>
      </c>
      <c r="Q14" s="105">
        <v>120</v>
      </c>
      <c r="R14" s="100"/>
      <c r="S14" s="63">
        <v>0</v>
      </c>
      <c r="T14" s="63">
        <v>0</v>
      </c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">
      <c r="A15" s="45">
        <v>9</v>
      </c>
      <c r="B15" s="46" t="s">
        <v>47</v>
      </c>
      <c r="C15" s="46" t="s">
        <v>48</v>
      </c>
      <c r="D15" s="47" t="s">
        <v>49</v>
      </c>
      <c r="E15" s="48" t="s">
        <v>324</v>
      </c>
      <c r="F15" s="101" t="s">
        <v>325</v>
      </c>
      <c r="G15" s="102">
        <v>1</v>
      </c>
      <c r="H15" s="50"/>
      <c r="I15" s="51"/>
      <c r="J15" s="106"/>
      <c r="K15" s="103" t="s">
        <v>327</v>
      </c>
      <c r="L15" s="104"/>
      <c r="M15" s="104"/>
      <c r="N15" s="104"/>
      <c r="O15" s="104"/>
      <c r="P15" s="105">
        <v>840</v>
      </c>
      <c r="Q15" s="105">
        <v>172</v>
      </c>
      <c r="R15" s="100"/>
      <c r="S15" s="63">
        <v>0</v>
      </c>
      <c r="T15" s="63">
        <v>0</v>
      </c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">
      <c r="A16" s="45">
        <v>10</v>
      </c>
      <c r="B16" s="46" t="s">
        <v>47</v>
      </c>
      <c r="C16" s="46" t="s">
        <v>48</v>
      </c>
      <c r="D16" s="47" t="s">
        <v>49</v>
      </c>
      <c r="E16" s="48" t="s">
        <v>324</v>
      </c>
      <c r="F16" s="101" t="s">
        <v>325</v>
      </c>
      <c r="G16" s="102">
        <v>2</v>
      </c>
      <c r="H16" s="50"/>
      <c r="I16" s="51"/>
      <c r="J16" s="47"/>
      <c r="K16" s="103" t="s">
        <v>333</v>
      </c>
      <c r="L16" s="104"/>
      <c r="M16" s="104"/>
      <c r="N16" s="104"/>
      <c r="O16" s="104"/>
      <c r="P16" s="105">
        <v>1189</v>
      </c>
      <c r="Q16" s="105">
        <v>251</v>
      </c>
      <c r="R16" s="100"/>
      <c r="S16" s="63">
        <v>0</v>
      </c>
      <c r="T16" s="63">
        <v>0</v>
      </c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">
      <c r="A17" s="45">
        <v>11</v>
      </c>
      <c r="B17" s="46" t="s">
        <v>47</v>
      </c>
      <c r="C17" s="46" t="s">
        <v>48</v>
      </c>
      <c r="D17" s="47" t="s">
        <v>49</v>
      </c>
      <c r="E17" s="48" t="s">
        <v>324</v>
      </c>
      <c r="F17" s="101" t="s">
        <v>325</v>
      </c>
      <c r="G17" s="102">
        <v>2</v>
      </c>
      <c r="H17" s="50"/>
      <c r="I17" s="51"/>
      <c r="J17" s="50"/>
      <c r="K17" s="103" t="s">
        <v>334</v>
      </c>
      <c r="L17" s="104"/>
      <c r="M17" s="104"/>
      <c r="N17" s="104"/>
      <c r="O17" s="104"/>
      <c r="P17" s="105">
        <v>614</v>
      </c>
      <c r="Q17" s="105">
        <v>133</v>
      </c>
      <c r="R17" s="100"/>
      <c r="S17" s="63">
        <v>0</v>
      </c>
      <c r="T17" s="63">
        <v>0</v>
      </c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">
      <c r="A18" s="45">
        <v>12</v>
      </c>
      <c r="B18" s="46" t="s">
        <v>47</v>
      </c>
      <c r="C18" s="46" t="s">
        <v>48</v>
      </c>
      <c r="D18" s="47" t="s">
        <v>49</v>
      </c>
      <c r="E18" s="48" t="s">
        <v>324</v>
      </c>
      <c r="F18" s="101" t="s">
        <v>325</v>
      </c>
      <c r="G18" s="102">
        <v>3</v>
      </c>
      <c r="H18" s="50"/>
      <c r="I18" s="51"/>
      <c r="J18" s="106"/>
      <c r="K18" s="103" t="s">
        <v>335</v>
      </c>
      <c r="L18" s="104"/>
      <c r="M18" s="104"/>
      <c r="N18" s="104"/>
      <c r="O18" s="104"/>
      <c r="P18" s="105">
        <v>575</v>
      </c>
      <c r="Q18" s="105">
        <v>122</v>
      </c>
      <c r="R18" s="100"/>
      <c r="S18" s="63">
        <v>0</v>
      </c>
      <c r="T18" s="63">
        <v>0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">
      <c r="A19" s="45">
        <v>13</v>
      </c>
      <c r="B19" s="46" t="s">
        <v>47</v>
      </c>
      <c r="C19" s="46" t="s">
        <v>48</v>
      </c>
      <c r="D19" s="47" t="s">
        <v>49</v>
      </c>
      <c r="E19" s="48" t="s">
        <v>324</v>
      </c>
      <c r="F19" s="107" t="s">
        <v>325</v>
      </c>
      <c r="G19" s="108">
        <v>3</v>
      </c>
      <c r="H19" s="50"/>
      <c r="I19" s="51"/>
      <c r="J19" s="53"/>
      <c r="K19" s="103" t="s">
        <v>67</v>
      </c>
      <c r="L19" s="104"/>
      <c r="M19" s="104"/>
      <c r="N19" s="104"/>
      <c r="O19" s="104"/>
      <c r="P19" s="105">
        <v>800</v>
      </c>
      <c r="Q19" s="103">
        <v>200</v>
      </c>
      <c r="R19" s="104"/>
      <c r="S19" s="63">
        <v>0</v>
      </c>
      <c r="T19" s="63">
        <v>0</v>
      </c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">
      <c r="A20" s="45">
        <v>14</v>
      </c>
      <c r="B20" s="46" t="s">
        <v>47</v>
      </c>
      <c r="C20" s="46" t="s">
        <v>48</v>
      </c>
      <c r="D20" s="47" t="s">
        <v>49</v>
      </c>
      <c r="E20" s="48" t="s">
        <v>324</v>
      </c>
      <c r="F20" s="101" t="s">
        <v>325</v>
      </c>
      <c r="G20" s="102">
        <v>3</v>
      </c>
      <c r="H20" s="50"/>
      <c r="I20" s="51"/>
      <c r="J20" s="50"/>
      <c r="K20" s="103" t="s">
        <v>336</v>
      </c>
      <c r="L20" s="104"/>
      <c r="M20" s="104"/>
      <c r="N20" s="104"/>
      <c r="O20" s="104"/>
      <c r="P20" s="105">
        <v>776</v>
      </c>
      <c r="Q20" s="105">
        <v>163</v>
      </c>
      <c r="R20" s="100"/>
      <c r="S20" s="63">
        <v>0</v>
      </c>
      <c r="T20" s="63">
        <v>0</v>
      </c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">
      <c r="A21" s="45">
        <v>15</v>
      </c>
      <c r="B21" s="46" t="s">
        <v>47</v>
      </c>
      <c r="C21" s="46" t="s">
        <v>48</v>
      </c>
      <c r="D21" s="47" t="s">
        <v>49</v>
      </c>
      <c r="E21" s="48" t="s">
        <v>324</v>
      </c>
      <c r="F21" s="101" t="s">
        <v>325</v>
      </c>
      <c r="G21" s="102">
        <v>3</v>
      </c>
      <c r="H21" s="50"/>
      <c r="I21" s="51"/>
      <c r="J21" s="50"/>
      <c r="K21" s="103" t="s">
        <v>337</v>
      </c>
      <c r="L21" s="104"/>
      <c r="M21" s="104"/>
      <c r="N21" s="104"/>
      <c r="O21" s="104"/>
      <c r="P21" s="105">
        <v>847</v>
      </c>
      <c r="Q21" s="105">
        <v>176</v>
      </c>
      <c r="R21" s="100"/>
      <c r="S21" s="63">
        <v>303</v>
      </c>
      <c r="T21" s="63">
        <v>0</v>
      </c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324</v>
      </c>
      <c r="F22" s="101" t="s">
        <v>325</v>
      </c>
      <c r="G22" s="102">
        <v>4</v>
      </c>
      <c r="H22" s="50"/>
      <c r="I22" s="51"/>
      <c r="J22" s="106"/>
      <c r="K22" s="103" t="s">
        <v>338</v>
      </c>
      <c r="L22" s="104"/>
      <c r="M22" s="104"/>
      <c r="N22" s="104"/>
      <c r="O22" s="104"/>
      <c r="P22" s="105">
        <v>788</v>
      </c>
      <c r="Q22" s="105">
        <v>170</v>
      </c>
      <c r="R22" s="100"/>
      <c r="S22" s="63">
        <v>0</v>
      </c>
      <c r="T22" s="63">
        <v>0</v>
      </c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324</v>
      </c>
      <c r="F23" s="107" t="s">
        <v>325</v>
      </c>
      <c r="G23" s="108">
        <v>5</v>
      </c>
      <c r="H23" s="50"/>
      <c r="I23" s="51"/>
      <c r="J23" s="53"/>
      <c r="K23" s="103" t="s">
        <v>339</v>
      </c>
      <c r="L23" s="104"/>
      <c r="M23" s="104"/>
      <c r="N23" s="104"/>
      <c r="O23" s="104"/>
      <c r="P23" s="105">
        <v>982</v>
      </c>
      <c r="Q23" s="103">
        <v>207</v>
      </c>
      <c r="R23" s="104"/>
      <c r="S23" s="63">
        <v>0</v>
      </c>
      <c r="T23" s="63">
        <v>0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324</v>
      </c>
      <c r="F24" s="101" t="s">
        <v>325</v>
      </c>
      <c r="G24" s="102">
        <v>5</v>
      </c>
      <c r="H24" s="50"/>
      <c r="I24" s="51"/>
      <c r="J24" s="50"/>
      <c r="K24" s="103" t="s">
        <v>340</v>
      </c>
      <c r="L24" s="104"/>
      <c r="M24" s="104"/>
      <c r="N24" s="104"/>
      <c r="O24" s="104"/>
      <c r="P24" s="105">
        <v>753</v>
      </c>
      <c r="Q24" s="105">
        <v>156</v>
      </c>
      <c r="R24" s="100"/>
      <c r="S24" s="63">
        <v>0</v>
      </c>
      <c r="T24" s="63">
        <v>0</v>
      </c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324</v>
      </c>
      <c r="F25" s="101" t="s">
        <v>325</v>
      </c>
      <c r="G25" s="102">
        <v>5</v>
      </c>
      <c r="H25" s="50"/>
      <c r="I25" s="51"/>
      <c r="J25" s="50"/>
      <c r="K25" s="103" t="s">
        <v>341</v>
      </c>
      <c r="L25" s="104"/>
      <c r="M25" s="104"/>
      <c r="N25" s="104"/>
      <c r="O25" s="104"/>
      <c r="P25" s="105">
        <v>225</v>
      </c>
      <c r="Q25" s="105">
        <v>55</v>
      </c>
      <c r="R25" s="100"/>
      <c r="S25" s="63">
        <v>0</v>
      </c>
      <c r="T25" s="63">
        <v>0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324</v>
      </c>
      <c r="F26" s="107" t="s">
        <v>325</v>
      </c>
      <c r="G26" s="108">
        <v>6</v>
      </c>
      <c r="H26" s="50"/>
      <c r="I26" s="51"/>
      <c r="J26" s="46"/>
      <c r="K26" s="103" t="s">
        <v>342</v>
      </c>
      <c r="L26" s="104"/>
      <c r="M26" s="104"/>
      <c r="N26" s="104"/>
      <c r="O26" s="104"/>
      <c r="P26" s="105">
        <v>736</v>
      </c>
      <c r="Q26" s="105">
        <v>156</v>
      </c>
      <c r="R26" s="100"/>
      <c r="S26" s="63">
        <v>259</v>
      </c>
      <c r="T26" s="63">
        <v>0</v>
      </c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324</v>
      </c>
      <c r="F27" s="101" t="s">
        <v>325</v>
      </c>
      <c r="G27" s="102">
        <v>6</v>
      </c>
      <c r="H27" s="50"/>
      <c r="I27" s="51"/>
      <c r="J27" s="50"/>
      <c r="K27" s="103" t="s">
        <v>343</v>
      </c>
      <c r="L27" s="104"/>
      <c r="M27" s="104"/>
      <c r="N27" s="104"/>
      <c r="O27" s="104"/>
      <c r="P27" s="105">
        <v>658</v>
      </c>
      <c r="Q27" s="105">
        <v>140</v>
      </c>
      <c r="R27" s="100"/>
      <c r="S27" s="63">
        <v>0</v>
      </c>
      <c r="T27" s="63">
        <v>0</v>
      </c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324</v>
      </c>
      <c r="F28" s="101" t="s">
        <v>325</v>
      </c>
      <c r="G28" s="102">
        <v>6</v>
      </c>
      <c r="H28" s="50"/>
      <c r="I28" s="51"/>
      <c r="J28" s="106"/>
      <c r="K28" s="103" t="s">
        <v>344</v>
      </c>
      <c r="L28" s="104"/>
      <c r="M28" s="104"/>
      <c r="N28" s="104"/>
      <c r="O28" s="104"/>
      <c r="P28" s="105">
        <v>1055</v>
      </c>
      <c r="Q28" s="105">
        <v>227</v>
      </c>
      <c r="R28" s="100"/>
      <c r="S28" s="63">
        <v>0</v>
      </c>
      <c r="T28" s="63">
        <v>0</v>
      </c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324</v>
      </c>
      <c r="F29" s="101" t="s">
        <v>325</v>
      </c>
      <c r="G29" s="102">
        <v>6</v>
      </c>
      <c r="H29" s="50"/>
      <c r="I29" s="51"/>
      <c r="J29" s="47"/>
      <c r="K29" s="103" t="s">
        <v>345</v>
      </c>
      <c r="L29" s="104"/>
      <c r="M29" s="104"/>
      <c r="N29" s="104"/>
      <c r="O29" s="104"/>
      <c r="P29" s="105">
        <v>1010</v>
      </c>
      <c r="Q29" s="105">
        <v>211</v>
      </c>
      <c r="R29" s="100"/>
      <c r="S29" s="63">
        <v>0</v>
      </c>
      <c r="T29" s="63">
        <v>0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324</v>
      </c>
      <c r="F30" s="101" t="s">
        <v>325</v>
      </c>
      <c r="G30" s="102">
        <v>6</v>
      </c>
      <c r="H30" s="50"/>
      <c r="I30" s="51"/>
      <c r="J30" s="50"/>
      <c r="K30" s="103" t="s">
        <v>346</v>
      </c>
      <c r="L30" s="104"/>
      <c r="M30" s="104"/>
      <c r="N30" s="104"/>
      <c r="O30" s="104"/>
      <c r="P30" s="105">
        <v>345</v>
      </c>
      <c r="Q30" s="105">
        <v>125</v>
      </c>
      <c r="R30" s="100"/>
      <c r="S30" s="63">
        <v>250</v>
      </c>
      <c r="T30" s="63">
        <v>0</v>
      </c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324</v>
      </c>
      <c r="F31" s="101" t="s">
        <v>325</v>
      </c>
      <c r="G31" s="102">
        <v>6</v>
      </c>
      <c r="H31" s="50"/>
      <c r="I31" s="51"/>
      <c r="J31" s="50"/>
      <c r="K31" s="103" t="s">
        <v>347</v>
      </c>
      <c r="L31" s="104"/>
      <c r="M31" s="104"/>
      <c r="N31" s="104"/>
      <c r="O31" s="104"/>
      <c r="P31" s="105">
        <v>300</v>
      </c>
      <c r="Q31" s="105">
        <v>90</v>
      </c>
      <c r="R31" s="100"/>
      <c r="S31" s="63">
        <v>150</v>
      </c>
      <c r="T31" s="63">
        <v>0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324</v>
      </c>
      <c r="F32" s="101" t="s">
        <v>325</v>
      </c>
      <c r="G32" s="102">
        <v>6</v>
      </c>
      <c r="H32" s="50"/>
      <c r="I32" s="51"/>
      <c r="J32" s="50"/>
      <c r="K32" s="103" t="s">
        <v>348</v>
      </c>
      <c r="L32" s="104"/>
      <c r="M32" s="104"/>
      <c r="N32" s="104"/>
      <c r="O32" s="104"/>
      <c r="P32" s="105">
        <v>580</v>
      </c>
      <c r="Q32" s="105">
        <v>123</v>
      </c>
      <c r="R32" s="100"/>
      <c r="S32" s="63">
        <v>234</v>
      </c>
      <c r="T32" s="63">
        <v>0</v>
      </c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324</v>
      </c>
      <c r="F33" s="101" t="s">
        <v>325</v>
      </c>
      <c r="G33" s="102">
        <v>6</v>
      </c>
      <c r="H33" s="50"/>
      <c r="I33" s="51"/>
      <c r="J33" s="50"/>
      <c r="K33" s="103" t="s">
        <v>349</v>
      </c>
      <c r="L33" s="104"/>
      <c r="M33" s="104"/>
      <c r="N33" s="104"/>
      <c r="O33" s="104"/>
      <c r="P33" s="105">
        <v>795</v>
      </c>
      <c r="Q33" s="103">
        <v>230</v>
      </c>
      <c r="R33" s="104"/>
      <c r="S33" s="63">
        <v>450</v>
      </c>
      <c r="T33" s="63">
        <v>0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324</v>
      </c>
      <c r="F34" s="101" t="s">
        <v>325</v>
      </c>
      <c r="G34" s="102">
        <v>7</v>
      </c>
      <c r="H34" s="50"/>
      <c r="I34" s="51"/>
      <c r="J34" s="50"/>
      <c r="K34" s="103" t="s">
        <v>328</v>
      </c>
      <c r="L34" s="104"/>
      <c r="M34" s="104"/>
      <c r="N34" s="104"/>
      <c r="O34" s="104"/>
      <c r="P34" s="105">
        <v>900</v>
      </c>
      <c r="Q34" s="103">
        <v>140</v>
      </c>
      <c r="R34" s="104"/>
      <c r="S34" s="63">
        <v>273</v>
      </c>
      <c r="T34" s="63">
        <v>0</v>
      </c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324</v>
      </c>
      <c r="F35" s="101" t="s">
        <v>325</v>
      </c>
      <c r="G35" s="102">
        <v>7</v>
      </c>
      <c r="H35" s="50"/>
      <c r="I35" s="51"/>
      <c r="J35" s="50"/>
      <c r="K35" s="103" t="s">
        <v>350</v>
      </c>
      <c r="L35" s="104"/>
      <c r="M35" s="104"/>
      <c r="N35" s="104"/>
      <c r="O35" s="104"/>
      <c r="P35" s="105">
        <v>686</v>
      </c>
      <c r="Q35" s="105">
        <v>148</v>
      </c>
      <c r="R35" s="100"/>
      <c r="S35" s="63">
        <v>305</v>
      </c>
      <c r="T35" s="63">
        <v>0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324</v>
      </c>
      <c r="F36" s="101" t="s">
        <v>325</v>
      </c>
      <c r="G36" s="102">
        <v>7</v>
      </c>
      <c r="H36" s="50"/>
      <c r="I36" s="51"/>
      <c r="J36" s="50"/>
      <c r="K36" s="103" t="s">
        <v>351</v>
      </c>
      <c r="L36" s="104"/>
      <c r="M36" s="104"/>
      <c r="N36" s="104"/>
      <c r="O36" s="104"/>
      <c r="P36" s="105">
        <v>387</v>
      </c>
      <c r="Q36" s="105">
        <v>83</v>
      </c>
      <c r="R36" s="100"/>
      <c r="S36" s="63">
        <v>170</v>
      </c>
      <c r="T36" s="63">
        <v>0</v>
      </c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324</v>
      </c>
      <c r="F37" s="101" t="s">
        <v>325</v>
      </c>
      <c r="G37" s="102">
        <v>7</v>
      </c>
      <c r="H37" s="50"/>
      <c r="I37" s="51"/>
      <c r="J37" s="50"/>
      <c r="K37" s="103" t="s">
        <v>352</v>
      </c>
      <c r="L37" s="104"/>
      <c r="M37" s="104"/>
      <c r="N37" s="104"/>
      <c r="O37" s="104"/>
      <c r="P37" s="105">
        <v>541</v>
      </c>
      <c r="Q37" s="105">
        <v>111</v>
      </c>
      <c r="R37" s="100"/>
      <c r="S37" s="63">
        <v>225</v>
      </c>
      <c r="T37" s="63">
        <v>0</v>
      </c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324</v>
      </c>
      <c r="F38" s="101" t="s">
        <v>325</v>
      </c>
      <c r="G38" s="102">
        <v>7</v>
      </c>
      <c r="H38" s="50"/>
      <c r="I38" s="51"/>
      <c r="J38" s="50"/>
      <c r="K38" s="103" t="s">
        <v>353</v>
      </c>
      <c r="L38" s="104"/>
      <c r="M38" s="104"/>
      <c r="N38" s="104"/>
      <c r="O38" s="104"/>
      <c r="P38" s="105">
        <v>463</v>
      </c>
      <c r="Q38" s="105">
        <v>96</v>
      </c>
      <c r="R38" s="100"/>
      <c r="S38" s="63">
        <v>226</v>
      </c>
      <c r="T38" s="63">
        <v>0</v>
      </c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324</v>
      </c>
      <c r="F39" s="101" t="s">
        <v>325</v>
      </c>
      <c r="G39" s="102">
        <v>7</v>
      </c>
      <c r="H39" s="50"/>
      <c r="I39" s="51"/>
      <c r="J39" s="50"/>
      <c r="K39" s="103" t="s">
        <v>354</v>
      </c>
      <c r="L39" s="104"/>
      <c r="M39" s="104"/>
      <c r="N39" s="104"/>
      <c r="O39" s="104"/>
      <c r="P39" s="105">
        <v>797</v>
      </c>
      <c r="Q39" s="103">
        <v>209</v>
      </c>
      <c r="R39" s="104"/>
      <c r="S39" s="63">
        <v>393</v>
      </c>
      <c r="T39" s="63">
        <v>0</v>
      </c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324</v>
      </c>
      <c r="F40" s="101" t="s">
        <v>325</v>
      </c>
      <c r="G40" s="108">
        <v>7</v>
      </c>
      <c r="H40" s="50"/>
      <c r="I40" s="51"/>
      <c r="J40" s="50"/>
      <c r="K40" s="103" t="s">
        <v>355</v>
      </c>
      <c r="L40" s="104"/>
      <c r="M40" s="104"/>
      <c r="N40" s="104"/>
      <c r="O40" s="104"/>
      <c r="P40" s="105">
        <v>434</v>
      </c>
      <c r="Q40" s="105">
        <v>89</v>
      </c>
      <c r="R40" s="100"/>
      <c r="S40" s="63">
        <v>276</v>
      </c>
      <c r="T40" s="63">
        <v>0</v>
      </c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324</v>
      </c>
      <c r="F41" s="101" t="s">
        <v>325</v>
      </c>
      <c r="G41" s="102">
        <v>7</v>
      </c>
      <c r="H41" s="50"/>
      <c r="I41" s="51"/>
      <c r="J41" s="50"/>
      <c r="K41" s="109" t="s">
        <v>356</v>
      </c>
      <c r="L41" s="104"/>
      <c r="M41" s="104"/>
      <c r="N41" s="104"/>
      <c r="O41" s="104"/>
      <c r="P41" s="105">
        <v>381</v>
      </c>
      <c r="Q41" s="105">
        <v>79</v>
      </c>
      <c r="R41" s="100"/>
      <c r="S41" s="63">
        <v>214</v>
      </c>
      <c r="T41" s="63">
        <v>0</v>
      </c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324</v>
      </c>
      <c r="F42" s="101" t="s">
        <v>325</v>
      </c>
      <c r="G42" s="102">
        <v>8</v>
      </c>
      <c r="H42" s="50"/>
      <c r="I42" s="51"/>
      <c r="J42" s="2"/>
      <c r="K42" s="108" t="s">
        <v>357</v>
      </c>
      <c r="L42" s="104"/>
      <c r="M42" s="104"/>
      <c r="N42" s="104"/>
      <c r="O42" s="104"/>
      <c r="P42" s="103">
        <v>996</v>
      </c>
      <c r="Q42" s="103">
        <v>224</v>
      </c>
      <c r="R42" s="104"/>
      <c r="S42" s="63">
        <v>654</v>
      </c>
      <c r="T42" s="63">
        <v>0</v>
      </c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324</v>
      </c>
      <c r="F43" s="101" t="s">
        <v>325</v>
      </c>
      <c r="G43" s="102">
        <v>8</v>
      </c>
      <c r="H43" s="50"/>
      <c r="I43" s="51"/>
      <c r="J43" s="47"/>
      <c r="K43" s="103" t="s">
        <v>358</v>
      </c>
      <c r="L43" s="104"/>
      <c r="M43" s="104"/>
      <c r="N43" s="104"/>
      <c r="O43" s="104"/>
      <c r="P43" s="105">
        <v>453</v>
      </c>
      <c r="Q43" s="103">
        <v>137</v>
      </c>
      <c r="R43" s="104"/>
      <c r="S43" s="63">
        <v>342</v>
      </c>
      <c r="T43" s="63">
        <v>0</v>
      </c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324</v>
      </c>
      <c r="F44" s="101" t="s">
        <v>325</v>
      </c>
      <c r="G44" s="102">
        <v>9</v>
      </c>
      <c r="H44" s="50"/>
      <c r="I44" s="51"/>
      <c r="J44" s="50"/>
      <c r="K44" s="103" t="s">
        <v>359</v>
      </c>
      <c r="L44" s="104"/>
      <c r="M44" s="104"/>
      <c r="N44" s="104"/>
      <c r="O44" s="104"/>
      <c r="P44" s="105">
        <v>437</v>
      </c>
      <c r="Q44" s="103">
        <v>90</v>
      </c>
      <c r="R44" s="104"/>
      <c r="S44" s="63">
        <v>161</v>
      </c>
      <c r="T44" s="63">
        <v>0</v>
      </c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324</v>
      </c>
      <c r="F45" s="107" t="s">
        <v>325</v>
      </c>
      <c r="G45" s="108">
        <v>9</v>
      </c>
      <c r="H45" s="50"/>
      <c r="I45" s="51"/>
      <c r="J45" s="46"/>
      <c r="K45" s="103" t="s">
        <v>360</v>
      </c>
      <c r="L45" s="104"/>
      <c r="M45" s="104"/>
      <c r="N45" s="104"/>
      <c r="O45" s="104"/>
      <c r="P45" s="105">
        <v>867</v>
      </c>
      <c r="Q45" s="103">
        <v>225</v>
      </c>
      <c r="R45" s="104"/>
      <c r="S45" s="63">
        <v>559</v>
      </c>
      <c r="T45" s="63">
        <v>0</v>
      </c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324</v>
      </c>
      <c r="F46" s="101" t="s">
        <v>361</v>
      </c>
      <c r="G46" s="102">
        <v>1</v>
      </c>
      <c r="H46" s="50"/>
      <c r="I46" s="51"/>
      <c r="J46" s="50"/>
      <c r="K46" s="103" t="s">
        <v>362</v>
      </c>
      <c r="L46" s="104"/>
      <c r="M46" s="104"/>
      <c r="N46" s="104"/>
      <c r="O46" s="104"/>
      <c r="P46" s="105">
        <v>480</v>
      </c>
      <c r="Q46" s="105">
        <v>62</v>
      </c>
      <c r="R46" s="100"/>
      <c r="S46" s="63">
        <v>339</v>
      </c>
      <c r="T46" s="63">
        <v>0</v>
      </c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324</v>
      </c>
      <c r="F47" s="101" t="s">
        <v>361</v>
      </c>
      <c r="G47" s="102">
        <v>1</v>
      </c>
      <c r="H47" s="50"/>
      <c r="I47" s="51"/>
      <c r="J47" s="106"/>
      <c r="K47" s="103" t="s">
        <v>363</v>
      </c>
      <c r="L47" s="104"/>
      <c r="M47" s="104"/>
      <c r="N47" s="104"/>
      <c r="O47" s="104"/>
      <c r="P47" s="105">
        <v>487</v>
      </c>
      <c r="Q47" s="105">
        <v>106</v>
      </c>
      <c r="R47" s="100"/>
      <c r="S47" s="63">
        <v>272</v>
      </c>
      <c r="T47" s="63">
        <v>0</v>
      </c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324</v>
      </c>
      <c r="F48" s="101" t="s">
        <v>361</v>
      </c>
      <c r="G48" s="102">
        <v>1</v>
      </c>
      <c r="H48" s="50"/>
      <c r="I48" s="51"/>
      <c r="J48" s="47"/>
      <c r="K48" s="103" t="s">
        <v>364</v>
      </c>
      <c r="L48" s="104"/>
      <c r="M48" s="104"/>
      <c r="N48" s="104"/>
      <c r="O48" s="104"/>
      <c r="P48" s="103">
        <v>270</v>
      </c>
      <c r="Q48" s="103">
        <v>54</v>
      </c>
      <c r="R48" s="104"/>
      <c r="S48" s="63">
        <v>184</v>
      </c>
      <c r="T48" s="63">
        <v>0</v>
      </c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324</v>
      </c>
      <c r="F49" s="101" t="s">
        <v>361</v>
      </c>
      <c r="G49" s="102">
        <v>1</v>
      </c>
      <c r="H49" s="50"/>
      <c r="I49" s="51"/>
      <c r="J49" s="50"/>
      <c r="K49" s="103" t="s">
        <v>365</v>
      </c>
      <c r="L49" s="104"/>
      <c r="M49" s="104"/>
      <c r="N49" s="104"/>
      <c r="O49" s="104"/>
      <c r="P49" s="105">
        <v>250</v>
      </c>
      <c r="Q49" s="105">
        <v>21</v>
      </c>
      <c r="R49" s="100"/>
      <c r="S49" s="63">
        <v>0</v>
      </c>
      <c r="T49" s="63">
        <v>0</v>
      </c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324</v>
      </c>
      <c r="F50" s="101" t="s">
        <v>361</v>
      </c>
      <c r="G50" s="102">
        <v>1</v>
      </c>
      <c r="H50" s="50"/>
      <c r="I50" s="51"/>
      <c r="J50" s="106"/>
      <c r="K50" s="103" t="s">
        <v>366</v>
      </c>
      <c r="L50" s="104"/>
      <c r="M50" s="104"/>
      <c r="N50" s="104"/>
      <c r="O50" s="104"/>
      <c r="P50" s="105">
        <v>1096</v>
      </c>
      <c r="Q50" s="105">
        <v>236</v>
      </c>
      <c r="R50" s="100"/>
      <c r="S50" s="63">
        <v>0</v>
      </c>
      <c r="T50" s="63">
        <v>0</v>
      </c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324</v>
      </c>
      <c r="F51" s="101" t="s">
        <v>361</v>
      </c>
      <c r="G51" s="102">
        <v>1</v>
      </c>
      <c r="H51" s="50"/>
      <c r="I51" s="51"/>
      <c r="J51" s="47"/>
      <c r="K51" s="103" t="s">
        <v>367</v>
      </c>
      <c r="L51" s="104"/>
      <c r="M51" s="104"/>
      <c r="N51" s="104"/>
      <c r="O51" s="104"/>
      <c r="P51" s="103">
        <v>487</v>
      </c>
      <c r="Q51" s="103">
        <v>106</v>
      </c>
      <c r="R51" s="104"/>
      <c r="S51" s="63">
        <v>200</v>
      </c>
      <c r="T51" s="63">
        <v>0</v>
      </c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324</v>
      </c>
      <c r="F52" s="101" t="s">
        <v>361</v>
      </c>
      <c r="G52" s="102">
        <v>1</v>
      </c>
      <c r="H52" s="50"/>
      <c r="I52" s="51"/>
      <c r="J52" s="50"/>
      <c r="K52" s="103" t="s">
        <v>368</v>
      </c>
      <c r="L52" s="104"/>
      <c r="M52" s="104"/>
      <c r="N52" s="104"/>
      <c r="O52" s="104"/>
      <c r="P52" s="105">
        <v>1074</v>
      </c>
      <c r="Q52" s="103">
        <v>207</v>
      </c>
      <c r="R52" s="104"/>
      <c r="S52" s="63">
        <v>276</v>
      </c>
      <c r="T52" s="63">
        <v>0</v>
      </c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324</v>
      </c>
      <c r="F53" s="101" t="s">
        <v>361</v>
      </c>
      <c r="G53" s="102">
        <v>1</v>
      </c>
      <c r="H53" s="50"/>
      <c r="I53" s="51"/>
      <c r="J53" s="50"/>
      <c r="K53" s="103" t="s">
        <v>369</v>
      </c>
      <c r="L53" s="104"/>
      <c r="M53" s="104"/>
      <c r="N53" s="104"/>
      <c r="O53" s="104"/>
      <c r="P53" s="105">
        <v>558</v>
      </c>
      <c r="Q53" s="103">
        <v>128</v>
      </c>
      <c r="R53" s="104"/>
      <c r="S53" s="63">
        <v>147</v>
      </c>
      <c r="T53" s="63">
        <v>0</v>
      </c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324</v>
      </c>
      <c r="F54" s="101" t="s">
        <v>361</v>
      </c>
      <c r="G54" s="102">
        <v>2</v>
      </c>
      <c r="H54" s="50"/>
      <c r="I54" s="51"/>
      <c r="J54" s="106"/>
      <c r="K54" s="103" t="s">
        <v>357</v>
      </c>
      <c r="L54" s="104"/>
      <c r="M54" s="104"/>
      <c r="N54" s="104"/>
      <c r="O54" s="104"/>
      <c r="P54" s="105">
        <v>1888</v>
      </c>
      <c r="Q54" s="103">
        <v>330</v>
      </c>
      <c r="R54" s="104"/>
      <c r="S54" s="63">
        <v>0</v>
      </c>
      <c r="T54" s="63">
        <v>0</v>
      </c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324</v>
      </c>
      <c r="F55" s="101" t="s">
        <v>361</v>
      </c>
      <c r="G55" s="102">
        <v>2</v>
      </c>
      <c r="H55" s="50"/>
      <c r="I55" s="51"/>
      <c r="J55" s="47"/>
      <c r="K55" s="103" t="s">
        <v>341</v>
      </c>
      <c r="L55" s="104"/>
      <c r="M55" s="104"/>
      <c r="N55" s="104"/>
      <c r="O55" s="104"/>
      <c r="P55" s="105">
        <v>704</v>
      </c>
      <c r="Q55" s="103">
        <v>132</v>
      </c>
      <c r="R55" s="104"/>
      <c r="S55" s="63">
        <v>149</v>
      </c>
      <c r="T55" s="63">
        <v>0</v>
      </c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324</v>
      </c>
      <c r="F56" s="101" t="s">
        <v>361</v>
      </c>
      <c r="G56" s="102">
        <v>2</v>
      </c>
      <c r="H56" s="50"/>
      <c r="I56" s="51"/>
      <c r="J56" s="50"/>
      <c r="K56" s="103" t="s">
        <v>370</v>
      </c>
      <c r="L56" s="104"/>
      <c r="M56" s="104"/>
      <c r="N56" s="104"/>
      <c r="O56" s="104"/>
      <c r="P56" s="105">
        <v>1310</v>
      </c>
      <c r="Q56" s="103">
        <v>221</v>
      </c>
      <c r="R56" s="104"/>
      <c r="S56" s="63">
        <v>0</v>
      </c>
      <c r="T56" s="63">
        <v>0</v>
      </c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324</v>
      </c>
      <c r="F57" s="101" t="s">
        <v>361</v>
      </c>
      <c r="G57" s="102">
        <v>3</v>
      </c>
      <c r="H57" s="50"/>
      <c r="I57" s="51"/>
      <c r="J57" s="50"/>
      <c r="K57" s="103" t="s">
        <v>346</v>
      </c>
      <c r="L57" s="104"/>
      <c r="M57" s="104"/>
      <c r="N57" s="104"/>
      <c r="O57" s="104"/>
      <c r="P57" s="105">
        <v>260</v>
      </c>
      <c r="Q57" s="103">
        <v>50</v>
      </c>
      <c r="R57" s="104"/>
      <c r="S57" s="63">
        <v>107</v>
      </c>
      <c r="T57" s="63">
        <v>0</v>
      </c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324</v>
      </c>
      <c r="F58" s="101" t="s">
        <v>361</v>
      </c>
      <c r="G58" s="102">
        <v>4</v>
      </c>
      <c r="H58" s="50"/>
      <c r="I58" s="51"/>
      <c r="J58" s="50"/>
      <c r="K58" s="103" t="s">
        <v>371</v>
      </c>
      <c r="L58" s="104"/>
      <c r="M58" s="104"/>
      <c r="N58" s="104"/>
      <c r="O58" s="104"/>
      <c r="P58" s="105">
        <v>225</v>
      </c>
      <c r="Q58" s="105">
        <v>97</v>
      </c>
      <c r="R58" s="100"/>
      <c r="S58" s="63">
        <v>141</v>
      </c>
      <c r="T58" s="63">
        <v>0</v>
      </c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324</v>
      </c>
      <c r="F59" s="101" t="s">
        <v>361</v>
      </c>
      <c r="G59" s="102">
        <v>4</v>
      </c>
      <c r="H59" s="50"/>
      <c r="I59" s="51"/>
      <c r="J59" s="50"/>
      <c r="K59" s="103" t="s">
        <v>372</v>
      </c>
      <c r="L59" s="104"/>
      <c r="M59" s="104"/>
      <c r="N59" s="104"/>
      <c r="O59" s="104"/>
      <c r="P59" s="105">
        <v>399</v>
      </c>
      <c r="Q59" s="105">
        <v>83</v>
      </c>
      <c r="R59" s="100"/>
      <c r="S59" s="63">
        <v>100</v>
      </c>
      <c r="T59" s="63">
        <v>0</v>
      </c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324</v>
      </c>
      <c r="F60" s="101" t="s">
        <v>361</v>
      </c>
      <c r="G60" s="102">
        <v>4</v>
      </c>
      <c r="H60" s="50"/>
      <c r="I60" s="51"/>
      <c r="J60" s="50"/>
      <c r="K60" s="103" t="s">
        <v>373</v>
      </c>
      <c r="L60" s="104"/>
      <c r="M60" s="104"/>
      <c r="N60" s="104"/>
      <c r="O60" s="104"/>
      <c r="P60" s="105">
        <v>165</v>
      </c>
      <c r="Q60" s="105">
        <v>30</v>
      </c>
      <c r="R60" s="100"/>
      <c r="S60" s="63">
        <v>116</v>
      </c>
      <c r="T60" s="63">
        <v>0</v>
      </c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324</v>
      </c>
      <c r="F61" s="101" t="s">
        <v>361</v>
      </c>
      <c r="G61" s="102">
        <v>5</v>
      </c>
      <c r="H61" s="50"/>
      <c r="I61" s="51"/>
      <c r="J61" s="50"/>
      <c r="K61" s="103" t="s">
        <v>374</v>
      </c>
      <c r="L61" s="104"/>
      <c r="M61" s="104"/>
      <c r="N61" s="104"/>
      <c r="O61" s="104"/>
      <c r="P61" s="105">
        <v>505</v>
      </c>
      <c r="Q61" s="105">
        <v>104</v>
      </c>
      <c r="R61" s="100"/>
      <c r="S61" s="63">
        <v>125</v>
      </c>
      <c r="T61" s="63">
        <v>0</v>
      </c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324</v>
      </c>
      <c r="F62" s="101" t="s">
        <v>361</v>
      </c>
      <c r="G62" s="102">
        <v>5</v>
      </c>
      <c r="H62" s="50"/>
      <c r="I62" s="51"/>
      <c r="J62" s="50"/>
      <c r="K62" s="103" t="s">
        <v>375</v>
      </c>
      <c r="L62" s="104"/>
      <c r="M62" s="104"/>
      <c r="N62" s="104"/>
      <c r="O62" s="104"/>
      <c r="P62" s="105">
        <v>200</v>
      </c>
      <c r="Q62" s="105">
        <v>60</v>
      </c>
      <c r="R62" s="100"/>
      <c r="S62" s="63">
        <v>100</v>
      </c>
      <c r="T62" s="63">
        <v>0</v>
      </c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324</v>
      </c>
      <c r="F63" s="101" t="s">
        <v>361</v>
      </c>
      <c r="G63" s="102">
        <v>5</v>
      </c>
      <c r="H63" s="50"/>
      <c r="I63" s="51"/>
      <c r="J63" s="50"/>
      <c r="K63" s="103" t="s">
        <v>376</v>
      </c>
      <c r="L63" s="104"/>
      <c r="M63" s="104"/>
      <c r="N63" s="104"/>
      <c r="O63" s="104"/>
      <c r="P63" s="105">
        <v>190</v>
      </c>
      <c r="Q63" s="105">
        <v>50</v>
      </c>
      <c r="R63" s="100"/>
      <c r="S63" s="63">
        <v>100</v>
      </c>
      <c r="T63" s="63">
        <v>0</v>
      </c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324</v>
      </c>
      <c r="F64" s="101" t="s">
        <v>361</v>
      </c>
      <c r="G64" s="102">
        <v>5</v>
      </c>
      <c r="H64" s="50"/>
      <c r="I64" s="51"/>
      <c r="J64" s="50"/>
      <c r="K64" s="103" t="s">
        <v>377</v>
      </c>
      <c r="L64" s="104"/>
      <c r="M64" s="104"/>
      <c r="N64" s="104"/>
      <c r="O64" s="104"/>
      <c r="P64" s="105">
        <v>280</v>
      </c>
      <c r="Q64" s="105">
        <v>80</v>
      </c>
      <c r="R64" s="100"/>
      <c r="S64" s="63">
        <v>0</v>
      </c>
      <c r="T64" s="63">
        <v>0</v>
      </c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324</v>
      </c>
      <c r="F65" s="101" t="s">
        <v>361</v>
      </c>
      <c r="G65" s="102">
        <v>5</v>
      </c>
      <c r="H65" s="50"/>
      <c r="I65" s="51"/>
      <c r="J65" s="50"/>
      <c r="K65" s="103" t="s">
        <v>378</v>
      </c>
      <c r="L65" s="104"/>
      <c r="M65" s="104"/>
      <c r="N65" s="104"/>
      <c r="O65" s="104"/>
      <c r="P65" s="105">
        <v>270</v>
      </c>
      <c r="Q65" s="105">
        <v>70</v>
      </c>
      <c r="R65" s="100"/>
      <c r="S65" s="63">
        <v>0</v>
      </c>
      <c r="T65" s="63">
        <v>0</v>
      </c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324</v>
      </c>
      <c r="F66" s="101" t="s">
        <v>361</v>
      </c>
      <c r="G66" s="102">
        <v>5</v>
      </c>
      <c r="H66" s="50"/>
      <c r="I66" s="51"/>
      <c r="J66" s="50"/>
      <c r="K66" s="103" t="s">
        <v>379</v>
      </c>
      <c r="L66" s="104"/>
      <c r="M66" s="104"/>
      <c r="N66" s="104"/>
      <c r="O66" s="104"/>
      <c r="P66" s="103">
        <v>498</v>
      </c>
      <c r="Q66" s="103">
        <v>109</v>
      </c>
      <c r="R66" s="104"/>
      <c r="S66" s="63">
        <v>340</v>
      </c>
      <c r="T66" s="63">
        <v>0</v>
      </c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324</v>
      </c>
      <c r="F67" s="101" t="s">
        <v>361</v>
      </c>
      <c r="G67" s="102">
        <v>5</v>
      </c>
      <c r="H67" s="50"/>
      <c r="I67" s="51"/>
      <c r="J67" s="50"/>
      <c r="K67" s="103" t="s">
        <v>380</v>
      </c>
      <c r="L67" s="104"/>
      <c r="M67" s="104"/>
      <c r="N67" s="104"/>
      <c r="O67" s="104"/>
      <c r="P67" s="105">
        <v>521</v>
      </c>
      <c r="Q67" s="105">
        <v>111</v>
      </c>
      <c r="R67" s="100"/>
      <c r="S67" s="63">
        <v>220</v>
      </c>
      <c r="T67" s="63">
        <v>0</v>
      </c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324</v>
      </c>
      <c r="F68" s="101" t="s">
        <v>361</v>
      </c>
      <c r="G68" s="102">
        <v>5</v>
      </c>
      <c r="H68" s="50"/>
      <c r="I68" s="51"/>
      <c r="J68" s="106"/>
      <c r="K68" s="103" t="s">
        <v>366</v>
      </c>
      <c r="L68" s="104"/>
      <c r="M68" s="104"/>
      <c r="N68" s="104"/>
      <c r="O68" s="104"/>
      <c r="P68" s="105">
        <v>352</v>
      </c>
      <c r="Q68" s="105">
        <v>81</v>
      </c>
      <c r="R68" s="100"/>
      <c r="S68" s="63">
        <v>185</v>
      </c>
      <c r="T68" s="63">
        <v>0</v>
      </c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324</v>
      </c>
      <c r="F69" s="101" t="s">
        <v>361</v>
      </c>
      <c r="G69" s="102">
        <v>6</v>
      </c>
      <c r="H69" s="50"/>
      <c r="I69" s="51"/>
      <c r="J69" s="47"/>
      <c r="K69" s="103" t="s">
        <v>328</v>
      </c>
      <c r="L69" s="104"/>
      <c r="M69" s="104"/>
      <c r="N69" s="104"/>
      <c r="O69" s="104"/>
      <c r="P69" s="103">
        <v>339</v>
      </c>
      <c r="Q69" s="103">
        <v>134</v>
      </c>
      <c r="R69" s="104"/>
      <c r="S69" s="63">
        <v>205</v>
      </c>
      <c r="T69" s="63">
        <v>0</v>
      </c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324</v>
      </c>
      <c r="F70" s="101" t="s">
        <v>361</v>
      </c>
      <c r="G70" s="102">
        <v>7</v>
      </c>
      <c r="H70" s="50"/>
      <c r="I70" s="51"/>
      <c r="J70" s="50"/>
      <c r="K70" s="103" t="s">
        <v>381</v>
      </c>
      <c r="L70" s="104"/>
      <c r="M70" s="104"/>
      <c r="N70" s="104"/>
      <c r="O70" s="104"/>
      <c r="P70" s="105">
        <v>254</v>
      </c>
      <c r="Q70" s="105">
        <v>56</v>
      </c>
      <c r="R70" s="100"/>
      <c r="S70" s="63">
        <v>175</v>
      </c>
      <c r="T70" s="63">
        <v>0</v>
      </c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324</v>
      </c>
      <c r="F71" s="101" t="s">
        <v>361</v>
      </c>
      <c r="G71" s="102">
        <v>7</v>
      </c>
      <c r="H71" s="50"/>
      <c r="I71" s="51"/>
      <c r="J71" s="50"/>
      <c r="K71" s="103" t="s">
        <v>382</v>
      </c>
      <c r="L71" s="104"/>
      <c r="M71" s="104"/>
      <c r="N71" s="104"/>
      <c r="O71" s="104"/>
      <c r="P71" s="105">
        <v>572</v>
      </c>
      <c r="Q71" s="105">
        <v>120</v>
      </c>
      <c r="R71" s="100"/>
      <c r="S71" s="63">
        <v>400</v>
      </c>
      <c r="T71" s="63">
        <v>0</v>
      </c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324</v>
      </c>
      <c r="F72" s="101" t="s">
        <v>361</v>
      </c>
      <c r="G72" s="102">
        <v>8</v>
      </c>
      <c r="H72" s="50"/>
      <c r="I72" s="51"/>
      <c r="J72" s="50"/>
      <c r="K72" s="103" t="s">
        <v>383</v>
      </c>
      <c r="L72" s="104"/>
      <c r="M72" s="104"/>
      <c r="N72" s="104"/>
      <c r="O72" s="104"/>
      <c r="P72" s="105">
        <v>886</v>
      </c>
      <c r="Q72" s="103">
        <v>128</v>
      </c>
      <c r="R72" s="104"/>
      <c r="S72" s="63">
        <v>252</v>
      </c>
      <c r="T72" s="63">
        <v>0</v>
      </c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324</v>
      </c>
      <c r="F73" s="101" t="s">
        <v>361</v>
      </c>
      <c r="G73" s="102">
        <v>8</v>
      </c>
      <c r="H73" s="50"/>
      <c r="I73" s="51"/>
      <c r="J73" s="50"/>
      <c r="K73" s="103" t="s">
        <v>384</v>
      </c>
      <c r="L73" s="104"/>
      <c r="M73" s="104"/>
      <c r="N73" s="104"/>
      <c r="O73" s="104"/>
      <c r="P73" s="105">
        <v>690</v>
      </c>
      <c r="Q73" s="105">
        <v>144</v>
      </c>
      <c r="R73" s="100"/>
      <c r="S73" s="63">
        <v>248</v>
      </c>
      <c r="T73" s="63">
        <v>0</v>
      </c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324</v>
      </c>
      <c r="F74" s="101" t="s">
        <v>361</v>
      </c>
      <c r="G74" s="102">
        <v>8</v>
      </c>
      <c r="H74" s="50"/>
      <c r="I74" s="51"/>
      <c r="J74" s="50"/>
      <c r="K74" s="103" t="s">
        <v>385</v>
      </c>
      <c r="L74" s="104"/>
      <c r="M74" s="104"/>
      <c r="N74" s="104"/>
      <c r="O74" s="104"/>
      <c r="P74" s="103">
        <v>383</v>
      </c>
      <c r="Q74" s="103">
        <v>81</v>
      </c>
      <c r="R74" s="104"/>
      <c r="S74" s="63">
        <v>430</v>
      </c>
      <c r="T74" s="63">
        <v>0</v>
      </c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324</v>
      </c>
      <c r="F75" s="101" t="s">
        <v>361</v>
      </c>
      <c r="G75" s="102">
        <v>9</v>
      </c>
      <c r="H75" s="50"/>
      <c r="I75" s="51"/>
      <c r="J75" s="50"/>
      <c r="K75" s="103" t="s">
        <v>376</v>
      </c>
      <c r="L75" s="104"/>
      <c r="M75" s="104"/>
      <c r="N75" s="104"/>
      <c r="O75" s="104"/>
      <c r="P75" s="110">
        <v>466</v>
      </c>
      <c r="Q75" s="110">
        <v>100</v>
      </c>
      <c r="R75" s="111"/>
      <c r="S75" s="63">
        <v>230</v>
      </c>
      <c r="T75" s="63">
        <v>0</v>
      </c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324</v>
      </c>
      <c r="F76" s="101" t="s">
        <v>361</v>
      </c>
      <c r="G76" s="102">
        <v>9</v>
      </c>
      <c r="H76" s="50"/>
      <c r="I76" s="51"/>
      <c r="J76" s="106"/>
      <c r="K76" s="103" t="s">
        <v>88</v>
      </c>
      <c r="L76" s="104"/>
      <c r="M76" s="104"/>
      <c r="N76" s="104"/>
      <c r="O76" s="104"/>
      <c r="P76" s="105">
        <v>397</v>
      </c>
      <c r="Q76" s="103">
        <v>80</v>
      </c>
      <c r="R76" s="104"/>
      <c r="S76" s="63">
        <v>120</v>
      </c>
      <c r="T76" s="63">
        <v>0</v>
      </c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324</v>
      </c>
      <c r="F77" s="101" t="s">
        <v>386</v>
      </c>
      <c r="G77" s="102">
        <v>1</v>
      </c>
      <c r="H77" s="50"/>
      <c r="I77" s="51"/>
      <c r="J77" s="47"/>
      <c r="K77" s="103" t="s">
        <v>387</v>
      </c>
      <c r="L77" s="104"/>
      <c r="M77" s="104"/>
      <c r="N77" s="104"/>
      <c r="O77" s="104"/>
      <c r="P77" s="105">
        <v>821</v>
      </c>
      <c r="Q77" s="103">
        <v>172</v>
      </c>
      <c r="R77" s="104"/>
      <c r="S77" s="63">
        <v>304</v>
      </c>
      <c r="T77" s="63">
        <v>0</v>
      </c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324</v>
      </c>
      <c r="F78" s="101" t="s">
        <v>386</v>
      </c>
      <c r="G78" s="102">
        <v>1</v>
      </c>
      <c r="H78" s="50"/>
      <c r="I78" s="51"/>
      <c r="J78" s="50"/>
      <c r="K78" s="103" t="s">
        <v>388</v>
      </c>
      <c r="L78" s="104"/>
      <c r="M78" s="104"/>
      <c r="N78" s="104"/>
      <c r="O78" s="104"/>
      <c r="P78" s="105">
        <v>524</v>
      </c>
      <c r="Q78" s="103">
        <v>109</v>
      </c>
      <c r="R78" s="104"/>
      <c r="S78" s="63">
        <v>241</v>
      </c>
      <c r="T78" s="63">
        <v>0</v>
      </c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324</v>
      </c>
      <c r="F79" s="101" t="s">
        <v>386</v>
      </c>
      <c r="G79" s="102">
        <v>1</v>
      </c>
      <c r="H79" s="50"/>
      <c r="I79" s="51"/>
      <c r="J79" s="50"/>
      <c r="K79" s="103" t="s">
        <v>389</v>
      </c>
      <c r="L79" s="104"/>
      <c r="M79" s="104"/>
      <c r="N79" s="104"/>
      <c r="O79" s="104"/>
      <c r="P79" s="105">
        <v>796</v>
      </c>
      <c r="Q79" s="103">
        <v>115</v>
      </c>
      <c r="R79" s="104"/>
      <c r="S79" s="63">
        <v>216</v>
      </c>
      <c r="T79" s="63">
        <v>0</v>
      </c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324</v>
      </c>
      <c r="F80" s="101" t="s">
        <v>386</v>
      </c>
      <c r="G80" s="102">
        <v>1</v>
      </c>
      <c r="H80" s="50"/>
      <c r="I80" s="51"/>
      <c r="J80" s="46"/>
      <c r="K80" s="103" t="s">
        <v>390</v>
      </c>
      <c r="L80" s="104"/>
      <c r="M80" s="104"/>
      <c r="N80" s="104"/>
      <c r="O80" s="104"/>
      <c r="P80" s="105">
        <v>806</v>
      </c>
      <c r="Q80" s="103">
        <v>119</v>
      </c>
      <c r="R80" s="104"/>
      <c r="S80" s="63">
        <v>204</v>
      </c>
      <c r="T80" s="63">
        <v>0</v>
      </c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324</v>
      </c>
      <c r="F81" s="101" t="s">
        <v>386</v>
      </c>
      <c r="G81" s="108">
        <v>1</v>
      </c>
      <c r="H81" s="50"/>
      <c r="I81" s="51"/>
      <c r="J81" s="106"/>
      <c r="K81" s="103" t="s">
        <v>391</v>
      </c>
      <c r="L81" s="104"/>
      <c r="M81" s="104"/>
      <c r="N81" s="104"/>
      <c r="O81" s="104"/>
      <c r="P81" s="103">
        <v>927</v>
      </c>
      <c r="Q81" s="103">
        <v>146</v>
      </c>
      <c r="R81" s="104"/>
      <c r="S81" s="63">
        <v>276</v>
      </c>
      <c r="T81" s="63">
        <v>0</v>
      </c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324</v>
      </c>
      <c r="F82" s="101" t="s">
        <v>386</v>
      </c>
      <c r="G82" s="102">
        <v>1</v>
      </c>
      <c r="H82" s="50"/>
      <c r="I82" s="51"/>
      <c r="J82" s="47"/>
      <c r="K82" s="103" t="s">
        <v>392</v>
      </c>
      <c r="L82" s="104"/>
      <c r="M82" s="104"/>
      <c r="N82" s="104"/>
      <c r="O82" s="104"/>
      <c r="P82" s="105">
        <v>331</v>
      </c>
      <c r="Q82" s="103">
        <v>70</v>
      </c>
      <c r="R82" s="104"/>
      <c r="S82" s="63">
        <v>280</v>
      </c>
      <c r="T82" s="63">
        <v>0</v>
      </c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324</v>
      </c>
      <c r="F83" s="101" t="s">
        <v>386</v>
      </c>
      <c r="G83" s="102">
        <v>1</v>
      </c>
      <c r="H83" s="50"/>
      <c r="I83" s="51"/>
      <c r="J83" s="50"/>
      <c r="K83" s="103" t="s">
        <v>393</v>
      </c>
      <c r="L83" s="104"/>
      <c r="M83" s="104"/>
      <c r="N83" s="104"/>
      <c r="O83" s="104"/>
      <c r="P83" s="105">
        <v>542</v>
      </c>
      <c r="Q83" s="103">
        <v>105</v>
      </c>
      <c r="R83" s="104"/>
      <c r="S83" s="63">
        <v>119</v>
      </c>
      <c r="T83" s="63">
        <v>0</v>
      </c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324</v>
      </c>
      <c r="F84" s="101" t="s">
        <v>386</v>
      </c>
      <c r="G84" s="102">
        <v>1</v>
      </c>
      <c r="H84" s="50"/>
      <c r="I84" s="51"/>
      <c r="J84" s="50"/>
      <c r="K84" s="103" t="s">
        <v>394</v>
      </c>
      <c r="L84" s="104"/>
      <c r="M84" s="104"/>
      <c r="N84" s="104"/>
      <c r="O84" s="104"/>
      <c r="P84" s="105">
        <v>406</v>
      </c>
      <c r="Q84" s="103">
        <v>62</v>
      </c>
      <c r="R84" s="104"/>
      <c r="S84" s="63">
        <v>240</v>
      </c>
      <c r="T84" s="63">
        <v>0</v>
      </c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324</v>
      </c>
      <c r="F85" s="101" t="s">
        <v>386</v>
      </c>
      <c r="G85" s="102">
        <v>1</v>
      </c>
      <c r="H85" s="50"/>
      <c r="I85" s="51"/>
      <c r="J85" s="50"/>
      <c r="K85" s="103" t="s">
        <v>395</v>
      </c>
      <c r="L85" s="104"/>
      <c r="M85" s="104"/>
      <c r="N85" s="104"/>
      <c r="O85" s="104"/>
      <c r="P85" s="105">
        <v>204</v>
      </c>
      <c r="Q85" s="103">
        <v>51</v>
      </c>
      <c r="R85" s="104"/>
      <c r="S85" s="63">
        <v>114</v>
      </c>
      <c r="T85" s="63">
        <v>0</v>
      </c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324</v>
      </c>
      <c r="F86" s="101" t="s">
        <v>386</v>
      </c>
      <c r="G86" s="102">
        <v>1</v>
      </c>
      <c r="H86" s="50"/>
      <c r="I86" s="51"/>
      <c r="J86" s="50"/>
      <c r="K86" s="103" t="s">
        <v>396</v>
      </c>
      <c r="L86" s="104"/>
      <c r="M86" s="104"/>
      <c r="N86" s="104"/>
      <c r="O86" s="104"/>
      <c r="P86" s="105">
        <v>302</v>
      </c>
      <c r="Q86" s="103">
        <v>90</v>
      </c>
      <c r="R86" s="104"/>
      <c r="S86" s="63">
        <v>70</v>
      </c>
      <c r="T86" s="63">
        <v>0</v>
      </c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324</v>
      </c>
      <c r="F87" s="101" t="s">
        <v>386</v>
      </c>
      <c r="G87" s="108">
        <v>1</v>
      </c>
      <c r="H87" s="50"/>
      <c r="I87" s="51"/>
      <c r="J87" s="106"/>
      <c r="K87" s="103" t="s">
        <v>397</v>
      </c>
      <c r="L87" s="104"/>
      <c r="M87" s="104"/>
      <c r="N87" s="104"/>
      <c r="O87" s="104"/>
      <c r="P87" s="105">
        <v>152</v>
      </c>
      <c r="Q87" s="103">
        <v>20</v>
      </c>
      <c r="R87" s="104"/>
      <c r="S87" s="63">
        <v>93</v>
      </c>
      <c r="T87" s="63">
        <v>0</v>
      </c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324</v>
      </c>
      <c r="F88" s="101" t="s">
        <v>386</v>
      </c>
      <c r="G88" s="102">
        <v>1</v>
      </c>
      <c r="H88" s="50"/>
      <c r="I88" s="51"/>
      <c r="J88" s="47"/>
      <c r="K88" s="103" t="s">
        <v>398</v>
      </c>
      <c r="L88" s="104"/>
      <c r="M88" s="104"/>
      <c r="N88" s="104"/>
      <c r="O88" s="104"/>
      <c r="P88" s="105">
        <v>121</v>
      </c>
      <c r="Q88" s="103">
        <v>52</v>
      </c>
      <c r="R88" s="104"/>
      <c r="S88" s="63">
        <v>100</v>
      </c>
      <c r="T88" s="63">
        <v>0</v>
      </c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324</v>
      </c>
      <c r="F89" s="101" t="s">
        <v>386</v>
      </c>
      <c r="G89" s="102">
        <v>2</v>
      </c>
      <c r="H89" s="50"/>
      <c r="I89" s="51"/>
      <c r="J89" s="50"/>
      <c r="K89" s="103" t="s">
        <v>399</v>
      </c>
      <c r="L89" s="104"/>
      <c r="M89" s="104"/>
      <c r="N89" s="104"/>
      <c r="O89" s="104"/>
      <c r="P89" s="105">
        <v>360</v>
      </c>
      <c r="Q89" s="105">
        <v>80</v>
      </c>
      <c r="R89" s="100"/>
      <c r="S89" s="63">
        <v>135</v>
      </c>
      <c r="T89" s="63">
        <v>0</v>
      </c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324</v>
      </c>
      <c r="F90" s="101" t="s">
        <v>386</v>
      </c>
      <c r="G90" s="102">
        <v>2</v>
      </c>
      <c r="H90" s="50"/>
      <c r="I90" s="51"/>
      <c r="J90" s="50"/>
      <c r="K90" s="103" t="s">
        <v>400</v>
      </c>
      <c r="L90" s="104"/>
      <c r="M90" s="104"/>
      <c r="N90" s="104"/>
      <c r="O90" s="104"/>
      <c r="P90" s="105">
        <v>210</v>
      </c>
      <c r="Q90" s="105">
        <v>40</v>
      </c>
      <c r="R90" s="100"/>
      <c r="S90" s="63">
        <v>80</v>
      </c>
      <c r="T90" s="63">
        <v>0</v>
      </c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324</v>
      </c>
      <c r="F91" s="101" t="s">
        <v>386</v>
      </c>
      <c r="G91" s="102">
        <v>2</v>
      </c>
      <c r="H91" s="50"/>
      <c r="I91" s="51"/>
      <c r="J91" s="50"/>
      <c r="K91" s="103" t="s">
        <v>401</v>
      </c>
      <c r="L91" s="104"/>
      <c r="M91" s="104"/>
      <c r="N91" s="104"/>
      <c r="O91" s="104"/>
      <c r="P91" s="105">
        <v>320</v>
      </c>
      <c r="Q91" s="105">
        <v>60</v>
      </c>
      <c r="R91" s="100"/>
      <c r="S91" s="63">
        <v>123</v>
      </c>
      <c r="T91" s="63">
        <v>0</v>
      </c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324</v>
      </c>
      <c r="F92" s="101" t="s">
        <v>386</v>
      </c>
      <c r="G92" s="102">
        <v>2</v>
      </c>
      <c r="H92" s="50"/>
      <c r="I92" s="51"/>
      <c r="J92" s="50"/>
      <c r="K92" s="103" t="s">
        <v>402</v>
      </c>
      <c r="L92" s="104"/>
      <c r="M92" s="104"/>
      <c r="N92" s="104"/>
      <c r="O92" s="104"/>
      <c r="P92" s="105">
        <v>390</v>
      </c>
      <c r="Q92" s="105">
        <v>70</v>
      </c>
      <c r="R92" s="100"/>
      <c r="S92" s="63">
        <v>146</v>
      </c>
      <c r="T92" s="63">
        <v>0</v>
      </c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324</v>
      </c>
      <c r="F93" s="101" t="s">
        <v>386</v>
      </c>
      <c r="G93" s="108">
        <v>2</v>
      </c>
      <c r="H93" s="50"/>
      <c r="I93" s="51"/>
      <c r="J93" s="50"/>
      <c r="K93" s="103" t="s">
        <v>403</v>
      </c>
      <c r="L93" s="104"/>
      <c r="M93" s="104"/>
      <c r="N93" s="104"/>
      <c r="O93" s="104"/>
      <c r="P93" s="105">
        <v>475</v>
      </c>
      <c r="Q93" s="105">
        <v>85</v>
      </c>
      <c r="R93" s="100"/>
      <c r="S93" s="63">
        <v>0</v>
      </c>
      <c r="T93" s="63">
        <v>0</v>
      </c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324</v>
      </c>
      <c r="F94" s="101" t="s">
        <v>386</v>
      </c>
      <c r="G94" s="102">
        <v>2</v>
      </c>
      <c r="H94" s="50"/>
      <c r="I94" s="51"/>
      <c r="J94" s="50"/>
      <c r="K94" s="103" t="s">
        <v>404</v>
      </c>
      <c r="L94" s="104"/>
      <c r="M94" s="104"/>
      <c r="N94" s="104"/>
      <c r="O94" s="104"/>
      <c r="P94" s="105">
        <v>354</v>
      </c>
      <c r="Q94" s="105">
        <v>58</v>
      </c>
      <c r="R94" s="100"/>
      <c r="S94" s="63">
        <v>0</v>
      </c>
      <c r="T94" s="63">
        <v>0</v>
      </c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324</v>
      </c>
      <c r="F95" s="101" t="s">
        <v>386</v>
      </c>
      <c r="G95" s="102">
        <v>2</v>
      </c>
      <c r="H95" s="50"/>
      <c r="I95" s="51"/>
      <c r="J95" s="50"/>
      <c r="K95" s="103" t="s">
        <v>405</v>
      </c>
      <c r="L95" s="104"/>
      <c r="M95" s="104"/>
      <c r="N95" s="104"/>
      <c r="O95" s="104"/>
      <c r="P95" s="105">
        <v>634</v>
      </c>
      <c r="Q95" s="105">
        <v>65</v>
      </c>
      <c r="R95" s="100"/>
      <c r="S95" s="63">
        <v>0</v>
      </c>
      <c r="T95" s="63">
        <v>0</v>
      </c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324</v>
      </c>
      <c r="F96" s="101" t="s">
        <v>386</v>
      </c>
      <c r="G96" s="102">
        <v>2</v>
      </c>
      <c r="H96" s="50"/>
      <c r="I96" s="51"/>
      <c r="J96" s="50"/>
      <c r="K96" s="103" t="s">
        <v>406</v>
      </c>
      <c r="L96" s="104"/>
      <c r="M96" s="104"/>
      <c r="N96" s="104"/>
      <c r="O96" s="104"/>
      <c r="P96" s="105">
        <v>524</v>
      </c>
      <c r="Q96" s="105">
        <v>64</v>
      </c>
      <c r="R96" s="100"/>
      <c r="S96" s="63">
        <v>0</v>
      </c>
      <c r="T96" s="63">
        <v>0</v>
      </c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8" t="s">
        <v>324</v>
      </c>
      <c r="F97" s="101" t="s">
        <v>386</v>
      </c>
      <c r="G97" s="102">
        <v>2</v>
      </c>
      <c r="H97" s="50"/>
      <c r="I97" s="51"/>
      <c r="J97" s="50"/>
      <c r="K97" s="103" t="s">
        <v>407</v>
      </c>
      <c r="L97" s="104"/>
      <c r="M97" s="104"/>
      <c r="N97" s="104"/>
      <c r="O97" s="104"/>
      <c r="P97" s="105">
        <v>450</v>
      </c>
      <c r="Q97" s="105">
        <v>100</v>
      </c>
      <c r="R97" s="100"/>
      <c r="S97" s="63">
        <v>260</v>
      </c>
      <c r="T97" s="63">
        <v>0</v>
      </c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8" t="s">
        <v>324</v>
      </c>
      <c r="F98" s="101" t="s">
        <v>386</v>
      </c>
      <c r="G98" s="102">
        <v>3</v>
      </c>
      <c r="H98" s="50"/>
      <c r="I98" s="51"/>
      <c r="J98" s="50"/>
      <c r="K98" s="103" t="s">
        <v>408</v>
      </c>
      <c r="L98" s="104"/>
      <c r="M98" s="104"/>
      <c r="N98" s="104"/>
      <c r="O98" s="104"/>
      <c r="P98" s="103">
        <v>361</v>
      </c>
      <c r="Q98" s="103">
        <v>86</v>
      </c>
      <c r="R98" s="104"/>
      <c r="S98" s="63">
        <v>0</v>
      </c>
      <c r="T98" s="63">
        <v>0</v>
      </c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8" t="s">
        <v>324</v>
      </c>
      <c r="F99" s="101" t="s">
        <v>386</v>
      </c>
      <c r="G99" s="102">
        <v>3</v>
      </c>
      <c r="H99" s="50"/>
      <c r="I99" s="51"/>
      <c r="J99" s="112"/>
      <c r="K99" s="103" t="s">
        <v>409</v>
      </c>
      <c r="L99" s="65"/>
      <c r="M99" s="65"/>
      <c r="N99" s="65"/>
      <c r="O99" s="65"/>
      <c r="P99" s="105">
        <v>243</v>
      </c>
      <c r="Q99" s="105">
        <v>41</v>
      </c>
      <c r="R99" s="100"/>
      <c r="S99" s="63">
        <v>0</v>
      </c>
      <c r="T99" s="63">
        <v>0</v>
      </c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8" t="s">
        <v>324</v>
      </c>
      <c r="F100" s="101" t="s">
        <v>386</v>
      </c>
      <c r="G100" s="102">
        <v>4</v>
      </c>
      <c r="H100" s="50"/>
      <c r="I100" s="51"/>
      <c r="J100" s="50"/>
      <c r="K100" s="103" t="s">
        <v>410</v>
      </c>
      <c r="L100" s="104"/>
      <c r="M100" s="104"/>
      <c r="N100" s="104"/>
      <c r="O100" s="104"/>
      <c r="P100" s="105">
        <v>358</v>
      </c>
      <c r="Q100" s="105">
        <v>80</v>
      </c>
      <c r="R100" s="100"/>
      <c r="S100" s="63">
        <v>100</v>
      </c>
      <c r="T100" s="63">
        <v>0</v>
      </c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8" t="s">
        <v>324</v>
      </c>
      <c r="F101" s="101" t="s">
        <v>386</v>
      </c>
      <c r="G101" s="102">
        <v>4</v>
      </c>
      <c r="H101" s="50"/>
      <c r="I101" s="51"/>
      <c r="J101" s="50"/>
      <c r="K101" s="103" t="s">
        <v>411</v>
      </c>
      <c r="L101" s="104"/>
      <c r="M101" s="104"/>
      <c r="N101" s="104"/>
      <c r="O101" s="104"/>
      <c r="P101" s="105">
        <v>325</v>
      </c>
      <c r="Q101" s="105">
        <v>70</v>
      </c>
      <c r="R101" s="100"/>
      <c r="S101" s="63">
        <v>212</v>
      </c>
      <c r="T101" s="63">
        <v>0</v>
      </c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8" t="s">
        <v>324</v>
      </c>
      <c r="F102" s="101" t="s">
        <v>386</v>
      </c>
      <c r="G102" s="102">
        <v>4</v>
      </c>
      <c r="H102" s="50"/>
      <c r="I102" s="51"/>
      <c r="J102" s="50"/>
      <c r="K102" s="103" t="s">
        <v>412</v>
      </c>
      <c r="L102" s="104"/>
      <c r="M102" s="104"/>
      <c r="N102" s="104"/>
      <c r="O102" s="104"/>
      <c r="P102" s="105">
        <v>421</v>
      </c>
      <c r="Q102" s="105">
        <v>80</v>
      </c>
      <c r="R102" s="100"/>
      <c r="S102" s="63">
        <v>0</v>
      </c>
      <c r="T102" s="63">
        <v>0</v>
      </c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8" t="s">
        <v>324</v>
      </c>
      <c r="F103" s="101" t="s">
        <v>386</v>
      </c>
      <c r="G103" s="102">
        <v>4</v>
      </c>
      <c r="H103" s="50"/>
      <c r="I103" s="51"/>
      <c r="J103" s="50"/>
      <c r="K103" s="103" t="s">
        <v>413</v>
      </c>
      <c r="L103" s="104"/>
      <c r="M103" s="104"/>
      <c r="N103" s="104"/>
      <c r="O103" s="104"/>
      <c r="P103" s="105">
        <v>424</v>
      </c>
      <c r="Q103" s="105">
        <v>90</v>
      </c>
      <c r="R103" s="100"/>
      <c r="S103" s="63">
        <v>0</v>
      </c>
      <c r="T103" s="63">
        <v>0</v>
      </c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8" t="s">
        <v>324</v>
      </c>
      <c r="F104" s="101" t="s">
        <v>386</v>
      </c>
      <c r="G104" s="102">
        <v>4</v>
      </c>
      <c r="H104" s="50"/>
      <c r="I104" s="51"/>
      <c r="J104" s="50"/>
      <c r="K104" s="103" t="s">
        <v>346</v>
      </c>
      <c r="L104" s="104"/>
      <c r="M104" s="104"/>
      <c r="N104" s="104"/>
      <c r="O104" s="104"/>
      <c r="P104" s="105">
        <v>350</v>
      </c>
      <c r="Q104" s="105">
        <v>63</v>
      </c>
      <c r="R104" s="100"/>
      <c r="S104" s="63">
        <v>84</v>
      </c>
      <c r="T104" s="63">
        <v>0</v>
      </c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8" t="s">
        <v>324</v>
      </c>
      <c r="F105" s="101" t="s">
        <v>386</v>
      </c>
      <c r="G105" s="102">
        <v>5</v>
      </c>
      <c r="H105" s="50"/>
      <c r="I105" s="51"/>
      <c r="J105" s="50"/>
      <c r="K105" s="103" t="s">
        <v>414</v>
      </c>
      <c r="L105" s="104"/>
      <c r="M105" s="104"/>
      <c r="N105" s="104"/>
      <c r="O105" s="104"/>
      <c r="P105" s="105">
        <v>1064</v>
      </c>
      <c r="Q105" s="103">
        <v>278</v>
      </c>
      <c r="R105" s="104"/>
      <c r="S105" s="63">
        <v>493</v>
      </c>
      <c r="T105" s="63">
        <v>0</v>
      </c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8" t="s">
        <v>324</v>
      </c>
      <c r="F106" s="101" t="s">
        <v>386</v>
      </c>
      <c r="G106" s="102">
        <v>5</v>
      </c>
      <c r="H106" s="50"/>
      <c r="I106" s="51"/>
      <c r="J106" s="50"/>
      <c r="K106" s="103" t="s">
        <v>415</v>
      </c>
      <c r="L106" s="104"/>
      <c r="M106" s="104"/>
      <c r="N106" s="104"/>
      <c r="O106" s="104"/>
      <c r="P106" s="105">
        <v>311</v>
      </c>
      <c r="Q106" s="105">
        <v>70</v>
      </c>
      <c r="R106" s="100"/>
      <c r="S106" s="63">
        <v>0</v>
      </c>
      <c r="T106" s="63">
        <v>0</v>
      </c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8" t="s">
        <v>324</v>
      </c>
      <c r="F107" s="101" t="s">
        <v>386</v>
      </c>
      <c r="G107" s="102">
        <v>5</v>
      </c>
      <c r="H107" s="50"/>
      <c r="I107" s="51"/>
      <c r="J107" s="50"/>
      <c r="K107" s="103" t="s">
        <v>328</v>
      </c>
      <c r="L107" s="104"/>
      <c r="M107" s="104"/>
      <c r="N107" s="104"/>
      <c r="O107" s="104"/>
      <c r="P107" s="105">
        <v>537</v>
      </c>
      <c r="Q107" s="105">
        <v>130</v>
      </c>
      <c r="R107" s="100"/>
      <c r="S107" s="63">
        <v>264</v>
      </c>
      <c r="T107" s="63">
        <v>0</v>
      </c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8" t="s">
        <v>324</v>
      </c>
      <c r="F108" s="101" t="s">
        <v>386</v>
      </c>
      <c r="G108" s="102">
        <v>5</v>
      </c>
      <c r="H108" s="50"/>
      <c r="I108" s="51"/>
      <c r="J108" s="50"/>
      <c r="K108" s="103" t="s">
        <v>416</v>
      </c>
      <c r="L108" s="104"/>
      <c r="M108" s="104"/>
      <c r="N108" s="104"/>
      <c r="O108" s="104"/>
      <c r="P108" s="105">
        <v>443</v>
      </c>
      <c r="Q108" s="105">
        <v>90</v>
      </c>
      <c r="R108" s="100"/>
      <c r="S108" s="63">
        <v>165</v>
      </c>
      <c r="T108" s="63">
        <v>0</v>
      </c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8" t="s">
        <v>324</v>
      </c>
      <c r="F109" s="101" t="s">
        <v>386</v>
      </c>
      <c r="G109" s="102">
        <v>5</v>
      </c>
      <c r="H109" s="50"/>
      <c r="I109" s="51"/>
      <c r="J109" s="50"/>
      <c r="K109" s="103" t="s">
        <v>417</v>
      </c>
      <c r="L109" s="104"/>
      <c r="M109" s="104"/>
      <c r="N109" s="104"/>
      <c r="O109" s="104"/>
      <c r="P109" s="105">
        <v>554</v>
      </c>
      <c r="Q109" s="105">
        <v>116</v>
      </c>
      <c r="R109" s="100"/>
      <c r="S109" s="63">
        <v>250</v>
      </c>
      <c r="T109" s="63">
        <v>0</v>
      </c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8" t="s">
        <v>324</v>
      </c>
      <c r="F110" s="101" t="s">
        <v>386</v>
      </c>
      <c r="G110" s="102">
        <v>5</v>
      </c>
      <c r="H110" s="50"/>
      <c r="I110" s="51"/>
      <c r="J110" s="50"/>
      <c r="K110" s="103" t="s">
        <v>418</v>
      </c>
      <c r="L110" s="104"/>
      <c r="M110" s="104"/>
      <c r="N110" s="104"/>
      <c r="O110" s="104"/>
      <c r="P110" s="105">
        <v>399</v>
      </c>
      <c r="Q110" s="105">
        <v>83</v>
      </c>
      <c r="R110" s="100"/>
      <c r="S110" s="63">
        <v>187</v>
      </c>
      <c r="T110" s="63">
        <v>0</v>
      </c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8" t="s">
        <v>324</v>
      </c>
      <c r="F111" s="101" t="s">
        <v>386</v>
      </c>
      <c r="G111" s="102">
        <v>5</v>
      </c>
      <c r="H111" s="50"/>
      <c r="I111" s="51"/>
      <c r="J111" s="50"/>
      <c r="K111" s="103" t="s">
        <v>370</v>
      </c>
      <c r="L111" s="104"/>
      <c r="M111" s="104"/>
      <c r="N111" s="104"/>
      <c r="O111" s="104"/>
      <c r="P111" s="105">
        <v>1013</v>
      </c>
      <c r="Q111" s="105">
        <v>145</v>
      </c>
      <c r="R111" s="100"/>
      <c r="S111" s="63">
        <v>325</v>
      </c>
      <c r="T111" s="63">
        <v>0</v>
      </c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8" t="s">
        <v>324</v>
      </c>
      <c r="F112" s="101" t="s">
        <v>386</v>
      </c>
      <c r="G112" s="102">
        <v>5</v>
      </c>
      <c r="H112" s="50"/>
      <c r="I112" s="51"/>
      <c r="J112" s="106"/>
      <c r="K112" s="103" t="s">
        <v>419</v>
      </c>
      <c r="L112" s="104"/>
      <c r="M112" s="104"/>
      <c r="N112" s="104"/>
      <c r="O112" s="104"/>
      <c r="P112" s="105">
        <v>359</v>
      </c>
      <c r="Q112" s="105">
        <v>79</v>
      </c>
      <c r="R112" s="100"/>
      <c r="S112" s="63">
        <v>185</v>
      </c>
      <c r="T112" s="63">
        <v>0</v>
      </c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8" t="s">
        <v>324</v>
      </c>
      <c r="F113" s="101" t="s">
        <v>386</v>
      </c>
      <c r="G113" s="102">
        <v>5</v>
      </c>
      <c r="H113" s="50"/>
      <c r="I113" s="51"/>
      <c r="J113" s="47"/>
      <c r="K113" s="103" t="s">
        <v>420</v>
      </c>
      <c r="L113" s="104"/>
      <c r="M113" s="104"/>
      <c r="N113" s="104"/>
      <c r="O113" s="104"/>
      <c r="P113" s="105">
        <v>416</v>
      </c>
      <c r="Q113" s="105">
        <v>87</v>
      </c>
      <c r="R113" s="100"/>
      <c r="S113" s="63">
        <v>116</v>
      </c>
      <c r="T113" s="63">
        <v>0</v>
      </c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8" t="s">
        <v>324</v>
      </c>
      <c r="F114" s="101" t="s">
        <v>386</v>
      </c>
      <c r="G114" s="102">
        <v>5</v>
      </c>
      <c r="H114" s="50"/>
      <c r="I114" s="51"/>
      <c r="J114" s="50"/>
      <c r="K114" s="103" t="s">
        <v>421</v>
      </c>
      <c r="L114" s="104"/>
      <c r="M114" s="104"/>
      <c r="N114" s="104"/>
      <c r="O114" s="104"/>
      <c r="P114" s="105">
        <v>494</v>
      </c>
      <c r="Q114" s="105">
        <v>103</v>
      </c>
      <c r="R114" s="100"/>
      <c r="S114" s="63">
        <v>0</v>
      </c>
      <c r="T114" s="63">
        <v>0</v>
      </c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8" t="s">
        <v>324</v>
      </c>
      <c r="F115" s="101" t="s">
        <v>386</v>
      </c>
      <c r="G115" s="102">
        <v>6</v>
      </c>
      <c r="H115" s="50"/>
      <c r="I115" s="51"/>
      <c r="J115" s="50"/>
      <c r="K115" s="103" t="s">
        <v>422</v>
      </c>
      <c r="L115" s="104"/>
      <c r="M115" s="104"/>
      <c r="N115" s="104"/>
      <c r="O115" s="104"/>
      <c r="P115" s="105">
        <v>100</v>
      </c>
      <c r="Q115" s="105">
        <v>20</v>
      </c>
      <c r="R115" s="100"/>
      <c r="S115" s="63">
        <v>57</v>
      </c>
      <c r="T115" s="63">
        <v>0</v>
      </c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8" t="s">
        <v>324</v>
      </c>
      <c r="F116" s="101" t="s">
        <v>386</v>
      </c>
      <c r="G116" s="102">
        <v>6</v>
      </c>
      <c r="H116" s="50"/>
      <c r="I116" s="51"/>
      <c r="J116" s="50"/>
      <c r="K116" s="103" t="s">
        <v>423</v>
      </c>
      <c r="L116" s="104"/>
      <c r="M116" s="104"/>
      <c r="N116" s="104"/>
      <c r="O116" s="104"/>
      <c r="P116" s="105">
        <v>1510</v>
      </c>
      <c r="Q116" s="105">
        <v>321</v>
      </c>
      <c r="R116" s="100"/>
      <c r="S116" s="63">
        <v>559</v>
      </c>
      <c r="T116" s="63">
        <v>0</v>
      </c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8" t="s">
        <v>324</v>
      </c>
      <c r="F117" s="101" t="s">
        <v>386</v>
      </c>
      <c r="G117" s="102">
        <v>6</v>
      </c>
      <c r="H117" s="50"/>
      <c r="I117" s="51"/>
      <c r="J117" s="50"/>
      <c r="K117" s="103" t="s">
        <v>424</v>
      </c>
      <c r="L117" s="104"/>
      <c r="M117" s="104"/>
      <c r="N117" s="104"/>
      <c r="O117" s="104"/>
      <c r="P117" s="105">
        <v>647</v>
      </c>
      <c r="Q117" s="105">
        <v>140</v>
      </c>
      <c r="R117" s="100"/>
      <c r="S117" s="63">
        <v>0</v>
      </c>
      <c r="T117" s="63">
        <v>0</v>
      </c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8" t="s">
        <v>324</v>
      </c>
      <c r="F118" s="101" t="s">
        <v>386</v>
      </c>
      <c r="G118" s="102">
        <v>6</v>
      </c>
      <c r="H118" s="50"/>
      <c r="I118" s="51"/>
      <c r="J118" s="106"/>
      <c r="K118" s="103" t="s">
        <v>425</v>
      </c>
      <c r="L118" s="104"/>
      <c r="M118" s="104"/>
      <c r="N118" s="104"/>
      <c r="O118" s="104"/>
      <c r="P118" s="105">
        <v>463</v>
      </c>
      <c r="Q118" s="105">
        <v>102</v>
      </c>
      <c r="R118" s="100"/>
      <c r="S118" s="63">
        <v>138</v>
      </c>
      <c r="T118" s="63">
        <v>0</v>
      </c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8" t="s">
        <v>324</v>
      </c>
      <c r="F119" s="101" t="s">
        <v>386</v>
      </c>
      <c r="G119" s="102">
        <v>6</v>
      </c>
      <c r="H119" s="50"/>
      <c r="I119" s="51"/>
      <c r="J119" s="47"/>
      <c r="K119" s="103" t="s">
        <v>426</v>
      </c>
      <c r="L119" s="104"/>
      <c r="M119" s="104"/>
      <c r="N119" s="104"/>
      <c r="O119" s="104"/>
      <c r="P119" s="105">
        <v>386</v>
      </c>
      <c r="Q119" s="105">
        <v>80</v>
      </c>
      <c r="R119" s="100"/>
      <c r="S119" s="63">
        <v>0</v>
      </c>
      <c r="T119" s="63">
        <v>0</v>
      </c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8" t="s">
        <v>324</v>
      </c>
      <c r="F120" s="101" t="s">
        <v>386</v>
      </c>
      <c r="G120" s="102">
        <v>6</v>
      </c>
      <c r="H120" s="50"/>
      <c r="I120" s="51"/>
      <c r="J120" s="50"/>
      <c r="K120" s="103" t="s">
        <v>427</v>
      </c>
      <c r="L120" s="104"/>
      <c r="M120" s="104"/>
      <c r="N120" s="104"/>
      <c r="O120" s="104"/>
      <c r="P120" s="105">
        <v>241</v>
      </c>
      <c r="Q120" s="105">
        <v>75</v>
      </c>
      <c r="R120" s="100"/>
      <c r="S120" s="63">
        <v>150</v>
      </c>
      <c r="T120" s="63">
        <v>0</v>
      </c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8" t="s">
        <v>324</v>
      </c>
      <c r="F121" s="101" t="s">
        <v>386</v>
      </c>
      <c r="G121" s="102">
        <v>6</v>
      </c>
      <c r="H121" s="50"/>
      <c r="I121" s="51"/>
      <c r="J121" s="50"/>
      <c r="K121" s="103" t="s">
        <v>149</v>
      </c>
      <c r="L121" s="104"/>
      <c r="M121" s="104"/>
      <c r="N121" s="104"/>
      <c r="O121" s="104"/>
      <c r="P121" s="105">
        <v>563</v>
      </c>
      <c r="Q121" s="105">
        <v>100</v>
      </c>
      <c r="R121" s="100"/>
      <c r="S121" s="63">
        <v>129</v>
      </c>
      <c r="T121" s="63">
        <v>0</v>
      </c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8" t="s">
        <v>324</v>
      </c>
      <c r="F122" s="101" t="s">
        <v>386</v>
      </c>
      <c r="G122" s="102">
        <v>6</v>
      </c>
      <c r="H122" s="50"/>
      <c r="I122" s="51"/>
      <c r="J122" s="50"/>
      <c r="K122" s="103" t="s">
        <v>428</v>
      </c>
      <c r="L122" s="104"/>
      <c r="M122" s="104"/>
      <c r="N122" s="104"/>
      <c r="O122" s="104"/>
      <c r="P122" s="105">
        <v>487</v>
      </c>
      <c r="Q122" s="105">
        <v>109</v>
      </c>
      <c r="R122" s="100"/>
      <c r="S122" s="63">
        <v>169</v>
      </c>
      <c r="T122" s="63">
        <v>0</v>
      </c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8" t="s">
        <v>324</v>
      </c>
      <c r="F123" s="101" t="s">
        <v>386</v>
      </c>
      <c r="G123" s="102">
        <v>7</v>
      </c>
      <c r="H123" s="50"/>
      <c r="I123" s="51"/>
      <c r="J123" s="50"/>
      <c r="K123" s="103" t="s">
        <v>429</v>
      </c>
      <c r="L123" s="104"/>
      <c r="M123" s="104"/>
      <c r="N123" s="104"/>
      <c r="O123" s="104"/>
      <c r="P123" s="105">
        <v>151</v>
      </c>
      <c r="Q123" s="105">
        <v>31</v>
      </c>
      <c r="R123" s="100"/>
      <c r="S123" s="63">
        <v>77</v>
      </c>
      <c r="T123" s="63">
        <v>0</v>
      </c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8" t="s">
        <v>324</v>
      </c>
      <c r="F124" s="101" t="s">
        <v>386</v>
      </c>
      <c r="G124" s="102">
        <v>7</v>
      </c>
      <c r="H124" s="50"/>
      <c r="I124" s="51"/>
      <c r="J124" s="106"/>
      <c r="K124" s="103" t="s">
        <v>15</v>
      </c>
      <c r="L124" s="104"/>
      <c r="M124" s="104"/>
      <c r="N124" s="104"/>
      <c r="O124" s="104"/>
      <c r="P124" s="105">
        <v>787</v>
      </c>
      <c r="Q124" s="105">
        <v>211</v>
      </c>
      <c r="R124" s="100"/>
      <c r="S124" s="63">
        <v>300</v>
      </c>
      <c r="T124" s="63">
        <v>0</v>
      </c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8" t="s">
        <v>324</v>
      </c>
      <c r="F125" s="101" t="s">
        <v>386</v>
      </c>
      <c r="G125" s="102">
        <v>7</v>
      </c>
      <c r="H125" s="50"/>
      <c r="I125" s="51"/>
      <c r="J125" s="47"/>
      <c r="K125" s="103" t="s">
        <v>430</v>
      </c>
      <c r="L125" s="104"/>
      <c r="M125" s="104"/>
      <c r="N125" s="104"/>
      <c r="O125" s="104"/>
      <c r="P125" s="105">
        <v>563</v>
      </c>
      <c r="Q125" s="103">
        <v>125</v>
      </c>
      <c r="R125" s="104"/>
      <c r="S125" s="63">
        <v>0</v>
      </c>
      <c r="T125" s="63">
        <v>0</v>
      </c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8" t="s">
        <v>324</v>
      </c>
      <c r="F126" s="101" t="s">
        <v>386</v>
      </c>
      <c r="G126" s="102">
        <v>7</v>
      </c>
      <c r="H126" s="50"/>
      <c r="I126" s="51"/>
      <c r="J126" s="50"/>
      <c r="K126" s="103" t="s">
        <v>346</v>
      </c>
      <c r="L126" s="104"/>
      <c r="M126" s="104"/>
      <c r="N126" s="104"/>
      <c r="O126" s="104"/>
      <c r="P126" s="105">
        <v>317</v>
      </c>
      <c r="Q126" s="105">
        <v>72</v>
      </c>
      <c r="R126" s="100"/>
      <c r="S126" s="63">
        <v>0</v>
      </c>
      <c r="T126" s="63">
        <v>0</v>
      </c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8" t="s">
        <v>324</v>
      </c>
      <c r="F127" s="101" t="s">
        <v>386</v>
      </c>
      <c r="G127" s="102">
        <v>8</v>
      </c>
      <c r="H127" s="50"/>
      <c r="I127" s="51"/>
      <c r="J127" s="50"/>
      <c r="K127" s="103" t="s">
        <v>431</v>
      </c>
      <c r="L127" s="104"/>
      <c r="M127" s="104"/>
      <c r="N127" s="104"/>
      <c r="O127" s="104"/>
      <c r="P127" s="105">
        <v>576</v>
      </c>
      <c r="Q127" s="105">
        <v>88</v>
      </c>
      <c r="R127" s="100"/>
      <c r="S127" s="63">
        <v>0</v>
      </c>
      <c r="T127" s="63">
        <v>0</v>
      </c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8" t="s">
        <v>324</v>
      </c>
      <c r="F128" s="101" t="s">
        <v>386</v>
      </c>
      <c r="G128" s="102">
        <v>8</v>
      </c>
      <c r="H128" s="50"/>
      <c r="I128" s="51"/>
      <c r="J128" s="106"/>
      <c r="K128" s="103" t="s">
        <v>364</v>
      </c>
      <c r="L128" s="104"/>
      <c r="M128" s="104"/>
      <c r="N128" s="104"/>
      <c r="O128" s="104"/>
      <c r="P128" s="105">
        <v>342</v>
      </c>
      <c r="Q128" s="105">
        <v>71</v>
      </c>
      <c r="R128" s="100"/>
      <c r="S128" s="63">
        <v>74</v>
      </c>
      <c r="T128" s="63">
        <v>0</v>
      </c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8" t="s">
        <v>324</v>
      </c>
      <c r="F129" s="101" t="s">
        <v>386</v>
      </c>
      <c r="G129" s="102">
        <v>8</v>
      </c>
      <c r="H129" s="50"/>
      <c r="I129" s="51"/>
      <c r="J129" s="47"/>
      <c r="K129" s="103" t="s">
        <v>432</v>
      </c>
      <c r="L129" s="104"/>
      <c r="M129" s="104"/>
      <c r="N129" s="104"/>
      <c r="O129" s="104"/>
      <c r="P129" s="105">
        <v>515</v>
      </c>
      <c r="Q129" s="103">
        <v>121</v>
      </c>
      <c r="R129" s="104"/>
      <c r="S129" s="63">
        <v>177</v>
      </c>
      <c r="T129" s="63">
        <v>0</v>
      </c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8" t="s">
        <v>324</v>
      </c>
      <c r="F130" s="101" t="s">
        <v>386</v>
      </c>
      <c r="G130" s="102">
        <v>9</v>
      </c>
      <c r="H130" s="50"/>
      <c r="I130" s="51"/>
      <c r="J130" s="50"/>
      <c r="K130" s="103" t="s">
        <v>433</v>
      </c>
      <c r="L130" s="104"/>
      <c r="M130" s="104"/>
      <c r="N130" s="104"/>
      <c r="O130" s="104"/>
      <c r="P130" s="105">
        <v>476</v>
      </c>
      <c r="Q130" s="103">
        <v>99</v>
      </c>
      <c r="R130" s="104"/>
      <c r="S130" s="63">
        <v>311</v>
      </c>
      <c r="T130" s="63">
        <v>0</v>
      </c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8" t="s">
        <v>324</v>
      </c>
      <c r="F131" s="101" t="s">
        <v>386</v>
      </c>
      <c r="G131" s="102">
        <v>9</v>
      </c>
      <c r="H131" s="50"/>
      <c r="I131" s="51"/>
      <c r="J131" s="50"/>
      <c r="K131" s="103" t="s">
        <v>434</v>
      </c>
      <c r="L131" s="104"/>
      <c r="M131" s="104"/>
      <c r="N131" s="104"/>
      <c r="O131" s="104"/>
      <c r="P131" s="105">
        <v>478</v>
      </c>
      <c r="Q131" s="103">
        <v>95</v>
      </c>
      <c r="R131" s="104"/>
      <c r="S131" s="63">
        <v>81</v>
      </c>
      <c r="T131" s="63">
        <v>0</v>
      </c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8" t="s">
        <v>324</v>
      </c>
      <c r="F132" s="101" t="s">
        <v>386</v>
      </c>
      <c r="G132" s="102">
        <v>9</v>
      </c>
      <c r="H132" s="50"/>
      <c r="I132" s="51"/>
      <c r="J132" s="106"/>
      <c r="K132" s="103" t="s">
        <v>435</v>
      </c>
      <c r="L132" s="104"/>
      <c r="M132" s="104"/>
      <c r="N132" s="104"/>
      <c r="O132" s="104"/>
      <c r="P132" s="105">
        <v>559</v>
      </c>
      <c r="Q132" s="103">
        <v>94</v>
      </c>
      <c r="R132" s="104"/>
      <c r="S132" s="63">
        <v>138</v>
      </c>
      <c r="T132" s="63">
        <v>0</v>
      </c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8" t="s">
        <v>324</v>
      </c>
      <c r="F133" s="101" t="s">
        <v>386</v>
      </c>
      <c r="G133" s="102">
        <v>9</v>
      </c>
      <c r="H133" s="50"/>
      <c r="I133" s="51"/>
      <c r="J133" s="50"/>
      <c r="K133" s="103" t="s">
        <v>436</v>
      </c>
      <c r="L133" s="104"/>
      <c r="M133" s="104"/>
      <c r="N133" s="104"/>
      <c r="O133" s="104"/>
      <c r="P133" s="105">
        <v>340</v>
      </c>
      <c r="Q133" s="103">
        <v>68</v>
      </c>
      <c r="R133" s="104"/>
      <c r="S133" s="63">
        <v>150</v>
      </c>
      <c r="T133" s="63">
        <v>0</v>
      </c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8" t="s">
        <v>324</v>
      </c>
      <c r="F134" s="101" t="s">
        <v>386</v>
      </c>
      <c r="G134" s="102">
        <v>9</v>
      </c>
      <c r="H134" s="50"/>
      <c r="I134" s="51"/>
      <c r="J134" s="50"/>
      <c r="K134" s="103" t="s">
        <v>437</v>
      </c>
      <c r="L134" s="104"/>
      <c r="M134" s="104"/>
      <c r="N134" s="104"/>
      <c r="O134" s="104"/>
      <c r="P134" s="105">
        <v>562</v>
      </c>
      <c r="Q134" s="103">
        <v>95</v>
      </c>
      <c r="R134" s="104"/>
      <c r="S134" s="63">
        <v>272</v>
      </c>
      <c r="T134" s="63">
        <v>0</v>
      </c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8" t="s">
        <v>324</v>
      </c>
      <c r="F135" s="101" t="s">
        <v>386</v>
      </c>
      <c r="G135" s="102">
        <v>9</v>
      </c>
      <c r="H135" s="50"/>
      <c r="I135" s="51"/>
      <c r="J135" s="50"/>
      <c r="K135" s="103" t="s">
        <v>438</v>
      </c>
      <c r="L135" s="104"/>
      <c r="M135" s="104"/>
      <c r="N135" s="104"/>
      <c r="O135" s="104"/>
      <c r="P135" s="105">
        <v>451</v>
      </c>
      <c r="Q135" s="103">
        <v>84</v>
      </c>
      <c r="R135" s="104"/>
      <c r="S135" s="63">
        <v>22</v>
      </c>
      <c r="T135" s="63">
        <v>0</v>
      </c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8" t="s">
        <v>324</v>
      </c>
      <c r="F136" s="107" t="s">
        <v>439</v>
      </c>
      <c r="G136" s="102">
        <v>1</v>
      </c>
      <c r="H136" s="50"/>
      <c r="I136" s="51"/>
      <c r="J136" s="50"/>
      <c r="K136" s="103" t="s">
        <v>440</v>
      </c>
      <c r="L136" s="104"/>
      <c r="M136" s="104"/>
      <c r="N136" s="104"/>
      <c r="O136" s="104"/>
      <c r="P136" s="105">
        <v>354</v>
      </c>
      <c r="Q136" s="105">
        <v>89</v>
      </c>
      <c r="R136" s="100"/>
      <c r="S136" s="63">
        <v>191</v>
      </c>
      <c r="T136" s="63">
        <v>0</v>
      </c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8" t="s">
        <v>324</v>
      </c>
      <c r="F137" s="107" t="s">
        <v>439</v>
      </c>
      <c r="G137" s="102">
        <v>1</v>
      </c>
      <c r="H137" s="50"/>
      <c r="I137" s="51"/>
      <c r="J137" s="50"/>
      <c r="K137" s="103" t="s">
        <v>441</v>
      </c>
      <c r="L137" s="104"/>
      <c r="M137" s="104"/>
      <c r="N137" s="104"/>
      <c r="O137" s="104"/>
      <c r="P137" s="105">
        <v>517</v>
      </c>
      <c r="Q137" s="103">
        <v>105</v>
      </c>
      <c r="R137" s="104"/>
      <c r="S137" s="63">
        <v>270</v>
      </c>
      <c r="T137" s="63">
        <v>0</v>
      </c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8" t="s">
        <v>324</v>
      </c>
      <c r="F138" s="107" t="s">
        <v>439</v>
      </c>
      <c r="G138" s="102">
        <v>1</v>
      </c>
      <c r="H138" s="50"/>
      <c r="I138" s="51"/>
      <c r="J138" s="50"/>
      <c r="K138" s="103" t="s">
        <v>442</v>
      </c>
      <c r="L138" s="104"/>
      <c r="M138" s="104"/>
      <c r="N138" s="104"/>
      <c r="O138" s="104"/>
      <c r="P138" s="103">
        <v>399</v>
      </c>
      <c r="Q138" s="103">
        <v>83</v>
      </c>
      <c r="R138" s="104"/>
      <c r="S138" s="63">
        <v>154</v>
      </c>
      <c r="T138" s="63">
        <v>0</v>
      </c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8" t="s">
        <v>324</v>
      </c>
      <c r="F139" s="107" t="s">
        <v>439</v>
      </c>
      <c r="G139" s="102">
        <v>1</v>
      </c>
      <c r="H139" s="50"/>
      <c r="I139" s="51"/>
      <c r="J139" s="50"/>
      <c r="K139" s="103" t="s">
        <v>443</v>
      </c>
      <c r="L139" s="104"/>
      <c r="M139" s="104"/>
      <c r="N139" s="104"/>
      <c r="O139" s="104"/>
      <c r="P139" s="105">
        <v>1031</v>
      </c>
      <c r="Q139" s="105">
        <v>204</v>
      </c>
      <c r="R139" s="100"/>
      <c r="S139" s="63">
        <v>450</v>
      </c>
      <c r="T139" s="63">
        <v>0</v>
      </c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8" t="s">
        <v>324</v>
      </c>
      <c r="F140" s="107" t="s">
        <v>439</v>
      </c>
      <c r="G140" s="102">
        <v>1</v>
      </c>
      <c r="H140" s="50"/>
      <c r="I140" s="51"/>
      <c r="J140" s="50"/>
      <c r="K140" s="103" t="s">
        <v>444</v>
      </c>
      <c r="L140" s="104"/>
      <c r="M140" s="104"/>
      <c r="N140" s="104"/>
      <c r="O140" s="104"/>
      <c r="P140" s="105">
        <v>783</v>
      </c>
      <c r="Q140" s="103">
        <v>120</v>
      </c>
      <c r="R140" s="104"/>
      <c r="S140" s="63">
        <v>293</v>
      </c>
      <c r="T140" s="63">
        <v>0</v>
      </c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8" t="s">
        <v>324</v>
      </c>
      <c r="F141" s="107" t="s">
        <v>439</v>
      </c>
      <c r="G141" s="102">
        <v>2</v>
      </c>
      <c r="H141" s="50"/>
      <c r="I141" s="51"/>
      <c r="J141" s="50"/>
      <c r="K141" s="103" t="s">
        <v>445</v>
      </c>
      <c r="L141" s="104"/>
      <c r="M141" s="104"/>
      <c r="N141" s="104"/>
      <c r="O141" s="104"/>
      <c r="P141" s="105">
        <v>327</v>
      </c>
      <c r="Q141" s="103">
        <v>110</v>
      </c>
      <c r="R141" s="104"/>
      <c r="S141" s="63">
        <v>224</v>
      </c>
      <c r="T141" s="63">
        <v>0</v>
      </c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8" t="s">
        <v>324</v>
      </c>
      <c r="F142" s="107" t="s">
        <v>439</v>
      </c>
      <c r="G142" s="108">
        <v>2</v>
      </c>
      <c r="H142" s="50"/>
      <c r="I142" s="51"/>
      <c r="J142" s="46"/>
      <c r="K142" s="103" t="s">
        <v>427</v>
      </c>
      <c r="L142" s="104"/>
      <c r="M142" s="104"/>
      <c r="N142" s="104"/>
      <c r="O142" s="104"/>
      <c r="P142" s="105">
        <v>401</v>
      </c>
      <c r="Q142" s="103">
        <v>120</v>
      </c>
      <c r="R142" s="104"/>
      <c r="S142" s="63">
        <v>200</v>
      </c>
      <c r="T142" s="63">
        <v>0</v>
      </c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8" t="s">
        <v>324</v>
      </c>
      <c r="F143" s="107" t="s">
        <v>439</v>
      </c>
      <c r="G143" s="102">
        <v>2</v>
      </c>
      <c r="H143" s="50"/>
      <c r="I143" s="51"/>
      <c r="J143" s="50"/>
      <c r="K143" s="103" t="s">
        <v>446</v>
      </c>
      <c r="L143" s="104"/>
      <c r="M143" s="104"/>
      <c r="N143" s="104"/>
      <c r="O143" s="104"/>
      <c r="P143" s="105">
        <v>453</v>
      </c>
      <c r="Q143" s="103">
        <v>101</v>
      </c>
      <c r="R143" s="104"/>
      <c r="S143" s="63">
        <v>220</v>
      </c>
      <c r="T143" s="63">
        <v>0</v>
      </c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8" t="s">
        <v>324</v>
      </c>
      <c r="F144" s="107" t="s">
        <v>439</v>
      </c>
      <c r="G144" s="102">
        <v>3</v>
      </c>
      <c r="H144" s="50"/>
      <c r="I144" s="51"/>
      <c r="J144" s="50"/>
      <c r="K144" s="103" t="s">
        <v>447</v>
      </c>
      <c r="L144" s="104"/>
      <c r="M144" s="104"/>
      <c r="N144" s="104"/>
      <c r="O144" s="104"/>
      <c r="P144" s="105">
        <v>492</v>
      </c>
      <c r="Q144" s="105">
        <v>103</v>
      </c>
      <c r="R144" s="100"/>
      <c r="S144" s="63">
        <v>220</v>
      </c>
      <c r="T144" s="63">
        <v>0</v>
      </c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8" t="s">
        <v>324</v>
      </c>
      <c r="F145" s="107" t="s">
        <v>439</v>
      </c>
      <c r="G145" s="102">
        <v>3</v>
      </c>
      <c r="H145" s="50"/>
      <c r="I145" s="51"/>
      <c r="J145" s="50"/>
      <c r="K145" s="103" t="s">
        <v>448</v>
      </c>
      <c r="L145" s="104"/>
      <c r="M145" s="104"/>
      <c r="N145" s="104"/>
      <c r="O145" s="104"/>
      <c r="P145" s="105">
        <v>597</v>
      </c>
      <c r="Q145" s="105">
        <v>162</v>
      </c>
      <c r="R145" s="100"/>
      <c r="S145" s="63">
        <v>342</v>
      </c>
      <c r="T145" s="63">
        <v>0</v>
      </c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8" t="s">
        <v>324</v>
      </c>
      <c r="F146" s="107" t="s">
        <v>439</v>
      </c>
      <c r="G146" s="102">
        <v>3</v>
      </c>
      <c r="H146" s="50"/>
      <c r="I146" s="51"/>
      <c r="J146" s="50"/>
      <c r="K146" s="103" t="s">
        <v>449</v>
      </c>
      <c r="L146" s="104"/>
      <c r="M146" s="104"/>
      <c r="N146" s="104"/>
      <c r="O146" s="104"/>
      <c r="P146" s="105">
        <v>554</v>
      </c>
      <c r="Q146" s="105">
        <v>126</v>
      </c>
      <c r="R146" s="100"/>
      <c r="S146" s="63">
        <v>222</v>
      </c>
      <c r="T146" s="63">
        <v>0</v>
      </c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8" t="s">
        <v>324</v>
      </c>
      <c r="F147" s="107" t="s">
        <v>439</v>
      </c>
      <c r="G147" s="102">
        <v>4</v>
      </c>
      <c r="H147" s="50"/>
      <c r="I147" s="51"/>
      <c r="J147" s="50"/>
      <c r="K147" s="103" t="s">
        <v>450</v>
      </c>
      <c r="L147" s="104"/>
      <c r="M147" s="104"/>
      <c r="N147" s="104"/>
      <c r="O147" s="104"/>
      <c r="P147" s="105">
        <v>317</v>
      </c>
      <c r="Q147" s="105">
        <v>66</v>
      </c>
      <c r="R147" s="100"/>
      <c r="S147" s="63">
        <v>195</v>
      </c>
      <c r="T147" s="63">
        <v>0</v>
      </c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8" t="s">
        <v>324</v>
      </c>
      <c r="F148" s="107" t="s">
        <v>439</v>
      </c>
      <c r="G148" s="102">
        <v>4</v>
      </c>
      <c r="H148" s="50"/>
      <c r="I148" s="51"/>
      <c r="J148" s="50"/>
      <c r="K148" s="103" t="s">
        <v>364</v>
      </c>
      <c r="L148" s="104"/>
      <c r="M148" s="104"/>
      <c r="N148" s="104"/>
      <c r="O148" s="104"/>
      <c r="P148" s="105">
        <v>830</v>
      </c>
      <c r="Q148" s="105">
        <v>231</v>
      </c>
      <c r="R148" s="100"/>
      <c r="S148" s="63">
        <v>323</v>
      </c>
      <c r="T148" s="63">
        <v>0</v>
      </c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8" t="s">
        <v>324</v>
      </c>
      <c r="F149" s="107" t="s">
        <v>439</v>
      </c>
      <c r="G149" s="102">
        <v>4</v>
      </c>
      <c r="H149" s="50"/>
      <c r="I149" s="51"/>
      <c r="J149" s="50"/>
      <c r="K149" s="103" t="s">
        <v>450</v>
      </c>
      <c r="L149" s="104"/>
      <c r="M149" s="104"/>
      <c r="N149" s="104"/>
      <c r="O149" s="104"/>
      <c r="P149" s="105">
        <v>402</v>
      </c>
      <c r="Q149" s="105">
        <v>80</v>
      </c>
      <c r="R149" s="100"/>
      <c r="S149" s="63">
        <v>156</v>
      </c>
      <c r="T149" s="63">
        <v>0</v>
      </c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8" t="s">
        <v>324</v>
      </c>
      <c r="F150" s="107" t="s">
        <v>439</v>
      </c>
      <c r="G150" s="102">
        <v>4</v>
      </c>
      <c r="H150" s="50"/>
      <c r="I150" s="51"/>
      <c r="J150" s="50"/>
      <c r="K150" s="103" t="s">
        <v>451</v>
      </c>
      <c r="L150" s="104"/>
      <c r="M150" s="104"/>
      <c r="N150" s="104"/>
      <c r="O150" s="104"/>
      <c r="P150" s="105">
        <v>464</v>
      </c>
      <c r="Q150" s="103">
        <v>108</v>
      </c>
      <c r="R150" s="104"/>
      <c r="S150" s="63">
        <v>259</v>
      </c>
      <c r="T150" s="63">
        <v>0</v>
      </c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8" t="s">
        <v>324</v>
      </c>
      <c r="F151" s="101" t="s">
        <v>439</v>
      </c>
      <c r="G151" s="102">
        <v>5</v>
      </c>
      <c r="H151" s="50"/>
      <c r="I151" s="51"/>
      <c r="J151" s="50"/>
      <c r="K151" s="103" t="s">
        <v>452</v>
      </c>
      <c r="L151" s="104"/>
      <c r="M151" s="104"/>
      <c r="N151" s="104"/>
      <c r="O151" s="104"/>
      <c r="P151" s="105">
        <v>966</v>
      </c>
      <c r="Q151" s="105">
        <v>235</v>
      </c>
      <c r="R151" s="100"/>
      <c r="S151" s="63">
        <v>207</v>
      </c>
      <c r="T151" s="63">
        <v>0</v>
      </c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8" t="s">
        <v>324</v>
      </c>
      <c r="F152" s="107" t="s">
        <v>439</v>
      </c>
      <c r="G152" s="108">
        <v>5</v>
      </c>
      <c r="H152" s="50"/>
      <c r="I152" s="51"/>
      <c r="J152" s="46"/>
      <c r="K152" s="103" t="s">
        <v>453</v>
      </c>
      <c r="L152" s="104"/>
      <c r="M152" s="104"/>
      <c r="N152" s="104"/>
      <c r="O152" s="104"/>
      <c r="P152" s="105">
        <v>221</v>
      </c>
      <c r="Q152" s="105">
        <v>50</v>
      </c>
      <c r="R152" s="100"/>
      <c r="S152" s="63">
        <v>105</v>
      </c>
      <c r="T152" s="63">
        <v>0</v>
      </c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8" t="s">
        <v>324</v>
      </c>
      <c r="F153" s="107" t="s">
        <v>439</v>
      </c>
      <c r="G153" s="102">
        <v>6</v>
      </c>
      <c r="H153" s="50"/>
      <c r="I153" s="51"/>
      <c r="J153" s="50"/>
      <c r="K153" s="103" t="s">
        <v>454</v>
      </c>
      <c r="L153" s="104"/>
      <c r="M153" s="104"/>
      <c r="N153" s="104"/>
      <c r="O153" s="104"/>
      <c r="P153" s="105">
        <v>442</v>
      </c>
      <c r="Q153" s="103">
        <v>90</v>
      </c>
      <c r="R153" s="104"/>
      <c r="S153" s="63">
        <v>205</v>
      </c>
      <c r="T153" s="63">
        <v>0</v>
      </c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8" t="s">
        <v>324</v>
      </c>
      <c r="F154" s="107" t="s">
        <v>439</v>
      </c>
      <c r="G154" s="102">
        <v>6</v>
      </c>
      <c r="H154" s="50"/>
      <c r="I154" s="51"/>
      <c r="J154" s="50"/>
      <c r="K154" s="103" t="s">
        <v>455</v>
      </c>
      <c r="L154" s="104"/>
      <c r="M154" s="104"/>
      <c r="N154" s="104"/>
      <c r="O154" s="104"/>
      <c r="P154" s="105">
        <v>538</v>
      </c>
      <c r="Q154" s="105">
        <v>140</v>
      </c>
      <c r="R154" s="100"/>
      <c r="S154" s="63">
        <v>287</v>
      </c>
      <c r="T154" s="63">
        <v>0</v>
      </c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8" t="s">
        <v>324</v>
      </c>
      <c r="F155" s="107" t="s">
        <v>439</v>
      </c>
      <c r="G155" s="102">
        <v>6</v>
      </c>
      <c r="H155" s="50"/>
      <c r="I155" s="51"/>
      <c r="J155" s="50"/>
      <c r="K155" s="103" t="s">
        <v>456</v>
      </c>
      <c r="L155" s="104"/>
      <c r="M155" s="104"/>
      <c r="N155" s="104"/>
      <c r="O155" s="104"/>
      <c r="P155" s="105">
        <v>493</v>
      </c>
      <c r="Q155" s="105">
        <v>100</v>
      </c>
      <c r="R155" s="100"/>
      <c r="S155" s="63">
        <v>201</v>
      </c>
      <c r="T155" s="63">
        <v>0</v>
      </c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8" t="s">
        <v>324</v>
      </c>
      <c r="F156" s="107" t="s">
        <v>439</v>
      </c>
      <c r="G156" s="102">
        <v>6</v>
      </c>
      <c r="H156" s="50"/>
      <c r="I156" s="51"/>
      <c r="J156" s="50"/>
      <c r="K156" s="103" t="s">
        <v>457</v>
      </c>
      <c r="L156" s="104"/>
      <c r="M156" s="104"/>
      <c r="N156" s="104"/>
      <c r="O156" s="104"/>
      <c r="P156" s="105">
        <v>781</v>
      </c>
      <c r="Q156" s="105">
        <v>258</v>
      </c>
      <c r="R156" s="100"/>
      <c r="S156" s="63">
        <v>504</v>
      </c>
      <c r="T156" s="63">
        <v>0</v>
      </c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8" t="s">
        <v>324</v>
      </c>
      <c r="F157" s="101" t="s">
        <v>439</v>
      </c>
      <c r="G157" s="102">
        <v>7</v>
      </c>
      <c r="H157" s="50"/>
      <c r="I157" s="51"/>
      <c r="J157" s="50"/>
      <c r="K157" s="103" t="s">
        <v>458</v>
      </c>
      <c r="L157" s="104"/>
      <c r="M157" s="104"/>
      <c r="N157" s="104"/>
      <c r="O157" s="104"/>
      <c r="P157" s="105">
        <v>813</v>
      </c>
      <c r="Q157" s="105">
        <v>235</v>
      </c>
      <c r="R157" s="100"/>
      <c r="S157" s="63">
        <v>0</v>
      </c>
      <c r="T157" s="63">
        <v>0</v>
      </c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8" t="s">
        <v>324</v>
      </c>
      <c r="F158" s="107" t="s">
        <v>439</v>
      </c>
      <c r="G158" s="102">
        <v>7</v>
      </c>
      <c r="H158" s="50"/>
      <c r="I158" s="51"/>
      <c r="J158" s="50"/>
      <c r="K158" s="103" t="s">
        <v>459</v>
      </c>
      <c r="L158" s="104"/>
      <c r="M158" s="104"/>
      <c r="N158" s="104"/>
      <c r="O158" s="104"/>
      <c r="P158" s="105">
        <v>697</v>
      </c>
      <c r="Q158" s="105">
        <v>148</v>
      </c>
      <c r="R158" s="100"/>
      <c r="S158" s="63">
        <v>0</v>
      </c>
      <c r="T158" s="63">
        <v>0</v>
      </c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  <row x14ac:dyDescent="0.25" r="159" customHeight="1" ht="18">
      <c r="A159" s="45">
        <v>153</v>
      </c>
      <c r="B159" s="46" t="s">
        <v>47</v>
      </c>
      <c r="C159" s="46" t="s">
        <v>48</v>
      </c>
      <c r="D159" s="47" t="s">
        <v>49</v>
      </c>
      <c r="E159" s="48" t="s">
        <v>324</v>
      </c>
      <c r="F159" s="107" t="s">
        <v>439</v>
      </c>
      <c r="G159" s="102">
        <v>7</v>
      </c>
      <c r="H159" s="50"/>
      <c r="I159" s="51"/>
      <c r="J159" s="50"/>
      <c r="K159" s="103" t="s">
        <v>460</v>
      </c>
      <c r="L159" s="104"/>
      <c r="M159" s="104"/>
      <c r="N159" s="104"/>
      <c r="O159" s="104"/>
      <c r="P159" s="105">
        <v>607</v>
      </c>
      <c r="Q159" s="105">
        <v>270</v>
      </c>
      <c r="R159" s="100"/>
      <c r="S159" s="63">
        <v>0</v>
      </c>
      <c r="T159" s="63">
        <v>0</v>
      </c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3"/>
      <c r="AH159" s="58"/>
      <c r="AI159" s="59"/>
      <c r="AJ159" s="57"/>
    </row>
    <row x14ac:dyDescent="0.25" r="160" customHeight="1" ht="18">
      <c r="A160" s="45">
        <v>154</v>
      </c>
      <c r="B160" s="46" t="s">
        <v>47</v>
      </c>
      <c r="C160" s="46" t="s">
        <v>48</v>
      </c>
      <c r="D160" s="47" t="s">
        <v>49</v>
      </c>
      <c r="E160" s="48" t="s">
        <v>324</v>
      </c>
      <c r="F160" s="107" t="s">
        <v>439</v>
      </c>
      <c r="G160" s="102">
        <v>8</v>
      </c>
      <c r="H160" s="50"/>
      <c r="I160" s="51"/>
      <c r="J160" s="50"/>
      <c r="K160" s="103" t="s">
        <v>461</v>
      </c>
      <c r="L160" s="104"/>
      <c r="M160" s="104"/>
      <c r="N160" s="104"/>
      <c r="O160" s="104"/>
      <c r="P160" s="105">
        <v>130</v>
      </c>
      <c r="Q160" s="105">
        <v>86</v>
      </c>
      <c r="R160" s="100"/>
      <c r="S160" s="63">
        <v>0</v>
      </c>
      <c r="T160" s="63">
        <v>0</v>
      </c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3"/>
      <c r="AH160" s="58"/>
      <c r="AI160" s="59"/>
      <c r="AJ160" s="57"/>
    </row>
    <row x14ac:dyDescent="0.25" r="161" customHeight="1" ht="18">
      <c r="A161" s="45">
        <v>155</v>
      </c>
      <c r="B161" s="46" t="s">
        <v>47</v>
      </c>
      <c r="C161" s="46" t="s">
        <v>48</v>
      </c>
      <c r="D161" s="47" t="s">
        <v>49</v>
      </c>
      <c r="E161" s="48" t="s">
        <v>324</v>
      </c>
      <c r="F161" s="107" t="s">
        <v>439</v>
      </c>
      <c r="G161" s="102">
        <v>8</v>
      </c>
      <c r="H161" s="50"/>
      <c r="I161" s="51"/>
      <c r="J161" s="50"/>
      <c r="K161" s="103" t="s">
        <v>462</v>
      </c>
      <c r="L161" s="104"/>
      <c r="M161" s="104"/>
      <c r="N161" s="104"/>
      <c r="O161" s="104"/>
      <c r="P161" s="105">
        <v>536</v>
      </c>
      <c r="Q161" s="103">
        <v>130</v>
      </c>
      <c r="R161" s="104"/>
      <c r="S161" s="63">
        <v>0</v>
      </c>
      <c r="T161" s="63">
        <v>0</v>
      </c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3"/>
      <c r="AH161" s="58"/>
      <c r="AI161" s="59"/>
      <c r="AJ161" s="57"/>
    </row>
    <row x14ac:dyDescent="0.25" r="162" customHeight="1" ht="18">
      <c r="A162" s="45">
        <v>156</v>
      </c>
      <c r="B162" s="46" t="s">
        <v>47</v>
      </c>
      <c r="C162" s="46" t="s">
        <v>48</v>
      </c>
      <c r="D162" s="47" t="s">
        <v>49</v>
      </c>
      <c r="E162" s="48" t="s">
        <v>324</v>
      </c>
      <c r="F162" s="107" t="s">
        <v>439</v>
      </c>
      <c r="G162" s="102">
        <v>8</v>
      </c>
      <c r="H162" s="50"/>
      <c r="I162" s="51"/>
      <c r="J162" s="50"/>
      <c r="K162" s="103" t="s">
        <v>370</v>
      </c>
      <c r="L162" s="104"/>
      <c r="M162" s="104"/>
      <c r="N162" s="104"/>
      <c r="O162" s="104"/>
      <c r="P162" s="105">
        <v>441</v>
      </c>
      <c r="Q162" s="105">
        <v>99</v>
      </c>
      <c r="R162" s="100"/>
      <c r="S162" s="63">
        <v>259</v>
      </c>
      <c r="T162" s="60">
        <v>0</v>
      </c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3"/>
      <c r="AH162" s="58"/>
      <c r="AI162" s="59"/>
      <c r="AJ162" s="57"/>
    </row>
    <row x14ac:dyDescent="0.25" r="163" customHeight="1" ht="18">
      <c r="A163" s="45">
        <v>157</v>
      </c>
      <c r="B163" s="46" t="s">
        <v>47</v>
      </c>
      <c r="C163" s="46" t="s">
        <v>48</v>
      </c>
      <c r="D163" s="47" t="s">
        <v>49</v>
      </c>
      <c r="E163" s="48" t="s">
        <v>324</v>
      </c>
      <c r="F163" s="107" t="s">
        <v>439</v>
      </c>
      <c r="G163" s="102">
        <v>8</v>
      </c>
      <c r="H163" s="50"/>
      <c r="I163" s="51"/>
      <c r="J163" s="50"/>
      <c r="K163" s="103" t="s">
        <v>463</v>
      </c>
      <c r="L163" s="104"/>
      <c r="M163" s="104"/>
      <c r="N163" s="104"/>
      <c r="O163" s="104"/>
      <c r="P163" s="103">
        <v>443</v>
      </c>
      <c r="Q163" s="103">
        <v>94</v>
      </c>
      <c r="R163" s="104"/>
      <c r="S163" s="63">
        <v>0</v>
      </c>
      <c r="T163" s="60">
        <v>0</v>
      </c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3"/>
      <c r="AH163" s="58"/>
      <c r="AI163" s="59"/>
      <c r="AJ163" s="57"/>
    </row>
    <row x14ac:dyDescent="0.25" r="164" customHeight="1" ht="18">
      <c r="A164" s="45">
        <v>158</v>
      </c>
      <c r="B164" s="46" t="s">
        <v>47</v>
      </c>
      <c r="C164" s="46" t="s">
        <v>48</v>
      </c>
      <c r="D164" s="47" t="s">
        <v>49</v>
      </c>
      <c r="E164" s="48" t="s">
        <v>324</v>
      </c>
      <c r="F164" s="107" t="s">
        <v>439</v>
      </c>
      <c r="G164" s="102">
        <v>8</v>
      </c>
      <c r="H164" s="50"/>
      <c r="I164" s="51"/>
      <c r="J164" s="50"/>
      <c r="K164" s="103" t="s">
        <v>464</v>
      </c>
      <c r="L164" s="104"/>
      <c r="M164" s="104"/>
      <c r="N164" s="104"/>
      <c r="O164" s="104"/>
      <c r="P164" s="105">
        <v>526</v>
      </c>
      <c r="Q164" s="105">
        <v>124</v>
      </c>
      <c r="R164" s="100"/>
      <c r="S164" s="63">
        <v>0</v>
      </c>
      <c r="T164" s="60">
        <v>0</v>
      </c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3"/>
      <c r="AH164" s="58"/>
      <c r="AI164" s="59"/>
      <c r="AJ164" s="57"/>
    </row>
    <row x14ac:dyDescent="0.25" r="165" customHeight="1" ht="18">
      <c r="A165" s="45">
        <v>159</v>
      </c>
      <c r="B165" s="46" t="s">
        <v>47</v>
      </c>
      <c r="C165" s="46" t="s">
        <v>48</v>
      </c>
      <c r="D165" s="47" t="s">
        <v>49</v>
      </c>
      <c r="E165" s="48" t="s">
        <v>324</v>
      </c>
      <c r="F165" s="107" t="s">
        <v>439</v>
      </c>
      <c r="G165" s="102">
        <v>9</v>
      </c>
      <c r="H165" s="50"/>
      <c r="I165" s="51"/>
      <c r="J165" s="106"/>
      <c r="K165" s="103" t="s">
        <v>465</v>
      </c>
      <c r="L165" s="104"/>
      <c r="M165" s="104"/>
      <c r="N165" s="104"/>
      <c r="O165" s="104"/>
      <c r="P165" s="105">
        <v>566</v>
      </c>
      <c r="Q165" s="103">
        <v>106</v>
      </c>
      <c r="R165" s="104"/>
      <c r="S165" s="63">
        <v>0</v>
      </c>
      <c r="T165" s="60">
        <v>0</v>
      </c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3"/>
      <c r="AH165" s="58"/>
      <c r="AI165" s="59"/>
      <c r="AJ165" s="57"/>
    </row>
    <row x14ac:dyDescent="0.25" r="166" customHeight="1" ht="18">
      <c r="A166" s="45">
        <v>160</v>
      </c>
      <c r="B166" s="46" t="s">
        <v>47</v>
      </c>
      <c r="C166" s="46" t="s">
        <v>48</v>
      </c>
      <c r="D166" s="47" t="s">
        <v>49</v>
      </c>
      <c r="E166" s="48" t="s">
        <v>324</v>
      </c>
      <c r="F166" s="107" t="s">
        <v>439</v>
      </c>
      <c r="G166" s="102">
        <v>9</v>
      </c>
      <c r="H166" s="50"/>
      <c r="I166" s="51"/>
      <c r="J166" s="47"/>
      <c r="K166" s="103" t="s">
        <v>392</v>
      </c>
      <c r="L166" s="104"/>
      <c r="M166" s="104"/>
      <c r="N166" s="104"/>
      <c r="O166" s="104"/>
      <c r="P166" s="105">
        <v>1138</v>
      </c>
      <c r="Q166" s="105">
        <v>353</v>
      </c>
      <c r="R166" s="100"/>
      <c r="S166" s="63">
        <v>0</v>
      </c>
      <c r="T166" s="60">
        <v>0</v>
      </c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3"/>
      <c r="AH166" s="58"/>
      <c r="AI166" s="59"/>
      <c r="AJ166" s="57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58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84" width="4.147857142857143" customWidth="1" bestFit="1"/>
    <col min="2" max="2" style="85" width="12.290714285714287" customWidth="1" bestFit="1"/>
    <col min="3" max="3" style="85" width="13.576428571428572" customWidth="1" bestFit="1"/>
    <col min="4" max="4" style="86" width="12.005" customWidth="1" bestFit="1"/>
    <col min="5" max="5" style="85" width="13.005" customWidth="1" bestFit="1"/>
    <col min="6" max="6" style="85" width="13.290714285714287" customWidth="1" bestFit="1"/>
    <col min="7" max="7" style="84" width="6.862142857142857" customWidth="1" bestFit="1"/>
    <col min="8" max="8" style="86" width="19.719285714285714" customWidth="1" bestFit="1"/>
    <col min="9" max="9" style="87" width="7.2907142857142855" customWidth="1" bestFit="1"/>
    <col min="10" max="10" style="86" width="15.719285714285713" customWidth="1" bestFit="1"/>
    <col min="11" max="11" style="88" width="22.005" customWidth="1" bestFit="1"/>
    <col min="12" max="12" style="85" width="19.290714285714284" customWidth="1" bestFit="1"/>
    <col min="13" max="13" style="85" width="8.290714285714287" customWidth="1" bestFit="1"/>
    <col min="14" max="14" style="86" width="9.719285714285713" customWidth="1" bestFit="1"/>
    <col min="15" max="15" style="86" width="10.43357142857143" customWidth="1" bestFit="1"/>
    <col min="16" max="16" style="84" width="8.719285714285713" customWidth="1" bestFit="1"/>
    <col min="17" max="17" style="84" width="8.719285714285713" customWidth="1" bestFit="1"/>
    <col min="18" max="18" style="89" width="7.2907142857142855" customWidth="1" bestFit="1"/>
    <col min="19" max="19" style="90" width="7.433571428571429" customWidth="1" bestFit="1"/>
    <col min="20" max="20" style="90" width="7.2907142857142855" customWidth="1" bestFit="1"/>
    <col min="21" max="21" style="91" width="4.719285714285714" customWidth="1" bestFit="1"/>
    <col min="22" max="22" style="91" width="4.719285714285714" customWidth="1" bestFit="1"/>
    <col min="23" max="23" style="91" width="4.719285714285714" customWidth="1" bestFit="1"/>
    <col min="24" max="24" style="91" width="4.719285714285714" customWidth="1" bestFit="1"/>
    <col min="25" max="25" style="91" width="4.719285714285714" customWidth="1" bestFit="1"/>
    <col min="26" max="26" style="91" width="4.719285714285714" customWidth="1" bestFit="1"/>
    <col min="27" max="27" style="91" width="4.719285714285714" customWidth="1" bestFit="1"/>
    <col min="28" max="28" style="91" width="4.719285714285714" customWidth="1" bestFit="1"/>
    <col min="29" max="29" style="91" width="4.719285714285714" customWidth="1" bestFit="1"/>
    <col min="30" max="30" style="91" width="4.719285714285714" customWidth="1" bestFit="1"/>
    <col min="31" max="31" style="91" width="4.719285714285714" customWidth="1" bestFit="1"/>
    <col min="32" max="32" style="91" width="4.719285714285714" customWidth="1" bestFit="1"/>
    <col min="33" max="33" style="86" width="15.005" customWidth="1" bestFit="1"/>
    <col min="34" max="34" style="92" width="13.005" customWidth="1" bestFit="1"/>
    <col min="35" max="35" style="92" width="13.005" customWidth="1" bestFit="1"/>
    <col min="36" max="36" style="91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COUNTIF(I7:I277,"SK(H)")</f>
      </c>
      <c r="J1" s="4" t="s">
        <v>2</v>
      </c>
      <c r="K1" s="6">
        <f>COUNTA(J7:J293)</f>
      </c>
      <c r="L1" s="7"/>
      <c r="M1" s="7"/>
      <c r="N1" s="7"/>
      <c r="O1" s="7"/>
      <c r="P1" s="8"/>
      <c r="Q1" s="8"/>
      <c r="R1" s="9"/>
      <c r="S1" s="10"/>
      <c r="T1" s="10"/>
      <c r="U1" s="11"/>
      <c r="V1" s="11"/>
      <c r="W1" s="11"/>
      <c r="X1" s="11"/>
      <c r="Y1" s="11"/>
      <c r="Z1" s="12"/>
      <c r="AA1" s="2"/>
      <c r="AB1" s="2"/>
      <c r="AC1" s="2"/>
      <c r="AD1" s="12"/>
      <c r="AE1" s="12"/>
      <c r="AF1" s="12" t="s">
        <v>3</v>
      </c>
      <c r="AG1" s="12"/>
      <c r="AH1" s="13"/>
      <c r="AI1" s="14"/>
      <c r="AJ1" s="2"/>
    </row>
    <row x14ac:dyDescent="0.25" r="2" customHeight="1" ht="18">
      <c r="A2" s="1"/>
      <c r="B2" s="2"/>
      <c r="C2" s="2"/>
      <c r="D2" s="15"/>
      <c r="E2" s="7"/>
      <c r="F2" s="7"/>
      <c r="G2" s="16"/>
      <c r="H2" s="4" t="s">
        <v>4</v>
      </c>
      <c r="I2" s="5">
        <f>COUNTIF(I7:I278,"SHW(H)")</f>
      </c>
      <c r="J2" s="4" t="s">
        <v>5</v>
      </c>
      <c r="K2" s="6">
        <f>COUNTA(K7:K144)</f>
      </c>
      <c r="L2" s="7"/>
      <c r="M2" s="7"/>
      <c r="N2" s="7"/>
      <c r="O2" s="7"/>
      <c r="P2" s="8"/>
      <c r="Q2" s="8"/>
      <c r="R2" s="9"/>
      <c r="S2" s="10"/>
      <c r="T2" s="10"/>
      <c r="U2" s="11"/>
      <c r="V2" s="11"/>
      <c r="W2" s="11"/>
      <c r="X2" s="11"/>
      <c r="Y2" s="11"/>
      <c r="Z2" s="12"/>
      <c r="AA2" s="2"/>
      <c r="AB2" s="2"/>
      <c r="AC2" s="2"/>
      <c r="AD2" s="12"/>
      <c r="AE2" s="12"/>
      <c r="AF2" s="12" t="s">
        <v>6</v>
      </c>
      <c r="AG2" s="12"/>
      <c r="AH2" s="13"/>
      <c r="AI2" s="14"/>
      <c r="AJ2" s="2"/>
    </row>
    <row x14ac:dyDescent="0.25" r="3" customHeight="1" ht="18">
      <c r="A3" s="1"/>
      <c r="B3" s="2"/>
      <c r="C3" s="2"/>
      <c r="D3" s="15"/>
      <c r="E3" s="7"/>
      <c r="F3" s="7"/>
      <c r="G3" s="16"/>
      <c r="H3" s="7"/>
      <c r="I3" s="17"/>
      <c r="J3" s="7"/>
      <c r="K3" s="18"/>
      <c r="L3" s="7"/>
      <c r="M3" s="7"/>
      <c r="N3" s="7"/>
      <c r="O3" s="7"/>
      <c r="P3" s="8"/>
      <c r="Q3" s="8"/>
      <c r="R3" s="9"/>
      <c r="S3" s="10"/>
      <c r="T3" s="10"/>
      <c r="U3" s="11"/>
      <c r="V3" s="11"/>
      <c r="W3" s="11"/>
      <c r="X3" s="11"/>
      <c r="Y3" s="11"/>
      <c r="Z3" s="12"/>
      <c r="AA3" s="2"/>
      <c r="AB3" s="2"/>
      <c r="AC3" s="2"/>
      <c r="AD3" s="12"/>
      <c r="AE3" s="12"/>
      <c r="AF3" s="12" t="s">
        <v>7</v>
      </c>
      <c r="AG3" s="12"/>
      <c r="AH3" s="13"/>
      <c r="AI3" s="14"/>
      <c r="AJ3" s="2"/>
    </row>
    <row x14ac:dyDescent="0.25" r="4" customHeight="1" ht="18">
      <c r="A4" s="1"/>
      <c r="B4" s="2"/>
      <c r="C4" s="2"/>
      <c r="D4" s="2"/>
      <c r="E4" s="12"/>
      <c r="F4" s="12"/>
      <c r="G4" s="1"/>
      <c r="H4" s="2"/>
      <c r="I4" s="14"/>
      <c r="J4" s="19"/>
      <c r="K4" s="20"/>
      <c r="L4" s="12"/>
      <c r="M4" s="12"/>
      <c r="N4" s="12"/>
      <c r="O4" s="12"/>
      <c r="P4" s="8"/>
      <c r="Q4" s="8"/>
      <c r="R4" s="9"/>
      <c r="S4" s="10"/>
      <c r="T4" s="10"/>
      <c r="U4" s="11"/>
      <c r="V4" s="11"/>
      <c r="W4" s="11"/>
      <c r="X4" s="11"/>
      <c r="Y4" s="11"/>
      <c r="Z4" s="12"/>
      <c r="AA4" s="2"/>
      <c r="AB4" s="2"/>
      <c r="AC4" s="2"/>
      <c r="AD4" s="12"/>
      <c r="AE4" s="12"/>
      <c r="AF4" s="11"/>
      <c r="AG4" s="12"/>
      <c r="AH4" s="13"/>
      <c r="AI4" s="21"/>
      <c r="AJ4" s="11"/>
    </row>
    <row x14ac:dyDescent="0.25" r="5" customHeight="1" ht="19.8">
      <c r="A5" s="22" t="s">
        <v>8</v>
      </c>
      <c r="B5" s="23"/>
      <c r="C5" s="23"/>
      <c r="D5" s="23"/>
      <c r="E5" s="23" t="s">
        <v>9</v>
      </c>
      <c r="F5" s="23"/>
      <c r="G5" s="22"/>
      <c r="H5" s="12"/>
      <c r="I5" s="14"/>
      <c r="J5" s="2"/>
      <c r="K5" s="24"/>
      <c r="L5" s="25"/>
      <c r="M5" s="25"/>
      <c r="N5" s="25"/>
      <c r="O5" s="25"/>
      <c r="P5" s="26"/>
      <c r="Q5" s="26"/>
      <c r="R5" s="27"/>
      <c r="S5" s="26"/>
      <c r="T5" s="1"/>
      <c r="U5" s="28" t="s">
        <v>10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"/>
      <c r="AH5" s="13"/>
      <c r="AI5" s="29"/>
      <c r="AJ5" s="30"/>
    </row>
    <row x14ac:dyDescent="0.25" r="6" customHeight="1" ht="84.6" customFormat="1" s="31">
      <c r="A6" s="32" t="s">
        <v>11</v>
      </c>
      <c r="B6" s="33" t="s">
        <v>12</v>
      </c>
      <c r="C6" s="33" t="s">
        <v>13</v>
      </c>
      <c r="D6" s="33" t="s">
        <v>14</v>
      </c>
      <c r="E6" s="33" t="s">
        <v>15</v>
      </c>
      <c r="F6" s="33" t="s">
        <v>16</v>
      </c>
      <c r="G6" s="32" t="s">
        <v>17</v>
      </c>
      <c r="H6" s="34" t="s">
        <v>18</v>
      </c>
      <c r="I6" s="35" t="s">
        <v>19</v>
      </c>
      <c r="J6" s="36" t="s">
        <v>20</v>
      </c>
      <c r="K6" s="37" t="s">
        <v>21</v>
      </c>
      <c r="L6" s="38" t="s">
        <v>22</v>
      </c>
      <c r="M6" s="38" t="s">
        <v>23</v>
      </c>
      <c r="N6" s="38" t="s">
        <v>24</v>
      </c>
      <c r="O6" s="38" t="s">
        <v>25</v>
      </c>
      <c r="P6" s="39" t="s">
        <v>26</v>
      </c>
      <c r="Q6" s="39" t="s">
        <v>27</v>
      </c>
      <c r="R6" s="34" t="s">
        <v>28</v>
      </c>
      <c r="S6" s="39" t="s">
        <v>29</v>
      </c>
      <c r="T6" s="39" t="s">
        <v>30</v>
      </c>
      <c r="U6" s="40" t="s">
        <v>31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 t="s">
        <v>38</v>
      </c>
      <c r="AC6" s="33" t="s">
        <v>39</v>
      </c>
      <c r="AD6" s="33" t="s">
        <v>40</v>
      </c>
      <c r="AE6" s="33" t="s">
        <v>41</v>
      </c>
      <c r="AF6" s="33" t="s">
        <v>42</v>
      </c>
      <c r="AG6" s="41" t="s">
        <v>43</v>
      </c>
      <c r="AH6" s="42" t="s">
        <v>44</v>
      </c>
      <c r="AI6" s="43" t="s">
        <v>45</v>
      </c>
      <c r="AJ6" s="44" t="s">
        <v>46</v>
      </c>
    </row>
    <row x14ac:dyDescent="0.25" r="7" customHeight="1" ht="19.5">
      <c r="A7" s="45">
        <v>1</v>
      </c>
      <c r="B7" s="46" t="s">
        <v>47</v>
      </c>
      <c r="C7" s="46" t="s">
        <v>48</v>
      </c>
      <c r="D7" s="47" t="s">
        <v>49</v>
      </c>
      <c r="E7" s="48" t="s">
        <v>9</v>
      </c>
      <c r="F7" s="48" t="s">
        <v>50</v>
      </c>
      <c r="G7" s="49">
        <v>1</v>
      </c>
      <c r="H7" s="50"/>
      <c r="I7" s="51"/>
      <c r="J7" s="47"/>
      <c r="K7" s="52" t="s">
        <v>51</v>
      </c>
      <c r="L7" s="53"/>
      <c r="M7" s="53"/>
      <c r="N7" s="53"/>
      <c r="O7" s="53"/>
      <c r="P7" s="54">
        <v>1027</v>
      </c>
      <c r="Q7" s="54">
        <v>205</v>
      </c>
      <c r="R7" s="55"/>
      <c r="S7" s="56"/>
      <c r="T7" s="54">
        <v>160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47"/>
      <c r="AH7" s="58"/>
      <c r="AI7" s="59"/>
      <c r="AJ7" s="57"/>
    </row>
    <row x14ac:dyDescent="0.25" r="8" customHeight="1" ht="18.75">
      <c r="A8" s="45">
        <v>2</v>
      </c>
      <c r="B8" s="46" t="s">
        <v>47</v>
      </c>
      <c r="C8" s="46" t="s">
        <v>48</v>
      </c>
      <c r="D8" s="47" t="s">
        <v>49</v>
      </c>
      <c r="E8" s="48" t="s">
        <v>9</v>
      </c>
      <c r="F8" s="48" t="s">
        <v>50</v>
      </c>
      <c r="G8" s="60">
        <v>1</v>
      </c>
      <c r="H8" s="50"/>
      <c r="I8" s="51"/>
      <c r="J8" s="50"/>
      <c r="K8" s="61" t="s">
        <v>52</v>
      </c>
      <c r="L8" s="46"/>
      <c r="M8" s="46"/>
      <c r="N8" s="46"/>
      <c r="O8" s="46"/>
      <c r="P8" s="60">
        <v>151</v>
      </c>
      <c r="Q8" s="60">
        <v>30</v>
      </c>
      <c r="R8" s="62"/>
      <c r="S8" s="56"/>
      <c r="T8" s="60">
        <v>46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3"/>
      <c r="AH8" s="58"/>
      <c r="AI8" s="59"/>
      <c r="AJ8" s="57"/>
    </row>
    <row x14ac:dyDescent="0.25" r="9" customHeight="1" ht="18.75">
      <c r="A9" s="45">
        <v>3</v>
      </c>
      <c r="B9" s="46" t="s">
        <v>47</v>
      </c>
      <c r="C9" s="46" t="s">
        <v>48</v>
      </c>
      <c r="D9" s="47" t="s">
        <v>49</v>
      </c>
      <c r="E9" s="48" t="s">
        <v>9</v>
      </c>
      <c r="F9" s="48" t="s">
        <v>50</v>
      </c>
      <c r="G9" s="60">
        <v>1</v>
      </c>
      <c r="H9" s="50"/>
      <c r="I9" s="51"/>
      <c r="J9" s="50"/>
      <c r="K9" s="61" t="s">
        <v>53</v>
      </c>
      <c r="L9" s="46"/>
      <c r="M9" s="46"/>
      <c r="N9" s="46"/>
      <c r="O9" s="46"/>
      <c r="P9" s="60">
        <v>135</v>
      </c>
      <c r="Q9" s="60">
        <v>31</v>
      </c>
      <c r="R9" s="62"/>
      <c r="S9" s="63">
        <v>70</v>
      </c>
      <c r="T9" s="64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3"/>
      <c r="AH9" s="58"/>
      <c r="AI9" s="59"/>
      <c r="AJ9" s="57"/>
    </row>
    <row x14ac:dyDescent="0.25" r="10" customHeight="1" ht="18.75">
      <c r="A10" s="45">
        <v>4</v>
      </c>
      <c r="B10" s="46" t="s">
        <v>47</v>
      </c>
      <c r="C10" s="46" t="s">
        <v>48</v>
      </c>
      <c r="D10" s="47" t="s">
        <v>49</v>
      </c>
      <c r="E10" s="48" t="s">
        <v>9</v>
      </c>
      <c r="F10" s="48" t="s">
        <v>50</v>
      </c>
      <c r="G10" s="60">
        <v>1</v>
      </c>
      <c r="H10" s="50"/>
      <c r="I10" s="51"/>
      <c r="J10" s="46"/>
      <c r="K10" s="61" t="s">
        <v>54</v>
      </c>
      <c r="L10" s="46"/>
      <c r="M10" s="46"/>
      <c r="N10" s="46"/>
      <c r="O10" s="46"/>
      <c r="P10" s="60">
        <v>526</v>
      </c>
      <c r="Q10" s="60">
        <v>105</v>
      </c>
      <c r="R10" s="62"/>
      <c r="S10" s="63">
        <v>220</v>
      </c>
      <c r="T10" s="64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3"/>
      <c r="AH10" s="58"/>
      <c r="AI10" s="59"/>
      <c r="AJ10" s="57"/>
    </row>
    <row x14ac:dyDescent="0.25" r="11" customHeight="1" ht="18.75">
      <c r="A11" s="45">
        <v>5</v>
      </c>
      <c r="B11" s="46" t="s">
        <v>47</v>
      </c>
      <c r="C11" s="46" t="s">
        <v>48</v>
      </c>
      <c r="D11" s="47" t="s">
        <v>49</v>
      </c>
      <c r="E11" s="48" t="s">
        <v>9</v>
      </c>
      <c r="F11" s="48" t="s">
        <v>50</v>
      </c>
      <c r="G11" s="60">
        <v>1</v>
      </c>
      <c r="H11" s="50"/>
      <c r="I11" s="51"/>
      <c r="J11" s="50"/>
      <c r="K11" s="61" t="s">
        <v>55</v>
      </c>
      <c r="L11" s="46"/>
      <c r="M11" s="46"/>
      <c r="N11" s="46"/>
      <c r="O11" s="46"/>
      <c r="P11" s="60">
        <v>255</v>
      </c>
      <c r="Q11" s="60">
        <v>70</v>
      </c>
      <c r="R11" s="62"/>
      <c r="S11" s="56"/>
      <c r="T11" s="64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47"/>
      <c r="AH11" s="58"/>
      <c r="AI11" s="59"/>
      <c r="AJ11" s="57"/>
    </row>
    <row x14ac:dyDescent="0.25" r="12" customHeight="1" ht="18.75">
      <c r="A12" s="45">
        <v>6</v>
      </c>
      <c r="B12" s="46" t="s">
        <v>47</v>
      </c>
      <c r="C12" s="46" t="s">
        <v>48</v>
      </c>
      <c r="D12" s="47" t="s">
        <v>49</v>
      </c>
      <c r="E12" s="48" t="s">
        <v>9</v>
      </c>
      <c r="F12" s="48" t="s">
        <v>50</v>
      </c>
      <c r="G12" s="60">
        <v>1</v>
      </c>
      <c r="H12" s="50"/>
      <c r="I12" s="51"/>
      <c r="J12" s="50"/>
      <c r="K12" s="61" t="s">
        <v>56</v>
      </c>
      <c r="L12" s="46"/>
      <c r="M12" s="46"/>
      <c r="N12" s="46"/>
      <c r="O12" s="46"/>
      <c r="P12" s="60">
        <v>386</v>
      </c>
      <c r="Q12" s="60">
        <v>70</v>
      </c>
      <c r="R12" s="62"/>
      <c r="S12" s="56"/>
      <c r="T12" s="60">
        <v>80</v>
      </c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3"/>
      <c r="AH12" s="58"/>
      <c r="AI12" s="59"/>
      <c r="AJ12" s="57"/>
    </row>
    <row x14ac:dyDescent="0.25" r="13" customHeight="1" ht="18.75">
      <c r="A13" s="45">
        <v>7</v>
      </c>
      <c r="B13" s="46" t="s">
        <v>47</v>
      </c>
      <c r="C13" s="46" t="s">
        <v>48</v>
      </c>
      <c r="D13" s="47" t="s">
        <v>49</v>
      </c>
      <c r="E13" s="48" t="s">
        <v>9</v>
      </c>
      <c r="F13" s="65" t="s">
        <v>50</v>
      </c>
      <c r="G13" s="66">
        <v>1</v>
      </c>
      <c r="H13" s="46"/>
      <c r="I13" s="51"/>
      <c r="J13" s="46"/>
      <c r="K13" s="61" t="s">
        <v>57</v>
      </c>
      <c r="L13" s="46"/>
      <c r="M13" s="46"/>
      <c r="N13" s="46"/>
      <c r="O13" s="46"/>
      <c r="P13" s="60">
        <v>410</v>
      </c>
      <c r="Q13" s="60">
        <v>70</v>
      </c>
      <c r="R13" s="62"/>
      <c r="S13" s="56"/>
      <c r="T13" s="60">
        <v>85</v>
      </c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3"/>
      <c r="AH13" s="58"/>
      <c r="AI13" s="59"/>
      <c r="AJ13" s="57"/>
    </row>
    <row x14ac:dyDescent="0.25" r="14" customHeight="1" ht="18.75">
      <c r="A14" s="45">
        <v>8</v>
      </c>
      <c r="B14" s="46" t="s">
        <v>47</v>
      </c>
      <c r="C14" s="46" t="s">
        <v>48</v>
      </c>
      <c r="D14" s="47" t="s">
        <v>49</v>
      </c>
      <c r="E14" s="48" t="s">
        <v>9</v>
      </c>
      <c r="F14" s="48" t="s">
        <v>50</v>
      </c>
      <c r="G14" s="60">
        <v>1</v>
      </c>
      <c r="H14" s="50"/>
      <c r="I14" s="51"/>
      <c r="J14" s="50"/>
      <c r="K14" s="61" t="s">
        <v>58</v>
      </c>
      <c r="L14" s="46"/>
      <c r="M14" s="46"/>
      <c r="N14" s="46"/>
      <c r="O14" s="46"/>
      <c r="P14" s="60">
        <v>340</v>
      </c>
      <c r="Q14" s="60">
        <v>65</v>
      </c>
      <c r="R14" s="62"/>
      <c r="S14" s="63">
        <v>110</v>
      </c>
      <c r="T14" s="64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47"/>
      <c r="AH14" s="58"/>
      <c r="AI14" s="59"/>
      <c r="AJ14" s="57"/>
    </row>
    <row x14ac:dyDescent="0.25" r="15" customHeight="1" ht="18.75">
      <c r="A15" s="45">
        <v>9</v>
      </c>
      <c r="B15" s="46" t="s">
        <v>47</v>
      </c>
      <c r="C15" s="46" t="s">
        <v>48</v>
      </c>
      <c r="D15" s="47" t="s">
        <v>49</v>
      </c>
      <c r="E15" s="48" t="s">
        <v>9</v>
      </c>
      <c r="F15" s="48" t="s">
        <v>50</v>
      </c>
      <c r="G15" s="60">
        <v>2</v>
      </c>
      <c r="H15" s="50"/>
      <c r="I15" s="51"/>
      <c r="J15" s="50"/>
      <c r="K15" s="61" t="s">
        <v>59</v>
      </c>
      <c r="L15" s="46"/>
      <c r="M15" s="46"/>
      <c r="N15" s="46"/>
      <c r="O15" s="46"/>
      <c r="P15" s="60">
        <v>340</v>
      </c>
      <c r="Q15" s="60">
        <v>65</v>
      </c>
      <c r="R15" s="62"/>
      <c r="S15" s="56"/>
      <c r="T15" s="60">
        <v>98</v>
      </c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3"/>
      <c r="AH15" s="58"/>
      <c r="AI15" s="59"/>
      <c r="AJ15" s="57"/>
    </row>
    <row x14ac:dyDescent="0.25" r="16" customHeight="1" ht="18.75">
      <c r="A16" s="45">
        <v>10</v>
      </c>
      <c r="B16" s="46" t="s">
        <v>47</v>
      </c>
      <c r="C16" s="46" t="s">
        <v>48</v>
      </c>
      <c r="D16" s="47" t="s">
        <v>49</v>
      </c>
      <c r="E16" s="48" t="s">
        <v>9</v>
      </c>
      <c r="F16" s="48" t="s">
        <v>50</v>
      </c>
      <c r="G16" s="60">
        <v>2</v>
      </c>
      <c r="H16" s="50"/>
      <c r="I16" s="51"/>
      <c r="J16" s="50"/>
      <c r="K16" s="61" t="s">
        <v>60</v>
      </c>
      <c r="L16" s="46"/>
      <c r="M16" s="46"/>
      <c r="N16" s="46"/>
      <c r="O16" s="46"/>
      <c r="P16" s="60">
        <v>543</v>
      </c>
      <c r="Q16" s="60">
        <v>107</v>
      </c>
      <c r="R16" s="62"/>
      <c r="S16" s="56"/>
      <c r="T16" s="60">
        <v>77</v>
      </c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3"/>
      <c r="AH16" s="58"/>
      <c r="AI16" s="59"/>
      <c r="AJ16" s="57"/>
    </row>
    <row x14ac:dyDescent="0.25" r="17" customHeight="1" ht="18.75">
      <c r="A17" s="45">
        <v>11</v>
      </c>
      <c r="B17" s="46" t="s">
        <v>47</v>
      </c>
      <c r="C17" s="46" t="s">
        <v>48</v>
      </c>
      <c r="D17" s="47" t="s">
        <v>49</v>
      </c>
      <c r="E17" s="48" t="s">
        <v>9</v>
      </c>
      <c r="F17" s="48" t="s">
        <v>50</v>
      </c>
      <c r="G17" s="60">
        <v>2</v>
      </c>
      <c r="H17" s="50"/>
      <c r="I17" s="51"/>
      <c r="J17" s="50"/>
      <c r="K17" s="61" t="s">
        <v>61</v>
      </c>
      <c r="L17" s="46"/>
      <c r="M17" s="46"/>
      <c r="N17" s="46"/>
      <c r="O17" s="46"/>
      <c r="P17" s="60">
        <v>372</v>
      </c>
      <c r="Q17" s="60">
        <v>73</v>
      </c>
      <c r="R17" s="62"/>
      <c r="S17" s="56"/>
      <c r="T17" s="60">
        <v>80</v>
      </c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3"/>
      <c r="AH17" s="58"/>
      <c r="AI17" s="59"/>
      <c r="AJ17" s="57"/>
    </row>
    <row x14ac:dyDescent="0.25" r="18" customHeight="1" ht="18.75">
      <c r="A18" s="45">
        <v>12</v>
      </c>
      <c r="B18" s="46" t="s">
        <v>47</v>
      </c>
      <c r="C18" s="46" t="s">
        <v>48</v>
      </c>
      <c r="D18" s="47" t="s">
        <v>49</v>
      </c>
      <c r="E18" s="48" t="s">
        <v>9</v>
      </c>
      <c r="F18" s="48" t="s">
        <v>50</v>
      </c>
      <c r="G18" s="60">
        <v>2</v>
      </c>
      <c r="H18" s="50"/>
      <c r="I18" s="51"/>
      <c r="J18" s="50"/>
      <c r="K18" s="61" t="s">
        <v>62</v>
      </c>
      <c r="L18" s="46"/>
      <c r="M18" s="46"/>
      <c r="N18" s="46"/>
      <c r="O18" s="46"/>
      <c r="P18" s="60">
        <v>355</v>
      </c>
      <c r="Q18" s="60">
        <v>71</v>
      </c>
      <c r="R18" s="62"/>
      <c r="S18" s="56"/>
      <c r="T18" s="60">
        <v>62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3"/>
      <c r="AH18" s="58"/>
      <c r="AI18" s="59"/>
      <c r="AJ18" s="57"/>
    </row>
    <row x14ac:dyDescent="0.25" r="19" customHeight="1" ht="18.75">
      <c r="A19" s="45">
        <v>13</v>
      </c>
      <c r="B19" s="46" t="s">
        <v>47</v>
      </c>
      <c r="C19" s="46" t="s">
        <v>48</v>
      </c>
      <c r="D19" s="47" t="s">
        <v>49</v>
      </c>
      <c r="E19" s="48" t="s">
        <v>9</v>
      </c>
      <c r="F19" s="48" t="s">
        <v>50</v>
      </c>
      <c r="G19" s="60">
        <v>2</v>
      </c>
      <c r="H19" s="50"/>
      <c r="I19" s="51"/>
      <c r="J19" s="50"/>
      <c r="K19" s="61" t="s">
        <v>63</v>
      </c>
      <c r="L19" s="46"/>
      <c r="M19" s="46"/>
      <c r="N19" s="46"/>
      <c r="O19" s="46"/>
      <c r="P19" s="60">
        <v>645</v>
      </c>
      <c r="Q19" s="60">
        <v>123</v>
      </c>
      <c r="R19" s="62"/>
      <c r="S19" s="63">
        <v>203</v>
      </c>
      <c r="T19" s="64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3"/>
      <c r="AH19" s="58"/>
      <c r="AI19" s="59"/>
      <c r="AJ19" s="57"/>
    </row>
    <row x14ac:dyDescent="0.25" r="20" customHeight="1" ht="18.75">
      <c r="A20" s="45">
        <v>14</v>
      </c>
      <c r="B20" s="46" t="s">
        <v>47</v>
      </c>
      <c r="C20" s="46" t="s">
        <v>48</v>
      </c>
      <c r="D20" s="47" t="s">
        <v>49</v>
      </c>
      <c r="E20" s="48" t="s">
        <v>9</v>
      </c>
      <c r="F20" s="65" t="s">
        <v>50</v>
      </c>
      <c r="G20" s="66">
        <v>2</v>
      </c>
      <c r="H20" s="46"/>
      <c r="I20" s="51"/>
      <c r="J20" s="46"/>
      <c r="K20" s="61" t="s">
        <v>64</v>
      </c>
      <c r="L20" s="46"/>
      <c r="M20" s="46"/>
      <c r="N20" s="46"/>
      <c r="O20" s="46"/>
      <c r="P20" s="66">
        <v>840</v>
      </c>
      <c r="Q20" s="66">
        <v>168</v>
      </c>
      <c r="R20" s="67"/>
      <c r="S20" s="56"/>
      <c r="T20" s="66">
        <v>70</v>
      </c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3"/>
      <c r="AH20" s="58"/>
      <c r="AI20" s="59"/>
      <c r="AJ20" s="57"/>
    </row>
    <row x14ac:dyDescent="0.25" r="21" customHeight="1" ht="18.75">
      <c r="A21" s="45">
        <v>15</v>
      </c>
      <c r="B21" s="46" t="s">
        <v>47</v>
      </c>
      <c r="C21" s="46" t="s">
        <v>48</v>
      </c>
      <c r="D21" s="47" t="s">
        <v>49</v>
      </c>
      <c r="E21" s="48" t="s">
        <v>9</v>
      </c>
      <c r="F21" s="48" t="s">
        <v>50</v>
      </c>
      <c r="G21" s="60">
        <v>3</v>
      </c>
      <c r="H21" s="50"/>
      <c r="I21" s="51"/>
      <c r="J21" s="46"/>
      <c r="K21" s="61" t="s">
        <v>65</v>
      </c>
      <c r="L21" s="46"/>
      <c r="M21" s="46"/>
      <c r="N21" s="46"/>
      <c r="O21" s="46"/>
      <c r="P21" s="60">
        <v>260</v>
      </c>
      <c r="Q21" s="60">
        <v>52</v>
      </c>
      <c r="R21" s="62"/>
      <c r="S21" s="56"/>
      <c r="T21" s="60">
        <v>90</v>
      </c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3"/>
      <c r="AH21" s="58"/>
      <c r="AI21" s="59"/>
      <c r="AJ21" s="57"/>
    </row>
    <row x14ac:dyDescent="0.25" r="22" customHeight="1" ht="18">
      <c r="A22" s="45">
        <v>16</v>
      </c>
      <c r="B22" s="46" t="s">
        <v>47</v>
      </c>
      <c r="C22" s="46" t="s">
        <v>48</v>
      </c>
      <c r="D22" s="47" t="s">
        <v>49</v>
      </c>
      <c r="E22" s="48" t="s">
        <v>9</v>
      </c>
      <c r="F22" s="48" t="s">
        <v>50</v>
      </c>
      <c r="G22" s="60">
        <v>3</v>
      </c>
      <c r="H22" s="50"/>
      <c r="I22" s="51"/>
      <c r="J22" s="46"/>
      <c r="K22" s="61" t="s">
        <v>66</v>
      </c>
      <c r="L22" s="46"/>
      <c r="M22" s="46"/>
      <c r="N22" s="46"/>
      <c r="O22" s="46"/>
      <c r="P22" s="60">
        <v>192</v>
      </c>
      <c r="Q22" s="60">
        <v>41</v>
      </c>
      <c r="R22" s="62"/>
      <c r="S22" s="63">
        <v>65</v>
      </c>
      <c r="T22" s="60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3"/>
      <c r="AH22" s="58"/>
      <c r="AI22" s="59"/>
      <c r="AJ22" s="57"/>
    </row>
    <row x14ac:dyDescent="0.25" r="23" customHeight="1" ht="18">
      <c r="A23" s="45">
        <v>17</v>
      </c>
      <c r="B23" s="46" t="s">
        <v>47</v>
      </c>
      <c r="C23" s="46" t="s">
        <v>48</v>
      </c>
      <c r="D23" s="47" t="s">
        <v>49</v>
      </c>
      <c r="E23" s="48" t="s">
        <v>9</v>
      </c>
      <c r="F23" s="48" t="s">
        <v>50</v>
      </c>
      <c r="G23" s="60">
        <v>3</v>
      </c>
      <c r="H23" s="50"/>
      <c r="I23" s="51"/>
      <c r="J23" s="46"/>
      <c r="K23" s="61" t="s">
        <v>67</v>
      </c>
      <c r="L23" s="46"/>
      <c r="M23" s="46"/>
      <c r="N23" s="46"/>
      <c r="O23" s="46"/>
      <c r="P23" s="60">
        <v>476</v>
      </c>
      <c r="Q23" s="60">
        <v>95</v>
      </c>
      <c r="R23" s="62"/>
      <c r="S23" s="56"/>
      <c r="T23" s="60">
        <v>153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3"/>
      <c r="AH23" s="58"/>
      <c r="AI23" s="59"/>
      <c r="AJ23" s="57"/>
    </row>
    <row x14ac:dyDescent="0.25" r="24" customHeight="1" ht="18">
      <c r="A24" s="45">
        <v>18</v>
      </c>
      <c r="B24" s="46" t="s">
        <v>47</v>
      </c>
      <c r="C24" s="46" t="s">
        <v>48</v>
      </c>
      <c r="D24" s="47" t="s">
        <v>49</v>
      </c>
      <c r="E24" s="48" t="s">
        <v>9</v>
      </c>
      <c r="F24" s="48" t="s">
        <v>50</v>
      </c>
      <c r="G24" s="60">
        <v>3</v>
      </c>
      <c r="H24" s="50"/>
      <c r="I24" s="51"/>
      <c r="J24" s="50"/>
      <c r="K24" s="61" t="s">
        <v>68</v>
      </c>
      <c r="L24" s="46"/>
      <c r="M24" s="46"/>
      <c r="N24" s="46"/>
      <c r="O24" s="46"/>
      <c r="P24" s="60">
        <v>379</v>
      </c>
      <c r="Q24" s="60">
        <v>70</v>
      </c>
      <c r="R24" s="62"/>
      <c r="S24" s="56"/>
      <c r="T24" s="60">
        <v>132</v>
      </c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3"/>
      <c r="AH24" s="58"/>
      <c r="AI24" s="59"/>
      <c r="AJ24" s="57"/>
    </row>
    <row x14ac:dyDescent="0.25" r="25" customHeight="1" ht="18">
      <c r="A25" s="45">
        <v>19</v>
      </c>
      <c r="B25" s="46" t="s">
        <v>47</v>
      </c>
      <c r="C25" s="46" t="s">
        <v>48</v>
      </c>
      <c r="D25" s="47" t="s">
        <v>49</v>
      </c>
      <c r="E25" s="48" t="s">
        <v>9</v>
      </c>
      <c r="F25" s="48" t="s">
        <v>50</v>
      </c>
      <c r="G25" s="60">
        <v>3</v>
      </c>
      <c r="H25" s="50"/>
      <c r="I25" s="51"/>
      <c r="J25" s="50"/>
      <c r="K25" s="61" t="s">
        <v>69</v>
      </c>
      <c r="L25" s="46"/>
      <c r="M25" s="46"/>
      <c r="N25" s="46"/>
      <c r="O25" s="46"/>
      <c r="P25" s="60">
        <v>355</v>
      </c>
      <c r="Q25" s="60">
        <v>40</v>
      </c>
      <c r="R25" s="62"/>
      <c r="S25" s="56"/>
      <c r="T25" s="60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3"/>
      <c r="AH25" s="58"/>
      <c r="AI25" s="59"/>
      <c r="AJ25" s="57"/>
    </row>
    <row x14ac:dyDescent="0.25" r="26" customHeight="1" ht="18">
      <c r="A26" s="45">
        <v>20</v>
      </c>
      <c r="B26" s="46" t="s">
        <v>47</v>
      </c>
      <c r="C26" s="46" t="s">
        <v>48</v>
      </c>
      <c r="D26" s="47" t="s">
        <v>49</v>
      </c>
      <c r="E26" s="48" t="s">
        <v>9</v>
      </c>
      <c r="F26" s="48" t="s">
        <v>50</v>
      </c>
      <c r="G26" s="60">
        <v>3</v>
      </c>
      <c r="H26" s="50"/>
      <c r="I26" s="51"/>
      <c r="J26" s="50"/>
      <c r="K26" s="61" t="s">
        <v>70</v>
      </c>
      <c r="L26" s="46"/>
      <c r="M26" s="46"/>
      <c r="N26" s="46"/>
      <c r="O26" s="46"/>
      <c r="P26" s="60">
        <v>176</v>
      </c>
      <c r="Q26" s="60">
        <v>35</v>
      </c>
      <c r="R26" s="62"/>
      <c r="S26" s="56"/>
      <c r="T26" s="60">
        <v>71</v>
      </c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3"/>
      <c r="AH26" s="58"/>
      <c r="AI26" s="59"/>
      <c r="AJ26" s="57"/>
    </row>
    <row x14ac:dyDescent="0.25" r="27" customHeight="1" ht="18">
      <c r="A27" s="45">
        <v>21</v>
      </c>
      <c r="B27" s="46" t="s">
        <v>47</v>
      </c>
      <c r="C27" s="46" t="s">
        <v>48</v>
      </c>
      <c r="D27" s="47" t="s">
        <v>49</v>
      </c>
      <c r="E27" s="48" t="s">
        <v>9</v>
      </c>
      <c r="F27" s="65" t="s">
        <v>50</v>
      </c>
      <c r="G27" s="66">
        <v>3</v>
      </c>
      <c r="H27" s="46"/>
      <c r="I27" s="51"/>
      <c r="J27" s="46"/>
      <c r="K27" s="61" t="s">
        <v>71</v>
      </c>
      <c r="L27" s="46"/>
      <c r="M27" s="46"/>
      <c r="N27" s="46"/>
      <c r="O27" s="46"/>
      <c r="P27" s="60">
        <v>369</v>
      </c>
      <c r="Q27" s="60">
        <v>70</v>
      </c>
      <c r="R27" s="62"/>
      <c r="S27" s="63">
        <v>125</v>
      </c>
      <c r="T27" s="60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3"/>
      <c r="AH27" s="58"/>
      <c r="AI27" s="59"/>
      <c r="AJ27" s="57"/>
    </row>
    <row x14ac:dyDescent="0.25" r="28" customHeight="1" ht="18">
      <c r="A28" s="45">
        <v>22</v>
      </c>
      <c r="B28" s="46" t="s">
        <v>47</v>
      </c>
      <c r="C28" s="46" t="s">
        <v>48</v>
      </c>
      <c r="D28" s="47" t="s">
        <v>49</v>
      </c>
      <c r="E28" s="48" t="s">
        <v>9</v>
      </c>
      <c r="F28" s="48" t="s">
        <v>50</v>
      </c>
      <c r="G28" s="60">
        <v>4</v>
      </c>
      <c r="H28" s="50"/>
      <c r="I28" s="51"/>
      <c r="J28" s="50"/>
      <c r="K28" s="61" t="s">
        <v>72</v>
      </c>
      <c r="L28" s="46"/>
      <c r="M28" s="46"/>
      <c r="N28" s="46"/>
      <c r="O28" s="46"/>
      <c r="P28" s="60">
        <v>243</v>
      </c>
      <c r="Q28" s="60">
        <v>60</v>
      </c>
      <c r="R28" s="62"/>
      <c r="S28" s="56"/>
      <c r="T28" s="60">
        <v>118</v>
      </c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3"/>
      <c r="AH28" s="58"/>
      <c r="AI28" s="59"/>
      <c r="AJ28" s="57"/>
    </row>
    <row x14ac:dyDescent="0.25" r="29" customHeight="1" ht="18">
      <c r="A29" s="45">
        <v>23</v>
      </c>
      <c r="B29" s="46" t="s">
        <v>47</v>
      </c>
      <c r="C29" s="46" t="s">
        <v>48</v>
      </c>
      <c r="D29" s="47" t="s">
        <v>49</v>
      </c>
      <c r="E29" s="48" t="s">
        <v>9</v>
      </c>
      <c r="F29" s="48" t="s">
        <v>50</v>
      </c>
      <c r="G29" s="60">
        <v>4</v>
      </c>
      <c r="H29" s="50"/>
      <c r="I29" s="51"/>
      <c r="J29" s="50"/>
      <c r="K29" s="61" t="s">
        <v>73</v>
      </c>
      <c r="L29" s="46"/>
      <c r="M29" s="46"/>
      <c r="N29" s="46"/>
      <c r="O29" s="46"/>
      <c r="P29" s="60">
        <v>340</v>
      </c>
      <c r="Q29" s="60">
        <v>68</v>
      </c>
      <c r="R29" s="62"/>
      <c r="S29" s="56"/>
      <c r="T29" s="60">
        <v>95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3"/>
      <c r="AH29" s="58"/>
      <c r="AI29" s="59"/>
      <c r="AJ29" s="57"/>
    </row>
    <row x14ac:dyDescent="0.25" r="30" customHeight="1" ht="18">
      <c r="A30" s="45">
        <v>24</v>
      </c>
      <c r="B30" s="46" t="s">
        <v>47</v>
      </c>
      <c r="C30" s="46" t="s">
        <v>48</v>
      </c>
      <c r="D30" s="47" t="s">
        <v>49</v>
      </c>
      <c r="E30" s="48" t="s">
        <v>9</v>
      </c>
      <c r="F30" s="48" t="s">
        <v>50</v>
      </c>
      <c r="G30" s="60">
        <v>4</v>
      </c>
      <c r="H30" s="50"/>
      <c r="I30" s="51"/>
      <c r="J30" s="50"/>
      <c r="K30" s="61" t="s">
        <v>74</v>
      </c>
      <c r="L30" s="46"/>
      <c r="M30" s="46"/>
      <c r="N30" s="46"/>
      <c r="O30" s="46"/>
      <c r="P30" s="66">
        <v>269</v>
      </c>
      <c r="Q30" s="66">
        <v>67</v>
      </c>
      <c r="R30" s="67"/>
      <c r="S30" s="56"/>
      <c r="T30" s="66">
        <v>126</v>
      </c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3"/>
      <c r="AH30" s="58"/>
      <c r="AI30" s="59"/>
      <c r="AJ30" s="57"/>
    </row>
    <row x14ac:dyDescent="0.25" r="31" customHeight="1" ht="18">
      <c r="A31" s="45">
        <v>25</v>
      </c>
      <c r="B31" s="46" t="s">
        <v>47</v>
      </c>
      <c r="C31" s="46" t="s">
        <v>48</v>
      </c>
      <c r="D31" s="47" t="s">
        <v>49</v>
      </c>
      <c r="E31" s="48" t="s">
        <v>9</v>
      </c>
      <c r="F31" s="48" t="s">
        <v>50</v>
      </c>
      <c r="G31" s="60">
        <v>4</v>
      </c>
      <c r="H31" s="50"/>
      <c r="I31" s="51"/>
      <c r="J31" s="50"/>
      <c r="K31" s="61" t="s">
        <v>75</v>
      </c>
      <c r="L31" s="46"/>
      <c r="M31" s="46"/>
      <c r="N31" s="46"/>
      <c r="O31" s="46"/>
      <c r="P31" s="60">
        <v>510</v>
      </c>
      <c r="Q31" s="60">
        <v>90</v>
      </c>
      <c r="R31" s="62"/>
      <c r="S31" s="56"/>
      <c r="T31" s="60">
        <v>167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3"/>
      <c r="AH31" s="58"/>
      <c r="AI31" s="59"/>
      <c r="AJ31" s="57"/>
    </row>
    <row x14ac:dyDescent="0.25" r="32" customHeight="1" ht="18">
      <c r="A32" s="45">
        <v>26</v>
      </c>
      <c r="B32" s="46" t="s">
        <v>47</v>
      </c>
      <c r="C32" s="46" t="s">
        <v>48</v>
      </c>
      <c r="D32" s="47" t="s">
        <v>49</v>
      </c>
      <c r="E32" s="48" t="s">
        <v>9</v>
      </c>
      <c r="F32" s="48" t="s">
        <v>50</v>
      </c>
      <c r="G32" s="60">
        <v>4</v>
      </c>
      <c r="H32" s="50"/>
      <c r="I32" s="51"/>
      <c r="J32" s="50"/>
      <c r="K32" s="68" t="s">
        <v>76</v>
      </c>
      <c r="L32" s="69"/>
      <c r="M32" s="69"/>
      <c r="N32" s="69"/>
      <c r="O32" s="69"/>
      <c r="P32" s="60">
        <v>234</v>
      </c>
      <c r="Q32" s="60">
        <v>38</v>
      </c>
      <c r="R32" s="62"/>
      <c r="S32" s="56"/>
      <c r="T32" s="60">
        <v>64</v>
      </c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3"/>
      <c r="AH32" s="58"/>
      <c r="AI32" s="59"/>
      <c r="AJ32" s="57"/>
    </row>
    <row x14ac:dyDescent="0.25" r="33" customHeight="1" ht="18">
      <c r="A33" s="45">
        <v>27</v>
      </c>
      <c r="B33" s="46" t="s">
        <v>47</v>
      </c>
      <c r="C33" s="46" t="s">
        <v>48</v>
      </c>
      <c r="D33" s="47" t="s">
        <v>49</v>
      </c>
      <c r="E33" s="48" t="s">
        <v>9</v>
      </c>
      <c r="F33" s="65" t="s">
        <v>50</v>
      </c>
      <c r="G33" s="66">
        <v>4</v>
      </c>
      <c r="H33" s="46"/>
      <c r="I33" s="51"/>
      <c r="J33" s="46"/>
      <c r="K33" s="52" t="s">
        <v>77</v>
      </c>
      <c r="L33" s="46"/>
      <c r="M33" s="46"/>
      <c r="N33" s="46"/>
      <c r="O33" s="46"/>
      <c r="P33" s="60">
        <v>181</v>
      </c>
      <c r="Q33" s="60">
        <v>54</v>
      </c>
      <c r="R33" s="62"/>
      <c r="S33" s="56"/>
      <c r="T33" s="64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3"/>
      <c r="AH33" s="58"/>
      <c r="AI33" s="59"/>
      <c r="AJ33" s="57"/>
    </row>
    <row x14ac:dyDescent="0.25" r="34" customHeight="1" ht="18">
      <c r="A34" s="45">
        <v>28</v>
      </c>
      <c r="B34" s="46" t="s">
        <v>47</v>
      </c>
      <c r="C34" s="46" t="s">
        <v>48</v>
      </c>
      <c r="D34" s="47" t="s">
        <v>49</v>
      </c>
      <c r="E34" s="48" t="s">
        <v>9</v>
      </c>
      <c r="F34" s="48" t="s">
        <v>50</v>
      </c>
      <c r="G34" s="60">
        <v>4</v>
      </c>
      <c r="H34" s="50"/>
      <c r="I34" s="51"/>
      <c r="J34" s="50"/>
      <c r="K34" s="61" t="s">
        <v>78</v>
      </c>
      <c r="L34" s="46"/>
      <c r="M34" s="46"/>
      <c r="N34" s="46"/>
      <c r="O34" s="46"/>
      <c r="P34" s="60">
        <v>348</v>
      </c>
      <c r="Q34" s="60">
        <v>68</v>
      </c>
      <c r="R34" s="62"/>
      <c r="S34" s="56"/>
      <c r="T34" s="60">
        <v>114</v>
      </c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3"/>
      <c r="AH34" s="58"/>
      <c r="AI34" s="59"/>
      <c r="AJ34" s="57"/>
    </row>
    <row x14ac:dyDescent="0.25" r="35" customHeight="1" ht="18">
      <c r="A35" s="45">
        <v>29</v>
      </c>
      <c r="B35" s="46" t="s">
        <v>47</v>
      </c>
      <c r="C35" s="46" t="s">
        <v>48</v>
      </c>
      <c r="D35" s="47" t="s">
        <v>49</v>
      </c>
      <c r="E35" s="48" t="s">
        <v>9</v>
      </c>
      <c r="F35" s="48" t="s">
        <v>50</v>
      </c>
      <c r="G35" s="60">
        <v>4</v>
      </c>
      <c r="H35" s="50"/>
      <c r="I35" s="51"/>
      <c r="J35" s="50"/>
      <c r="K35" s="61" t="s">
        <v>79</v>
      </c>
      <c r="L35" s="46"/>
      <c r="M35" s="46"/>
      <c r="N35" s="46"/>
      <c r="O35" s="46"/>
      <c r="P35" s="60">
        <v>271</v>
      </c>
      <c r="Q35" s="60">
        <v>57</v>
      </c>
      <c r="R35" s="62"/>
      <c r="S35" s="56"/>
      <c r="T35" s="64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3"/>
      <c r="AH35" s="58"/>
      <c r="AI35" s="70"/>
      <c r="AJ35" s="71"/>
    </row>
    <row x14ac:dyDescent="0.25" r="36" customHeight="1" ht="18">
      <c r="A36" s="45">
        <v>30</v>
      </c>
      <c r="B36" s="46" t="s">
        <v>47</v>
      </c>
      <c r="C36" s="46" t="s">
        <v>48</v>
      </c>
      <c r="D36" s="47" t="s">
        <v>49</v>
      </c>
      <c r="E36" s="48" t="s">
        <v>9</v>
      </c>
      <c r="F36" s="48" t="s">
        <v>50</v>
      </c>
      <c r="G36" s="60">
        <v>5</v>
      </c>
      <c r="H36" s="50"/>
      <c r="I36" s="51"/>
      <c r="J36" s="50"/>
      <c r="K36" s="61" t="s">
        <v>80</v>
      </c>
      <c r="L36" s="46"/>
      <c r="M36" s="46"/>
      <c r="N36" s="46"/>
      <c r="O36" s="46"/>
      <c r="P36" s="66">
        <v>509</v>
      </c>
      <c r="Q36" s="66">
        <v>85</v>
      </c>
      <c r="R36" s="67"/>
      <c r="S36" s="56"/>
      <c r="T36" s="66">
        <v>150</v>
      </c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3"/>
      <c r="AH36" s="58"/>
      <c r="AI36" s="72"/>
      <c r="AJ36" s="72"/>
    </row>
    <row x14ac:dyDescent="0.25" r="37" customHeight="1" ht="18">
      <c r="A37" s="45">
        <v>31</v>
      </c>
      <c r="B37" s="46" t="s">
        <v>47</v>
      </c>
      <c r="C37" s="46" t="s">
        <v>48</v>
      </c>
      <c r="D37" s="47" t="s">
        <v>49</v>
      </c>
      <c r="E37" s="48" t="s">
        <v>9</v>
      </c>
      <c r="F37" s="48" t="s">
        <v>50</v>
      </c>
      <c r="G37" s="60">
        <v>5</v>
      </c>
      <c r="H37" s="50"/>
      <c r="I37" s="51"/>
      <c r="J37" s="50"/>
      <c r="K37" s="61" t="s">
        <v>81</v>
      </c>
      <c r="L37" s="46"/>
      <c r="M37" s="46"/>
      <c r="N37" s="46"/>
      <c r="O37" s="46"/>
      <c r="P37" s="60">
        <v>772</v>
      </c>
      <c r="Q37" s="60">
        <v>145</v>
      </c>
      <c r="R37" s="62"/>
      <c r="S37" s="63">
        <v>170</v>
      </c>
      <c r="T37" s="64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3"/>
      <c r="AH37" s="58"/>
      <c r="AI37" s="72"/>
      <c r="AJ37" s="72"/>
    </row>
    <row x14ac:dyDescent="0.25" r="38" customHeight="1" ht="18">
      <c r="A38" s="45">
        <v>32</v>
      </c>
      <c r="B38" s="46" t="s">
        <v>47</v>
      </c>
      <c r="C38" s="46" t="s">
        <v>48</v>
      </c>
      <c r="D38" s="47" t="s">
        <v>49</v>
      </c>
      <c r="E38" s="48" t="s">
        <v>9</v>
      </c>
      <c r="F38" s="48" t="s">
        <v>50</v>
      </c>
      <c r="G38" s="60">
        <v>5</v>
      </c>
      <c r="H38" s="50"/>
      <c r="I38" s="51"/>
      <c r="J38" s="50"/>
      <c r="K38" s="61" t="s">
        <v>82</v>
      </c>
      <c r="L38" s="46"/>
      <c r="M38" s="46"/>
      <c r="N38" s="46"/>
      <c r="O38" s="46"/>
      <c r="P38" s="60">
        <v>232</v>
      </c>
      <c r="Q38" s="60">
        <v>53</v>
      </c>
      <c r="R38" s="62"/>
      <c r="S38" s="56"/>
      <c r="T38" s="64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3"/>
      <c r="AH38" s="58"/>
      <c r="AI38" s="72"/>
      <c r="AJ38" s="72"/>
    </row>
    <row x14ac:dyDescent="0.25" r="39" customHeight="1" ht="18">
      <c r="A39" s="45">
        <v>33</v>
      </c>
      <c r="B39" s="46" t="s">
        <v>47</v>
      </c>
      <c r="C39" s="46" t="s">
        <v>48</v>
      </c>
      <c r="D39" s="47" t="s">
        <v>49</v>
      </c>
      <c r="E39" s="48" t="s">
        <v>9</v>
      </c>
      <c r="F39" s="48" t="s">
        <v>50</v>
      </c>
      <c r="G39" s="60">
        <v>5</v>
      </c>
      <c r="H39" s="50"/>
      <c r="I39" s="51"/>
      <c r="J39" s="50"/>
      <c r="K39" s="61" t="s">
        <v>83</v>
      </c>
      <c r="L39" s="46"/>
      <c r="M39" s="46"/>
      <c r="N39" s="46"/>
      <c r="O39" s="46"/>
      <c r="P39" s="60">
        <v>225</v>
      </c>
      <c r="Q39" s="60">
        <v>55</v>
      </c>
      <c r="R39" s="62"/>
      <c r="S39" s="56"/>
      <c r="T39" s="64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3"/>
      <c r="AH39" s="58"/>
      <c r="AI39" s="70"/>
      <c r="AJ39" s="71"/>
    </row>
    <row x14ac:dyDescent="0.25" r="40" customHeight="1" ht="18">
      <c r="A40" s="45">
        <v>34</v>
      </c>
      <c r="B40" s="46" t="s">
        <v>47</v>
      </c>
      <c r="C40" s="46" t="s">
        <v>48</v>
      </c>
      <c r="D40" s="47" t="s">
        <v>49</v>
      </c>
      <c r="E40" s="48" t="s">
        <v>9</v>
      </c>
      <c r="F40" s="48" t="s">
        <v>50</v>
      </c>
      <c r="G40" s="60">
        <v>6</v>
      </c>
      <c r="H40" s="50"/>
      <c r="I40" s="51"/>
      <c r="J40" s="50"/>
      <c r="K40" s="61" t="s">
        <v>84</v>
      </c>
      <c r="L40" s="46"/>
      <c r="M40" s="46"/>
      <c r="N40" s="46"/>
      <c r="O40" s="46"/>
      <c r="P40" s="60">
        <v>472</v>
      </c>
      <c r="Q40" s="60">
        <v>120</v>
      </c>
      <c r="R40" s="62"/>
      <c r="S40" s="56"/>
      <c r="T40" s="64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3"/>
      <c r="AH40" s="58"/>
      <c r="AI40" s="70"/>
      <c r="AJ40" s="71"/>
    </row>
    <row x14ac:dyDescent="0.25" r="41" customHeight="1" ht="18">
      <c r="A41" s="45">
        <v>35</v>
      </c>
      <c r="B41" s="46" t="s">
        <v>47</v>
      </c>
      <c r="C41" s="46" t="s">
        <v>48</v>
      </c>
      <c r="D41" s="47" t="s">
        <v>49</v>
      </c>
      <c r="E41" s="48" t="s">
        <v>9</v>
      </c>
      <c r="F41" s="48" t="s">
        <v>50</v>
      </c>
      <c r="G41" s="60">
        <v>6</v>
      </c>
      <c r="H41" s="50"/>
      <c r="I41" s="51"/>
      <c r="J41" s="50"/>
      <c r="K41" s="61" t="s">
        <v>85</v>
      </c>
      <c r="L41" s="46"/>
      <c r="M41" s="46"/>
      <c r="N41" s="46"/>
      <c r="O41" s="46"/>
      <c r="P41" s="60">
        <v>230</v>
      </c>
      <c r="Q41" s="60">
        <v>50</v>
      </c>
      <c r="R41" s="62"/>
      <c r="S41" s="56"/>
      <c r="T41" s="64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3"/>
      <c r="AH41" s="58"/>
      <c r="AI41" s="59"/>
      <c r="AJ41" s="57"/>
    </row>
    <row x14ac:dyDescent="0.25" r="42" customHeight="1" ht="18">
      <c r="A42" s="45">
        <v>36</v>
      </c>
      <c r="B42" s="46" t="s">
        <v>47</v>
      </c>
      <c r="C42" s="46" t="s">
        <v>48</v>
      </c>
      <c r="D42" s="47" t="s">
        <v>49</v>
      </c>
      <c r="E42" s="48" t="s">
        <v>9</v>
      </c>
      <c r="F42" s="48" t="s">
        <v>50</v>
      </c>
      <c r="G42" s="60">
        <v>6</v>
      </c>
      <c r="H42" s="50"/>
      <c r="I42" s="51"/>
      <c r="J42" s="50"/>
      <c r="K42" s="61" t="s">
        <v>86</v>
      </c>
      <c r="L42" s="46"/>
      <c r="M42" s="46"/>
      <c r="N42" s="46"/>
      <c r="O42" s="46"/>
      <c r="P42" s="60">
        <v>322</v>
      </c>
      <c r="Q42" s="60">
        <v>83</v>
      </c>
      <c r="R42" s="62"/>
      <c r="S42" s="56"/>
      <c r="T42" s="60">
        <v>130</v>
      </c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3"/>
      <c r="AH42" s="58"/>
      <c r="AI42" s="59"/>
      <c r="AJ42" s="57"/>
    </row>
    <row x14ac:dyDescent="0.25" r="43" customHeight="1" ht="18">
      <c r="A43" s="45">
        <v>37</v>
      </c>
      <c r="B43" s="46" t="s">
        <v>47</v>
      </c>
      <c r="C43" s="46" t="s">
        <v>48</v>
      </c>
      <c r="D43" s="47" t="s">
        <v>49</v>
      </c>
      <c r="E43" s="48" t="s">
        <v>9</v>
      </c>
      <c r="F43" s="48" t="s">
        <v>50</v>
      </c>
      <c r="G43" s="60">
        <v>6</v>
      </c>
      <c r="H43" s="50"/>
      <c r="I43" s="51"/>
      <c r="J43" s="50"/>
      <c r="K43" s="64" t="s">
        <v>87</v>
      </c>
      <c r="L43" s="46"/>
      <c r="M43" s="46"/>
      <c r="N43" s="46"/>
      <c r="O43" s="46"/>
      <c r="P43" s="60">
        <v>66</v>
      </c>
      <c r="Q43" s="60">
        <v>19</v>
      </c>
      <c r="R43" s="62"/>
      <c r="S43" s="63">
        <v>25</v>
      </c>
      <c r="T43" s="64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3"/>
      <c r="AH43" s="58"/>
      <c r="AI43" s="59"/>
      <c r="AJ43" s="57"/>
    </row>
    <row x14ac:dyDescent="0.25" r="44" customHeight="1" ht="18">
      <c r="A44" s="45">
        <v>38</v>
      </c>
      <c r="B44" s="46" t="s">
        <v>47</v>
      </c>
      <c r="C44" s="46" t="s">
        <v>48</v>
      </c>
      <c r="D44" s="47" t="s">
        <v>49</v>
      </c>
      <c r="E44" s="48" t="s">
        <v>9</v>
      </c>
      <c r="F44" s="48" t="s">
        <v>50</v>
      </c>
      <c r="G44" s="60">
        <v>6</v>
      </c>
      <c r="H44" s="50"/>
      <c r="I44" s="51"/>
      <c r="J44" s="50"/>
      <c r="K44" s="64" t="s">
        <v>88</v>
      </c>
      <c r="L44" s="46"/>
      <c r="M44" s="46"/>
      <c r="N44" s="46"/>
      <c r="O44" s="46"/>
      <c r="P44" s="60">
        <v>478</v>
      </c>
      <c r="Q44" s="60">
        <v>115</v>
      </c>
      <c r="R44" s="62"/>
      <c r="S44" s="56"/>
      <c r="T44" s="60">
        <v>142</v>
      </c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3"/>
      <c r="AH44" s="58"/>
      <c r="AI44" s="73"/>
      <c r="AJ44" s="74"/>
    </row>
    <row x14ac:dyDescent="0.25" r="45" customHeight="1" ht="18">
      <c r="A45" s="45">
        <v>39</v>
      </c>
      <c r="B45" s="46" t="s">
        <v>47</v>
      </c>
      <c r="C45" s="46" t="s">
        <v>48</v>
      </c>
      <c r="D45" s="47" t="s">
        <v>49</v>
      </c>
      <c r="E45" s="48" t="s">
        <v>9</v>
      </c>
      <c r="F45" s="48" t="s">
        <v>50</v>
      </c>
      <c r="G45" s="60">
        <v>6</v>
      </c>
      <c r="H45" s="50"/>
      <c r="I45" s="51"/>
      <c r="J45" s="50"/>
      <c r="K45" s="64" t="s">
        <v>89</v>
      </c>
      <c r="L45" s="46"/>
      <c r="M45" s="46"/>
      <c r="N45" s="46"/>
      <c r="O45" s="46"/>
      <c r="P45" s="60">
        <v>180</v>
      </c>
      <c r="Q45" s="60">
        <v>42</v>
      </c>
      <c r="R45" s="62"/>
      <c r="S45" s="63">
        <v>60</v>
      </c>
      <c r="T45" s="64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3"/>
      <c r="AH45" s="58"/>
      <c r="AI45" s="75"/>
      <c r="AJ45" s="76"/>
    </row>
    <row x14ac:dyDescent="0.25" r="46" customHeight="1" ht="18">
      <c r="A46" s="45">
        <v>40</v>
      </c>
      <c r="B46" s="46" t="s">
        <v>47</v>
      </c>
      <c r="C46" s="46" t="s">
        <v>48</v>
      </c>
      <c r="D46" s="47" t="s">
        <v>49</v>
      </c>
      <c r="E46" s="48" t="s">
        <v>9</v>
      </c>
      <c r="F46" s="65" t="s">
        <v>50</v>
      </c>
      <c r="G46" s="66">
        <v>6</v>
      </c>
      <c r="H46" s="46"/>
      <c r="I46" s="51"/>
      <c r="J46" s="46"/>
      <c r="K46" s="61" t="s">
        <v>90</v>
      </c>
      <c r="L46" s="46"/>
      <c r="M46" s="46"/>
      <c r="N46" s="46"/>
      <c r="O46" s="46"/>
      <c r="P46" s="60">
        <v>184</v>
      </c>
      <c r="Q46" s="60">
        <v>43</v>
      </c>
      <c r="R46" s="62"/>
      <c r="S46" s="56"/>
      <c r="T46" s="60">
        <v>80</v>
      </c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3"/>
      <c r="AH46" s="58"/>
      <c r="AI46" s="75"/>
      <c r="AJ46" s="76"/>
    </row>
    <row x14ac:dyDescent="0.25" r="47" customHeight="1" ht="18">
      <c r="A47" s="45">
        <v>41</v>
      </c>
      <c r="B47" s="46" t="s">
        <v>47</v>
      </c>
      <c r="C47" s="46" t="s">
        <v>48</v>
      </c>
      <c r="D47" s="47" t="s">
        <v>49</v>
      </c>
      <c r="E47" s="48" t="s">
        <v>9</v>
      </c>
      <c r="F47" s="65" t="s">
        <v>50</v>
      </c>
      <c r="G47" s="66">
        <v>7</v>
      </c>
      <c r="H47" s="46"/>
      <c r="I47" s="51"/>
      <c r="J47" s="46"/>
      <c r="K47" s="61" t="s">
        <v>91</v>
      </c>
      <c r="L47" s="46"/>
      <c r="M47" s="46"/>
      <c r="N47" s="46"/>
      <c r="O47" s="46"/>
      <c r="P47" s="66">
        <v>475</v>
      </c>
      <c r="Q47" s="66">
        <v>115</v>
      </c>
      <c r="R47" s="67"/>
      <c r="S47" s="63">
        <v>150</v>
      </c>
      <c r="T47" s="61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3"/>
      <c r="AH47" s="58"/>
      <c r="AI47" s="75"/>
      <c r="AJ47" s="76"/>
    </row>
    <row x14ac:dyDescent="0.25" r="48" customHeight="1" ht="18">
      <c r="A48" s="45">
        <v>42</v>
      </c>
      <c r="B48" s="46" t="s">
        <v>47</v>
      </c>
      <c r="C48" s="46" t="s">
        <v>48</v>
      </c>
      <c r="D48" s="47" t="s">
        <v>49</v>
      </c>
      <c r="E48" s="48" t="s">
        <v>9</v>
      </c>
      <c r="F48" s="48" t="s">
        <v>50</v>
      </c>
      <c r="G48" s="60">
        <v>7</v>
      </c>
      <c r="H48" s="50"/>
      <c r="I48" s="51"/>
      <c r="J48" s="50"/>
      <c r="K48" s="61" t="s">
        <v>92</v>
      </c>
      <c r="L48" s="46"/>
      <c r="M48" s="46"/>
      <c r="N48" s="46"/>
      <c r="O48" s="46"/>
      <c r="P48" s="60">
        <v>210</v>
      </c>
      <c r="Q48" s="60">
        <v>42</v>
      </c>
      <c r="R48" s="62"/>
      <c r="S48" s="63">
        <v>49</v>
      </c>
      <c r="T48" s="64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77"/>
      <c r="AH48" s="58"/>
      <c r="AI48" s="75"/>
      <c r="AJ48" s="76"/>
    </row>
    <row x14ac:dyDescent="0.25" r="49" customHeight="1" ht="18">
      <c r="A49" s="45">
        <v>43</v>
      </c>
      <c r="B49" s="46" t="s">
        <v>47</v>
      </c>
      <c r="C49" s="46" t="s">
        <v>48</v>
      </c>
      <c r="D49" s="47" t="s">
        <v>49</v>
      </c>
      <c r="E49" s="48" t="s">
        <v>9</v>
      </c>
      <c r="F49" s="48" t="s">
        <v>50</v>
      </c>
      <c r="G49" s="60">
        <v>7</v>
      </c>
      <c r="H49" s="50"/>
      <c r="I49" s="51"/>
      <c r="J49" s="46"/>
      <c r="K49" s="61" t="s">
        <v>93</v>
      </c>
      <c r="L49" s="46"/>
      <c r="M49" s="46"/>
      <c r="N49" s="46"/>
      <c r="O49" s="46"/>
      <c r="P49" s="60">
        <v>433</v>
      </c>
      <c r="Q49" s="60">
        <v>78</v>
      </c>
      <c r="R49" s="62"/>
      <c r="S49" s="56"/>
      <c r="T49" s="60">
        <v>155</v>
      </c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3"/>
      <c r="AH49" s="58"/>
      <c r="AI49" s="75"/>
      <c r="AJ49" s="76"/>
    </row>
    <row x14ac:dyDescent="0.25" r="50" customHeight="1" ht="18">
      <c r="A50" s="45">
        <v>44</v>
      </c>
      <c r="B50" s="46" t="s">
        <v>47</v>
      </c>
      <c r="C50" s="46" t="s">
        <v>48</v>
      </c>
      <c r="D50" s="47" t="s">
        <v>49</v>
      </c>
      <c r="E50" s="48" t="s">
        <v>9</v>
      </c>
      <c r="F50" s="48" t="s">
        <v>50</v>
      </c>
      <c r="G50" s="60">
        <v>8</v>
      </c>
      <c r="H50" s="50"/>
      <c r="I50" s="51"/>
      <c r="J50" s="50"/>
      <c r="K50" s="61" t="s">
        <v>94</v>
      </c>
      <c r="L50" s="46"/>
      <c r="M50" s="46"/>
      <c r="N50" s="46"/>
      <c r="O50" s="46"/>
      <c r="P50" s="60">
        <v>230</v>
      </c>
      <c r="Q50" s="60">
        <v>46</v>
      </c>
      <c r="R50" s="62"/>
      <c r="S50" s="63">
        <v>53</v>
      </c>
      <c r="T50" s="60">
        <v>0</v>
      </c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3"/>
      <c r="AH50" s="58"/>
      <c r="AI50" s="75"/>
      <c r="AJ50" s="76"/>
    </row>
    <row x14ac:dyDescent="0.25" r="51" customHeight="1" ht="18">
      <c r="A51" s="45">
        <v>45</v>
      </c>
      <c r="B51" s="46" t="s">
        <v>47</v>
      </c>
      <c r="C51" s="46" t="s">
        <v>48</v>
      </c>
      <c r="D51" s="47" t="s">
        <v>49</v>
      </c>
      <c r="E51" s="48" t="s">
        <v>9</v>
      </c>
      <c r="F51" s="48" t="s">
        <v>50</v>
      </c>
      <c r="G51" s="60">
        <v>8</v>
      </c>
      <c r="H51" s="50"/>
      <c r="I51" s="51"/>
      <c r="J51" s="50"/>
      <c r="K51" s="61" t="s">
        <v>95</v>
      </c>
      <c r="L51" s="46"/>
      <c r="M51" s="46"/>
      <c r="N51" s="46"/>
      <c r="O51" s="46"/>
      <c r="P51" s="60">
        <v>346</v>
      </c>
      <c r="Q51" s="60">
        <v>69</v>
      </c>
      <c r="R51" s="62"/>
      <c r="S51" s="63">
        <v>56</v>
      </c>
      <c r="T51" s="64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3"/>
      <c r="AH51" s="58"/>
      <c r="AI51" s="59"/>
      <c r="AJ51" s="57"/>
    </row>
    <row x14ac:dyDescent="0.25" r="52" customHeight="1" ht="18">
      <c r="A52" s="45">
        <v>46</v>
      </c>
      <c r="B52" s="46" t="s">
        <v>47</v>
      </c>
      <c r="C52" s="46" t="s">
        <v>48</v>
      </c>
      <c r="D52" s="47" t="s">
        <v>49</v>
      </c>
      <c r="E52" s="48" t="s">
        <v>9</v>
      </c>
      <c r="F52" s="48" t="s">
        <v>50</v>
      </c>
      <c r="G52" s="60">
        <v>9</v>
      </c>
      <c r="H52" s="50"/>
      <c r="I52" s="51"/>
      <c r="J52" s="50"/>
      <c r="K52" s="61" t="s">
        <v>96</v>
      </c>
      <c r="L52" s="46"/>
      <c r="M52" s="46"/>
      <c r="N52" s="46"/>
      <c r="O52" s="46"/>
      <c r="P52" s="60">
        <v>204</v>
      </c>
      <c r="Q52" s="60">
        <v>50</v>
      </c>
      <c r="R52" s="62"/>
      <c r="S52" s="56"/>
      <c r="T52" s="60">
        <v>95</v>
      </c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3"/>
      <c r="AH52" s="58"/>
      <c r="AI52" s="59"/>
      <c r="AJ52" s="57"/>
    </row>
    <row x14ac:dyDescent="0.25" r="53" customHeight="1" ht="18">
      <c r="A53" s="45">
        <v>47</v>
      </c>
      <c r="B53" s="46" t="s">
        <v>47</v>
      </c>
      <c r="C53" s="46" t="s">
        <v>48</v>
      </c>
      <c r="D53" s="47" t="s">
        <v>49</v>
      </c>
      <c r="E53" s="48" t="s">
        <v>9</v>
      </c>
      <c r="F53" s="65" t="s">
        <v>50</v>
      </c>
      <c r="G53" s="66">
        <v>9</v>
      </c>
      <c r="H53" s="46"/>
      <c r="I53" s="51"/>
      <c r="J53" s="46"/>
      <c r="K53" s="61" t="s">
        <v>97</v>
      </c>
      <c r="L53" s="46"/>
      <c r="M53" s="46"/>
      <c r="N53" s="46"/>
      <c r="O53" s="46"/>
      <c r="P53" s="60">
        <v>255</v>
      </c>
      <c r="Q53" s="60">
        <v>53</v>
      </c>
      <c r="R53" s="62"/>
      <c r="S53" s="63">
        <v>42</v>
      </c>
      <c r="T53" s="64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3"/>
      <c r="AH53" s="58"/>
      <c r="AI53" s="59"/>
      <c r="AJ53" s="57"/>
    </row>
    <row x14ac:dyDescent="0.25" r="54" customHeight="1" ht="18">
      <c r="A54" s="45">
        <v>48</v>
      </c>
      <c r="B54" s="46" t="s">
        <v>47</v>
      </c>
      <c r="C54" s="46" t="s">
        <v>48</v>
      </c>
      <c r="D54" s="47" t="s">
        <v>49</v>
      </c>
      <c r="E54" s="48" t="s">
        <v>9</v>
      </c>
      <c r="F54" s="48" t="s">
        <v>98</v>
      </c>
      <c r="G54" s="60">
        <v>1</v>
      </c>
      <c r="H54" s="50"/>
      <c r="I54" s="51"/>
      <c r="J54" s="50"/>
      <c r="K54" s="61" t="s">
        <v>99</v>
      </c>
      <c r="L54" s="46"/>
      <c r="M54" s="46"/>
      <c r="N54" s="46"/>
      <c r="O54" s="46"/>
      <c r="P54" s="66">
        <v>216</v>
      </c>
      <c r="Q54" s="66">
        <v>56</v>
      </c>
      <c r="R54" s="67"/>
      <c r="S54" s="63">
        <v>50</v>
      </c>
      <c r="T54" s="61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3"/>
      <c r="AH54" s="58"/>
      <c r="AI54" s="59"/>
      <c r="AJ54" s="57"/>
    </row>
    <row x14ac:dyDescent="0.25" r="55" customHeight="1" ht="18">
      <c r="A55" s="45">
        <v>49</v>
      </c>
      <c r="B55" s="46" t="s">
        <v>47</v>
      </c>
      <c r="C55" s="46" t="s">
        <v>48</v>
      </c>
      <c r="D55" s="47" t="s">
        <v>49</v>
      </c>
      <c r="E55" s="48" t="s">
        <v>9</v>
      </c>
      <c r="F55" s="50" t="s">
        <v>98</v>
      </c>
      <c r="G55" s="60">
        <v>2</v>
      </c>
      <c r="H55" s="50"/>
      <c r="I55" s="51"/>
      <c r="J55" s="50"/>
      <c r="K55" s="61" t="s">
        <v>100</v>
      </c>
      <c r="L55" s="46"/>
      <c r="M55" s="46"/>
      <c r="N55" s="46"/>
      <c r="O55" s="46"/>
      <c r="P55" s="60">
        <v>409</v>
      </c>
      <c r="Q55" s="60">
        <v>107</v>
      </c>
      <c r="R55" s="62"/>
      <c r="S55" s="63">
        <v>94</v>
      </c>
      <c r="T55" s="64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3"/>
      <c r="AH55" s="58"/>
      <c r="AI55" s="59"/>
      <c r="AJ55" s="57"/>
    </row>
    <row x14ac:dyDescent="0.25" r="56" customHeight="1" ht="18">
      <c r="A56" s="45">
        <v>50</v>
      </c>
      <c r="B56" s="46" t="s">
        <v>47</v>
      </c>
      <c r="C56" s="46" t="s">
        <v>48</v>
      </c>
      <c r="D56" s="47" t="s">
        <v>49</v>
      </c>
      <c r="E56" s="48" t="s">
        <v>9</v>
      </c>
      <c r="F56" s="50" t="s">
        <v>98</v>
      </c>
      <c r="G56" s="60">
        <v>2</v>
      </c>
      <c r="H56" s="50"/>
      <c r="I56" s="51"/>
      <c r="J56" s="50"/>
      <c r="K56" s="61" t="s">
        <v>101</v>
      </c>
      <c r="L56" s="46"/>
      <c r="M56" s="46"/>
      <c r="N56" s="46"/>
      <c r="O56" s="46"/>
      <c r="P56" s="60">
        <v>611</v>
      </c>
      <c r="Q56" s="60">
        <v>154</v>
      </c>
      <c r="R56" s="62"/>
      <c r="S56" s="63">
        <v>130</v>
      </c>
      <c r="T56" s="64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3"/>
      <c r="AH56" s="58"/>
      <c r="AI56" s="59"/>
      <c r="AJ56" s="57"/>
    </row>
    <row x14ac:dyDescent="0.25" r="57" customHeight="1" ht="18">
      <c r="A57" s="45">
        <v>51</v>
      </c>
      <c r="B57" s="46" t="s">
        <v>47</v>
      </c>
      <c r="C57" s="46" t="s">
        <v>48</v>
      </c>
      <c r="D57" s="47" t="s">
        <v>49</v>
      </c>
      <c r="E57" s="48" t="s">
        <v>9</v>
      </c>
      <c r="F57" s="50" t="s">
        <v>98</v>
      </c>
      <c r="G57" s="60">
        <v>2</v>
      </c>
      <c r="H57" s="50"/>
      <c r="I57" s="51"/>
      <c r="J57" s="50"/>
      <c r="K57" s="61" t="s">
        <v>102</v>
      </c>
      <c r="L57" s="46"/>
      <c r="M57" s="46"/>
      <c r="N57" s="46"/>
      <c r="O57" s="46"/>
      <c r="P57" s="60">
        <v>533</v>
      </c>
      <c r="Q57" s="60">
        <v>137</v>
      </c>
      <c r="R57" s="62"/>
      <c r="S57" s="56"/>
      <c r="T57" s="60">
        <v>126</v>
      </c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3"/>
      <c r="AH57" s="58"/>
      <c r="AI57" s="59"/>
      <c r="AJ57" s="57"/>
    </row>
    <row x14ac:dyDescent="0.25" r="58" customHeight="1" ht="18">
      <c r="A58" s="45">
        <v>52</v>
      </c>
      <c r="B58" s="46" t="s">
        <v>47</v>
      </c>
      <c r="C58" s="46" t="s">
        <v>48</v>
      </c>
      <c r="D58" s="47" t="s">
        <v>49</v>
      </c>
      <c r="E58" s="48" t="s">
        <v>9</v>
      </c>
      <c r="F58" s="50" t="s">
        <v>98</v>
      </c>
      <c r="G58" s="60">
        <v>2</v>
      </c>
      <c r="H58" s="50"/>
      <c r="I58" s="51"/>
      <c r="J58" s="50"/>
      <c r="K58" s="61" t="s">
        <v>103</v>
      </c>
      <c r="L58" s="46"/>
      <c r="M58" s="46"/>
      <c r="N58" s="46"/>
      <c r="O58" s="46"/>
      <c r="P58" s="60">
        <v>277</v>
      </c>
      <c r="Q58" s="60">
        <v>64</v>
      </c>
      <c r="R58" s="62"/>
      <c r="S58" s="56"/>
      <c r="T58" s="64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3"/>
      <c r="AH58" s="58"/>
      <c r="AI58" s="59"/>
      <c r="AJ58" s="57"/>
    </row>
    <row x14ac:dyDescent="0.25" r="59" customHeight="1" ht="18">
      <c r="A59" s="45">
        <v>53</v>
      </c>
      <c r="B59" s="46" t="s">
        <v>47</v>
      </c>
      <c r="C59" s="46" t="s">
        <v>48</v>
      </c>
      <c r="D59" s="47" t="s">
        <v>49</v>
      </c>
      <c r="E59" s="48" t="s">
        <v>9</v>
      </c>
      <c r="F59" s="50" t="s">
        <v>98</v>
      </c>
      <c r="G59" s="60">
        <v>2</v>
      </c>
      <c r="H59" s="50"/>
      <c r="I59" s="51"/>
      <c r="J59" s="50"/>
      <c r="K59" s="61" t="s">
        <v>82</v>
      </c>
      <c r="L59" s="46"/>
      <c r="M59" s="46"/>
      <c r="N59" s="46"/>
      <c r="O59" s="46"/>
      <c r="P59" s="60">
        <v>347</v>
      </c>
      <c r="Q59" s="60">
        <v>86</v>
      </c>
      <c r="R59" s="62"/>
      <c r="S59" s="63">
        <v>100</v>
      </c>
      <c r="T59" s="64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3"/>
      <c r="AH59" s="58"/>
      <c r="AI59" s="59"/>
      <c r="AJ59" s="57"/>
    </row>
    <row x14ac:dyDescent="0.25" r="60" customHeight="1" ht="18">
      <c r="A60" s="45">
        <v>54</v>
      </c>
      <c r="B60" s="46" t="s">
        <v>47</v>
      </c>
      <c r="C60" s="46" t="s">
        <v>48</v>
      </c>
      <c r="D60" s="47" t="s">
        <v>49</v>
      </c>
      <c r="E60" s="48" t="s">
        <v>9</v>
      </c>
      <c r="F60" s="50" t="s">
        <v>98</v>
      </c>
      <c r="G60" s="60">
        <v>2</v>
      </c>
      <c r="H60" s="50"/>
      <c r="I60" s="51"/>
      <c r="J60" s="50"/>
      <c r="K60" s="61" t="s">
        <v>104</v>
      </c>
      <c r="L60" s="46"/>
      <c r="M60" s="46"/>
      <c r="N60" s="46"/>
      <c r="O60" s="46"/>
      <c r="P60" s="60">
        <v>135</v>
      </c>
      <c r="Q60" s="60">
        <v>38</v>
      </c>
      <c r="R60" s="62"/>
      <c r="S60" s="56"/>
      <c r="T60" s="64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3"/>
      <c r="AH60" s="58"/>
      <c r="AI60" s="59"/>
      <c r="AJ60" s="57"/>
    </row>
    <row x14ac:dyDescent="0.25" r="61" customHeight="1" ht="18">
      <c r="A61" s="45">
        <v>55</v>
      </c>
      <c r="B61" s="46" t="s">
        <v>47</v>
      </c>
      <c r="C61" s="46" t="s">
        <v>48</v>
      </c>
      <c r="D61" s="47" t="s">
        <v>49</v>
      </c>
      <c r="E61" s="48" t="s">
        <v>9</v>
      </c>
      <c r="F61" s="50" t="s">
        <v>98</v>
      </c>
      <c r="G61" s="60">
        <v>3</v>
      </c>
      <c r="H61" s="50"/>
      <c r="I61" s="51"/>
      <c r="J61" s="50"/>
      <c r="K61" s="61" t="s">
        <v>105</v>
      </c>
      <c r="L61" s="46"/>
      <c r="M61" s="46"/>
      <c r="N61" s="46"/>
      <c r="O61" s="46"/>
      <c r="P61" s="60">
        <v>276</v>
      </c>
      <c r="Q61" s="60">
        <v>60</v>
      </c>
      <c r="R61" s="62"/>
      <c r="S61" s="56"/>
      <c r="T61" s="60">
        <v>208</v>
      </c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3"/>
      <c r="AH61" s="58"/>
      <c r="AI61" s="59"/>
      <c r="AJ61" s="57"/>
    </row>
    <row x14ac:dyDescent="0.25" r="62" customHeight="1" ht="18">
      <c r="A62" s="45">
        <v>56</v>
      </c>
      <c r="B62" s="46" t="s">
        <v>47</v>
      </c>
      <c r="C62" s="46" t="s">
        <v>48</v>
      </c>
      <c r="D62" s="47" t="s">
        <v>49</v>
      </c>
      <c r="E62" s="48" t="s">
        <v>9</v>
      </c>
      <c r="F62" s="50" t="s">
        <v>98</v>
      </c>
      <c r="G62" s="60">
        <v>3</v>
      </c>
      <c r="H62" s="50"/>
      <c r="I62" s="51"/>
      <c r="J62" s="46"/>
      <c r="K62" s="61" t="s">
        <v>106</v>
      </c>
      <c r="L62" s="46"/>
      <c r="M62" s="46"/>
      <c r="N62" s="46"/>
      <c r="O62" s="46"/>
      <c r="P62" s="60">
        <v>80</v>
      </c>
      <c r="Q62" s="60">
        <v>18</v>
      </c>
      <c r="R62" s="62"/>
      <c r="S62" s="56"/>
      <c r="T62" s="64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3"/>
      <c r="AH62" s="58"/>
      <c r="AI62" s="59"/>
      <c r="AJ62" s="57"/>
    </row>
    <row x14ac:dyDescent="0.25" r="63" customHeight="1" ht="18">
      <c r="A63" s="45">
        <v>57</v>
      </c>
      <c r="B63" s="46" t="s">
        <v>47</v>
      </c>
      <c r="C63" s="46" t="s">
        <v>48</v>
      </c>
      <c r="D63" s="47" t="s">
        <v>49</v>
      </c>
      <c r="E63" s="48" t="s">
        <v>9</v>
      </c>
      <c r="F63" s="50" t="s">
        <v>98</v>
      </c>
      <c r="G63" s="60">
        <v>4</v>
      </c>
      <c r="H63" s="50"/>
      <c r="I63" s="51"/>
      <c r="J63" s="50"/>
      <c r="K63" s="61" t="s">
        <v>107</v>
      </c>
      <c r="L63" s="46"/>
      <c r="M63" s="46"/>
      <c r="N63" s="46"/>
      <c r="O63" s="46"/>
      <c r="P63" s="60">
        <v>35</v>
      </c>
      <c r="Q63" s="60">
        <v>9</v>
      </c>
      <c r="R63" s="62"/>
      <c r="S63" s="56"/>
      <c r="T63" s="64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3"/>
      <c r="AH63" s="58"/>
      <c r="AI63" s="59"/>
      <c r="AJ63" s="57"/>
    </row>
    <row x14ac:dyDescent="0.25" r="64" customHeight="1" ht="18">
      <c r="A64" s="45">
        <v>58</v>
      </c>
      <c r="B64" s="46" t="s">
        <v>47</v>
      </c>
      <c r="C64" s="46" t="s">
        <v>48</v>
      </c>
      <c r="D64" s="47" t="s">
        <v>49</v>
      </c>
      <c r="E64" s="48" t="s">
        <v>9</v>
      </c>
      <c r="F64" s="50" t="s">
        <v>98</v>
      </c>
      <c r="G64" s="60">
        <v>4</v>
      </c>
      <c r="H64" s="50"/>
      <c r="I64" s="51"/>
      <c r="J64" s="50"/>
      <c r="K64" s="61" t="s">
        <v>108</v>
      </c>
      <c r="L64" s="46"/>
      <c r="M64" s="46"/>
      <c r="N64" s="46"/>
      <c r="O64" s="46"/>
      <c r="P64" s="60">
        <v>110</v>
      </c>
      <c r="Q64" s="60">
        <v>26</v>
      </c>
      <c r="R64" s="62"/>
      <c r="S64" s="56"/>
      <c r="T64" s="64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3"/>
      <c r="AH64" s="58"/>
      <c r="AI64" s="59"/>
      <c r="AJ64" s="57"/>
    </row>
    <row x14ac:dyDescent="0.25" r="65" customHeight="1" ht="18">
      <c r="A65" s="45">
        <v>59</v>
      </c>
      <c r="B65" s="46" t="s">
        <v>47</v>
      </c>
      <c r="C65" s="46" t="s">
        <v>48</v>
      </c>
      <c r="D65" s="47" t="s">
        <v>49</v>
      </c>
      <c r="E65" s="48" t="s">
        <v>9</v>
      </c>
      <c r="F65" s="50" t="s">
        <v>98</v>
      </c>
      <c r="G65" s="60">
        <v>4</v>
      </c>
      <c r="H65" s="50"/>
      <c r="I65" s="51"/>
      <c r="J65" s="50"/>
      <c r="K65" s="61" t="s">
        <v>109</v>
      </c>
      <c r="L65" s="46"/>
      <c r="M65" s="46"/>
      <c r="N65" s="46"/>
      <c r="O65" s="46"/>
      <c r="P65" s="66">
        <v>66</v>
      </c>
      <c r="Q65" s="66">
        <v>16</v>
      </c>
      <c r="R65" s="67"/>
      <c r="S65" s="56"/>
      <c r="T65" s="66">
        <v>26</v>
      </c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3"/>
      <c r="AH65" s="58"/>
      <c r="AI65" s="59"/>
      <c r="AJ65" s="57"/>
    </row>
    <row x14ac:dyDescent="0.25" r="66" customHeight="1" ht="18">
      <c r="A66" s="45">
        <v>60</v>
      </c>
      <c r="B66" s="46" t="s">
        <v>47</v>
      </c>
      <c r="C66" s="46" t="s">
        <v>48</v>
      </c>
      <c r="D66" s="47" t="s">
        <v>49</v>
      </c>
      <c r="E66" s="48" t="s">
        <v>9</v>
      </c>
      <c r="F66" s="50" t="s">
        <v>98</v>
      </c>
      <c r="G66" s="60">
        <v>4</v>
      </c>
      <c r="H66" s="50"/>
      <c r="I66" s="51"/>
      <c r="J66" s="50"/>
      <c r="K66" s="61" t="s">
        <v>110</v>
      </c>
      <c r="L66" s="46"/>
      <c r="M66" s="46"/>
      <c r="N66" s="46"/>
      <c r="O66" s="46"/>
      <c r="P66" s="60">
        <v>188</v>
      </c>
      <c r="Q66" s="60">
        <v>40</v>
      </c>
      <c r="R66" s="62"/>
      <c r="S66" s="56"/>
      <c r="T66" s="64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3"/>
      <c r="AH66" s="58"/>
      <c r="AI66" s="59"/>
      <c r="AJ66" s="57"/>
    </row>
    <row x14ac:dyDescent="0.25" r="67" customHeight="1" ht="18">
      <c r="A67" s="45">
        <v>61</v>
      </c>
      <c r="B67" s="46" t="s">
        <v>47</v>
      </c>
      <c r="C67" s="46" t="s">
        <v>48</v>
      </c>
      <c r="D67" s="47" t="s">
        <v>49</v>
      </c>
      <c r="E67" s="48" t="s">
        <v>9</v>
      </c>
      <c r="F67" s="50" t="s">
        <v>98</v>
      </c>
      <c r="G67" s="60">
        <v>4</v>
      </c>
      <c r="H67" s="50"/>
      <c r="I67" s="51"/>
      <c r="J67" s="50"/>
      <c r="K67" s="61" t="s">
        <v>111</v>
      </c>
      <c r="L67" s="46"/>
      <c r="M67" s="46"/>
      <c r="N67" s="46"/>
      <c r="O67" s="46"/>
      <c r="P67" s="60">
        <v>285</v>
      </c>
      <c r="Q67" s="60">
        <v>80</v>
      </c>
      <c r="R67" s="62"/>
      <c r="S67" s="63">
        <v>200</v>
      </c>
      <c r="T67" s="64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3"/>
      <c r="AH67" s="58"/>
      <c r="AI67" s="59"/>
      <c r="AJ67" s="57"/>
    </row>
    <row x14ac:dyDescent="0.25" r="68" customHeight="1" ht="18">
      <c r="A68" s="45">
        <v>62</v>
      </c>
      <c r="B68" s="46" t="s">
        <v>47</v>
      </c>
      <c r="C68" s="46" t="s">
        <v>48</v>
      </c>
      <c r="D68" s="47" t="s">
        <v>49</v>
      </c>
      <c r="E68" s="48" t="s">
        <v>9</v>
      </c>
      <c r="F68" s="50" t="s">
        <v>98</v>
      </c>
      <c r="G68" s="60">
        <v>4</v>
      </c>
      <c r="H68" s="50"/>
      <c r="I68" s="51"/>
      <c r="J68" s="50"/>
      <c r="K68" s="61" t="s">
        <v>88</v>
      </c>
      <c r="L68" s="46"/>
      <c r="M68" s="46"/>
      <c r="N68" s="46"/>
      <c r="O68" s="46"/>
      <c r="P68" s="60">
        <v>234</v>
      </c>
      <c r="Q68" s="60">
        <v>75</v>
      </c>
      <c r="R68" s="62"/>
      <c r="S68" s="63">
        <v>30</v>
      </c>
      <c r="T68" s="64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3"/>
      <c r="AH68" s="58"/>
      <c r="AI68" s="59"/>
      <c r="AJ68" s="57"/>
    </row>
    <row x14ac:dyDescent="0.25" r="69" customHeight="1" ht="18">
      <c r="A69" s="45">
        <v>63</v>
      </c>
      <c r="B69" s="46" t="s">
        <v>47</v>
      </c>
      <c r="C69" s="46" t="s">
        <v>48</v>
      </c>
      <c r="D69" s="47" t="s">
        <v>49</v>
      </c>
      <c r="E69" s="48" t="s">
        <v>9</v>
      </c>
      <c r="F69" s="46" t="s">
        <v>98</v>
      </c>
      <c r="G69" s="66">
        <v>4</v>
      </c>
      <c r="H69" s="46"/>
      <c r="I69" s="51"/>
      <c r="J69" s="46"/>
      <c r="K69" s="61" t="s">
        <v>112</v>
      </c>
      <c r="L69" s="46"/>
      <c r="M69" s="46"/>
      <c r="N69" s="46"/>
      <c r="O69" s="46"/>
      <c r="P69" s="60">
        <v>235</v>
      </c>
      <c r="Q69" s="60">
        <v>50</v>
      </c>
      <c r="R69" s="62"/>
      <c r="S69" s="63">
        <v>25</v>
      </c>
      <c r="T69" s="64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3"/>
      <c r="AH69" s="58"/>
      <c r="AI69" s="59"/>
      <c r="AJ69" s="57"/>
    </row>
    <row x14ac:dyDescent="0.25" r="70" customHeight="1" ht="18">
      <c r="A70" s="45">
        <v>64</v>
      </c>
      <c r="B70" s="46" t="s">
        <v>47</v>
      </c>
      <c r="C70" s="46" t="s">
        <v>48</v>
      </c>
      <c r="D70" s="47" t="s">
        <v>49</v>
      </c>
      <c r="E70" s="48" t="s">
        <v>9</v>
      </c>
      <c r="F70" s="50" t="s">
        <v>98</v>
      </c>
      <c r="G70" s="60">
        <v>5</v>
      </c>
      <c r="H70" s="50"/>
      <c r="I70" s="51"/>
      <c r="J70" s="50"/>
      <c r="K70" s="61" t="s">
        <v>113</v>
      </c>
      <c r="L70" s="46"/>
      <c r="M70" s="46"/>
      <c r="N70" s="46"/>
      <c r="O70" s="46"/>
      <c r="P70" s="60">
        <v>265</v>
      </c>
      <c r="Q70" s="60">
        <v>80</v>
      </c>
      <c r="R70" s="62"/>
      <c r="S70" s="63">
        <v>180</v>
      </c>
      <c r="T70" s="64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3"/>
      <c r="AH70" s="58"/>
      <c r="AI70" s="59"/>
      <c r="AJ70" s="57"/>
    </row>
    <row x14ac:dyDescent="0.25" r="71" customHeight="1" ht="18">
      <c r="A71" s="45">
        <v>65</v>
      </c>
      <c r="B71" s="46" t="s">
        <v>47</v>
      </c>
      <c r="C71" s="46" t="s">
        <v>48</v>
      </c>
      <c r="D71" s="47" t="s">
        <v>49</v>
      </c>
      <c r="E71" s="48" t="s">
        <v>9</v>
      </c>
      <c r="F71" s="50" t="s">
        <v>98</v>
      </c>
      <c r="G71" s="60">
        <v>5</v>
      </c>
      <c r="H71" s="50"/>
      <c r="I71" s="51"/>
      <c r="J71" s="50"/>
      <c r="K71" s="61" t="s">
        <v>114</v>
      </c>
      <c r="L71" s="46"/>
      <c r="M71" s="46"/>
      <c r="N71" s="46"/>
      <c r="O71" s="46"/>
      <c r="P71" s="60">
        <v>117</v>
      </c>
      <c r="Q71" s="60">
        <v>58</v>
      </c>
      <c r="R71" s="62"/>
      <c r="S71" s="56"/>
      <c r="T71" s="60">
        <v>170</v>
      </c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3"/>
      <c r="AH71" s="58"/>
      <c r="AI71" s="59"/>
      <c r="AJ71" s="57"/>
    </row>
    <row x14ac:dyDescent="0.25" r="72" customHeight="1" ht="18">
      <c r="A72" s="45">
        <v>66</v>
      </c>
      <c r="B72" s="46" t="s">
        <v>47</v>
      </c>
      <c r="C72" s="46" t="s">
        <v>48</v>
      </c>
      <c r="D72" s="47" t="s">
        <v>49</v>
      </c>
      <c r="E72" s="48" t="s">
        <v>9</v>
      </c>
      <c r="F72" s="50" t="s">
        <v>98</v>
      </c>
      <c r="G72" s="60">
        <v>5</v>
      </c>
      <c r="H72" s="50"/>
      <c r="I72" s="51"/>
      <c r="J72" s="50"/>
      <c r="K72" s="61" t="s">
        <v>115</v>
      </c>
      <c r="L72" s="46"/>
      <c r="M72" s="46"/>
      <c r="N72" s="46"/>
      <c r="O72" s="46"/>
      <c r="P72" s="60">
        <v>182</v>
      </c>
      <c r="Q72" s="60">
        <v>39</v>
      </c>
      <c r="R72" s="62"/>
      <c r="S72" s="56"/>
      <c r="T72" s="60">
        <v>100</v>
      </c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3"/>
      <c r="AH72" s="58"/>
      <c r="AI72" s="59"/>
      <c r="AJ72" s="57"/>
    </row>
    <row x14ac:dyDescent="0.25" r="73" customHeight="1" ht="18">
      <c r="A73" s="45">
        <v>67</v>
      </c>
      <c r="B73" s="46" t="s">
        <v>47</v>
      </c>
      <c r="C73" s="46" t="s">
        <v>48</v>
      </c>
      <c r="D73" s="47" t="s">
        <v>49</v>
      </c>
      <c r="E73" s="48" t="s">
        <v>9</v>
      </c>
      <c r="F73" s="50" t="s">
        <v>98</v>
      </c>
      <c r="G73" s="60">
        <v>5</v>
      </c>
      <c r="H73" s="50"/>
      <c r="I73" s="51"/>
      <c r="J73" s="50"/>
      <c r="K73" s="61" t="s">
        <v>116</v>
      </c>
      <c r="L73" s="46"/>
      <c r="M73" s="46"/>
      <c r="N73" s="46"/>
      <c r="O73" s="46"/>
      <c r="P73" s="60">
        <v>267</v>
      </c>
      <c r="Q73" s="60">
        <v>50</v>
      </c>
      <c r="R73" s="62"/>
      <c r="S73" s="63">
        <v>25</v>
      </c>
      <c r="T73" s="64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3"/>
      <c r="AH73" s="58"/>
      <c r="AI73" s="59"/>
      <c r="AJ73" s="57"/>
    </row>
    <row x14ac:dyDescent="0.25" r="74" customHeight="1" ht="18">
      <c r="A74" s="45">
        <v>68</v>
      </c>
      <c r="B74" s="46" t="s">
        <v>47</v>
      </c>
      <c r="C74" s="46" t="s">
        <v>48</v>
      </c>
      <c r="D74" s="47" t="s">
        <v>49</v>
      </c>
      <c r="E74" s="48" t="s">
        <v>9</v>
      </c>
      <c r="F74" s="50" t="s">
        <v>98</v>
      </c>
      <c r="G74" s="60">
        <v>6</v>
      </c>
      <c r="H74" s="50"/>
      <c r="I74" s="51"/>
      <c r="J74" s="50"/>
      <c r="K74" s="61" t="s">
        <v>117</v>
      </c>
      <c r="L74" s="46"/>
      <c r="M74" s="46"/>
      <c r="N74" s="46"/>
      <c r="O74" s="46"/>
      <c r="P74" s="60">
        <v>235</v>
      </c>
      <c r="Q74" s="60">
        <v>50</v>
      </c>
      <c r="R74" s="62"/>
      <c r="S74" s="63">
        <v>30</v>
      </c>
      <c r="T74" s="64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3"/>
      <c r="AH74" s="58"/>
      <c r="AI74" s="59"/>
      <c r="AJ74" s="57"/>
    </row>
    <row x14ac:dyDescent="0.25" r="75" customHeight="1" ht="18">
      <c r="A75" s="45">
        <v>69</v>
      </c>
      <c r="B75" s="46" t="s">
        <v>47</v>
      </c>
      <c r="C75" s="46" t="s">
        <v>48</v>
      </c>
      <c r="D75" s="47" t="s">
        <v>49</v>
      </c>
      <c r="E75" s="48" t="s">
        <v>9</v>
      </c>
      <c r="F75" s="50" t="s">
        <v>98</v>
      </c>
      <c r="G75" s="60">
        <v>6</v>
      </c>
      <c r="H75" s="50"/>
      <c r="I75" s="51"/>
      <c r="J75" s="50"/>
      <c r="K75" s="61" t="s">
        <v>118</v>
      </c>
      <c r="L75" s="46"/>
      <c r="M75" s="46"/>
      <c r="N75" s="46"/>
      <c r="O75" s="46"/>
      <c r="P75" s="60">
        <v>286</v>
      </c>
      <c r="Q75" s="60">
        <v>75</v>
      </c>
      <c r="R75" s="62"/>
      <c r="S75" s="56"/>
      <c r="T75" s="60">
        <v>200</v>
      </c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3"/>
      <c r="AH75" s="58"/>
      <c r="AI75" s="59"/>
      <c r="AJ75" s="57"/>
    </row>
    <row x14ac:dyDescent="0.25" r="76" customHeight="1" ht="18">
      <c r="A76" s="45">
        <v>70</v>
      </c>
      <c r="B76" s="46" t="s">
        <v>47</v>
      </c>
      <c r="C76" s="46" t="s">
        <v>48</v>
      </c>
      <c r="D76" s="47" t="s">
        <v>49</v>
      </c>
      <c r="E76" s="48" t="s">
        <v>9</v>
      </c>
      <c r="F76" s="50" t="s">
        <v>98</v>
      </c>
      <c r="G76" s="60">
        <v>7</v>
      </c>
      <c r="H76" s="50"/>
      <c r="I76" s="51"/>
      <c r="J76" s="50"/>
      <c r="K76" s="61" t="s">
        <v>119</v>
      </c>
      <c r="L76" s="46"/>
      <c r="M76" s="46"/>
      <c r="N76" s="46"/>
      <c r="O76" s="46"/>
      <c r="P76" s="60">
        <v>141</v>
      </c>
      <c r="Q76" s="60">
        <v>56</v>
      </c>
      <c r="R76" s="62"/>
      <c r="S76" s="56"/>
      <c r="T76" s="60">
        <v>150</v>
      </c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3"/>
      <c r="AH76" s="58"/>
      <c r="AI76" s="59"/>
      <c r="AJ76" s="57"/>
    </row>
    <row x14ac:dyDescent="0.25" r="77" customHeight="1" ht="18">
      <c r="A77" s="45">
        <v>71</v>
      </c>
      <c r="B77" s="46" t="s">
        <v>47</v>
      </c>
      <c r="C77" s="46" t="s">
        <v>48</v>
      </c>
      <c r="D77" s="47" t="s">
        <v>49</v>
      </c>
      <c r="E77" s="48" t="s">
        <v>9</v>
      </c>
      <c r="F77" s="50" t="s">
        <v>98</v>
      </c>
      <c r="G77" s="60">
        <v>7</v>
      </c>
      <c r="H77" s="50"/>
      <c r="I77" s="51"/>
      <c r="J77" s="50"/>
      <c r="K77" s="61" t="s">
        <v>120</v>
      </c>
      <c r="L77" s="46"/>
      <c r="M77" s="46"/>
      <c r="N77" s="46"/>
      <c r="O77" s="46"/>
      <c r="P77" s="60">
        <v>164</v>
      </c>
      <c r="Q77" s="60">
        <v>69</v>
      </c>
      <c r="R77" s="62"/>
      <c r="S77" s="56"/>
      <c r="T77" s="60">
        <v>190</v>
      </c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3"/>
      <c r="AH77" s="58"/>
      <c r="AI77" s="59"/>
      <c r="AJ77" s="57"/>
    </row>
    <row x14ac:dyDescent="0.25" r="78" customHeight="1" ht="18">
      <c r="A78" s="45">
        <v>72</v>
      </c>
      <c r="B78" s="46" t="s">
        <v>47</v>
      </c>
      <c r="C78" s="46" t="s">
        <v>48</v>
      </c>
      <c r="D78" s="47" t="s">
        <v>49</v>
      </c>
      <c r="E78" s="48" t="s">
        <v>9</v>
      </c>
      <c r="F78" s="50" t="s">
        <v>98</v>
      </c>
      <c r="G78" s="60">
        <v>7</v>
      </c>
      <c r="H78" s="50"/>
      <c r="I78" s="51"/>
      <c r="J78" s="50"/>
      <c r="K78" s="61" t="s">
        <v>121</v>
      </c>
      <c r="L78" s="46"/>
      <c r="M78" s="46"/>
      <c r="N78" s="46"/>
      <c r="O78" s="46"/>
      <c r="P78" s="66">
        <v>169</v>
      </c>
      <c r="Q78" s="66">
        <v>59</v>
      </c>
      <c r="R78" s="67"/>
      <c r="S78" s="56"/>
      <c r="T78" s="66">
        <v>170</v>
      </c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3"/>
      <c r="AH78" s="58"/>
      <c r="AI78" s="59"/>
      <c r="AJ78" s="57"/>
    </row>
    <row x14ac:dyDescent="0.25" r="79" customHeight="1" ht="18">
      <c r="A79" s="45">
        <v>73</v>
      </c>
      <c r="B79" s="46" t="s">
        <v>47</v>
      </c>
      <c r="C79" s="46" t="s">
        <v>48</v>
      </c>
      <c r="D79" s="47" t="s">
        <v>49</v>
      </c>
      <c r="E79" s="48" t="s">
        <v>9</v>
      </c>
      <c r="F79" s="50" t="s">
        <v>98</v>
      </c>
      <c r="G79" s="60">
        <v>7</v>
      </c>
      <c r="H79" s="50"/>
      <c r="I79" s="51"/>
      <c r="J79" s="50"/>
      <c r="K79" s="61" t="s">
        <v>122</v>
      </c>
      <c r="L79" s="46"/>
      <c r="M79" s="46"/>
      <c r="N79" s="46"/>
      <c r="O79" s="46"/>
      <c r="P79" s="60">
        <v>146</v>
      </c>
      <c r="Q79" s="60">
        <v>40</v>
      </c>
      <c r="R79" s="62"/>
      <c r="S79" s="56"/>
      <c r="T79" s="60">
        <v>50</v>
      </c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3"/>
      <c r="AH79" s="58"/>
      <c r="AI79" s="59"/>
      <c r="AJ79" s="57"/>
    </row>
    <row x14ac:dyDescent="0.25" r="80" customHeight="1" ht="18">
      <c r="A80" s="45">
        <v>74</v>
      </c>
      <c r="B80" s="46" t="s">
        <v>47</v>
      </c>
      <c r="C80" s="46" t="s">
        <v>48</v>
      </c>
      <c r="D80" s="47" t="s">
        <v>49</v>
      </c>
      <c r="E80" s="48" t="s">
        <v>9</v>
      </c>
      <c r="F80" s="46" t="s">
        <v>98</v>
      </c>
      <c r="G80" s="66">
        <v>7</v>
      </c>
      <c r="H80" s="46"/>
      <c r="I80" s="51"/>
      <c r="J80" s="46"/>
      <c r="K80" s="61" t="s">
        <v>123</v>
      </c>
      <c r="L80" s="46"/>
      <c r="M80" s="46"/>
      <c r="N80" s="46"/>
      <c r="O80" s="46"/>
      <c r="P80" s="60">
        <v>350</v>
      </c>
      <c r="Q80" s="60">
        <v>90</v>
      </c>
      <c r="R80" s="62"/>
      <c r="S80" s="56"/>
      <c r="T80" s="60">
        <v>130</v>
      </c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3"/>
      <c r="AH80" s="58"/>
      <c r="AI80" s="59"/>
      <c r="AJ80" s="57"/>
    </row>
    <row x14ac:dyDescent="0.25" r="81" customHeight="1" ht="18">
      <c r="A81" s="45">
        <v>75</v>
      </c>
      <c r="B81" s="46" t="s">
        <v>47</v>
      </c>
      <c r="C81" s="46" t="s">
        <v>48</v>
      </c>
      <c r="D81" s="47" t="s">
        <v>49</v>
      </c>
      <c r="E81" s="48" t="s">
        <v>9</v>
      </c>
      <c r="F81" s="50" t="s">
        <v>98</v>
      </c>
      <c r="G81" s="60">
        <v>7</v>
      </c>
      <c r="H81" s="50"/>
      <c r="I81" s="51"/>
      <c r="J81" s="50"/>
      <c r="K81" s="61" t="s">
        <v>124</v>
      </c>
      <c r="L81" s="46"/>
      <c r="M81" s="46"/>
      <c r="N81" s="46"/>
      <c r="O81" s="46"/>
      <c r="P81" s="60">
        <v>263</v>
      </c>
      <c r="Q81" s="60">
        <v>86</v>
      </c>
      <c r="R81" s="62"/>
      <c r="S81" s="56"/>
      <c r="T81" s="60">
        <v>80</v>
      </c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3"/>
      <c r="AH81" s="58"/>
      <c r="AI81" s="59"/>
      <c r="AJ81" s="57"/>
    </row>
    <row x14ac:dyDescent="0.25" r="82" customHeight="1" ht="18">
      <c r="A82" s="45">
        <v>76</v>
      </c>
      <c r="B82" s="46" t="s">
        <v>47</v>
      </c>
      <c r="C82" s="46" t="s">
        <v>48</v>
      </c>
      <c r="D82" s="47" t="s">
        <v>49</v>
      </c>
      <c r="E82" s="48" t="s">
        <v>9</v>
      </c>
      <c r="F82" s="50" t="s">
        <v>98</v>
      </c>
      <c r="G82" s="60">
        <v>7</v>
      </c>
      <c r="H82" s="50"/>
      <c r="I82" s="51"/>
      <c r="J82" s="50"/>
      <c r="K82" s="61" t="s">
        <v>125</v>
      </c>
      <c r="L82" s="46"/>
      <c r="M82" s="46"/>
      <c r="N82" s="46"/>
      <c r="O82" s="46"/>
      <c r="P82" s="60">
        <v>385</v>
      </c>
      <c r="Q82" s="60">
        <v>91</v>
      </c>
      <c r="R82" s="62"/>
      <c r="S82" s="56"/>
      <c r="T82" s="60">
        <v>100</v>
      </c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3"/>
      <c r="AH82" s="58"/>
      <c r="AI82" s="59"/>
      <c r="AJ82" s="57"/>
    </row>
    <row x14ac:dyDescent="0.25" r="83" customHeight="1" ht="18">
      <c r="A83" s="45">
        <v>77</v>
      </c>
      <c r="B83" s="46" t="s">
        <v>47</v>
      </c>
      <c r="C83" s="46" t="s">
        <v>48</v>
      </c>
      <c r="D83" s="47" t="s">
        <v>49</v>
      </c>
      <c r="E83" s="48" t="s">
        <v>9</v>
      </c>
      <c r="F83" s="50" t="s">
        <v>98</v>
      </c>
      <c r="G83" s="60">
        <v>7</v>
      </c>
      <c r="H83" s="50"/>
      <c r="I83" s="51"/>
      <c r="J83" s="50"/>
      <c r="K83" s="61" t="s">
        <v>126</v>
      </c>
      <c r="L83" s="46"/>
      <c r="M83" s="46"/>
      <c r="N83" s="46"/>
      <c r="O83" s="46"/>
      <c r="P83" s="66">
        <v>253</v>
      </c>
      <c r="Q83" s="66">
        <v>78</v>
      </c>
      <c r="R83" s="67"/>
      <c r="S83" s="56"/>
      <c r="T83" s="66">
        <v>60</v>
      </c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3"/>
      <c r="AH83" s="58"/>
      <c r="AI83" s="59"/>
      <c r="AJ83" s="57"/>
    </row>
    <row x14ac:dyDescent="0.25" r="84" customHeight="1" ht="18">
      <c r="A84" s="45">
        <v>78</v>
      </c>
      <c r="B84" s="46" t="s">
        <v>47</v>
      </c>
      <c r="C84" s="46" t="s">
        <v>48</v>
      </c>
      <c r="D84" s="47" t="s">
        <v>49</v>
      </c>
      <c r="E84" s="48" t="s">
        <v>9</v>
      </c>
      <c r="F84" s="50" t="s">
        <v>98</v>
      </c>
      <c r="G84" s="60">
        <v>7</v>
      </c>
      <c r="H84" s="50"/>
      <c r="I84" s="51"/>
      <c r="J84" s="50"/>
      <c r="K84" s="61" t="s">
        <v>127</v>
      </c>
      <c r="L84" s="46"/>
      <c r="M84" s="46"/>
      <c r="N84" s="46"/>
      <c r="O84" s="46"/>
      <c r="P84" s="60">
        <v>297</v>
      </c>
      <c r="Q84" s="60">
        <v>86</v>
      </c>
      <c r="R84" s="62"/>
      <c r="S84" s="56"/>
      <c r="T84" s="60">
        <v>200</v>
      </c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3"/>
      <c r="AH84" s="58"/>
      <c r="AI84" s="59"/>
      <c r="AJ84" s="57"/>
    </row>
    <row x14ac:dyDescent="0.25" r="85" customHeight="1" ht="18">
      <c r="A85" s="45">
        <v>79</v>
      </c>
      <c r="B85" s="46" t="s">
        <v>47</v>
      </c>
      <c r="C85" s="46" t="s">
        <v>48</v>
      </c>
      <c r="D85" s="47" t="s">
        <v>49</v>
      </c>
      <c r="E85" s="48" t="s">
        <v>9</v>
      </c>
      <c r="F85" s="50" t="s">
        <v>98</v>
      </c>
      <c r="G85" s="60">
        <v>8</v>
      </c>
      <c r="H85" s="50"/>
      <c r="I85" s="51"/>
      <c r="J85" s="50"/>
      <c r="K85" s="61" t="s">
        <v>128</v>
      </c>
      <c r="L85" s="46"/>
      <c r="M85" s="46"/>
      <c r="N85" s="46"/>
      <c r="O85" s="46"/>
      <c r="P85" s="60">
        <v>284</v>
      </c>
      <c r="Q85" s="60">
        <v>86</v>
      </c>
      <c r="R85" s="62"/>
      <c r="S85" s="63">
        <v>200</v>
      </c>
      <c r="T85" s="64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3"/>
      <c r="AH85" s="58"/>
      <c r="AI85" s="59"/>
      <c r="AJ85" s="57"/>
    </row>
    <row x14ac:dyDescent="0.25" r="86" customHeight="1" ht="18">
      <c r="A86" s="45">
        <v>80</v>
      </c>
      <c r="B86" s="46" t="s">
        <v>47</v>
      </c>
      <c r="C86" s="46" t="s">
        <v>48</v>
      </c>
      <c r="D86" s="47" t="s">
        <v>49</v>
      </c>
      <c r="E86" s="48" t="s">
        <v>9</v>
      </c>
      <c r="F86" s="50" t="s">
        <v>98</v>
      </c>
      <c r="G86" s="60">
        <v>8</v>
      </c>
      <c r="H86" s="50"/>
      <c r="I86" s="51"/>
      <c r="J86" s="50"/>
      <c r="K86" s="61" t="s">
        <v>129</v>
      </c>
      <c r="L86" s="46"/>
      <c r="M86" s="46"/>
      <c r="N86" s="46"/>
      <c r="O86" s="46"/>
      <c r="P86" s="60">
        <v>329</v>
      </c>
      <c r="Q86" s="60">
        <v>70</v>
      </c>
      <c r="R86" s="62"/>
      <c r="S86" s="56"/>
      <c r="T86" s="60">
        <v>170</v>
      </c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3"/>
      <c r="AH86" s="58"/>
      <c r="AI86" s="59"/>
      <c r="AJ86" s="57"/>
    </row>
    <row x14ac:dyDescent="0.25" r="87" customHeight="1" ht="18">
      <c r="A87" s="45">
        <v>81</v>
      </c>
      <c r="B87" s="46" t="s">
        <v>47</v>
      </c>
      <c r="C87" s="46" t="s">
        <v>48</v>
      </c>
      <c r="D87" s="47" t="s">
        <v>49</v>
      </c>
      <c r="E87" s="48" t="s">
        <v>9</v>
      </c>
      <c r="F87" s="46" t="s">
        <v>98</v>
      </c>
      <c r="G87" s="66">
        <v>8</v>
      </c>
      <c r="H87" s="46"/>
      <c r="I87" s="51"/>
      <c r="J87" s="46"/>
      <c r="K87" s="61" t="s">
        <v>130</v>
      </c>
      <c r="L87" s="46"/>
      <c r="M87" s="46"/>
      <c r="N87" s="46"/>
      <c r="O87" s="46"/>
      <c r="P87" s="60">
        <v>220</v>
      </c>
      <c r="Q87" s="60">
        <v>55</v>
      </c>
      <c r="R87" s="62"/>
      <c r="S87" s="63">
        <v>180</v>
      </c>
      <c r="T87" s="64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3"/>
      <c r="AH87" s="58"/>
      <c r="AI87" s="59"/>
      <c r="AJ87" s="57"/>
    </row>
    <row x14ac:dyDescent="0.25" r="88" customHeight="1" ht="18">
      <c r="A88" s="45">
        <v>82</v>
      </c>
      <c r="B88" s="46" t="s">
        <v>47</v>
      </c>
      <c r="C88" s="46" t="s">
        <v>48</v>
      </c>
      <c r="D88" s="47" t="s">
        <v>49</v>
      </c>
      <c r="E88" s="48" t="s">
        <v>9</v>
      </c>
      <c r="F88" s="50" t="s">
        <v>98</v>
      </c>
      <c r="G88" s="60">
        <v>9</v>
      </c>
      <c r="H88" s="50"/>
      <c r="I88" s="51"/>
      <c r="J88" s="50"/>
      <c r="K88" s="61" t="s">
        <v>131</v>
      </c>
      <c r="L88" s="46"/>
      <c r="M88" s="46"/>
      <c r="N88" s="46"/>
      <c r="O88" s="46"/>
      <c r="P88" s="60">
        <v>235</v>
      </c>
      <c r="Q88" s="60">
        <v>50</v>
      </c>
      <c r="R88" s="62"/>
      <c r="S88" s="63">
        <v>150</v>
      </c>
      <c r="T88" s="64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47"/>
      <c r="AH88" s="58"/>
      <c r="AI88" s="59"/>
      <c r="AJ88" s="57"/>
    </row>
    <row x14ac:dyDescent="0.25" r="89" customHeight="1" ht="18">
      <c r="A89" s="45">
        <v>83</v>
      </c>
      <c r="B89" s="46" t="s">
        <v>47</v>
      </c>
      <c r="C89" s="46" t="s">
        <v>48</v>
      </c>
      <c r="D89" s="47" t="s">
        <v>49</v>
      </c>
      <c r="E89" s="48" t="s">
        <v>9</v>
      </c>
      <c r="F89" s="50" t="s">
        <v>98</v>
      </c>
      <c r="G89" s="60">
        <v>9</v>
      </c>
      <c r="H89" s="50"/>
      <c r="I89" s="51"/>
      <c r="J89" s="50"/>
      <c r="K89" s="61" t="s">
        <v>132</v>
      </c>
      <c r="L89" s="46"/>
      <c r="M89" s="46"/>
      <c r="N89" s="46"/>
      <c r="O89" s="46"/>
      <c r="P89" s="60">
        <v>291</v>
      </c>
      <c r="Q89" s="60">
        <v>62</v>
      </c>
      <c r="R89" s="62"/>
      <c r="S89" s="56"/>
      <c r="T89" s="60">
        <v>180</v>
      </c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3"/>
      <c r="AH89" s="58"/>
      <c r="AI89" s="59"/>
      <c r="AJ89" s="57"/>
    </row>
    <row x14ac:dyDescent="0.25" r="90" customHeight="1" ht="18">
      <c r="A90" s="45">
        <v>84</v>
      </c>
      <c r="B90" s="46" t="s">
        <v>47</v>
      </c>
      <c r="C90" s="46" t="s">
        <v>48</v>
      </c>
      <c r="D90" s="47" t="s">
        <v>49</v>
      </c>
      <c r="E90" s="48" t="s">
        <v>9</v>
      </c>
      <c r="F90" s="46" t="s">
        <v>98</v>
      </c>
      <c r="G90" s="66">
        <v>9</v>
      </c>
      <c r="H90" s="46"/>
      <c r="I90" s="51"/>
      <c r="J90" s="46"/>
      <c r="K90" s="61" t="s">
        <v>133</v>
      </c>
      <c r="L90" s="69"/>
      <c r="M90" s="69"/>
      <c r="N90" s="69"/>
      <c r="O90" s="69"/>
      <c r="P90" s="60">
        <v>376</v>
      </c>
      <c r="Q90" s="60">
        <v>80</v>
      </c>
      <c r="R90" s="62"/>
      <c r="S90" s="56"/>
      <c r="T90" s="60">
        <v>190</v>
      </c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3"/>
      <c r="AH90" s="58"/>
      <c r="AI90" s="59"/>
      <c r="AJ90" s="57"/>
    </row>
    <row x14ac:dyDescent="0.25" r="91" customHeight="1" ht="18">
      <c r="A91" s="45">
        <v>85</v>
      </c>
      <c r="B91" s="46" t="s">
        <v>47</v>
      </c>
      <c r="C91" s="46" t="s">
        <v>48</v>
      </c>
      <c r="D91" s="47" t="s">
        <v>49</v>
      </c>
      <c r="E91" s="48" t="s">
        <v>9</v>
      </c>
      <c r="F91" s="50" t="s">
        <v>98</v>
      </c>
      <c r="G91" s="66">
        <v>9</v>
      </c>
      <c r="H91" s="50"/>
      <c r="I91" s="51"/>
      <c r="J91" s="46"/>
      <c r="K91" s="78" t="s">
        <v>134</v>
      </c>
      <c r="L91" s="53"/>
      <c r="M91" s="53"/>
      <c r="N91" s="53"/>
      <c r="O91" s="53"/>
      <c r="P91" s="79">
        <v>216</v>
      </c>
      <c r="Q91" s="66">
        <v>46</v>
      </c>
      <c r="R91" s="67"/>
      <c r="S91" s="63">
        <v>170</v>
      </c>
      <c r="T91" s="61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3"/>
      <c r="AH91" s="58"/>
      <c r="AI91" s="59"/>
      <c r="AJ91" s="57"/>
    </row>
    <row x14ac:dyDescent="0.25" r="92" customHeight="1" ht="18">
      <c r="A92" s="45">
        <v>86</v>
      </c>
      <c r="B92" s="46" t="s">
        <v>47</v>
      </c>
      <c r="C92" s="46" t="s">
        <v>48</v>
      </c>
      <c r="D92" s="47" t="s">
        <v>49</v>
      </c>
      <c r="E92" s="48" t="s">
        <v>9</v>
      </c>
      <c r="F92" s="50" t="s">
        <v>98</v>
      </c>
      <c r="G92" s="60">
        <v>9</v>
      </c>
      <c r="H92" s="50"/>
      <c r="I92" s="51"/>
      <c r="J92" s="50"/>
      <c r="K92" s="80" t="s">
        <v>135</v>
      </c>
      <c r="L92" s="53"/>
      <c r="M92" s="53"/>
      <c r="N92" s="53"/>
      <c r="O92" s="53"/>
      <c r="P92" s="79">
        <v>483</v>
      </c>
      <c r="Q92" s="66">
        <v>126</v>
      </c>
      <c r="R92" s="67"/>
      <c r="S92" s="56"/>
      <c r="T92" s="66">
        <v>160</v>
      </c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3"/>
      <c r="AH92" s="58"/>
      <c r="AI92" s="59"/>
      <c r="AJ92" s="57"/>
    </row>
    <row x14ac:dyDescent="0.25" r="93" customHeight="1" ht="18">
      <c r="A93" s="45">
        <v>87</v>
      </c>
      <c r="B93" s="46" t="s">
        <v>47</v>
      </c>
      <c r="C93" s="46" t="s">
        <v>48</v>
      </c>
      <c r="D93" s="47" t="s">
        <v>49</v>
      </c>
      <c r="E93" s="48" t="s">
        <v>9</v>
      </c>
      <c r="F93" s="50" t="s">
        <v>98</v>
      </c>
      <c r="G93" s="60">
        <v>9</v>
      </c>
      <c r="H93" s="50"/>
      <c r="I93" s="51"/>
      <c r="J93" s="50"/>
      <c r="K93" s="61" t="s">
        <v>136</v>
      </c>
      <c r="L93" s="46"/>
      <c r="M93" s="46"/>
      <c r="N93" s="46"/>
      <c r="O93" s="46"/>
      <c r="P93" s="60">
        <v>240</v>
      </c>
      <c r="Q93" s="60">
        <v>54</v>
      </c>
      <c r="R93" s="62"/>
      <c r="S93" s="56"/>
      <c r="T93" s="60">
        <v>120</v>
      </c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3"/>
      <c r="AH93" s="58"/>
      <c r="AI93" s="59"/>
      <c r="AJ93" s="57"/>
    </row>
    <row x14ac:dyDescent="0.25" r="94" customHeight="1" ht="18">
      <c r="A94" s="45">
        <v>88</v>
      </c>
      <c r="B94" s="46" t="s">
        <v>47</v>
      </c>
      <c r="C94" s="46" t="s">
        <v>48</v>
      </c>
      <c r="D94" s="47" t="s">
        <v>49</v>
      </c>
      <c r="E94" s="48" t="s">
        <v>9</v>
      </c>
      <c r="F94" s="50" t="s">
        <v>98</v>
      </c>
      <c r="G94" s="60">
        <v>9</v>
      </c>
      <c r="H94" s="50"/>
      <c r="I94" s="51"/>
      <c r="J94" s="50"/>
      <c r="K94" s="61" t="s">
        <v>137</v>
      </c>
      <c r="L94" s="46"/>
      <c r="M94" s="46"/>
      <c r="N94" s="46"/>
      <c r="O94" s="46"/>
      <c r="P94" s="60">
        <v>283</v>
      </c>
      <c r="Q94" s="60">
        <v>64</v>
      </c>
      <c r="R94" s="62"/>
      <c r="S94" s="56"/>
      <c r="T94" s="60">
        <v>130</v>
      </c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3"/>
      <c r="AH94" s="58"/>
      <c r="AI94" s="59"/>
      <c r="AJ94" s="57"/>
    </row>
    <row x14ac:dyDescent="0.25" r="95" customHeight="1" ht="18">
      <c r="A95" s="45">
        <v>89</v>
      </c>
      <c r="B95" s="46" t="s">
        <v>47</v>
      </c>
      <c r="C95" s="46" t="s">
        <v>48</v>
      </c>
      <c r="D95" s="47" t="s">
        <v>49</v>
      </c>
      <c r="E95" s="48" t="s">
        <v>9</v>
      </c>
      <c r="F95" s="50" t="s">
        <v>98</v>
      </c>
      <c r="G95" s="60">
        <v>9</v>
      </c>
      <c r="H95" s="50"/>
      <c r="I95" s="51"/>
      <c r="J95" s="50"/>
      <c r="K95" s="61" t="s">
        <v>138</v>
      </c>
      <c r="L95" s="46"/>
      <c r="M95" s="46"/>
      <c r="N95" s="46"/>
      <c r="O95" s="46"/>
      <c r="P95" s="60">
        <v>319</v>
      </c>
      <c r="Q95" s="60">
        <v>77</v>
      </c>
      <c r="R95" s="62"/>
      <c r="S95" s="56"/>
      <c r="T95" s="60">
        <v>150</v>
      </c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3"/>
      <c r="AH95" s="58"/>
      <c r="AI95" s="59"/>
      <c r="AJ95" s="57"/>
    </row>
    <row x14ac:dyDescent="0.25" r="96" customHeight="1" ht="18">
      <c r="A96" s="45">
        <v>90</v>
      </c>
      <c r="B96" s="46" t="s">
        <v>47</v>
      </c>
      <c r="C96" s="46" t="s">
        <v>48</v>
      </c>
      <c r="D96" s="47" t="s">
        <v>49</v>
      </c>
      <c r="E96" s="48" t="s">
        <v>9</v>
      </c>
      <c r="F96" s="46" t="s">
        <v>98</v>
      </c>
      <c r="G96" s="66">
        <v>9</v>
      </c>
      <c r="H96" s="46"/>
      <c r="I96" s="51"/>
      <c r="J96" s="46"/>
      <c r="K96" s="61" t="s">
        <v>139</v>
      </c>
      <c r="L96" s="46"/>
      <c r="M96" s="46"/>
      <c r="N96" s="46"/>
      <c r="O96" s="46"/>
      <c r="P96" s="60">
        <v>304</v>
      </c>
      <c r="Q96" s="60">
        <v>65</v>
      </c>
      <c r="R96" s="62"/>
      <c r="S96" s="56"/>
      <c r="T96" s="60">
        <v>150</v>
      </c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3"/>
      <c r="AH96" s="58"/>
      <c r="AI96" s="59"/>
      <c r="AJ96" s="57"/>
    </row>
    <row x14ac:dyDescent="0.25" r="97" customHeight="1" ht="18">
      <c r="A97" s="45">
        <v>91</v>
      </c>
      <c r="B97" s="46" t="s">
        <v>47</v>
      </c>
      <c r="C97" s="46" t="s">
        <v>48</v>
      </c>
      <c r="D97" s="47" t="s">
        <v>49</v>
      </c>
      <c r="E97" s="47" t="s">
        <v>9</v>
      </c>
      <c r="F97" s="47" t="s">
        <v>9</v>
      </c>
      <c r="G97" s="54">
        <v>1</v>
      </c>
      <c r="H97" s="50"/>
      <c r="I97" s="51"/>
      <c r="J97" s="50"/>
      <c r="K97" s="81" t="s">
        <v>140</v>
      </c>
      <c r="L97" s="47" t="s">
        <v>141</v>
      </c>
      <c r="M97" s="47" t="s">
        <v>142</v>
      </c>
      <c r="N97" s="46"/>
      <c r="O97" s="46"/>
      <c r="P97" s="66">
        <v>680</v>
      </c>
      <c r="Q97" s="66"/>
      <c r="R97" s="67"/>
      <c r="S97" s="56"/>
      <c r="T97" s="66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3"/>
      <c r="AH97" s="58"/>
      <c r="AI97" s="59"/>
      <c r="AJ97" s="57"/>
    </row>
    <row x14ac:dyDescent="0.25" r="98" customHeight="1" ht="18">
      <c r="A98" s="45">
        <v>92</v>
      </c>
      <c r="B98" s="46" t="s">
        <v>47</v>
      </c>
      <c r="C98" s="46" t="s">
        <v>48</v>
      </c>
      <c r="D98" s="47" t="s">
        <v>49</v>
      </c>
      <c r="E98" s="47" t="s">
        <v>9</v>
      </c>
      <c r="F98" s="47" t="s">
        <v>9</v>
      </c>
      <c r="G98" s="54">
        <v>1</v>
      </c>
      <c r="H98" s="50"/>
      <c r="I98" s="51"/>
      <c r="J98" s="50"/>
      <c r="K98" s="81" t="s">
        <v>143</v>
      </c>
      <c r="L98" s="47" t="s">
        <v>144</v>
      </c>
      <c r="M98" s="47" t="s">
        <v>145</v>
      </c>
      <c r="N98" s="46"/>
      <c r="O98" s="46"/>
      <c r="P98" s="60">
        <v>600</v>
      </c>
      <c r="Q98" s="60"/>
      <c r="R98" s="62"/>
      <c r="S98" s="56"/>
      <c r="T98" s="64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3"/>
      <c r="AH98" s="58"/>
      <c r="AI98" s="59"/>
      <c r="AJ98" s="57"/>
    </row>
    <row x14ac:dyDescent="0.25" r="99" customHeight="1" ht="18">
      <c r="A99" s="45">
        <v>93</v>
      </c>
      <c r="B99" s="46" t="s">
        <v>47</v>
      </c>
      <c r="C99" s="46" t="s">
        <v>48</v>
      </c>
      <c r="D99" s="47" t="s">
        <v>49</v>
      </c>
      <c r="E99" s="47" t="s">
        <v>9</v>
      </c>
      <c r="F99" s="47" t="s">
        <v>9</v>
      </c>
      <c r="G99" s="54">
        <v>1</v>
      </c>
      <c r="H99" s="50"/>
      <c r="I99" s="51"/>
      <c r="J99" s="50"/>
      <c r="K99" s="81" t="s">
        <v>146</v>
      </c>
      <c r="L99" s="47" t="s">
        <v>147</v>
      </c>
      <c r="M99" s="47" t="s">
        <v>148</v>
      </c>
      <c r="N99" s="46"/>
      <c r="O99" s="46"/>
      <c r="P99" s="60">
        <v>280</v>
      </c>
      <c r="Q99" s="60"/>
      <c r="R99" s="62"/>
      <c r="S99" s="56"/>
      <c r="T99" s="60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3"/>
      <c r="AH99" s="58"/>
      <c r="AI99" s="59"/>
      <c r="AJ99" s="57"/>
    </row>
    <row x14ac:dyDescent="0.25" r="100" customHeight="1" ht="18">
      <c r="A100" s="45">
        <v>94</v>
      </c>
      <c r="B100" s="46" t="s">
        <v>47</v>
      </c>
      <c r="C100" s="46" t="s">
        <v>48</v>
      </c>
      <c r="D100" s="47" t="s">
        <v>49</v>
      </c>
      <c r="E100" s="47" t="s">
        <v>9</v>
      </c>
      <c r="F100" s="47" t="s">
        <v>9</v>
      </c>
      <c r="G100" s="54">
        <v>1</v>
      </c>
      <c r="H100" s="50"/>
      <c r="I100" s="51"/>
      <c r="J100" s="50"/>
      <c r="K100" s="81" t="s">
        <v>149</v>
      </c>
      <c r="L100" s="47" t="s">
        <v>150</v>
      </c>
      <c r="M100" s="47" t="s">
        <v>151</v>
      </c>
      <c r="N100" s="46"/>
      <c r="O100" s="46"/>
      <c r="P100" s="60">
        <v>140</v>
      </c>
      <c r="Q100" s="60"/>
      <c r="R100" s="62"/>
      <c r="S100" s="56"/>
      <c r="T100" s="64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3"/>
      <c r="AH100" s="58"/>
      <c r="AI100" s="59"/>
      <c r="AJ100" s="57"/>
    </row>
    <row x14ac:dyDescent="0.25" r="101" customHeight="1" ht="18">
      <c r="A101" s="45">
        <v>95</v>
      </c>
      <c r="B101" s="46" t="s">
        <v>47</v>
      </c>
      <c r="C101" s="46" t="s">
        <v>48</v>
      </c>
      <c r="D101" s="47" t="s">
        <v>49</v>
      </c>
      <c r="E101" s="47" t="s">
        <v>9</v>
      </c>
      <c r="F101" s="47" t="s">
        <v>9</v>
      </c>
      <c r="G101" s="54">
        <v>1</v>
      </c>
      <c r="H101" s="50"/>
      <c r="I101" s="51"/>
      <c r="J101" s="50"/>
      <c r="K101" s="81" t="s">
        <v>152</v>
      </c>
      <c r="L101" s="47" t="s">
        <v>153</v>
      </c>
      <c r="M101" s="47" t="s">
        <v>154</v>
      </c>
      <c r="N101" s="46"/>
      <c r="O101" s="46"/>
      <c r="P101" s="60">
        <v>120</v>
      </c>
      <c r="Q101" s="60"/>
      <c r="R101" s="62"/>
      <c r="S101" s="56"/>
      <c r="T101" s="60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3"/>
      <c r="AH101" s="58"/>
      <c r="AI101" s="59"/>
      <c r="AJ101" s="57"/>
    </row>
    <row x14ac:dyDescent="0.25" r="102" customHeight="1" ht="18">
      <c r="A102" s="45">
        <v>96</v>
      </c>
      <c r="B102" s="46" t="s">
        <v>47</v>
      </c>
      <c r="C102" s="46" t="s">
        <v>48</v>
      </c>
      <c r="D102" s="47" t="s">
        <v>49</v>
      </c>
      <c r="E102" s="47" t="s">
        <v>9</v>
      </c>
      <c r="F102" s="47" t="s">
        <v>9</v>
      </c>
      <c r="G102" s="54">
        <v>1</v>
      </c>
      <c r="H102" s="50"/>
      <c r="I102" s="51"/>
      <c r="J102" s="50"/>
      <c r="K102" s="81" t="s">
        <v>155</v>
      </c>
      <c r="L102" s="47" t="s">
        <v>156</v>
      </c>
      <c r="M102" s="47" t="s">
        <v>157</v>
      </c>
      <c r="N102" s="46"/>
      <c r="O102" s="46"/>
      <c r="P102" s="60">
        <v>120</v>
      </c>
      <c r="Q102" s="60"/>
      <c r="R102" s="62"/>
      <c r="S102" s="56"/>
      <c r="T102" s="60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3"/>
      <c r="AH102" s="58"/>
      <c r="AI102" s="59"/>
      <c r="AJ102" s="57"/>
    </row>
    <row x14ac:dyDescent="0.25" r="103" customHeight="1" ht="18">
      <c r="A103" s="45">
        <v>97</v>
      </c>
      <c r="B103" s="46" t="s">
        <v>47</v>
      </c>
      <c r="C103" s="46" t="s">
        <v>48</v>
      </c>
      <c r="D103" s="47" t="s">
        <v>49</v>
      </c>
      <c r="E103" s="47" t="s">
        <v>9</v>
      </c>
      <c r="F103" s="47" t="s">
        <v>9</v>
      </c>
      <c r="G103" s="54">
        <v>1</v>
      </c>
      <c r="H103" s="50"/>
      <c r="I103" s="51"/>
      <c r="J103" s="50"/>
      <c r="K103" s="81" t="s">
        <v>158</v>
      </c>
      <c r="L103" s="47" t="s">
        <v>159</v>
      </c>
      <c r="M103" s="47" t="s">
        <v>160</v>
      </c>
      <c r="N103" s="46"/>
      <c r="O103" s="46"/>
      <c r="P103" s="60">
        <v>200</v>
      </c>
      <c r="Q103" s="60"/>
      <c r="R103" s="62"/>
      <c r="S103" s="56"/>
      <c r="T103" s="60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3"/>
      <c r="AH103" s="58"/>
      <c r="AI103" s="59"/>
      <c r="AJ103" s="57"/>
    </row>
    <row x14ac:dyDescent="0.25" r="104" customHeight="1" ht="18">
      <c r="A104" s="45">
        <v>98</v>
      </c>
      <c r="B104" s="46" t="s">
        <v>47</v>
      </c>
      <c r="C104" s="46" t="s">
        <v>48</v>
      </c>
      <c r="D104" s="47" t="s">
        <v>49</v>
      </c>
      <c r="E104" s="47" t="s">
        <v>9</v>
      </c>
      <c r="F104" s="47" t="s">
        <v>9</v>
      </c>
      <c r="G104" s="54">
        <v>1</v>
      </c>
      <c r="H104" s="50"/>
      <c r="I104" s="51"/>
      <c r="J104" s="50"/>
      <c r="K104" s="81" t="s">
        <v>161</v>
      </c>
      <c r="L104" s="47" t="s">
        <v>162</v>
      </c>
      <c r="M104" s="47" t="s">
        <v>163</v>
      </c>
      <c r="N104" s="46"/>
      <c r="O104" s="46"/>
      <c r="P104" s="66">
        <v>70</v>
      </c>
      <c r="Q104" s="66"/>
      <c r="R104" s="67"/>
      <c r="S104" s="56"/>
      <c r="T104" s="66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3"/>
      <c r="AH104" s="58"/>
      <c r="AI104" s="59"/>
      <c r="AJ104" s="57"/>
    </row>
    <row x14ac:dyDescent="0.25" r="105" customHeight="1" ht="18">
      <c r="A105" s="45">
        <v>99</v>
      </c>
      <c r="B105" s="46" t="s">
        <v>47</v>
      </c>
      <c r="C105" s="46" t="s">
        <v>48</v>
      </c>
      <c r="D105" s="47" t="s">
        <v>49</v>
      </c>
      <c r="E105" s="47" t="s">
        <v>9</v>
      </c>
      <c r="F105" s="47" t="s">
        <v>9</v>
      </c>
      <c r="G105" s="54">
        <v>2</v>
      </c>
      <c r="H105" s="50"/>
      <c r="I105" s="51"/>
      <c r="J105" s="50"/>
      <c r="K105" s="81" t="s">
        <v>164</v>
      </c>
      <c r="L105" s="47" t="s">
        <v>165</v>
      </c>
      <c r="M105" s="47" t="s">
        <v>166</v>
      </c>
      <c r="N105" s="46"/>
      <c r="O105" s="46"/>
      <c r="P105" s="60">
        <v>152</v>
      </c>
      <c r="Q105" s="60"/>
      <c r="R105" s="62"/>
      <c r="S105" s="56"/>
      <c r="T105" s="60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3"/>
      <c r="AH105" s="58"/>
      <c r="AI105" s="59"/>
      <c r="AJ105" s="57"/>
    </row>
    <row x14ac:dyDescent="0.25" r="106" customHeight="1" ht="18">
      <c r="A106" s="45">
        <v>100</v>
      </c>
      <c r="B106" s="46" t="s">
        <v>47</v>
      </c>
      <c r="C106" s="46" t="s">
        <v>48</v>
      </c>
      <c r="D106" s="47" t="s">
        <v>49</v>
      </c>
      <c r="E106" s="47" t="s">
        <v>9</v>
      </c>
      <c r="F106" s="47" t="s">
        <v>9</v>
      </c>
      <c r="G106" s="54">
        <v>2</v>
      </c>
      <c r="H106" s="50"/>
      <c r="I106" s="51"/>
      <c r="J106" s="50"/>
      <c r="K106" s="81" t="s">
        <v>167</v>
      </c>
      <c r="L106" s="47" t="s">
        <v>168</v>
      </c>
      <c r="M106" s="47" t="s">
        <v>169</v>
      </c>
      <c r="N106" s="46"/>
      <c r="O106" s="46"/>
      <c r="P106" s="60">
        <v>560</v>
      </c>
      <c r="Q106" s="60"/>
      <c r="R106" s="62"/>
      <c r="S106" s="56"/>
      <c r="T106" s="64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3"/>
      <c r="AH106" s="58"/>
      <c r="AI106" s="59"/>
      <c r="AJ106" s="57"/>
    </row>
    <row x14ac:dyDescent="0.25" r="107" customHeight="1" ht="18">
      <c r="A107" s="45">
        <v>101</v>
      </c>
      <c r="B107" s="46" t="s">
        <v>47</v>
      </c>
      <c r="C107" s="46" t="s">
        <v>48</v>
      </c>
      <c r="D107" s="47" t="s">
        <v>49</v>
      </c>
      <c r="E107" s="47" t="s">
        <v>9</v>
      </c>
      <c r="F107" s="47" t="s">
        <v>9</v>
      </c>
      <c r="G107" s="54">
        <v>2</v>
      </c>
      <c r="H107" s="50"/>
      <c r="I107" s="51"/>
      <c r="J107" s="50"/>
      <c r="K107" s="81" t="s">
        <v>170</v>
      </c>
      <c r="L107" s="47" t="s">
        <v>171</v>
      </c>
      <c r="M107" s="47" t="s">
        <v>172</v>
      </c>
      <c r="N107" s="46"/>
      <c r="O107" s="46"/>
      <c r="P107" s="60">
        <v>200</v>
      </c>
      <c r="Q107" s="60"/>
      <c r="R107" s="62"/>
      <c r="S107" s="56"/>
      <c r="T107" s="64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3"/>
      <c r="AH107" s="58"/>
      <c r="AI107" s="59"/>
      <c r="AJ107" s="57"/>
    </row>
    <row x14ac:dyDescent="0.25" r="108" customHeight="1" ht="18">
      <c r="A108" s="45">
        <v>102</v>
      </c>
      <c r="B108" s="46" t="s">
        <v>47</v>
      </c>
      <c r="C108" s="46" t="s">
        <v>48</v>
      </c>
      <c r="D108" s="47" t="s">
        <v>49</v>
      </c>
      <c r="E108" s="47" t="s">
        <v>9</v>
      </c>
      <c r="F108" s="47" t="s">
        <v>9</v>
      </c>
      <c r="G108" s="54">
        <v>2</v>
      </c>
      <c r="H108" s="50"/>
      <c r="I108" s="51"/>
      <c r="J108" s="50"/>
      <c r="K108" s="81" t="s">
        <v>173</v>
      </c>
      <c r="L108" s="47" t="s">
        <v>174</v>
      </c>
      <c r="M108" s="47" t="s">
        <v>175</v>
      </c>
      <c r="N108" s="46"/>
      <c r="O108" s="46"/>
      <c r="P108" s="60">
        <v>180</v>
      </c>
      <c r="Q108" s="60"/>
      <c r="R108" s="62"/>
      <c r="S108" s="56"/>
      <c r="T108" s="60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3"/>
      <c r="AH108" s="58"/>
      <c r="AI108" s="59"/>
      <c r="AJ108" s="57"/>
    </row>
    <row x14ac:dyDescent="0.25" r="109" customHeight="1" ht="18">
      <c r="A109" s="45">
        <v>103</v>
      </c>
      <c r="B109" s="46" t="s">
        <v>47</v>
      </c>
      <c r="C109" s="46" t="s">
        <v>48</v>
      </c>
      <c r="D109" s="47" t="s">
        <v>49</v>
      </c>
      <c r="E109" s="47" t="s">
        <v>9</v>
      </c>
      <c r="F109" s="47" t="s">
        <v>9</v>
      </c>
      <c r="G109" s="54">
        <v>2</v>
      </c>
      <c r="H109" s="50"/>
      <c r="I109" s="51"/>
      <c r="J109" s="50"/>
      <c r="K109" s="81" t="s">
        <v>176</v>
      </c>
      <c r="L109" s="47" t="s">
        <v>177</v>
      </c>
      <c r="M109" s="47" t="s">
        <v>178</v>
      </c>
      <c r="N109" s="46"/>
      <c r="O109" s="46"/>
      <c r="P109" s="60">
        <v>100</v>
      </c>
      <c r="Q109" s="60"/>
      <c r="R109" s="62"/>
      <c r="S109" s="56"/>
      <c r="T109" s="60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3"/>
      <c r="AH109" s="58"/>
      <c r="AI109" s="59"/>
      <c r="AJ109" s="57"/>
    </row>
    <row x14ac:dyDescent="0.25" r="110" customHeight="1" ht="18">
      <c r="A110" s="45">
        <v>104</v>
      </c>
      <c r="B110" s="46" t="s">
        <v>47</v>
      </c>
      <c r="C110" s="46" t="s">
        <v>48</v>
      </c>
      <c r="D110" s="47" t="s">
        <v>49</v>
      </c>
      <c r="E110" s="47" t="s">
        <v>9</v>
      </c>
      <c r="F110" s="47" t="s">
        <v>9</v>
      </c>
      <c r="G110" s="54">
        <v>2</v>
      </c>
      <c r="H110" s="50"/>
      <c r="I110" s="51"/>
      <c r="J110" s="50"/>
      <c r="K110" s="81" t="s">
        <v>179</v>
      </c>
      <c r="L110" s="47" t="s">
        <v>180</v>
      </c>
      <c r="M110" s="47" t="s">
        <v>181</v>
      </c>
      <c r="N110" s="46"/>
      <c r="O110" s="46"/>
      <c r="P110" s="60">
        <v>240</v>
      </c>
      <c r="Q110" s="60"/>
      <c r="R110" s="62"/>
      <c r="S110" s="56"/>
      <c r="T110" s="60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3"/>
      <c r="AH110" s="58"/>
      <c r="AI110" s="59"/>
      <c r="AJ110" s="57"/>
    </row>
    <row x14ac:dyDescent="0.25" r="111" customHeight="1" ht="18">
      <c r="A111" s="45">
        <v>105</v>
      </c>
      <c r="B111" s="46" t="s">
        <v>47</v>
      </c>
      <c r="C111" s="46" t="s">
        <v>48</v>
      </c>
      <c r="D111" s="47" t="s">
        <v>49</v>
      </c>
      <c r="E111" s="47" t="s">
        <v>9</v>
      </c>
      <c r="F111" s="47" t="s">
        <v>9</v>
      </c>
      <c r="G111" s="54">
        <v>3</v>
      </c>
      <c r="H111" s="50"/>
      <c r="I111" s="51"/>
      <c r="J111" s="50"/>
      <c r="K111" s="81" t="s">
        <v>182</v>
      </c>
      <c r="L111" s="47" t="s">
        <v>183</v>
      </c>
      <c r="M111" s="47" t="s">
        <v>184</v>
      </c>
      <c r="N111" s="46"/>
      <c r="O111" s="46"/>
      <c r="P111" s="60">
        <v>200</v>
      </c>
      <c r="Q111" s="60"/>
      <c r="R111" s="62"/>
      <c r="S111" s="56"/>
      <c r="T111" s="60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3"/>
      <c r="AH111" s="58"/>
      <c r="AI111" s="59"/>
      <c r="AJ111" s="57"/>
    </row>
    <row x14ac:dyDescent="0.25" r="112" customHeight="1" ht="18">
      <c r="A112" s="45">
        <v>106</v>
      </c>
      <c r="B112" s="46" t="s">
        <v>47</v>
      </c>
      <c r="C112" s="46" t="s">
        <v>48</v>
      </c>
      <c r="D112" s="47" t="s">
        <v>49</v>
      </c>
      <c r="E112" s="47" t="s">
        <v>9</v>
      </c>
      <c r="F112" s="47" t="s">
        <v>9</v>
      </c>
      <c r="G112" s="54">
        <v>3</v>
      </c>
      <c r="H112" s="50"/>
      <c r="I112" s="51"/>
      <c r="J112" s="50"/>
      <c r="K112" s="81" t="s">
        <v>185</v>
      </c>
      <c r="L112" s="47" t="s">
        <v>186</v>
      </c>
      <c r="M112" s="47" t="s">
        <v>187</v>
      </c>
      <c r="N112" s="46"/>
      <c r="O112" s="46"/>
      <c r="P112" s="60">
        <v>180</v>
      </c>
      <c r="Q112" s="60"/>
      <c r="R112" s="62"/>
      <c r="S112" s="56"/>
      <c r="T112" s="64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3"/>
      <c r="AH112" s="58"/>
      <c r="AI112" s="59"/>
      <c r="AJ112" s="57"/>
    </row>
    <row x14ac:dyDescent="0.25" r="113" customHeight="1" ht="18">
      <c r="A113" s="45">
        <v>107</v>
      </c>
      <c r="B113" s="46" t="s">
        <v>47</v>
      </c>
      <c r="C113" s="46" t="s">
        <v>48</v>
      </c>
      <c r="D113" s="47" t="s">
        <v>49</v>
      </c>
      <c r="E113" s="47" t="s">
        <v>9</v>
      </c>
      <c r="F113" s="47" t="s">
        <v>9</v>
      </c>
      <c r="G113" s="54">
        <v>3</v>
      </c>
      <c r="H113" s="50"/>
      <c r="I113" s="51"/>
      <c r="J113" s="50"/>
      <c r="K113" s="81" t="s">
        <v>188</v>
      </c>
      <c r="L113" s="47" t="s">
        <v>189</v>
      </c>
      <c r="M113" s="47" t="s">
        <v>190</v>
      </c>
      <c r="N113" s="46"/>
      <c r="O113" s="46"/>
      <c r="P113" s="60">
        <v>280</v>
      </c>
      <c r="Q113" s="60"/>
      <c r="R113" s="62"/>
      <c r="S113" s="56"/>
      <c r="T113" s="60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3"/>
      <c r="AH113" s="58"/>
      <c r="AI113" s="59"/>
      <c r="AJ113" s="57"/>
    </row>
    <row x14ac:dyDescent="0.25" r="114" customHeight="1" ht="18">
      <c r="A114" s="45">
        <v>108</v>
      </c>
      <c r="B114" s="46" t="s">
        <v>47</v>
      </c>
      <c r="C114" s="46" t="s">
        <v>48</v>
      </c>
      <c r="D114" s="47" t="s">
        <v>49</v>
      </c>
      <c r="E114" s="47" t="s">
        <v>9</v>
      </c>
      <c r="F114" s="47" t="s">
        <v>9</v>
      </c>
      <c r="G114" s="54">
        <v>3</v>
      </c>
      <c r="H114" s="50"/>
      <c r="I114" s="51"/>
      <c r="J114" s="50"/>
      <c r="K114" s="81" t="s">
        <v>191</v>
      </c>
      <c r="L114" s="47" t="s">
        <v>192</v>
      </c>
      <c r="M114" s="47" t="s">
        <v>193</v>
      </c>
      <c r="N114" s="46"/>
      <c r="O114" s="46"/>
      <c r="P114" s="66">
        <v>40</v>
      </c>
      <c r="Q114" s="66"/>
      <c r="R114" s="67"/>
      <c r="S114" s="56"/>
      <c r="T114" s="66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3"/>
      <c r="AH114" s="58"/>
      <c r="AI114" s="59"/>
      <c r="AJ114" s="57"/>
    </row>
    <row x14ac:dyDescent="0.25" r="115" customHeight="1" ht="18">
      <c r="A115" s="45">
        <v>109</v>
      </c>
      <c r="B115" s="46" t="s">
        <v>47</v>
      </c>
      <c r="C115" s="46" t="s">
        <v>48</v>
      </c>
      <c r="D115" s="47" t="s">
        <v>49</v>
      </c>
      <c r="E115" s="47" t="s">
        <v>9</v>
      </c>
      <c r="F115" s="47" t="s">
        <v>9</v>
      </c>
      <c r="G115" s="54">
        <v>3</v>
      </c>
      <c r="H115" s="50"/>
      <c r="I115" s="51"/>
      <c r="J115" s="50"/>
      <c r="K115" s="81" t="s">
        <v>194</v>
      </c>
      <c r="L115" s="47" t="s">
        <v>195</v>
      </c>
      <c r="M115" s="47" t="s">
        <v>196</v>
      </c>
      <c r="N115" s="46"/>
      <c r="O115" s="46"/>
      <c r="P115" s="60">
        <v>80</v>
      </c>
      <c r="Q115" s="60"/>
      <c r="R115" s="62"/>
      <c r="S115" s="56"/>
      <c r="T115" s="60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3"/>
      <c r="AH115" s="58"/>
      <c r="AI115" s="59"/>
      <c r="AJ115" s="57"/>
    </row>
    <row x14ac:dyDescent="0.25" r="116" customHeight="1" ht="18">
      <c r="A116" s="45">
        <v>110</v>
      </c>
      <c r="B116" s="46" t="s">
        <v>47</v>
      </c>
      <c r="C116" s="46" t="s">
        <v>48</v>
      </c>
      <c r="D116" s="47" t="s">
        <v>49</v>
      </c>
      <c r="E116" s="47" t="s">
        <v>9</v>
      </c>
      <c r="F116" s="47" t="s">
        <v>9</v>
      </c>
      <c r="G116" s="54">
        <v>3</v>
      </c>
      <c r="H116" s="46"/>
      <c r="I116" s="51"/>
      <c r="J116" s="46"/>
      <c r="K116" s="81" t="s">
        <v>197</v>
      </c>
      <c r="L116" s="47" t="s">
        <v>198</v>
      </c>
      <c r="M116" s="47" t="s">
        <v>199</v>
      </c>
      <c r="N116" s="46"/>
      <c r="O116" s="46"/>
      <c r="P116" s="60">
        <v>210</v>
      </c>
      <c r="Q116" s="60"/>
      <c r="R116" s="62"/>
      <c r="S116" s="56"/>
      <c r="T116" s="60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3"/>
      <c r="AH116" s="58"/>
      <c r="AI116" s="59"/>
      <c r="AJ116" s="57"/>
    </row>
    <row x14ac:dyDescent="0.25" r="117" customHeight="1" ht="18">
      <c r="A117" s="45">
        <v>111</v>
      </c>
      <c r="B117" s="46" t="s">
        <v>47</v>
      </c>
      <c r="C117" s="46" t="s">
        <v>48</v>
      </c>
      <c r="D117" s="47" t="s">
        <v>49</v>
      </c>
      <c r="E117" s="47" t="s">
        <v>9</v>
      </c>
      <c r="F117" s="47" t="s">
        <v>9</v>
      </c>
      <c r="G117" s="54">
        <v>3</v>
      </c>
      <c r="H117" s="50"/>
      <c r="I117" s="51"/>
      <c r="J117" s="50"/>
      <c r="K117" s="81" t="s">
        <v>200</v>
      </c>
      <c r="L117" s="47" t="s">
        <v>201</v>
      </c>
      <c r="M117" s="47" t="s">
        <v>202</v>
      </c>
      <c r="N117" s="46"/>
      <c r="O117" s="46"/>
      <c r="P117" s="60">
        <v>40</v>
      </c>
      <c r="Q117" s="60"/>
      <c r="R117" s="62"/>
      <c r="S117" s="56"/>
      <c r="T117" s="60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3"/>
      <c r="AH117" s="58"/>
      <c r="AI117" s="59"/>
      <c r="AJ117" s="57"/>
    </row>
    <row x14ac:dyDescent="0.25" r="118" customHeight="1" ht="18">
      <c r="A118" s="45">
        <v>112</v>
      </c>
      <c r="B118" s="46" t="s">
        <v>47</v>
      </c>
      <c r="C118" s="46" t="s">
        <v>48</v>
      </c>
      <c r="D118" s="47" t="s">
        <v>49</v>
      </c>
      <c r="E118" s="47" t="s">
        <v>9</v>
      </c>
      <c r="F118" s="47" t="s">
        <v>9</v>
      </c>
      <c r="G118" s="54">
        <v>3</v>
      </c>
      <c r="H118" s="46"/>
      <c r="I118" s="51"/>
      <c r="J118" s="46"/>
      <c r="K118" s="81" t="s">
        <v>203</v>
      </c>
      <c r="L118" s="47" t="s">
        <v>204</v>
      </c>
      <c r="M118" s="47" t="s">
        <v>205</v>
      </c>
      <c r="N118" s="46"/>
      <c r="O118" s="46"/>
      <c r="P118" s="60">
        <v>42</v>
      </c>
      <c r="Q118" s="60"/>
      <c r="R118" s="62"/>
      <c r="S118" s="56"/>
      <c r="T118" s="60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3"/>
      <c r="AH118" s="58"/>
      <c r="AI118" s="59"/>
      <c r="AJ118" s="57"/>
    </row>
    <row x14ac:dyDescent="0.25" r="119" customHeight="1" ht="18">
      <c r="A119" s="45">
        <v>113</v>
      </c>
      <c r="B119" s="46" t="s">
        <v>47</v>
      </c>
      <c r="C119" s="46" t="s">
        <v>48</v>
      </c>
      <c r="D119" s="47" t="s">
        <v>49</v>
      </c>
      <c r="E119" s="47" t="s">
        <v>9</v>
      </c>
      <c r="F119" s="47" t="s">
        <v>9</v>
      </c>
      <c r="G119" s="54">
        <v>3</v>
      </c>
      <c r="H119" s="50"/>
      <c r="I119" s="51"/>
      <c r="J119" s="50"/>
      <c r="K119" s="81" t="s">
        <v>206</v>
      </c>
      <c r="L119" s="47" t="s">
        <v>207</v>
      </c>
      <c r="M119" s="47" t="s">
        <v>208</v>
      </c>
      <c r="N119" s="46"/>
      <c r="O119" s="46"/>
      <c r="P119" s="60">
        <v>200</v>
      </c>
      <c r="Q119" s="60"/>
      <c r="R119" s="62"/>
      <c r="S119" s="56"/>
      <c r="T119" s="60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3"/>
      <c r="AH119" s="58"/>
      <c r="AI119" s="59"/>
      <c r="AJ119" s="57"/>
    </row>
    <row x14ac:dyDescent="0.25" r="120" customHeight="1" ht="18">
      <c r="A120" s="45">
        <v>114</v>
      </c>
      <c r="B120" s="46" t="s">
        <v>47</v>
      </c>
      <c r="C120" s="46" t="s">
        <v>48</v>
      </c>
      <c r="D120" s="47" t="s">
        <v>49</v>
      </c>
      <c r="E120" s="47" t="s">
        <v>9</v>
      </c>
      <c r="F120" s="47" t="s">
        <v>9</v>
      </c>
      <c r="G120" s="54">
        <v>3</v>
      </c>
      <c r="H120" s="50"/>
      <c r="I120" s="51"/>
      <c r="J120" s="50"/>
      <c r="K120" s="81" t="s">
        <v>209</v>
      </c>
      <c r="L120" s="47" t="s">
        <v>210</v>
      </c>
      <c r="M120" s="47" t="s">
        <v>211</v>
      </c>
      <c r="N120" s="46"/>
      <c r="O120" s="46"/>
      <c r="P120" s="60">
        <v>80</v>
      </c>
      <c r="Q120" s="60"/>
      <c r="R120" s="62"/>
      <c r="S120" s="56"/>
      <c r="T120" s="60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3"/>
      <c r="AH120" s="58"/>
      <c r="AI120" s="59"/>
      <c r="AJ120" s="57"/>
    </row>
    <row x14ac:dyDescent="0.25" r="121" customHeight="1" ht="18">
      <c r="A121" s="45">
        <v>115</v>
      </c>
      <c r="B121" s="46" t="s">
        <v>47</v>
      </c>
      <c r="C121" s="46" t="s">
        <v>48</v>
      </c>
      <c r="D121" s="47" t="s">
        <v>49</v>
      </c>
      <c r="E121" s="47" t="s">
        <v>9</v>
      </c>
      <c r="F121" s="47" t="s">
        <v>9</v>
      </c>
      <c r="G121" s="54">
        <v>4</v>
      </c>
      <c r="H121" s="50"/>
      <c r="I121" s="51"/>
      <c r="J121" s="50"/>
      <c r="K121" s="81" t="s">
        <v>212</v>
      </c>
      <c r="L121" s="47" t="s">
        <v>213</v>
      </c>
      <c r="M121" s="47" t="s">
        <v>214</v>
      </c>
      <c r="N121" s="46"/>
      <c r="O121" s="46"/>
      <c r="P121" s="60">
        <v>440</v>
      </c>
      <c r="Q121" s="60"/>
      <c r="R121" s="62"/>
      <c r="S121" s="56"/>
      <c r="T121" s="60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3"/>
      <c r="AH121" s="58"/>
      <c r="AI121" s="59"/>
      <c r="AJ121" s="57"/>
    </row>
    <row x14ac:dyDescent="0.25" r="122" customHeight="1" ht="18">
      <c r="A122" s="45">
        <v>116</v>
      </c>
      <c r="B122" s="46" t="s">
        <v>47</v>
      </c>
      <c r="C122" s="46" t="s">
        <v>48</v>
      </c>
      <c r="D122" s="47" t="s">
        <v>49</v>
      </c>
      <c r="E122" s="47" t="s">
        <v>9</v>
      </c>
      <c r="F122" s="47" t="s">
        <v>9</v>
      </c>
      <c r="G122" s="54">
        <v>4</v>
      </c>
      <c r="H122" s="50"/>
      <c r="I122" s="51"/>
      <c r="J122" s="50"/>
      <c r="K122" s="81" t="s">
        <v>215</v>
      </c>
      <c r="L122" s="47" t="s">
        <v>216</v>
      </c>
      <c r="M122" s="47" t="s">
        <v>217</v>
      </c>
      <c r="N122" s="46"/>
      <c r="O122" s="46"/>
      <c r="P122" s="66">
        <v>204</v>
      </c>
      <c r="Q122" s="66"/>
      <c r="R122" s="67"/>
      <c r="S122" s="56"/>
      <c r="T122" s="66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3"/>
      <c r="AH122" s="58"/>
      <c r="AI122" s="59"/>
      <c r="AJ122" s="57"/>
    </row>
    <row x14ac:dyDescent="0.25" r="123" customHeight="1" ht="18">
      <c r="A123" s="45">
        <v>117</v>
      </c>
      <c r="B123" s="46" t="s">
        <v>47</v>
      </c>
      <c r="C123" s="46" t="s">
        <v>48</v>
      </c>
      <c r="D123" s="47" t="s">
        <v>49</v>
      </c>
      <c r="E123" s="47" t="s">
        <v>9</v>
      </c>
      <c r="F123" s="47" t="s">
        <v>9</v>
      </c>
      <c r="G123" s="54">
        <v>4</v>
      </c>
      <c r="H123" s="50"/>
      <c r="I123" s="51"/>
      <c r="J123" s="50"/>
      <c r="K123" s="81" t="s">
        <v>218</v>
      </c>
      <c r="L123" s="47" t="s">
        <v>219</v>
      </c>
      <c r="M123" s="47" t="s">
        <v>220</v>
      </c>
      <c r="N123" s="46"/>
      <c r="O123" s="46"/>
      <c r="P123" s="66">
        <v>136</v>
      </c>
      <c r="Q123" s="66"/>
      <c r="R123" s="67"/>
      <c r="S123" s="56"/>
      <c r="T123" s="66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3"/>
      <c r="AH123" s="58"/>
      <c r="AI123" s="59"/>
      <c r="AJ123" s="57"/>
    </row>
    <row x14ac:dyDescent="0.25" r="124" customHeight="1" ht="18">
      <c r="A124" s="45">
        <v>118</v>
      </c>
      <c r="B124" s="46" t="s">
        <v>47</v>
      </c>
      <c r="C124" s="46" t="s">
        <v>48</v>
      </c>
      <c r="D124" s="47" t="s">
        <v>49</v>
      </c>
      <c r="E124" s="47" t="s">
        <v>9</v>
      </c>
      <c r="F124" s="47" t="s">
        <v>9</v>
      </c>
      <c r="G124" s="54">
        <v>4</v>
      </c>
      <c r="H124" s="50"/>
      <c r="I124" s="51"/>
      <c r="J124" s="50"/>
      <c r="K124" s="81" t="s">
        <v>221</v>
      </c>
      <c r="L124" s="47" t="s">
        <v>222</v>
      </c>
      <c r="M124" s="47" t="s">
        <v>223</v>
      </c>
      <c r="N124" s="46"/>
      <c r="O124" s="46"/>
      <c r="P124" s="60">
        <v>100</v>
      </c>
      <c r="Q124" s="60"/>
      <c r="R124" s="62"/>
      <c r="S124" s="56"/>
      <c r="T124" s="60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3"/>
      <c r="AH124" s="58"/>
      <c r="AI124" s="59"/>
      <c r="AJ124" s="57"/>
    </row>
    <row x14ac:dyDescent="0.25" r="125" customHeight="1" ht="18">
      <c r="A125" s="45">
        <v>119</v>
      </c>
      <c r="B125" s="46" t="s">
        <v>47</v>
      </c>
      <c r="C125" s="46" t="s">
        <v>48</v>
      </c>
      <c r="D125" s="47" t="s">
        <v>49</v>
      </c>
      <c r="E125" s="47" t="s">
        <v>9</v>
      </c>
      <c r="F125" s="47" t="s">
        <v>9</v>
      </c>
      <c r="G125" s="54">
        <v>5</v>
      </c>
      <c r="H125" s="50"/>
      <c r="I125" s="51"/>
      <c r="J125" s="50"/>
      <c r="K125" s="81" t="s">
        <v>224</v>
      </c>
      <c r="L125" s="47" t="s">
        <v>225</v>
      </c>
      <c r="M125" s="47" t="s">
        <v>226</v>
      </c>
      <c r="N125" s="46"/>
      <c r="O125" s="46"/>
      <c r="P125" s="60">
        <v>540</v>
      </c>
      <c r="Q125" s="60"/>
      <c r="R125" s="62"/>
      <c r="S125" s="56"/>
      <c r="T125" s="60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3"/>
      <c r="AH125" s="58"/>
      <c r="AI125" s="59"/>
      <c r="AJ125" s="57"/>
    </row>
    <row x14ac:dyDescent="0.25" r="126" customHeight="1" ht="18">
      <c r="A126" s="45">
        <v>120</v>
      </c>
      <c r="B126" s="46" t="s">
        <v>47</v>
      </c>
      <c r="C126" s="46" t="s">
        <v>48</v>
      </c>
      <c r="D126" s="47" t="s">
        <v>49</v>
      </c>
      <c r="E126" s="47" t="s">
        <v>9</v>
      </c>
      <c r="F126" s="47" t="s">
        <v>9</v>
      </c>
      <c r="G126" s="54">
        <v>5</v>
      </c>
      <c r="H126" s="50"/>
      <c r="I126" s="51"/>
      <c r="J126" s="50"/>
      <c r="K126" s="81" t="s">
        <v>227</v>
      </c>
      <c r="L126" s="47" t="s">
        <v>228</v>
      </c>
      <c r="M126" s="47" t="s">
        <v>229</v>
      </c>
      <c r="N126" s="46"/>
      <c r="O126" s="46"/>
      <c r="P126" s="60">
        <v>560</v>
      </c>
      <c r="Q126" s="60"/>
      <c r="R126" s="62"/>
      <c r="S126" s="56"/>
      <c r="T126" s="60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3"/>
      <c r="AH126" s="58"/>
      <c r="AI126" s="59"/>
      <c r="AJ126" s="57"/>
    </row>
    <row x14ac:dyDescent="0.25" r="127" customHeight="1" ht="18">
      <c r="A127" s="45">
        <v>121</v>
      </c>
      <c r="B127" s="46" t="s">
        <v>47</v>
      </c>
      <c r="C127" s="46" t="s">
        <v>48</v>
      </c>
      <c r="D127" s="47" t="s">
        <v>49</v>
      </c>
      <c r="E127" s="47" t="s">
        <v>9</v>
      </c>
      <c r="F127" s="47" t="s">
        <v>9</v>
      </c>
      <c r="G127" s="54">
        <v>5</v>
      </c>
      <c r="H127" s="50"/>
      <c r="I127" s="51"/>
      <c r="J127" s="50"/>
      <c r="K127" s="81" t="s">
        <v>230</v>
      </c>
      <c r="L127" s="47" t="s">
        <v>231</v>
      </c>
      <c r="M127" s="47" t="s">
        <v>232</v>
      </c>
      <c r="N127" s="46"/>
      <c r="O127" s="46"/>
      <c r="P127" s="60">
        <v>140</v>
      </c>
      <c r="Q127" s="60"/>
      <c r="R127" s="62"/>
      <c r="S127" s="56"/>
      <c r="T127" s="60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3"/>
      <c r="AH127" s="58"/>
      <c r="AI127" s="59"/>
      <c r="AJ127" s="57"/>
    </row>
    <row x14ac:dyDescent="0.25" r="128" customHeight="1" ht="18">
      <c r="A128" s="45">
        <v>122</v>
      </c>
      <c r="B128" s="46" t="s">
        <v>47</v>
      </c>
      <c r="C128" s="46" t="s">
        <v>48</v>
      </c>
      <c r="D128" s="47" t="s">
        <v>49</v>
      </c>
      <c r="E128" s="47" t="s">
        <v>9</v>
      </c>
      <c r="F128" s="82" t="s">
        <v>9</v>
      </c>
      <c r="G128" s="54">
        <v>5</v>
      </c>
      <c r="H128" s="50"/>
      <c r="I128" s="51"/>
      <c r="J128" s="50"/>
      <c r="K128" s="81" t="s">
        <v>233</v>
      </c>
      <c r="L128" s="47" t="s">
        <v>234</v>
      </c>
      <c r="M128" s="47" t="s">
        <v>235</v>
      </c>
      <c r="N128" s="46"/>
      <c r="O128" s="46"/>
      <c r="P128" s="60">
        <v>40</v>
      </c>
      <c r="Q128" s="60"/>
      <c r="R128" s="62"/>
      <c r="S128" s="56"/>
      <c r="T128" s="60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47"/>
      <c r="AH128" s="58"/>
      <c r="AI128" s="59"/>
      <c r="AJ128" s="57"/>
    </row>
    <row x14ac:dyDescent="0.25" r="129" customHeight="1" ht="18">
      <c r="A129" s="45">
        <v>123</v>
      </c>
      <c r="B129" s="46" t="s">
        <v>47</v>
      </c>
      <c r="C129" s="46" t="s">
        <v>48</v>
      </c>
      <c r="D129" s="47" t="s">
        <v>49</v>
      </c>
      <c r="E129" s="47" t="s">
        <v>9</v>
      </c>
      <c r="F129" s="82" t="s">
        <v>9</v>
      </c>
      <c r="G129" s="54">
        <v>6</v>
      </c>
      <c r="H129" s="50"/>
      <c r="I129" s="51"/>
      <c r="J129" s="50"/>
      <c r="K129" s="81" t="s">
        <v>236</v>
      </c>
      <c r="L129" s="47" t="s">
        <v>237</v>
      </c>
      <c r="M129" s="47" t="s">
        <v>238</v>
      </c>
      <c r="N129" s="46"/>
      <c r="O129" s="46"/>
      <c r="P129" s="60">
        <v>520</v>
      </c>
      <c r="Q129" s="60"/>
      <c r="R129" s="62"/>
      <c r="S129" s="56"/>
      <c r="T129" s="60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3"/>
      <c r="AH129" s="58"/>
      <c r="AI129" s="59"/>
      <c r="AJ129" s="57"/>
    </row>
    <row x14ac:dyDescent="0.25" r="130" customHeight="1" ht="18">
      <c r="A130" s="45">
        <v>124</v>
      </c>
      <c r="B130" s="46" t="s">
        <v>47</v>
      </c>
      <c r="C130" s="46" t="s">
        <v>48</v>
      </c>
      <c r="D130" s="47" t="s">
        <v>49</v>
      </c>
      <c r="E130" s="47" t="s">
        <v>9</v>
      </c>
      <c r="F130" s="82" t="s">
        <v>9</v>
      </c>
      <c r="G130" s="54">
        <v>6</v>
      </c>
      <c r="H130" s="46"/>
      <c r="I130" s="51"/>
      <c r="J130" s="46"/>
      <c r="K130" s="81" t="s">
        <v>239</v>
      </c>
      <c r="L130" s="47" t="s">
        <v>240</v>
      </c>
      <c r="M130" s="47" t="s">
        <v>241</v>
      </c>
      <c r="N130" s="46"/>
      <c r="O130" s="46"/>
      <c r="P130" s="60">
        <v>460</v>
      </c>
      <c r="Q130" s="60"/>
      <c r="R130" s="62"/>
      <c r="S130" s="56"/>
      <c r="T130" s="64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3"/>
      <c r="AH130" s="58"/>
      <c r="AI130" s="59"/>
      <c r="AJ130" s="57"/>
    </row>
    <row x14ac:dyDescent="0.25" r="131" customHeight="1" ht="18">
      <c r="A131" s="45">
        <v>125</v>
      </c>
      <c r="B131" s="46" t="s">
        <v>47</v>
      </c>
      <c r="C131" s="46" t="s">
        <v>48</v>
      </c>
      <c r="D131" s="47" t="s">
        <v>49</v>
      </c>
      <c r="E131" s="47" t="s">
        <v>9</v>
      </c>
      <c r="F131" s="82" t="s">
        <v>9</v>
      </c>
      <c r="G131" s="54">
        <v>6</v>
      </c>
      <c r="H131" s="50"/>
      <c r="I131" s="51"/>
      <c r="J131" s="50"/>
      <c r="K131" s="81" t="s">
        <v>242</v>
      </c>
      <c r="L131" s="47" t="s">
        <v>243</v>
      </c>
      <c r="M131" s="47" t="s">
        <v>244</v>
      </c>
      <c r="N131" s="46"/>
      <c r="O131" s="46"/>
      <c r="P131" s="66">
        <v>172</v>
      </c>
      <c r="Q131" s="66"/>
      <c r="R131" s="67"/>
      <c r="S131" s="56"/>
      <c r="T131" s="66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3"/>
      <c r="AH131" s="58"/>
      <c r="AI131" s="59"/>
      <c r="AJ131" s="57"/>
    </row>
    <row x14ac:dyDescent="0.25" r="132" customHeight="1" ht="18">
      <c r="A132" s="45">
        <v>126</v>
      </c>
      <c r="B132" s="46" t="s">
        <v>47</v>
      </c>
      <c r="C132" s="46" t="s">
        <v>48</v>
      </c>
      <c r="D132" s="47" t="s">
        <v>49</v>
      </c>
      <c r="E132" s="47" t="s">
        <v>9</v>
      </c>
      <c r="F132" s="82" t="s">
        <v>9</v>
      </c>
      <c r="G132" s="54">
        <v>6</v>
      </c>
      <c r="H132" s="50"/>
      <c r="I132" s="51"/>
      <c r="J132" s="50"/>
      <c r="K132" s="81" t="s">
        <v>245</v>
      </c>
      <c r="L132" s="47" t="s">
        <v>246</v>
      </c>
      <c r="M132" s="47" t="s">
        <v>247</v>
      </c>
      <c r="N132" s="46"/>
      <c r="O132" s="46"/>
      <c r="P132" s="60">
        <v>180</v>
      </c>
      <c r="Q132" s="60"/>
      <c r="R132" s="62"/>
      <c r="S132" s="56"/>
      <c r="T132" s="60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3"/>
      <c r="AH132" s="58"/>
      <c r="AI132" s="59"/>
      <c r="AJ132" s="57"/>
    </row>
    <row x14ac:dyDescent="0.25" r="133" customHeight="1" ht="18">
      <c r="A133" s="45">
        <v>127</v>
      </c>
      <c r="B133" s="46" t="s">
        <v>47</v>
      </c>
      <c r="C133" s="46" t="s">
        <v>48</v>
      </c>
      <c r="D133" s="47" t="s">
        <v>49</v>
      </c>
      <c r="E133" s="47" t="s">
        <v>9</v>
      </c>
      <c r="F133" s="82" t="s">
        <v>9</v>
      </c>
      <c r="G133" s="54">
        <v>6</v>
      </c>
      <c r="H133" s="46"/>
      <c r="I133" s="51"/>
      <c r="J133" s="46"/>
      <c r="K133" s="81" t="s">
        <v>248</v>
      </c>
      <c r="L133" s="47" t="s">
        <v>249</v>
      </c>
      <c r="M133" s="47" t="s">
        <v>250</v>
      </c>
      <c r="N133" s="46"/>
      <c r="O133" s="46"/>
      <c r="P133" s="60">
        <v>16</v>
      </c>
      <c r="Q133" s="60"/>
      <c r="R133" s="62"/>
      <c r="S133" s="56"/>
      <c r="T133" s="60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3"/>
      <c r="AH133" s="58"/>
      <c r="AI133" s="59"/>
      <c r="AJ133" s="57"/>
    </row>
    <row x14ac:dyDescent="0.25" r="134" customHeight="1" ht="18">
      <c r="A134" s="45">
        <v>128</v>
      </c>
      <c r="B134" s="46" t="s">
        <v>47</v>
      </c>
      <c r="C134" s="46" t="s">
        <v>48</v>
      </c>
      <c r="D134" s="47" t="s">
        <v>49</v>
      </c>
      <c r="E134" s="47" t="s">
        <v>9</v>
      </c>
      <c r="F134" s="82" t="s">
        <v>9</v>
      </c>
      <c r="G134" s="54">
        <v>6</v>
      </c>
      <c r="H134" s="50"/>
      <c r="I134" s="51"/>
      <c r="J134" s="50"/>
      <c r="K134" s="81" t="s">
        <v>218</v>
      </c>
      <c r="L134" s="47" t="s">
        <v>219</v>
      </c>
      <c r="M134" s="47" t="s">
        <v>251</v>
      </c>
      <c r="N134" s="46"/>
      <c r="O134" s="46"/>
      <c r="P134" s="60">
        <v>224</v>
      </c>
      <c r="Q134" s="60"/>
      <c r="R134" s="62"/>
      <c r="S134" s="56"/>
      <c r="T134" s="60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3"/>
      <c r="AH134" s="58"/>
      <c r="AI134" s="59"/>
      <c r="AJ134" s="57"/>
    </row>
    <row x14ac:dyDescent="0.25" r="135" customHeight="1" ht="18">
      <c r="A135" s="45">
        <v>129</v>
      </c>
      <c r="B135" s="46" t="s">
        <v>47</v>
      </c>
      <c r="C135" s="46" t="s">
        <v>48</v>
      </c>
      <c r="D135" s="47" t="s">
        <v>49</v>
      </c>
      <c r="E135" s="47" t="s">
        <v>9</v>
      </c>
      <c r="F135" s="82" t="s">
        <v>9</v>
      </c>
      <c r="G135" s="54">
        <v>7</v>
      </c>
      <c r="H135" s="50"/>
      <c r="I135" s="51"/>
      <c r="J135" s="50"/>
      <c r="K135" s="81" t="s">
        <v>252</v>
      </c>
      <c r="L135" s="47" t="s">
        <v>253</v>
      </c>
      <c r="M135" s="47" t="s">
        <v>254</v>
      </c>
      <c r="N135" s="46"/>
      <c r="O135" s="46"/>
      <c r="P135" s="60">
        <v>180</v>
      </c>
      <c r="Q135" s="60"/>
      <c r="R135" s="62"/>
      <c r="S135" s="56"/>
      <c r="T135" s="64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3"/>
      <c r="AH135" s="58"/>
      <c r="AI135" s="59"/>
      <c r="AJ135" s="57"/>
    </row>
    <row x14ac:dyDescent="0.25" r="136" customHeight="1" ht="18">
      <c r="A136" s="45">
        <v>130</v>
      </c>
      <c r="B136" s="46" t="s">
        <v>47</v>
      </c>
      <c r="C136" s="46" t="s">
        <v>48</v>
      </c>
      <c r="D136" s="47" t="s">
        <v>49</v>
      </c>
      <c r="E136" s="47" t="s">
        <v>9</v>
      </c>
      <c r="F136" s="82" t="s">
        <v>9</v>
      </c>
      <c r="G136" s="54">
        <v>7</v>
      </c>
      <c r="H136" s="50"/>
      <c r="I136" s="51"/>
      <c r="J136" s="50"/>
      <c r="K136" s="81" t="s">
        <v>255</v>
      </c>
      <c r="L136" s="47" t="s">
        <v>256</v>
      </c>
      <c r="M136" s="47" t="s">
        <v>257</v>
      </c>
      <c r="N136" s="46"/>
      <c r="O136" s="46"/>
      <c r="P136" s="60">
        <v>100</v>
      </c>
      <c r="Q136" s="60"/>
      <c r="R136" s="62"/>
      <c r="S136" s="56"/>
      <c r="T136" s="64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3"/>
      <c r="AH136" s="58"/>
      <c r="AI136" s="59"/>
      <c r="AJ136" s="57"/>
    </row>
    <row x14ac:dyDescent="0.25" r="137" customHeight="1" ht="18">
      <c r="A137" s="45">
        <v>131</v>
      </c>
      <c r="B137" s="46" t="s">
        <v>47</v>
      </c>
      <c r="C137" s="46" t="s">
        <v>48</v>
      </c>
      <c r="D137" s="47" t="s">
        <v>49</v>
      </c>
      <c r="E137" s="47" t="s">
        <v>9</v>
      </c>
      <c r="F137" s="82" t="s">
        <v>9</v>
      </c>
      <c r="G137" s="54">
        <v>7</v>
      </c>
      <c r="H137" s="50"/>
      <c r="I137" s="51"/>
      <c r="J137" s="50"/>
      <c r="K137" s="81" t="s">
        <v>258</v>
      </c>
      <c r="L137" s="47" t="s">
        <v>259</v>
      </c>
      <c r="M137" s="47" t="s">
        <v>260</v>
      </c>
      <c r="N137" s="46"/>
      <c r="O137" s="46"/>
      <c r="P137" s="66">
        <v>80</v>
      </c>
      <c r="Q137" s="66"/>
      <c r="R137" s="67"/>
      <c r="S137" s="56"/>
      <c r="T137" s="61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3"/>
      <c r="AH137" s="58"/>
      <c r="AI137" s="59"/>
      <c r="AJ137" s="57"/>
    </row>
    <row x14ac:dyDescent="0.25" r="138" customHeight="1" ht="18">
      <c r="A138" s="45">
        <v>132</v>
      </c>
      <c r="B138" s="46" t="s">
        <v>47</v>
      </c>
      <c r="C138" s="46" t="s">
        <v>48</v>
      </c>
      <c r="D138" s="47" t="s">
        <v>49</v>
      </c>
      <c r="E138" s="47" t="s">
        <v>9</v>
      </c>
      <c r="F138" s="82" t="s">
        <v>9</v>
      </c>
      <c r="G138" s="54">
        <v>7</v>
      </c>
      <c r="H138" s="50"/>
      <c r="I138" s="51"/>
      <c r="J138" s="50"/>
      <c r="K138" s="81" t="s">
        <v>261</v>
      </c>
      <c r="L138" s="47" t="s">
        <v>262</v>
      </c>
      <c r="M138" s="47" t="s">
        <v>263</v>
      </c>
      <c r="N138" s="46"/>
      <c r="O138" s="46"/>
      <c r="P138" s="60">
        <v>200</v>
      </c>
      <c r="Q138" s="60"/>
      <c r="R138" s="62"/>
      <c r="S138" s="56"/>
      <c r="T138" s="60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3"/>
      <c r="AH138" s="58"/>
      <c r="AI138" s="59"/>
      <c r="AJ138" s="57"/>
    </row>
    <row x14ac:dyDescent="0.25" r="139" customHeight="1" ht="18">
      <c r="A139" s="45">
        <v>133</v>
      </c>
      <c r="B139" s="46" t="s">
        <v>47</v>
      </c>
      <c r="C139" s="46" t="s">
        <v>48</v>
      </c>
      <c r="D139" s="47" t="s">
        <v>49</v>
      </c>
      <c r="E139" s="47" t="s">
        <v>9</v>
      </c>
      <c r="F139" s="82" t="s">
        <v>9</v>
      </c>
      <c r="G139" s="54">
        <v>7</v>
      </c>
      <c r="H139" s="50"/>
      <c r="I139" s="51"/>
      <c r="J139" s="50"/>
      <c r="K139" s="81" t="s">
        <v>264</v>
      </c>
      <c r="L139" s="47" t="s">
        <v>265</v>
      </c>
      <c r="M139" s="47" t="s">
        <v>266</v>
      </c>
      <c r="N139" s="46"/>
      <c r="O139" s="46"/>
      <c r="P139" s="60">
        <v>150</v>
      </c>
      <c r="Q139" s="60"/>
      <c r="R139" s="62"/>
      <c r="S139" s="56"/>
      <c r="T139" s="60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3"/>
      <c r="AH139" s="58"/>
      <c r="AI139" s="59"/>
      <c r="AJ139" s="57"/>
    </row>
    <row x14ac:dyDescent="0.25" r="140" customHeight="1" ht="18">
      <c r="A140" s="45">
        <v>134</v>
      </c>
      <c r="B140" s="46" t="s">
        <v>47</v>
      </c>
      <c r="C140" s="46" t="s">
        <v>48</v>
      </c>
      <c r="D140" s="47" t="s">
        <v>49</v>
      </c>
      <c r="E140" s="47" t="s">
        <v>9</v>
      </c>
      <c r="F140" s="82" t="s">
        <v>9</v>
      </c>
      <c r="G140" s="54">
        <v>7</v>
      </c>
      <c r="H140" s="50"/>
      <c r="I140" s="51"/>
      <c r="J140" s="50"/>
      <c r="K140" s="81" t="s">
        <v>267</v>
      </c>
      <c r="L140" s="47" t="s">
        <v>268</v>
      </c>
      <c r="M140" s="47" t="s">
        <v>269</v>
      </c>
      <c r="N140" s="46"/>
      <c r="O140" s="46"/>
      <c r="P140" s="60">
        <v>100</v>
      </c>
      <c r="Q140" s="60"/>
      <c r="R140" s="62"/>
      <c r="S140" s="56"/>
      <c r="T140" s="60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3"/>
      <c r="AH140" s="58"/>
      <c r="AI140" s="59"/>
      <c r="AJ140" s="57"/>
    </row>
    <row x14ac:dyDescent="0.25" r="141" customHeight="1" ht="18">
      <c r="A141" s="45">
        <v>135</v>
      </c>
      <c r="B141" s="46" t="s">
        <v>47</v>
      </c>
      <c r="C141" s="46" t="s">
        <v>48</v>
      </c>
      <c r="D141" s="47" t="s">
        <v>49</v>
      </c>
      <c r="E141" s="47" t="s">
        <v>9</v>
      </c>
      <c r="F141" s="82" t="s">
        <v>9</v>
      </c>
      <c r="G141" s="54">
        <v>7</v>
      </c>
      <c r="H141" s="50"/>
      <c r="I141" s="51"/>
      <c r="J141" s="50"/>
      <c r="K141" s="81" t="s">
        <v>270</v>
      </c>
      <c r="L141" s="47" t="s">
        <v>271</v>
      </c>
      <c r="M141" s="47" t="s">
        <v>272</v>
      </c>
      <c r="N141" s="50"/>
      <c r="O141" s="50"/>
      <c r="P141" s="60">
        <v>55</v>
      </c>
      <c r="Q141" s="60"/>
      <c r="R141" s="62"/>
      <c r="S141" s="56"/>
      <c r="T141" s="60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3"/>
      <c r="AH141" s="58"/>
      <c r="AI141" s="59"/>
      <c r="AJ141" s="57"/>
    </row>
    <row x14ac:dyDescent="0.25" r="142" customHeight="1" ht="18">
      <c r="A142" s="45">
        <v>136</v>
      </c>
      <c r="B142" s="46" t="s">
        <v>47</v>
      </c>
      <c r="C142" s="46" t="s">
        <v>48</v>
      </c>
      <c r="D142" s="47" t="s">
        <v>49</v>
      </c>
      <c r="E142" s="47" t="s">
        <v>9</v>
      </c>
      <c r="F142" s="82" t="s">
        <v>9</v>
      </c>
      <c r="G142" s="54">
        <v>7</v>
      </c>
      <c r="H142" s="50"/>
      <c r="I142" s="51"/>
      <c r="J142" s="50"/>
      <c r="K142" s="81" t="s">
        <v>273</v>
      </c>
      <c r="L142" s="47" t="s">
        <v>274</v>
      </c>
      <c r="M142" s="47" t="s">
        <v>275</v>
      </c>
      <c r="N142" s="50"/>
      <c r="O142" s="50"/>
      <c r="P142" s="60">
        <v>40</v>
      </c>
      <c r="Q142" s="60"/>
      <c r="R142" s="62"/>
      <c r="S142" s="56"/>
      <c r="T142" s="64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3"/>
      <c r="AH142" s="58"/>
      <c r="AI142" s="59"/>
      <c r="AJ142" s="57"/>
    </row>
    <row x14ac:dyDescent="0.25" r="143" customHeight="1" ht="18">
      <c r="A143" s="45">
        <v>137</v>
      </c>
      <c r="B143" s="46" t="s">
        <v>47</v>
      </c>
      <c r="C143" s="46" t="s">
        <v>48</v>
      </c>
      <c r="D143" s="47" t="s">
        <v>49</v>
      </c>
      <c r="E143" s="47" t="s">
        <v>9</v>
      </c>
      <c r="F143" s="82" t="s">
        <v>9</v>
      </c>
      <c r="G143" s="54">
        <v>8</v>
      </c>
      <c r="H143" s="50"/>
      <c r="I143" s="51"/>
      <c r="J143" s="50"/>
      <c r="K143" s="81" t="s">
        <v>276</v>
      </c>
      <c r="L143" s="47" t="s">
        <v>277</v>
      </c>
      <c r="M143" s="47" t="s">
        <v>278</v>
      </c>
      <c r="N143" s="50"/>
      <c r="O143" s="50"/>
      <c r="P143" s="60">
        <v>475</v>
      </c>
      <c r="Q143" s="60"/>
      <c r="R143" s="62"/>
      <c r="S143" s="56"/>
      <c r="T143" s="64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3"/>
      <c r="AH143" s="58"/>
      <c r="AI143" s="59"/>
      <c r="AJ143" s="57"/>
    </row>
    <row x14ac:dyDescent="0.25" r="144" customHeight="1" ht="18">
      <c r="A144" s="45">
        <v>138</v>
      </c>
      <c r="B144" s="46" t="s">
        <v>47</v>
      </c>
      <c r="C144" s="46" t="s">
        <v>48</v>
      </c>
      <c r="D144" s="47" t="s">
        <v>49</v>
      </c>
      <c r="E144" s="47" t="s">
        <v>9</v>
      </c>
      <c r="F144" s="82" t="s">
        <v>9</v>
      </c>
      <c r="G144" s="54">
        <v>8</v>
      </c>
      <c r="H144" s="46"/>
      <c r="I144" s="51"/>
      <c r="J144" s="46"/>
      <c r="K144" s="81" t="s">
        <v>279</v>
      </c>
      <c r="L144" s="47" t="s">
        <v>280</v>
      </c>
      <c r="M144" s="47" t="s">
        <v>281</v>
      </c>
      <c r="N144" s="46"/>
      <c r="O144" s="46"/>
      <c r="P144" s="66">
        <v>500</v>
      </c>
      <c r="Q144" s="66"/>
      <c r="R144" s="67"/>
      <c r="S144" s="56"/>
      <c r="T144" s="61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3"/>
      <c r="AH144" s="58"/>
      <c r="AI144" s="59"/>
      <c r="AJ144" s="57"/>
    </row>
    <row x14ac:dyDescent="0.25" r="145" customHeight="1" ht="18">
      <c r="A145" s="45">
        <v>139</v>
      </c>
      <c r="B145" s="46" t="s">
        <v>47</v>
      </c>
      <c r="C145" s="46" t="s">
        <v>48</v>
      </c>
      <c r="D145" s="47" t="s">
        <v>49</v>
      </c>
      <c r="E145" s="47" t="s">
        <v>9</v>
      </c>
      <c r="F145" s="82" t="s">
        <v>9</v>
      </c>
      <c r="G145" s="54">
        <v>8</v>
      </c>
      <c r="H145" s="46"/>
      <c r="I145" s="51"/>
      <c r="J145" s="46"/>
      <c r="K145" s="81" t="s">
        <v>282</v>
      </c>
      <c r="L145" s="47" t="s">
        <v>283</v>
      </c>
      <c r="M145" s="47" t="s">
        <v>284</v>
      </c>
      <c r="N145" s="46"/>
      <c r="O145" s="46"/>
      <c r="P145" s="66">
        <v>110</v>
      </c>
      <c r="Q145" s="66"/>
      <c r="R145" s="67"/>
      <c r="S145" s="56"/>
      <c r="T145" s="61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3"/>
      <c r="AH145" s="58"/>
      <c r="AI145" s="59"/>
      <c r="AJ145" s="57"/>
    </row>
    <row x14ac:dyDescent="0.25" r="146" customHeight="1" ht="18">
      <c r="A146" s="45">
        <v>140</v>
      </c>
      <c r="B146" s="46" t="s">
        <v>47</v>
      </c>
      <c r="C146" s="46" t="s">
        <v>48</v>
      </c>
      <c r="D146" s="47" t="s">
        <v>49</v>
      </c>
      <c r="E146" s="47" t="s">
        <v>9</v>
      </c>
      <c r="F146" s="82" t="s">
        <v>9</v>
      </c>
      <c r="G146" s="54">
        <v>8</v>
      </c>
      <c r="H146" s="46"/>
      <c r="I146" s="51"/>
      <c r="J146" s="46"/>
      <c r="K146" s="81" t="s">
        <v>285</v>
      </c>
      <c r="L146" s="47" t="s">
        <v>286</v>
      </c>
      <c r="M146" s="47" t="s">
        <v>287</v>
      </c>
      <c r="N146" s="46"/>
      <c r="O146" s="46"/>
      <c r="P146" s="66">
        <v>150</v>
      </c>
      <c r="Q146" s="66"/>
      <c r="R146" s="67"/>
      <c r="S146" s="56"/>
      <c r="T146" s="61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3"/>
      <c r="AH146" s="58"/>
      <c r="AI146" s="59"/>
      <c r="AJ146" s="57"/>
    </row>
    <row x14ac:dyDescent="0.25" r="147" customHeight="1" ht="18">
      <c r="A147" s="45">
        <v>141</v>
      </c>
      <c r="B147" s="46" t="s">
        <v>47</v>
      </c>
      <c r="C147" s="46" t="s">
        <v>48</v>
      </c>
      <c r="D147" s="47" t="s">
        <v>49</v>
      </c>
      <c r="E147" s="47" t="s">
        <v>9</v>
      </c>
      <c r="F147" s="82" t="s">
        <v>9</v>
      </c>
      <c r="G147" s="54">
        <v>8</v>
      </c>
      <c r="H147" s="46"/>
      <c r="I147" s="51"/>
      <c r="J147" s="46"/>
      <c r="K147" s="81" t="s">
        <v>288</v>
      </c>
      <c r="L147" s="47" t="s">
        <v>289</v>
      </c>
      <c r="M147" s="47" t="s">
        <v>290</v>
      </c>
      <c r="N147" s="46"/>
      <c r="O147" s="46"/>
      <c r="P147" s="66">
        <v>130</v>
      </c>
      <c r="Q147" s="66"/>
      <c r="R147" s="67"/>
      <c r="S147" s="56"/>
      <c r="T147" s="61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3"/>
      <c r="AH147" s="58"/>
      <c r="AI147" s="59"/>
      <c r="AJ147" s="57"/>
    </row>
    <row x14ac:dyDescent="0.25" r="148" customHeight="1" ht="18">
      <c r="A148" s="45">
        <v>142</v>
      </c>
      <c r="B148" s="46" t="s">
        <v>47</v>
      </c>
      <c r="C148" s="46" t="s">
        <v>48</v>
      </c>
      <c r="D148" s="47" t="s">
        <v>49</v>
      </c>
      <c r="E148" s="47" t="s">
        <v>9</v>
      </c>
      <c r="F148" s="82" t="s">
        <v>9</v>
      </c>
      <c r="G148" s="54">
        <v>8</v>
      </c>
      <c r="H148" s="46"/>
      <c r="I148" s="51"/>
      <c r="J148" s="46"/>
      <c r="K148" s="81" t="s">
        <v>291</v>
      </c>
      <c r="L148" s="47" t="s">
        <v>292</v>
      </c>
      <c r="M148" s="47" t="s">
        <v>293</v>
      </c>
      <c r="N148" s="46"/>
      <c r="O148" s="46"/>
      <c r="P148" s="66">
        <v>95</v>
      </c>
      <c r="Q148" s="66"/>
      <c r="R148" s="67"/>
      <c r="S148" s="56"/>
      <c r="T148" s="61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3"/>
      <c r="AH148" s="58"/>
      <c r="AI148" s="59"/>
      <c r="AJ148" s="57"/>
    </row>
    <row x14ac:dyDescent="0.25" r="149" customHeight="1" ht="18">
      <c r="A149" s="45">
        <v>143</v>
      </c>
      <c r="B149" s="46" t="s">
        <v>47</v>
      </c>
      <c r="C149" s="46" t="s">
        <v>48</v>
      </c>
      <c r="D149" s="47" t="s">
        <v>49</v>
      </c>
      <c r="E149" s="47" t="s">
        <v>9</v>
      </c>
      <c r="F149" s="82" t="s">
        <v>9</v>
      </c>
      <c r="G149" s="54">
        <v>8</v>
      </c>
      <c r="H149" s="46"/>
      <c r="I149" s="51"/>
      <c r="J149" s="46"/>
      <c r="K149" s="81" t="s">
        <v>294</v>
      </c>
      <c r="L149" s="47" t="s">
        <v>295</v>
      </c>
      <c r="M149" s="47" t="s">
        <v>296</v>
      </c>
      <c r="N149" s="46"/>
      <c r="O149" s="46"/>
      <c r="P149" s="66">
        <v>175</v>
      </c>
      <c r="Q149" s="66"/>
      <c r="R149" s="67"/>
      <c r="S149" s="56"/>
      <c r="T149" s="61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3"/>
      <c r="AH149" s="58"/>
      <c r="AI149" s="59"/>
      <c r="AJ149" s="57"/>
    </row>
    <row x14ac:dyDescent="0.25" r="150" customHeight="1" ht="18">
      <c r="A150" s="45">
        <v>144</v>
      </c>
      <c r="B150" s="46" t="s">
        <v>47</v>
      </c>
      <c r="C150" s="46" t="s">
        <v>48</v>
      </c>
      <c r="D150" s="47" t="s">
        <v>49</v>
      </c>
      <c r="E150" s="47" t="s">
        <v>9</v>
      </c>
      <c r="F150" s="82" t="s">
        <v>9</v>
      </c>
      <c r="G150" s="54">
        <v>8</v>
      </c>
      <c r="H150" s="46"/>
      <c r="I150" s="51"/>
      <c r="J150" s="46"/>
      <c r="K150" s="81" t="s">
        <v>297</v>
      </c>
      <c r="L150" s="47" t="s">
        <v>298</v>
      </c>
      <c r="M150" s="47" t="s">
        <v>299</v>
      </c>
      <c r="N150" s="46"/>
      <c r="O150" s="46"/>
      <c r="P150" s="66">
        <v>110</v>
      </c>
      <c r="Q150" s="66"/>
      <c r="R150" s="67"/>
      <c r="S150" s="56"/>
      <c r="T150" s="61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3"/>
      <c r="AH150" s="58"/>
      <c r="AI150" s="59"/>
      <c r="AJ150" s="57"/>
    </row>
    <row x14ac:dyDescent="0.25" r="151" customHeight="1" ht="18">
      <c r="A151" s="45">
        <v>145</v>
      </c>
      <c r="B151" s="46" t="s">
        <v>47</v>
      </c>
      <c r="C151" s="46" t="s">
        <v>48</v>
      </c>
      <c r="D151" s="47" t="s">
        <v>49</v>
      </c>
      <c r="E151" s="47" t="s">
        <v>9</v>
      </c>
      <c r="F151" s="82" t="s">
        <v>9</v>
      </c>
      <c r="G151" s="54">
        <v>9</v>
      </c>
      <c r="H151" s="46"/>
      <c r="I151" s="51"/>
      <c r="J151" s="46"/>
      <c r="K151" s="81" t="s">
        <v>300</v>
      </c>
      <c r="L151" s="47" t="s">
        <v>301</v>
      </c>
      <c r="M151" s="47" t="s">
        <v>302</v>
      </c>
      <c r="N151" s="46"/>
      <c r="O151" s="46"/>
      <c r="P151" s="66">
        <v>200</v>
      </c>
      <c r="Q151" s="66"/>
      <c r="R151" s="67"/>
      <c r="S151" s="56"/>
      <c r="T151" s="61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3"/>
      <c r="AH151" s="58"/>
      <c r="AI151" s="59"/>
      <c r="AJ151" s="57"/>
    </row>
    <row x14ac:dyDescent="0.25" r="152" customHeight="1" ht="18">
      <c r="A152" s="45">
        <v>146</v>
      </c>
      <c r="B152" s="46" t="s">
        <v>47</v>
      </c>
      <c r="C152" s="46" t="s">
        <v>48</v>
      </c>
      <c r="D152" s="47" t="s">
        <v>49</v>
      </c>
      <c r="E152" s="47" t="s">
        <v>9</v>
      </c>
      <c r="F152" s="82" t="s">
        <v>9</v>
      </c>
      <c r="G152" s="54">
        <v>9</v>
      </c>
      <c r="H152" s="46"/>
      <c r="I152" s="51"/>
      <c r="J152" s="46"/>
      <c r="K152" s="81" t="s">
        <v>303</v>
      </c>
      <c r="L152" s="47" t="s">
        <v>304</v>
      </c>
      <c r="M152" s="47" t="s">
        <v>305</v>
      </c>
      <c r="N152" s="46"/>
      <c r="O152" s="46"/>
      <c r="P152" s="66">
        <v>336</v>
      </c>
      <c r="Q152" s="66"/>
      <c r="R152" s="67"/>
      <c r="S152" s="56"/>
      <c r="T152" s="61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3"/>
      <c r="AH152" s="58"/>
      <c r="AI152" s="59"/>
      <c r="AJ152" s="57"/>
    </row>
    <row x14ac:dyDescent="0.25" r="153" customHeight="1" ht="18">
      <c r="A153" s="45">
        <v>147</v>
      </c>
      <c r="B153" s="46" t="s">
        <v>47</v>
      </c>
      <c r="C153" s="46" t="s">
        <v>48</v>
      </c>
      <c r="D153" s="47" t="s">
        <v>49</v>
      </c>
      <c r="E153" s="47" t="s">
        <v>9</v>
      </c>
      <c r="F153" s="82" t="s">
        <v>9</v>
      </c>
      <c r="G153" s="54">
        <v>9</v>
      </c>
      <c r="H153" s="46"/>
      <c r="I153" s="51"/>
      <c r="J153" s="46"/>
      <c r="K153" s="81" t="s">
        <v>306</v>
      </c>
      <c r="L153" s="47" t="s">
        <v>307</v>
      </c>
      <c r="M153" s="47" t="s">
        <v>308</v>
      </c>
      <c r="N153" s="46"/>
      <c r="O153" s="46"/>
      <c r="P153" s="66">
        <v>240</v>
      </c>
      <c r="Q153" s="66"/>
      <c r="R153" s="67"/>
      <c r="S153" s="56"/>
      <c r="T153" s="61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3"/>
      <c r="AH153" s="58"/>
      <c r="AI153" s="59"/>
      <c r="AJ153" s="57"/>
    </row>
    <row x14ac:dyDescent="0.25" r="154" customHeight="1" ht="18">
      <c r="A154" s="45">
        <v>148</v>
      </c>
      <c r="B154" s="46" t="s">
        <v>47</v>
      </c>
      <c r="C154" s="46" t="s">
        <v>48</v>
      </c>
      <c r="D154" s="47" t="s">
        <v>49</v>
      </c>
      <c r="E154" s="47" t="s">
        <v>9</v>
      </c>
      <c r="F154" s="82" t="s">
        <v>9</v>
      </c>
      <c r="G154" s="54">
        <v>9</v>
      </c>
      <c r="H154" s="46"/>
      <c r="I154" s="51"/>
      <c r="J154" s="46"/>
      <c r="K154" s="81" t="s">
        <v>309</v>
      </c>
      <c r="L154" s="47" t="s">
        <v>310</v>
      </c>
      <c r="M154" s="47" t="s">
        <v>311</v>
      </c>
      <c r="N154" s="46"/>
      <c r="O154" s="46"/>
      <c r="P154" s="66">
        <v>100</v>
      </c>
      <c r="Q154" s="66"/>
      <c r="R154" s="67"/>
      <c r="S154" s="56"/>
      <c r="T154" s="61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3"/>
      <c r="AH154" s="58"/>
      <c r="AI154" s="59"/>
      <c r="AJ154" s="57"/>
    </row>
    <row x14ac:dyDescent="0.25" r="155" customHeight="1" ht="18">
      <c r="A155" s="45">
        <v>149</v>
      </c>
      <c r="B155" s="46" t="s">
        <v>47</v>
      </c>
      <c r="C155" s="46" t="s">
        <v>48</v>
      </c>
      <c r="D155" s="47" t="s">
        <v>49</v>
      </c>
      <c r="E155" s="47" t="s">
        <v>9</v>
      </c>
      <c r="F155" s="82" t="s">
        <v>9</v>
      </c>
      <c r="G155" s="54">
        <v>9</v>
      </c>
      <c r="H155" s="46"/>
      <c r="I155" s="51"/>
      <c r="J155" s="46"/>
      <c r="K155" s="81" t="s">
        <v>312</v>
      </c>
      <c r="L155" s="47" t="s">
        <v>313</v>
      </c>
      <c r="M155" s="47" t="s">
        <v>314</v>
      </c>
      <c r="N155" s="46"/>
      <c r="O155" s="46"/>
      <c r="P155" s="66">
        <v>240</v>
      </c>
      <c r="Q155" s="66"/>
      <c r="R155" s="67"/>
      <c r="S155" s="56"/>
      <c r="T155" s="61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3"/>
      <c r="AH155" s="58"/>
      <c r="AI155" s="59"/>
      <c r="AJ155" s="57"/>
    </row>
    <row x14ac:dyDescent="0.25" r="156" customHeight="1" ht="18">
      <c r="A156" s="45">
        <v>150</v>
      </c>
      <c r="B156" s="46" t="s">
        <v>47</v>
      </c>
      <c r="C156" s="46" t="s">
        <v>48</v>
      </c>
      <c r="D156" s="47" t="s">
        <v>49</v>
      </c>
      <c r="E156" s="47" t="s">
        <v>9</v>
      </c>
      <c r="F156" s="82" t="s">
        <v>9</v>
      </c>
      <c r="G156" s="54">
        <v>9</v>
      </c>
      <c r="H156" s="46"/>
      <c r="I156" s="51"/>
      <c r="J156" s="46"/>
      <c r="K156" s="81" t="s">
        <v>315</v>
      </c>
      <c r="L156" s="47" t="s">
        <v>316</v>
      </c>
      <c r="M156" s="47" t="s">
        <v>317</v>
      </c>
      <c r="N156" s="46"/>
      <c r="O156" s="46"/>
      <c r="P156" s="66">
        <v>220</v>
      </c>
      <c r="Q156" s="66"/>
      <c r="R156" s="67"/>
      <c r="S156" s="56"/>
      <c r="T156" s="61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3"/>
      <c r="AH156" s="58"/>
      <c r="AI156" s="59"/>
      <c r="AJ156" s="57"/>
    </row>
    <row x14ac:dyDescent="0.25" r="157" customHeight="1" ht="18">
      <c r="A157" s="45">
        <v>151</v>
      </c>
      <c r="B157" s="46" t="s">
        <v>47</v>
      </c>
      <c r="C157" s="46" t="s">
        <v>48</v>
      </c>
      <c r="D157" s="47" t="s">
        <v>49</v>
      </c>
      <c r="E157" s="47" t="s">
        <v>9</v>
      </c>
      <c r="F157" s="82" t="s">
        <v>9</v>
      </c>
      <c r="G157" s="54">
        <v>9</v>
      </c>
      <c r="H157" s="46"/>
      <c r="I157" s="51"/>
      <c r="J157" s="46"/>
      <c r="K157" s="81" t="s">
        <v>318</v>
      </c>
      <c r="L157" s="47" t="s">
        <v>319</v>
      </c>
      <c r="M157" s="83" t="s">
        <v>320</v>
      </c>
      <c r="N157" s="46"/>
      <c r="O157" s="46"/>
      <c r="P157" s="66">
        <v>200</v>
      </c>
      <c r="Q157" s="66"/>
      <c r="R157" s="67"/>
      <c r="S157" s="56"/>
      <c r="T157" s="61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3"/>
      <c r="AH157" s="58"/>
      <c r="AI157" s="59"/>
      <c r="AJ157" s="57"/>
    </row>
    <row x14ac:dyDescent="0.25" r="158" customHeight="1" ht="18">
      <c r="A158" s="45">
        <v>152</v>
      </c>
      <c r="B158" s="46" t="s">
        <v>47</v>
      </c>
      <c r="C158" s="46" t="s">
        <v>48</v>
      </c>
      <c r="D158" s="47" t="s">
        <v>49</v>
      </c>
      <c r="E158" s="47" t="s">
        <v>9</v>
      </c>
      <c r="F158" s="47" t="s">
        <v>9</v>
      </c>
      <c r="G158" s="54">
        <v>9</v>
      </c>
      <c r="H158" s="46"/>
      <c r="I158" s="51"/>
      <c r="J158" s="46"/>
      <c r="K158" s="81" t="s">
        <v>321</v>
      </c>
      <c r="L158" s="82" t="s">
        <v>322</v>
      </c>
      <c r="M158" s="47" t="s">
        <v>323</v>
      </c>
      <c r="N158" s="65"/>
      <c r="O158" s="46"/>
      <c r="P158" s="66">
        <v>220</v>
      </c>
      <c r="Q158" s="66"/>
      <c r="R158" s="67"/>
      <c r="S158" s="56"/>
      <c r="T158" s="61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3"/>
      <c r="AH158" s="58"/>
      <c r="AI158" s="59"/>
      <c r="AJ158" s="57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Khagrachhari Sadar</vt:lpstr>
      <vt:lpstr>Mahalchhari</vt:lpstr>
      <vt:lpstr>Ramgarh</vt:lpstr>
      <vt:lpstr>Matiranga</vt:lpstr>
      <vt:lpstr>Dighinala</vt:lpstr>
      <vt:lpstr>Panchhari</vt:lpstr>
      <vt:lpstr>Manikchhari</vt:lpstr>
      <vt:lpstr>Lakkhichhari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2026-04-01T03:48:06.935Z</dcterms:created>
  <dcterms:modified xsi:type="dcterms:W3CDTF">2026-04-01T03:48:06.935Z</dcterms:modified>
</cp:coreProperties>
</file>